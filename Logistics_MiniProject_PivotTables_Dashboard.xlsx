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2" activeTab="5"/>
  </bookViews>
  <sheets>
    <sheet name="Business Problem" sheetId="3" r:id="rId1"/>
    <sheet name="Data Dictionary" sheetId="4" r:id="rId2"/>
    <sheet name="HubMaster" sheetId="5" r:id="rId3"/>
    <sheet name="RawShipmentData" sheetId="6" r:id="rId4"/>
    <sheet name="Questions" sheetId="8" r:id="rId5"/>
    <sheet name="Cleaned Data" sheetId="2" r:id="rId6"/>
    <sheet name="PivotTables" sheetId="9" r:id="rId7"/>
    <sheet name="Dashboard" sheetId="1" r:id="rId8"/>
  </sheets>
  <definedNames>
    <definedName name="_xlnm.Print_Area" localSheetId="7">Dashboard!$A$1:$P$90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<sst xmlns="http://schemas.openxmlformats.org/spreadsheetml/2006/main" count="40123" uniqueCount="4904">
  <si>
    <t>TransGlobal Logistics Pvt. Ltd. (Supply Chain / Last-Mile Delivery)</t>
  </si>
  <si>
    <t>Company</t>
  </si>
  <si>
    <t>TransGlobal Logistics Pvt. Ltd. is a 3PL (third-party logistics) company that handles last-mile delivery for e-commerce and enterprise clients across India, operating through 6 dispatch hubs (Delhi, Mumbai, Bengaluru, Chennai, Kolkata, Hyderabad) and 5 courier partners (Delhivery, BlueDart, Ecom Express, XpressBees, DTDC).</t>
  </si>
  <si>
    <t>The Business Problem</t>
  </si>
  <si>
    <t>Every hub's Warehouse Management System (WMS) exports its own shipment log at month-end, and these get merged into one master file by an ops executive using copy-paste. The result — this workbook's RawShipmentData sheet — is large (1,600+ rows) but genuinely messy: inconsistent text casing, dates and weights stored as free text in different formats, costs pasted in as currency text, some duplicate rows from re-exports, and missing values that are sometimes genuine (a shipment still in transit has no delivery date yet) and sometimes just data-entry gaps.</t>
  </si>
  <si>
    <t>The Operations Head cannot currently answer basic questions from this data without hours of manual filtering, and by the time an answer is ready, it's stale.</t>
  </si>
  <si>
    <t>What is being asked for</t>
  </si>
  <si>
    <t>This is a two-stage mini project:</t>
  </si>
  <si>
    <t xml:space="preserve">  Stage 1 — Clean the raw export into an analysis-ready table (use CleanData_Workspace, which is scaffolded with a worked example in row 2 for every column).</t>
  </si>
  <si>
    <t xml:space="preserve">  Stage 2 — Use PivotTables/PivotCharts on the cleaned table to build a dashboard that answers the 5 business questions below, the same way a real ops analytics dashboard would.</t>
  </si>
  <si>
    <t>Report date for this dataset</t>
  </si>
  <si>
    <t>Treat 03-Jul-2024 as today's date. Shipments were ordered between Jan-2024 and Jun-2024; a small number of late-June orders are still legitimately 'In-Transit' as of the report date — that is not missing data, it's the honest current status of that shipment.</t>
  </si>
  <si>
    <t>The 5 business questions the dashboard must answer</t>
  </si>
  <si>
    <t xml:space="preserve">  1. What % of shipments are Delayed, and which hubs / carriers / zones are the worst offenders?</t>
  </si>
  <si>
    <t xml:space="preserve">  2. What is the average delivery time by carrier, shipment mode, and whether the shipment crossed zones?</t>
  </si>
  <si>
    <t xml:space="preserve">  3. Which product categories have the highest Damaged/Returned rate?</t>
  </si>
  <si>
    <t xml:space="preserve">  4. Is a higher ShipmentCost actually buying faster delivery, or are some carriers/modes expensive AND slow?</t>
  </si>
  <si>
    <t xml:space="preserve">  5. How is monthly shipment volume and on-time delivery % trending across Jan-Jun 2024 — any sign of a specific hub or carrier struggling more as volume grows?</t>
  </si>
  <si>
    <t>Field</t>
  </si>
  <si>
    <t>What it means</t>
  </si>
  <si>
    <t>Example (clean)</t>
  </si>
  <si>
    <t>Known rawdata issue</t>
  </si>
  <si>
    <t>ShipmentID</t>
  </si>
  <si>
    <t>Unique ID for each shipment.</t>
  </si>
  <si>
    <t>SHP100045</t>
  </si>
  <si>
    <t>Clean — safe to use asis.</t>
  </si>
  <si>
    <t>OrderDateRaw</t>
  </si>
  <si>
    <t>The date the shipment order was placed.</t>
  </si>
  <si>
    <t>12Mar2024</t>
  </si>
  <si>
    <t>Text, stored in 4 different date formats, some with stray spaces.</t>
  </si>
  <si>
    <t>OriginHubRaw</t>
  </si>
  <si>
    <t>The dispatch hub the shipment was sent from.</t>
  </si>
  <si>
    <t>Delhi</t>
  </si>
  <si>
    <t>Inconsistent case/spacing ('delhi ', 'DELHI'); a handful of rows blank.</t>
  </si>
  <si>
    <t>Dashboard</t>
  </si>
  <si>
    <t>CarrierRaw</t>
  </si>
  <si>
    <t>The courier partner handling the shipment.</t>
  </si>
  <si>
    <t>BlueDart</t>
  </si>
  <si>
    <t>Inconsistent case/spacing and a couple of typostyle variants ('bluedart', 'bluedart').</t>
  </si>
  <si>
    <t>Data</t>
  </si>
  <si>
    <t>ShipmentModeRaw</t>
  </si>
  <si>
    <t>Transport mode: Air, Surface, or Road.</t>
  </si>
  <si>
    <t>Surface</t>
  </si>
  <si>
    <t>Inconsistent case/spacing.</t>
  </si>
  <si>
    <t>Pivot tables charts</t>
  </si>
  <si>
    <t>ProductCategoryRaw</t>
  </si>
  <si>
    <t>The category of goods in the shipment.</t>
  </si>
  <si>
    <t>Electronics</t>
  </si>
  <si>
    <t>Inconsistent case, occasional double spaces; a handful of rows blank.</t>
  </si>
  <si>
    <t>DestinationZoneRaw</t>
  </si>
  <si>
    <t>Destination zone: North, South, East, or West.</t>
  </si>
  <si>
    <t>South</t>
  </si>
  <si>
    <t>DestinationCity</t>
  </si>
  <si>
    <t>The destination city.</t>
  </si>
  <si>
    <t>Chennai</t>
  </si>
  <si>
    <t>WeightRaw</t>
  </si>
  <si>
    <t>Shipment weight.</t>
  </si>
  <si>
    <t>12.5</t>
  </si>
  <si>
    <t>Text, with an inconsistent 'bluedart' unit suffix ('12.5 bluedart', '12.5bluedart', '12.5').</t>
  </si>
  <si>
    <t>ShipmentCostRaw</t>
  </si>
  <si>
    <t>What TransGlobal charged for this shipment.</t>
  </si>
  <si>
    <t>1250</t>
  </si>
  <si>
    <t>Text, with currency symbol/prefix and thousands separators (e.g. '₹1,250', 'Rs 1250').</t>
  </si>
  <si>
    <t>PromisedDeliveryDays</t>
  </si>
  <si>
    <t>Number of days promised to the customer for delivery.</t>
  </si>
  <si>
    <t>4</t>
  </si>
  <si>
    <t>DeliveryDateRaw</t>
  </si>
  <si>
    <t>The date the shipment was actually delivered.</t>
  </si>
  <si>
    <t>16Mar2024</t>
  </si>
  <si>
    <t>Text, same multiformat issue as OrderDateRaw. BLANK for shipments still 'InTransit' — this is a genuine status, not a data error.</t>
  </si>
  <si>
    <t>DeliveryStatusRaw</t>
  </si>
  <si>
    <t>Delivered / Delayed / InTransit / Returned / Damaged.</t>
  </si>
  <si>
    <t>Delayed</t>
  </si>
  <si>
    <t>Inconsistent case/spacing, and 'InTransit' sometimes written as 'in transit' or 'In transit'.</t>
  </si>
  <si>
    <t>CustomerRating</t>
  </si>
  <si>
    <t>Customer's 15 rating for the delivery experience.</t>
  </si>
  <si>
    <t>BLANK for shipments that are InTransit, Returned, or Damaged — no rating exists yet for these.</t>
  </si>
  <si>
    <t>CODFlagRaw</t>
  </si>
  <si>
    <t>Whether this was a CashonDelivery order.</t>
  </si>
  <si>
    <t>Yes</t>
  </si>
  <si>
    <t>Inconsistent values: 'Yes'/'Y'/'yes '/'No'/'N'.</t>
  </si>
  <si>
    <t>ReturnReason</t>
  </si>
  <si>
    <t>Why a Returned/Damaged shipment was flagged.</t>
  </si>
  <si>
    <t>Customer Refused</t>
  </si>
  <si>
    <t>BLANK for every shipment that isn't Returned or Damaged — this is expected, not missing data.</t>
  </si>
  <si>
    <t>OriginHub</t>
  </si>
  <si>
    <t>OriginZone</t>
  </si>
  <si>
    <t>North</t>
  </si>
  <si>
    <t>Mumbai</t>
  </si>
  <si>
    <t>West</t>
  </si>
  <si>
    <t>Bengaluru</t>
  </si>
  <si>
    <t>Kolkata</t>
  </si>
  <si>
    <t>East</t>
  </si>
  <si>
    <t>Hyderabad</t>
  </si>
  <si>
    <t>Use this table to look up each shipment's OriginZone from its OriginHub.</t>
  </si>
  <si>
    <t>SHP-100249</t>
  </si>
  <si>
    <t xml:space="preserve"> 22/01/2024 </t>
  </si>
  <si>
    <t>BENGALURU</t>
  </si>
  <si>
    <t>dtdc</t>
  </si>
  <si>
    <t>air</t>
  </si>
  <si>
    <t>electronics</t>
  </si>
  <si>
    <t xml:space="preserve"> WEST </t>
  </si>
  <si>
    <t>7.4KG</t>
  </si>
  <si>
    <t>₹495</t>
  </si>
  <si>
    <t>25/01/2024</t>
  </si>
  <si>
    <t>Delivered</t>
  </si>
  <si>
    <t xml:space="preserve">yes </t>
  </si>
  <si>
    <t>SHP-101054</t>
  </si>
  <si>
    <t xml:space="preserve"> 10/06/2024 </t>
  </si>
  <si>
    <t>hyderabad</t>
  </si>
  <si>
    <t>SURFACE</t>
  </si>
  <si>
    <t>grocery &amp; fmcg</t>
  </si>
  <si>
    <t xml:space="preserve">north </t>
  </si>
  <si>
    <t>Jaipur</t>
  </si>
  <si>
    <t>2.2KG</t>
  </si>
  <si>
    <t xml:space="preserve">Rs 200 </t>
  </si>
  <si>
    <t>2024-06-16</t>
  </si>
  <si>
    <t>delivered</t>
  </si>
  <si>
    <t xml:space="preserve"> No</t>
  </si>
  <si>
    <t>SHP-100119</t>
  </si>
  <si>
    <t>23-May-2024</t>
  </si>
  <si>
    <t xml:space="preserve">delhi </t>
  </si>
  <si>
    <t>Delhivery</t>
  </si>
  <si>
    <t>Air</t>
  </si>
  <si>
    <t>Automotive  Parts</t>
  </si>
  <si>
    <t>EAST</t>
  </si>
  <si>
    <t>Bhubaneswar</t>
  </si>
  <si>
    <t xml:space="preserve">5.7 Kg </t>
  </si>
  <si>
    <t xml:space="preserve">Rs 444 </t>
  </si>
  <si>
    <t>05-Jun-2024</t>
  </si>
  <si>
    <t>damaged</t>
  </si>
  <si>
    <t>N</t>
  </si>
  <si>
    <t>Damaged in Transit</t>
  </si>
  <si>
    <t>SHP-100704</t>
  </si>
  <si>
    <t>13/01/2024</t>
  </si>
  <si>
    <t xml:space="preserve">hyderabad </t>
  </si>
  <si>
    <t>Blue Dart</t>
  </si>
  <si>
    <t>ROAD</t>
  </si>
  <si>
    <t xml:space="preserve">apparel </t>
  </si>
  <si>
    <t>NORTH</t>
  </si>
  <si>
    <t>0.6kg</t>
  </si>
  <si>
    <t>₹165</t>
  </si>
  <si>
    <t>22-Jan-2024</t>
  </si>
  <si>
    <t>DELAYED</t>
  </si>
  <si>
    <t>SHP-101136</t>
  </si>
  <si>
    <t>16-Apr-2024</t>
  </si>
  <si>
    <t>Ecom  Express</t>
  </si>
  <si>
    <t>road</t>
  </si>
  <si>
    <t xml:space="preserve">electronics </t>
  </si>
  <si>
    <t>8.2KG</t>
  </si>
  <si>
    <t>282</t>
  </si>
  <si>
    <t>25/04/2024</t>
  </si>
  <si>
    <t>no</t>
  </si>
  <si>
    <t>SHP-101187</t>
  </si>
  <si>
    <t>24/03/2024</t>
  </si>
  <si>
    <t xml:space="preserve"> CHENNAI </t>
  </si>
  <si>
    <t>XpressBees</t>
  </si>
  <si>
    <t xml:space="preserve"> SURFACE </t>
  </si>
  <si>
    <t>Pharma</t>
  </si>
  <si>
    <t>SOUTH</t>
  </si>
  <si>
    <t>1.4kg</t>
  </si>
  <si>
    <t xml:space="preserve">Rs 80 </t>
  </si>
  <si>
    <t xml:space="preserve"> 28/03/2024 </t>
  </si>
  <si>
    <t xml:space="preserve"> Delivered</t>
  </si>
  <si>
    <t>SHP-101200</t>
  </si>
  <si>
    <t>14-Mar-2024</t>
  </si>
  <si>
    <t xml:space="preserve">kolkata </t>
  </si>
  <si>
    <t>PHARMA</t>
  </si>
  <si>
    <t>west</t>
  </si>
  <si>
    <t xml:space="preserve">0.8 Kg </t>
  </si>
  <si>
    <t xml:space="preserve">Rs 216 </t>
  </si>
  <si>
    <t>23-Mar-2024</t>
  </si>
  <si>
    <t xml:space="preserve"> Delayed</t>
  </si>
  <si>
    <t>SHP-100807</t>
  </si>
  <si>
    <t xml:space="preserve"> HYDERABAD </t>
  </si>
  <si>
    <t>Ecom Express</t>
  </si>
  <si>
    <t xml:space="preserve"> ROAD </t>
  </si>
  <si>
    <t xml:space="preserve"> PHARMA </t>
  </si>
  <si>
    <t xml:space="preserve">3.6 Kg </t>
  </si>
  <si>
    <t>₹181</t>
  </si>
  <si>
    <t xml:space="preserve"> 02/02/2024 </t>
  </si>
  <si>
    <t>Y</t>
  </si>
  <si>
    <t>SHP-100405</t>
  </si>
  <si>
    <t>2024-02-05</t>
  </si>
  <si>
    <t>ECOM EXPRESS</t>
  </si>
  <si>
    <t>surface</t>
  </si>
  <si>
    <t>AUTOMOTIVE PARTS</t>
  </si>
  <si>
    <t>Surat</t>
  </si>
  <si>
    <t>20.0kg</t>
  </si>
  <si>
    <t xml:space="preserve">Rs 477 </t>
  </si>
  <si>
    <t xml:space="preserve"> 14/02/2024 </t>
  </si>
  <si>
    <t>No</t>
  </si>
  <si>
    <t>SHP-100758</t>
  </si>
  <si>
    <t>11/06/2024</t>
  </si>
  <si>
    <t>xpressbees</t>
  </si>
  <si>
    <t xml:space="preserve">road </t>
  </si>
  <si>
    <t xml:space="preserve">  APPAREL </t>
  </si>
  <si>
    <t>south</t>
  </si>
  <si>
    <t xml:space="preserve">2.8 Kg </t>
  </si>
  <si>
    <t>22/06/2024</t>
  </si>
  <si>
    <t xml:space="preserve">delayed </t>
  </si>
  <si>
    <t>SHP-100042</t>
  </si>
  <si>
    <t>20/06/2024</t>
  </si>
  <si>
    <t>MUMBAI</t>
  </si>
  <si>
    <t>delhivery</t>
  </si>
  <si>
    <t>FURNITURE</t>
  </si>
  <si>
    <t>Pune</t>
  </si>
  <si>
    <t xml:space="preserve">24.5 Kg </t>
  </si>
  <si>
    <t xml:space="preserve">Rs 512 </t>
  </si>
  <si>
    <t>02/07/2024</t>
  </si>
  <si>
    <t>SHP-101596</t>
  </si>
  <si>
    <t>05-Feb-2024</t>
  </si>
  <si>
    <t>mumbai</t>
  </si>
  <si>
    <t>DTDC</t>
  </si>
  <si>
    <t>GROCERY &amp; FMCG</t>
  </si>
  <si>
    <t>Lucknow</t>
  </si>
  <si>
    <t>8.2kg</t>
  </si>
  <si>
    <t xml:space="preserve">Rs 301 </t>
  </si>
  <si>
    <t>13-Feb-2024</t>
  </si>
  <si>
    <t>DELIVERED</t>
  </si>
  <si>
    <t>SHP-101460</t>
  </si>
  <si>
    <t>03-Feb-2024</t>
  </si>
  <si>
    <t xml:space="preserve">mumbai </t>
  </si>
  <si>
    <t xml:space="preserve"> XPRESSBEES</t>
  </si>
  <si>
    <t xml:space="preserve"> AIR </t>
  </si>
  <si>
    <t>4.0kg</t>
  </si>
  <si>
    <t xml:space="preserve">Rs 387 </t>
  </si>
  <si>
    <t>06-Feb-2024</t>
  </si>
  <si>
    <t>SHP-100719</t>
  </si>
  <si>
    <t>05/06/2024</t>
  </si>
  <si>
    <t xml:space="preserve"> DTDC</t>
  </si>
  <si>
    <t>furniture</t>
  </si>
  <si>
    <t>23.9kg</t>
  </si>
  <si>
    <t>₹538</t>
  </si>
  <si>
    <t>18/06/2024</t>
  </si>
  <si>
    <t>SHP-101543</t>
  </si>
  <si>
    <t xml:space="preserve"> 02/01/2024 </t>
  </si>
  <si>
    <t xml:space="preserve"> AUTOMOTIVE PARTS </t>
  </si>
  <si>
    <t xml:space="preserve">8.9 Kg </t>
  </si>
  <si>
    <t>₹335</t>
  </si>
  <si>
    <t xml:space="preserve"> 07/01/2024 </t>
  </si>
  <si>
    <t>SHP-101265</t>
  </si>
  <si>
    <t>2024-02-21</t>
  </si>
  <si>
    <t xml:space="preserve">bengaluru </t>
  </si>
  <si>
    <t>AIR</t>
  </si>
  <si>
    <t xml:space="preserve">  ELECTRONICS </t>
  </si>
  <si>
    <t>8.1kg</t>
  </si>
  <si>
    <t>₹524</t>
  </si>
  <si>
    <t>25-Feb-2024</t>
  </si>
  <si>
    <t>SHP-100040</t>
  </si>
  <si>
    <t xml:space="preserve"> 02/05/2024 </t>
  </si>
  <si>
    <t>DELHI</t>
  </si>
  <si>
    <t>3.8KG</t>
  </si>
  <si>
    <t>₹225</t>
  </si>
  <si>
    <t>2024-05-09</t>
  </si>
  <si>
    <t>SHP-101367</t>
  </si>
  <si>
    <t>2024-06-04</t>
  </si>
  <si>
    <t xml:space="preserve">west </t>
  </si>
  <si>
    <t>4.6kg</t>
  </si>
  <si>
    <t xml:space="preserve">Rs 237 </t>
  </si>
  <si>
    <t>2024-06-06</t>
  </si>
  <si>
    <t>SHP-101061</t>
  </si>
  <si>
    <t>02-Jun-2024</t>
  </si>
  <si>
    <t>Apparel</t>
  </si>
  <si>
    <t>WEST</t>
  </si>
  <si>
    <t>3.7KG</t>
  </si>
  <si>
    <t>203</t>
  </si>
  <si>
    <t>10-Jun-2024</t>
  </si>
  <si>
    <t>SHP-101426</t>
  </si>
  <si>
    <t xml:space="preserve"> 11/01/2024 </t>
  </si>
  <si>
    <t>ecom express</t>
  </si>
  <si>
    <t>ELECTRONICS</t>
  </si>
  <si>
    <t xml:space="preserve">11.0 Kg </t>
  </si>
  <si>
    <t xml:space="preserve">Rs 375 </t>
  </si>
  <si>
    <t>2024-01-18</t>
  </si>
  <si>
    <t>SHP-100215</t>
  </si>
  <si>
    <t>2024-05-13</t>
  </si>
  <si>
    <t>apparel</t>
  </si>
  <si>
    <t>Ahmedabad</t>
  </si>
  <si>
    <t>1.8KG</t>
  </si>
  <si>
    <t>15/05/2024</t>
  </si>
  <si>
    <t>SHP-100452</t>
  </si>
  <si>
    <t xml:space="preserve"> MUMBAI </t>
  </si>
  <si>
    <t>pharma</t>
  </si>
  <si>
    <t>1.1</t>
  </si>
  <si>
    <t>27/01/2024</t>
  </si>
  <si>
    <t>YES</t>
  </si>
  <si>
    <t>SHP-100481</t>
  </si>
  <si>
    <t>07/01/2024</t>
  </si>
  <si>
    <t>4.8</t>
  </si>
  <si>
    <t>149</t>
  </si>
  <si>
    <t>11/01/2024</t>
  </si>
  <si>
    <t>SHP-100835</t>
  </si>
  <si>
    <t>19/02/2024</t>
  </si>
  <si>
    <t>Patna</t>
  </si>
  <si>
    <t>8.3kg</t>
  </si>
  <si>
    <t>552</t>
  </si>
  <si>
    <t>29-Feb-2024</t>
  </si>
  <si>
    <t>SHP-100401</t>
  </si>
  <si>
    <t>2024-03-19</t>
  </si>
  <si>
    <t xml:space="preserve">chennai </t>
  </si>
  <si>
    <t xml:space="preserve">furniture </t>
  </si>
  <si>
    <t xml:space="preserve">east </t>
  </si>
  <si>
    <t>15.3KG</t>
  </si>
  <si>
    <t>₹379</t>
  </si>
  <si>
    <t>SHP-101553</t>
  </si>
  <si>
    <t>28/02/2024</t>
  </si>
  <si>
    <t>HYDERABAD</t>
  </si>
  <si>
    <t>4.8kg</t>
  </si>
  <si>
    <t xml:space="preserve"> 08/03/2024 </t>
  </si>
  <si>
    <t>SHP-101597</t>
  </si>
  <si>
    <t>03-Apr-2024</t>
  </si>
  <si>
    <t xml:space="preserve">BLUEDART </t>
  </si>
  <si>
    <t>automotive parts</t>
  </si>
  <si>
    <t>17.1</t>
  </si>
  <si>
    <t>372</t>
  </si>
  <si>
    <t xml:space="preserve"> 10/04/2024 </t>
  </si>
  <si>
    <t>SHP-101375</t>
  </si>
  <si>
    <t>01-Feb-2024</t>
  </si>
  <si>
    <t xml:space="preserve"> ELECTRONICS </t>
  </si>
  <si>
    <t xml:space="preserve">11.9 Kg </t>
  </si>
  <si>
    <t>₹211</t>
  </si>
  <si>
    <t>07/02/2024</t>
  </si>
  <si>
    <t>SHP-101496</t>
  </si>
  <si>
    <t>26/02/2024</t>
  </si>
  <si>
    <t xml:space="preserve">air </t>
  </si>
  <si>
    <t xml:space="preserve"> APPAREL </t>
  </si>
  <si>
    <t>Kochi</t>
  </si>
  <si>
    <t>5.6</t>
  </si>
  <si>
    <t>₹433</t>
  </si>
  <si>
    <t>01-Mar-2024</t>
  </si>
  <si>
    <t>SHP-100996</t>
  </si>
  <si>
    <t xml:space="preserve"> 04/02/2024 </t>
  </si>
  <si>
    <t>DELHIVERY</t>
  </si>
  <si>
    <t xml:space="preserve"> NORTH </t>
  </si>
  <si>
    <t xml:space="preserve">Rs 230 </t>
  </si>
  <si>
    <t xml:space="preserve"> 09/02/2024 </t>
  </si>
  <si>
    <t xml:space="preserve"> DAMAGED</t>
  </si>
  <si>
    <t>SHP-100284</t>
  </si>
  <si>
    <t xml:space="preserve"> 11/04/2024 </t>
  </si>
  <si>
    <t>delhi</t>
  </si>
  <si>
    <t>12.3</t>
  </si>
  <si>
    <t>₹436</t>
  </si>
  <si>
    <t xml:space="preserve"> 21/04/2024 </t>
  </si>
  <si>
    <t>SHP-100268</t>
  </si>
  <si>
    <t xml:space="preserve">surface </t>
  </si>
  <si>
    <t>north</t>
  </si>
  <si>
    <t>29.9kg</t>
  </si>
  <si>
    <t>783</t>
  </si>
  <si>
    <t>2024-06-22</t>
  </si>
  <si>
    <t>SHP-101231</t>
  </si>
  <si>
    <t>06/04/2024</t>
  </si>
  <si>
    <t xml:space="preserve"> Delhivery</t>
  </si>
  <si>
    <t xml:space="preserve">automotive parts </t>
  </si>
  <si>
    <t>Chandigarh</t>
  </si>
  <si>
    <t>35.8</t>
  </si>
  <si>
    <t>₹695</t>
  </si>
  <si>
    <t>2024-04-13</t>
  </si>
  <si>
    <t>SHP-100094</t>
  </si>
  <si>
    <t>2024-03-05</t>
  </si>
  <si>
    <t xml:space="preserve">  FURNITURE </t>
  </si>
  <si>
    <t>50.9KG</t>
  </si>
  <si>
    <t xml:space="preserve">Rs 2274 </t>
  </si>
  <si>
    <t xml:space="preserve"> 07/03/2024 </t>
  </si>
  <si>
    <t>SHP-101467</t>
  </si>
  <si>
    <t>2024-04-06</t>
  </si>
  <si>
    <t>kolkata</t>
  </si>
  <si>
    <t xml:space="preserve">Dtdc </t>
  </si>
  <si>
    <t>Furniture</t>
  </si>
  <si>
    <t>22.5kg</t>
  </si>
  <si>
    <t>439</t>
  </si>
  <si>
    <t>14-Apr-2024</t>
  </si>
  <si>
    <t>SHP-101221</t>
  </si>
  <si>
    <t>28-Feb-2024</t>
  </si>
  <si>
    <t>CHENNAI</t>
  </si>
  <si>
    <t>58.7KG</t>
  </si>
  <si>
    <t>860</t>
  </si>
  <si>
    <t>04/03/2024</t>
  </si>
  <si>
    <t>SHP-100468</t>
  </si>
  <si>
    <t xml:space="preserve"> 21/05/2024 </t>
  </si>
  <si>
    <t>east</t>
  </si>
  <si>
    <t>36.1KG</t>
  </si>
  <si>
    <t>1,815</t>
  </si>
  <si>
    <t xml:space="preserve"> 24/05/2024 </t>
  </si>
  <si>
    <t>SHP-100953</t>
  </si>
  <si>
    <t xml:space="preserve"> FURNITURE </t>
  </si>
  <si>
    <t>50.6kg</t>
  </si>
  <si>
    <t>₹848</t>
  </si>
  <si>
    <t>21-May-2024</t>
  </si>
  <si>
    <t>SHP-100218</t>
  </si>
  <si>
    <t>2024-03-13</t>
  </si>
  <si>
    <t>38.3kg</t>
  </si>
  <si>
    <t>₹1,918</t>
  </si>
  <si>
    <t>18/03/2024</t>
  </si>
  <si>
    <t>SHP-101056</t>
  </si>
  <si>
    <t>11/05/2024</t>
  </si>
  <si>
    <t>Guwahati</t>
  </si>
  <si>
    <t>634</t>
  </si>
  <si>
    <t xml:space="preserve"> 14/05/2024 </t>
  </si>
  <si>
    <t>SHP-101308</t>
  </si>
  <si>
    <t>21-Jan-2024</t>
  </si>
  <si>
    <t xml:space="preserve"> SOUTH </t>
  </si>
  <si>
    <t>14.1</t>
  </si>
  <si>
    <t xml:space="preserve">Rs 360 </t>
  </si>
  <si>
    <t>30/01/2024</t>
  </si>
  <si>
    <t>SHP-101014</t>
  </si>
  <si>
    <t>2024-05-10</t>
  </si>
  <si>
    <t xml:space="preserve"> KOLKATA </t>
  </si>
  <si>
    <t>40.9KG</t>
  </si>
  <si>
    <t>1,837</t>
  </si>
  <si>
    <t>12/05/2024</t>
  </si>
  <si>
    <t>SHP-100356</t>
  </si>
  <si>
    <t>2024-01-08</t>
  </si>
  <si>
    <t>2.1KG</t>
  </si>
  <si>
    <t>160</t>
  </si>
  <si>
    <t xml:space="preserve"> 15/01/2024 </t>
  </si>
  <si>
    <t>SHP-100838</t>
  </si>
  <si>
    <t>2024-03-06</t>
  </si>
  <si>
    <t xml:space="preserve">south </t>
  </si>
  <si>
    <t>11.1</t>
  </si>
  <si>
    <t>678</t>
  </si>
  <si>
    <t xml:space="preserve"> 15/03/2024 </t>
  </si>
  <si>
    <t>SHP-101025</t>
  </si>
  <si>
    <t>20-May-2024</t>
  </si>
  <si>
    <t>chennai</t>
  </si>
  <si>
    <t>Automotive Parts</t>
  </si>
  <si>
    <t>30.1</t>
  </si>
  <si>
    <t xml:space="preserve">Rs 1545 </t>
  </si>
  <si>
    <t>SHP-100402</t>
  </si>
  <si>
    <t>2024-06-10</t>
  </si>
  <si>
    <t xml:space="preserve">pharma </t>
  </si>
  <si>
    <t>1.0KG</t>
  </si>
  <si>
    <t>80</t>
  </si>
  <si>
    <t>2024-06-15</t>
  </si>
  <si>
    <t>SHP-101165</t>
  </si>
  <si>
    <t>04-May-2024</t>
  </si>
  <si>
    <t>3.0</t>
  </si>
  <si>
    <t xml:space="preserve">Rs 247 </t>
  </si>
  <si>
    <t>SHP-101414</t>
  </si>
  <si>
    <t>2024-01-02</t>
  </si>
  <si>
    <t>Road</t>
  </si>
  <si>
    <t>10.2kg</t>
  </si>
  <si>
    <t>₹292</t>
  </si>
  <si>
    <t>2024-01-11</t>
  </si>
  <si>
    <t>SHP-100659</t>
  </si>
  <si>
    <t>2024-06-25</t>
  </si>
  <si>
    <t>1.5</t>
  </si>
  <si>
    <t>₹234</t>
  </si>
  <si>
    <t>2024-07-03</t>
  </si>
  <si>
    <t>SHP-101179</t>
  </si>
  <si>
    <t>26/05/2024</t>
  </si>
  <si>
    <t xml:space="preserve"> DELHI </t>
  </si>
  <si>
    <t xml:space="preserve">apparel  </t>
  </si>
  <si>
    <t xml:space="preserve">5.4 Kg </t>
  </si>
  <si>
    <t>398</t>
  </si>
  <si>
    <t xml:space="preserve"> 31/05/2024 </t>
  </si>
  <si>
    <t>SHP-100462</t>
  </si>
  <si>
    <t xml:space="preserve"> 26/04/2024 </t>
  </si>
  <si>
    <t xml:space="preserve">electronics  </t>
  </si>
  <si>
    <t>9.3</t>
  </si>
  <si>
    <t xml:space="preserve">Rs 606 </t>
  </si>
  <si>
    <t xml:space="preserve"> 30/04/2024 </t>
  </si>
  <si>
    <t>SHP-100557</t>
  </si>
  <si>
    <t>09/04/2024</t>
  </si>
  <si>
    <t>39.5kg</t>
  </si>
  <si>
    <t>₹1,042</t>
  </si>
  <si>
    <t>2024-04-16</t>
  </si>
  <si>
    <t>SHP-101587</t>
  </si>
  <si>
    <t xml:space="preserve"> 01/04/2024 </t>
  </si>
  <si>
    <t>KOLKATA</t>
  </si>
  <si>
    <t xml:space="preserve"> EAST </t>
  </si>
  <si>
    <t>5.9</t>
  </si>
  <si>
    <t>296</t>
  </si>
  <si>
    <t>SHP-100133</t>
  </si>
  <si>
    <t>03-Jan-2024</t>
  </si>
  <si>
    <t xml:space="preserve">8.3 Kg </t>
  </si>
  <si>
    <t>525</t>
  </si>
  <si>
    <t>SHP-100320</t>
  </si>
  <si>
    <t>01/05/2024</t>
  </si>
  <si>
    <t xml:space="preserve">3.9 Kg </t>
  </si>
  <si>
    <t>248</t>
  </si>
  <si>
    <t xml:space="preserve"> 08/05/2024 </t>
  </si>
  <si>
    <t>SHP-101295</t>
  </si>
  <si>
    <t>25/03/2024</t>
  </si>
  <si>
    <t>5.7</t>
  </si>
  <si>
    <t>01-Apr-2024</t>
  </si>
  <si>
    <t>SHP-100436</t>
  </si>
  <si>
    <t xml:space="preserve"> 21/06/2024 </t>
  </si>
  <si>
    <t>39.5</t>
  </si>
  <si>
    <t>718</t>
  </si>
  <si>
    <t>2024-06-29</t>
  </si>
  <si>
    <t>SHP-100223</t>
  </si>
  <si>
    <t>13/02/2024</t>
  </si>
  <si>
    <t>5.0</t>
  </si>
  <si>
    <t>245</t>
  </si>
  <si>
    <t>2024-02-20</t>
  </si>
  <si>
    <t>SHP-101431</t>
  </si>
  <si>
    <t xml:space="preserve"> 26/02/2024 </t>
  </si>
  <si>
    <t>APPAREL</t>
  </si>
  <si>
    <t xml:space="preserve">5.9 Kg </t>
  </si>
  <si>
    <t xml:space="preserve">Rs 244 </t>
  </si>
  <si>
    <t>06-Mar-2024</t>
  </si>
  <si>
    <t>SHP-101504</t>
  </si>
  <si>
    <t>2024-01-14</t>
  </si>
  <si>
    <t>44.8kg</t>
  </si>
  <si>
    <t xml:space="preserve">Rs 1171 </t>
  </si>
  <si>
    <t>19-Jan-2024</t>
  </si>
  <si>
    <t>SHP-101065</t>
  </si>
  <si>
    <t>12-Jun-2024</t>
  </si>
  <si>
    <t xml:space="preserve">2.1 Kg </t>
  </si>
  <si>
    <t>₹197</t>
  </si>
  <si>
    <t xml:space="preserve"> 19/06/2024 </t>
  </si>
  <si>
    <t>SHP-100022</t>
  </si>
  <si>
    <t>17/01/2024</t>
  </si>
  <si>
    <t>41.7</t>
  </si>
  <si>
    <t>₹1,061</t>
  </si>
  <si>
    <t>31/01/2024</t>
  </si>
  <si>
    <t>SHP-101243</t>
  </si>
  <si>
    <t>09/02/2024</t>
  </si>
  <si>
    <t xml:space="preserve">3.2 Kg </t>
  </si>
  <si>
    <t xml:space="preserve">Rs 234 </t>
  </si>
  <si>
    <t>2024-02-16</t>
  </si>
  <si>
    <t>SHP-101401</t>
  </si>
  <si>
    <t>23/04/2024</t>
  </si>
  <si>
    <t>34.0kg</t>
  </si>
  <si>
    <t xml:space="preserve">Rs 1694 </t>
  </si>
  <si>
    <t>29/04/2024</t>
  </si>
  <si>
    <t>SHP-101491</t>
  </si>
  <si>
    <t>01/06/2024</t>
  </si>
  <si>
    <t>1.6</t>
  </si>
  <si>
    <t>₹80</t>
  </si>
  <si>
    <t xml:space="preserve"> 02/06/2024 </t>
  </si>
  <si>
    <t>SHP-100266</t>
  </si>
  <si>
    <t xml:space="preserve">pharma  </t>
  </si>
  <si>
    <t>3.9</t>
  </si>
  <si>
    <t>342</t>
  </si>
  <si>
    <t>13/06/2024</t>
  </si>
  <si>
    <t>SHP-100575</t>
  </si>
  <si>
    <t xml:space="preserve"> 23/06/2024 </t>
  </si>
  <si>
    <t>3.5</t>
  </si>
  <si>
    <t xml:space="preserve">Rs 108 </t>
  </si>
  <si>
    <t>29/06/2024</t>
  </si>
  <si>
    <t>SHP-101196</t>
  </si>
  <si>
    <t>28/03/2024</t>
  </si>
  <si>
    <t>bluedart</t>
  </si>
  <si>
    <t>11.4</t>
  </si>
  <si>
    <t>₹700</t>
  </si>
  <si>
    <t>10/04/2024</t>
  </si>
  <si>
    <t>SHP-100991</t>
  </si>
  <si>
    <t xml:space="preserve"> 19/05/2024 </t>
  </si>
  <si>
    <t>18.2KG</t>
  </si>
  <si>
    <t>₹420</t>
  </si>
  <si>
    <t>23/05/2024</t>
  </si>
  <si>
    <t>SHP-100752</t>
  </si>
  <si>
    <t>20.6</t>
  </si>
  <si>
    <t>1,099</t>
  </si>
  <si>
    <t>20-Jan-2024</t>
  </si>
  <si>
    <t>SHP-101299</t>
  </si>
  <si>
    <t>0.9KG</t>
  </si>
  <si>
    <t xml:space="preserve">Rs 222 </t>
  </si>
  <si>
    <t xml:space="preserve"> 05/03/2024 </t>
  </si>
  <si>
    <t>SHP-101418</t>
  </si>
  <si>
    <t xml:space="preserve">3.0 Kg </t>
  </si>
  <si>
    <t>84</t>
  </si>
  <si>
    <t>05/03/2024</t>
  </si>
  <si>
    <t>SHP-101049</t>
  </si>
  <si>
    <t xml:space="preserve"> BENGALURU </t>
  </si>
  <si>
    <t xml:space="preserve">6.9 Kg </t>
  </si>
  <si>
    <t xml:space="preserve">Rs 506 </t>
  </si>
  <si>
    <t>2024-02-06</t>
  </si>
  <si>
    <t>SHP-100587</t>
  </si>
  <si>
    <t>17-Jun-2024</t>
  </si>
  <si>
    <t>5.5kg</t>
  </si>
  <si>
    <t>₹257</t>
  </si>
  <si>
    <t>26-Jun-2024</t>
  </si>
  <si>
    <t>SHP-101275</t>
  </si>
  <si>
    <t>02-Jan-2024</t>
  </si>
  <si>
    <t>2.0</t>
  </si>
  <si>
    <t>₹236</t>
  </si>
  <si>
    <t>13-Jan-2024</t>
  </si>
  <si>
    <t>SHP-101399</t>
  </si>
  <si>
    <t>2024-06-27</t>
  </si>
  <si>
    <t>Grocery &amp; FMCG</t>
  </si>
  <si>
    <t>6.8</t>
  </si>
  <si>
    <t>₹162</t>
  </si>
  <si>
    <t>30/06/2024</t>
  </si>
  <si>
    <t>SHP-101081</t>
  </si>
  <si>
    <t>18-Apr-2024</t>
  </si>
  <si>
    <t>₹270</t>
  </si>
  <si>
    <t>22/04/2024</t>
  </si>
  <si>
    <t>SHP-100227</t>
  </si>
  <si>
    <t xml:space="preserve"> 17/05/2024 </t>
  </si>
  <si>
    <t>Grocery  &amp; FMCG</t>
  </si>
  <si>
    <t>19.9</t>
  </si>
  <si>
    <t>313</t>
  </si>
  <si>
    <t>2024-05-22</t>
  </si>
  <si>
    <t>SHP-100016</t>
  </si>
  <si>
    <t>2024-03-20</t>
  </si>
  <si>
    <t>7.8</t>
  </si>
  <si>
    <t>341</t>
  </si>
  <si>
    <t>01/04/2024</t>
  </si>
  <si>
    <t>SHP-100949</t>
  </si>
  <si>
    <t xml:space="preserve"> 15/02/2024 </t>
  </si>
  <si>
    <t>₹773</t>
  </si>
  <si>
    <t xml:space="preserve"> 19/02/2024 </t>
  </si>
  <si>
    <t>SHP-101287</t>
  </si>
  <si>
    <t>16-Mar-2024</t>
  </si>
  <si>
    <t xml:space="preserve">2.3 Kg </t>
  </si>
  <si>
    <t>₹202</t>
  </si>
  <si>
    <t>2024-03-26</t>
  </si>
  <si>
    <t>SHP-101474</t>
  </si>
  <si>
    <t>2024-06-12</t>
  </si>
  <si>
    <t xml:space="preserve">grocery &amp; fmcg </t>
  </si>
  <si>
    <t>3.3</t>
  </si>
  <si>
    <t xml:space="preserve">Rs 166 </t>
  </si>
  <si>
    <t xml:space="preserve"> 14/06/2024 </t>
  </si>
  <si>
    <t>SHP-100532</t>
  </si>
  <si>
    <t>10-May-2024</t>
  </si>
  <si>
    <t>51.1KG</t>
  </si>
  <si>
    <t>₹2,322</t>
  </si>
  <si>
    <t>SHP-100387</t>
  </si>
  <si>
    <t xml:space="preserve">19.8 Kg </t>
  </si>
  <si>
    <t>₹397</t>
  </si>
  <si>
    <t xml:space="preserve"> 13/04/2024 </t>
  </si>
  <si>
    <t>returned</t>
  </si>
  <si>
    <t>Address Issue</t>
  </si>
  <si>
    <t>SHP-100112</t>
  </si>
  <si>
    <t>21-Jun-2024</t>
  </si>
  <si>
    <t xml:space="preserve">6.4 Kg </t>
  </si>
  <si>
    <t>279</t>
  </si>
  <si>
    <t xml:space="preserve"> 03/07/2024 </t>
  </si>
  <si>
    <t>SHP-100973</t>
  </si>
  <si>
    <t>09/06/2024</t>
  </si>
  <si>
    <t>bengaluru</t>
  </si>
  <si>
    <t xml:space="preserve">1.7 Kg </t>
  </si>
  <si>
    <t>₹243</t>
  </si>
  <si>
    <t>2024-06-14</t>
  </si>
  <si>
    <t>SHP-101207</t>
  </si>
  <si>
    <t>08-May-2024</t>
  </si>
  <si>
    <t>3.9kg</t>
  </si>
  <si>
    <t>₹190</t>
  </si>
  <si>
    <t>17/05/2024</t>
  </si>
  <si>
    <t>SHP-100202</t>
  </si>
  <si>
    <t>08/04/2024</t>
  </si>
  <si>
    <t>18.5kg</t>
  </si>
  <si>
    <t>₹564</t>
  </si>
  <si>
    <t>13/04/2024</t>
  </si>
  <si>
    <t>SHP-100888</t>
  </si>
  <si>
    <t>19.3kg</t>
  </si>
  <si>
    <t>₹410</t>
  </si>
  <si>
    <t>2024-06-19</t>
  </si>
  <si>
    <t>SHP-100647</t>
  </si>
  <si>
    <t>08-Jan-2024</t>
  </si>
  <si>
    <t>SHP-101026</t>
  </si>
  <si>
    <t xml:space="preserve"> 24/06/2024 </t>
  </si>
  <si>
    <t>₹84</t>
  </si>
  <si>
    <t>28-Jun-2024</t>
  </si>
  <si>
    <t>SHP-101000</t>
  </si>
  <si>
    <t xml:space="preserve"> 13/03/2024 </t>
  </si>
  <si>
    <t xml:space="preserve">42.3 Kg </t>
  </si>
  <si>
    <t xml:space="preserve">Rs 780 </t>
  </si>
  <si>
    <t>2024-03-21</t>
  </si>
  <si>
    <t>SHP-100876</t>
  </si>
  <si>
    <t>10-Mar-2024</t>
  </si>
  <si>
    <t xml:space="preserve"> GROCERY &amp; FMCG </t>
  </si>
  <si>
    <t>10.3</t>
  </si>
  <si>
    <t>218</t>
  </si>
  <si>
    <t>14/03/2024</t>
  </si>
  <si>
    <t>SHP-100625</t>
  </si>
  <si>
    <t>4.5</t>
  </si>
  <si>
    <t>266</t>
  </si>
  <si>
    <t>SHP-101320</t>
  </si>
  <si>
    <t xml:space="preserve"> 11/02/2024 </t>
  </si>
  <si>
    <t xml:space="preserve">33.1 Kg </t>
  </si>
  <si>
    <t>598</t>
  </si>
  <si>
    <t>SHP-101156</t>
  </si>
  <si>
    <t>23/01/2024</t>
  </si>
  <si>
    <t xml:space="preserve">76.6 Kg </t>
  </si>
  <si>
    <t xml:space="preserve">Rs 1820 </t>
  </si>
  <si>
    <t xml:space="preserve"> 29/01/2024 </t>
  </si>
  <si>
    <t>SHP-100296</t>
  </si>
  <si>
    <t>25-Mar-2024</t>
  </si>
  <si>
    <t>1.8</t>
  </si>
  <si>
    <t>₹177</t>
  </si>
  <si>
    <t>SHP-100240</t>
  </si>
  <si>
    <t>27-Jan-2024</t>
  </si>
  <si>
    <t>7.0KG</t>
  </si>
  <si>
    <t>₹246</t>
  </si>
  <si>
    <t>04/02/2024</t>
  </si>
  <si>
    <t>SHP-100797</t>
  </si>
  <si>
    <t xml:space="preserve"> 18/05/2024 </t>
  </si>
  <si>
    <t xml:space="preserve">1.8 Kg </t>
  </si>
  <si>
    <t xml:space="preserve">Rs 86 </t>
  </si>
  <si>
    <t>SHP-101385</t>
  </si>
  <si>
    <t xml:space="preserve"> 26/03/2024 </t>
  </si>
  <si>
    <t xml:space="preserve">5.0 Kg </t>
  </si>
  <si>
    <t xml:space="preserve">Rs 254 </t>
  </si>
  <si>
    <t>28-Mar-2024</t>
  </si>
  <si>
    <t>SHP-100299</t>
  </si>
  <si>
    <t>02/04/2024</t>
  </si>
  <si>
    <t>0.7</t>
  </si>
  <si>
    <t xml:space="preserve">Rs 210 </t>
  </si>
  <si>
    <t>2024-04-09</t>
  </si>
  <si>
    <t>SHP-100126</t>
  </si>
  <si>
    <t xml:space="preserve"> 01/06/2024 </t>
  </si>
  <si>
    <t>19.5kg</t>
  </si>
  <si>
    <t xml:space="preserve">Rs 472 </t>
  </si>
  <si>
    <t>10/06/2024</t>
  </si>
  <si>
    <t>SHP-100330</t>
  </si>
  <si>
    <t>21/04/2024</t>
  </si>
  <si>
    <t>5.1KG</t>
  </si>
  <si>
    <t>₹139</t>
  </si>
  <si>
    <t>26-Apr-2024</t>
  </si>
  <si>
    <t>SHP-100628</t>
  </si>
  <si>
    <t xml:space="preserve"> 27/05/2024 </t>
  </si>
  <si>
    <t>1.1KG</t>
  </si>
  <si>
    <t>SHP-100877</t>
  </si>
  <si>
    <t>14/05/2024</t>
  </si>
  <si>
    <t>18.7kg</t>
  </si>
  <si>
    <t>395</t>
  </si>
  <si>
    <t>2024-05-21</t>
  </si>
  <si>
    <t>SHP-100372</t>
  </si>
  <si>
    <t>12/02/2024</t>
  </si>
  <si>
    <t>2.4</t>
  </si>
  <si>
    <t>SHP-100737</t>
  </si>
  <si>
    <t>08/02/2024</t>
  </si>
  <si>
    <t>226</t>
  </si>
  <si>
    <t>18/02/2024</t>
  </si>
  <si>
    <t>SHP-100025</t>
  </si>
  <si>
    <t>2024-05-11</t>
  </si>
  <si>
    <t xml:space="preserve">1.2 Kg </t>
  </si>
  <si>
    <t>196</t>
  </si>
  <si>
    <t>SHP-100046</t>
  </si>
  <si>
    <t>11/02/2024</t>
  </si>
  <si>
    <t>grocery  &amp; fmcg</t>
  </si>
  <si>
    <t>17.7KG</t>
  </si>
  <si>
    <t>₹417</t>
  </si>
  <si>
    <t>15-Feb-2024</t>
  </si>
  <si>
    <t>SHP-101028</t>
  </si>
  <si>
    <t xml:space="preserve"> 27/04/2024 </t>
  </si>
  <si>
    <t>17.0kg</t>
  </si>
  <si>
    <t>910</t>
  </si>
  <si>
    <t>2024-05-03</t>
  </si>
  <si>
    <t>SHP-100024</t>
  </si>
  <si>
    <t>10-Jan-2024</t>
  </si>
  <si>
    <t>3.4</t>
  </si>
  <si>
    <t>182</t>
  </si>
  <si>
    <t>SHP-100667</t>
  </si>
  <si>
    <t xml:space="preserve">19.3 Kg </t>
  </si>
  <si>
    <t xml:space="preserve">Rs 574 </t>
  </si>
  <si>
    <t>18-May-2024</t>
  </si>
  <si>
    <t>SHP-100092</t>
  </si>
  <si>
    <t xml:space="preserve"> 23/04/2024 </t>
  </si>
  <si>
    <t>191</t>
  </si>
  <si>
    <t>SHP-100757</t>
  </si>
  <si>
    <t>2024-03-23</t>
  </si>
  <si>
    <t>30.9kg</t>
  </si>
  <si>
    <t xml:space="preserve">Rs 673 </t>
  </si>
  <si>
    <t>26/03/2024</t>
  </si>
  <si>
    <t>Packaging Failure</t>
  </si>
  <si>
    <t>SHP-100271</t>
  </si>
  <si>
    <t xml:space="preserve"> 18/01/2024 </t>
  </si>
  <si>
    <t xml:space="preserve">4.4 Kg </t>
  </si>
  <si>
    <t xml:space="preserve"> 23/01/2024 </t>
  </si>
  <si>
    <t>SHP-100681</t>
  </si>
  <si>
    <t>2024-03-09</t>
  </si>
  <si>
    <t xml:space="preserve">44.2 Kg </t>
  </si>
  <si>
    <t>₹618</t>
  </si>
  <si>
    <t>SHP-100233</t>
  </si>
  <si>
    <t>27/06/2024</t>
  </si>
  <si>
    <t xml:space="preserve">26.5 Kg </t>
  </si>
  <si>
    <t>1,389</t>
  </si>
  <si>
    <t>03-Jul-2024</t>
  </si>
  <si>
    <t>SHP-100668</t>
  </si>
  <si>
    <t xml:space="preserve"> 13/01/2024 </t>
  </si>
  <si>
    <t>30.3kg</t>
  </si>
  <si>
    <t>614</t>
  </si>
  <si>
    <t>SHP-100315</t>
  </si>
  <si>
    <t>2.0KG</t>
  </si>
  <si>
    <t>2024-06-26</t>
  </si>
  <si>
    <t>SHP-100910</t>
  </si>
  <si>
    <t>2024-04-12</t>
  </si>
  <si>
    <t>71.4kg</t>
  </si>
  <si>
    <t xml:space="preserve">Rs 1766 </t>
  </si>
  <si>
    <t xml:space="preserve"> 20/04/2024 </t>
  </si>
  <si>
    <t>SHP-101396</t>
  </si>
  <si>
    <t>23/02/2024</t>
  </si>
  <si>
    <t>3.3KG</t>
  </si>
  <si>
    <t>₹175</t>
  </si>
  <si>
    <t xml:space="preserve"> 01/03/2024 </t>
  </si>
  <si>
    <t>SHP-101479</t>
  </si>
  <si>
    <t>24/01/2024</t>
  </si>
  <si>
    <t xml:space="preserve">4.9 Kg </t>
  </si>
  <si>
    <t xml:space="preserve">Rs 120 </t>
  </si>
  <si>
    <t xml:space="preserve"> 30/01/2024 </t>
  </si>
  <si>
    <t>SHP-101192</t>
  </si>
  <si>
    <t>2024-05-26</t>
  </si>
  <si>
    <t>12.3kg</t>
  </si>
  <si>
    <t>₹549</t>
  </si>
  <si>
    <t>2024-06-01</t>
  </si>
  <si>
    <t>SHP-100030</t>
  </si>
  <si>
    <t>05-Apr-2024</t>
  </si>
  <si>
    <t xml:space="preserve">1.0 Kg </t>
  </si>
  <si>
    <t xml:space="preserve">Rs 205 </t>
  </si>
  <si>
    <t>SHP-101242</t>
  </si>
  <si>
    <t xml:space="preserve"> 10/03/2024 </t>
  </si>
  <si>
    <t xml:space="preserve">6.1 Kg </t>
  </si>
  <si>
    <t>472</t>
  </si>
  <si>
    <t>2024-03-22</t>
  </si>
  <si>
    <t>SHP-100930</t>
  </si>
  <si>
    <t>11.3kg</t>
  </si>
  <si>
    <t>₹546</t>
  </si>
  <si>
    <t>SHP-100638</t>
  </si>
  <si>
    <t>2024-02-02</t>
  </si>
  <si>
    <t>14.8kg</t>
  </si>
  <si>
    <t>₹354</t>
  </si>
  <si>
    <t xml:space="preserve"> 10/02/2024 </t>
  </si>
  <si>
    <t xml:space="preserve">RETURNED </t>
  </si>
  <si>
    <t>Order Cancelled</t>
  </si>
  <si>
    <t>SHP-100536</t>
  </si>
  <si>
    <t>19/01/2024</t>
  </si>
  <si>
    <t>₹248</t>
  </si>
  <si>
    <t xml:space="preserve"> 26/01/2024 </t>
  </si>
  <si>
    <t>SHP-100676</t>
  </si>
  <si>
    <t>3.8</t>
  </si>
  <si>
    <t>236</t>
  </si>
  <si>
    <t>26-May-2024</t>
  </si>
  <si>
    <t>SHP-101566</t>
  </si>
  <si>
    <t>22/02/2024</t>
  </si>
  <si>
    <t>52.1kg</t>
  </si>
  <si>
    <t>₹1,139</t>
  </si>
  <si>
    <t xml:space="preserve"> 25/02/2024 </t>
  </si>
  <si>
    <t>SHP-101130</t>
  </si>
  <si>
    <t>21.4kg</t>
  </si>
  <si>
    <t xml:space="preserve">Rs 359 </t>
  </si>
  <si>
    <t>13/03/2024</t>
  </si>
  <si>
    <t>SHP-100868</t>
  </si>
  <si>
    <t xml:space="preserve"> 20/05/2024 </t>
  </si>
  <si>
    <t>4.5KG</t>
  </si>
  <si>
    <t>₹350</t>
  </si>
  <si>
    <t xml:space="preserve"> 25/05/2024 </t>
  </si>
  <si>
    <t>SHP-100178</t>
  </si>
  <si>
    <t>01/03/2024</t>
  </si>
  <si>
    <t xml:space="preserve">automotive  parts </t>
  </si>
  <si>
    <t>20.4KG</t>
  </si>
  <si>
    <t>₹428</t>
  </si>
  <si>
    <t>2024-03-14</t>
  </si>
  <si>
    <t>SHP-100597</t>
  </si>
  <si>
    <t>05-Jan-2024</t>
  </si>
  <si>
    <t>3.6KG</t>
  </si>
  <si>
    <t>246</t>
  </si>
  <si>
    <t xml:space="preserve"> 10/01/2024 </t>
  </si>
  <si>
    <t>SHP-101121</t>
  </si>
  <si>
    <t>2024-06-11</t>
  </si>
  <si>
    <t>275</t>
  </si>
  <si>
    <t>19/06/2024</t>
  </si>
  <si>
    <t>SHP-101349</t>
  </si>
  <si>
    <t>28/01/2024</t>
  </si>
  <si>
    <t>1.3</t>
  </si>
  <si>
    <t>155</t>
  </si>
  <si>
    <t xml:space="preserve"> 05/02/2024 </t>
  </si>
  <si>
    <t>SHP-101342</t>
  </si>
  <si>
    <t>2024-03-24</t>
  </si>
  <si>
    <t xml:space="preserve">2.6 Kg </t>
  </si>
  <si>
    <t>₹224</t>
  </si>
  <si>
    <t>2024-03-29</t>
  </si>
  <si>
    <t>SHP-101036</t>
  </si>
  <si>
    <t xml:space="preserve"> 27/03/2024 </t>
  </si>
  <si>
    <t>6.9</t>
  </si>
  <si>
    <t>₹434</t>
  </si>
  <si>
    <t>SHP-101415</t>
  </si>
  <si>
    <t>32.7KG</t>
  </si>
  <si>
    <t>₹897</t>
  </si>
  <si>
    <t>SHP-101499</t>
  </si>
  <si>
    <t>03/05/2024</t>
  </si>
  <si>
    <t>29.8</t>
  </si>
  <si>
    <t>₹542</t>
  </si>
  <si>
    <t>12-May-2024</t>
  </si>
  <si>
    <t>SHP-101159</t>
  </si>
  <si>
    <t>07-Apr-2024</t>
  </si>
  <si>
    <t>256</t>
  </si>
  <si>
    <t>SHP-101217</t>
  </si>
  <si>
    <t>25-Jan-2024</t>
  </si>
  <si>
    <t>12.1</t>
  </si>
  <si>
    <t>₹264</t>
  </si>
  <si>
    <t>SHP-100974</t>
  </si>
  <si>
    <t>25.7kg</t>
  </si>
  <si>
    <t>₹525</t>
  </si>
  <si>
    <t>19-Jun-2024</t>
  </si>
  <si>
    <t>SHP-100261</t>
  </si>
  <si>
    <t>₹216</t>
  </si>
  <si>
    <t>20/04/2024</t>
  </si>
  <si>
    <t>SHP-101339</t>
  </si>
  <si>
    <t>20.9KG</t>
  </si>
  <si>
    <t>SHP-100798</t>
  </si>
  <si>
    <t>78.8kg</t>
  </si>
  <si>
    <t xml:space="preserve">Rs 1117 </t>
  </si>
  <si>
    <t xml:space="preserve"> 28/01/2024 </t>
  </si>
  <si>
    <t>SHP-101424</t>
  </si>
  <si>
    <t xml:space="preserve"> 28/02/2024 </t>
  </si>
  <si>
    <t>1.5KG</t>
  </si>
  <si>
    <t xml:space="preserve">Rs 260 </t>
  </si>
  <si>
    <t>2024-03-04</t>
  </si>
  <si>
    <t>SHP-101263</t>
  </si>
  <si>
    <t>07-Mar-2024</t>
  </si>
  <si>
    <t>2.4KG</t>
  </si>
  <si>
    <t>₹102</t>
  </si>
  <si>
    <t>SHP-100819</t>
  </si>
  <si>
    <t>₹206</t>
  </si>
  <si>
    <t>24-Jun-2024</t>
  </si>
  <si>
    <t>SHP-100246</t>
  </si>
  <si>
    <t>25.4</t>
  </si>
  <si>
    <t xml:space="preserve">Rs 722 </t>
  </si>
  <si>
    <t>11/03/2024</t>
  </si>
  <si>
    <t>SHP-101459</t>
  </si>
  <si>
    <t xml:space="preserve">18.5 Kg </t>
  </si>
  <si>
    <t>₹435</t>
  </si>
  <si>
    <t>SHP-100503</t>
  </si>
  <si>
    <t>27/04/2024</t>
  </si>
  <si>
    <t>Xpress Bees</t>
  </si>
  <si>
    <t>44.0kg</t>
  </si>
  <si>
    <t xml:space="preserve">Rs 1104 </t>
  </si>
  <si>
    <t>10/05/2024</t>
  </si>
  <si>
    <t>SHP-100454</t>
  </si>
  <si>
    <t>2024-04-19</t>
  </si>
  <si>
    <t>5.4</t>
  </si>
  <si>
    <t xml:space="preserve"> 24/04/2024 </t>
  </si>
  <si>
    <t>SHP-100613</t>
  </si>
  <si>
    <t>27-Apr-2024</t>
  </si>
  <si>
    <t xml:space="preserve">31.3 Kg </t>
  </si>
  <si>
    <t>₹1,568</t>
  </si>
  <si>
    <t xml:space="preserve"> 09/05/2024 </t>
  </si>
  <si>
    <t>SHP-100054</t>
  </si>
  <si>
    <t xml:space="preserve"> 11/06/2024 </t>
  </si>
  <si>
    <t>7.3kg</t>
  </si>
  <si>
    <t>238</t>
  </si>
  <si>
    <t>25-Jun-2024</t>
  </si>
  <si>
    <t>SHP-100565</t>
  </si>
  <si>
    <t xml:space="preserve">66.1 Kg </t>
  </si>
  <si>
    <t>3,156</t>
  </si>
  <si>
    <t>2024-03-17</t>
  </si>
  <si>
    <t>SHP-100817</t>
  </si>
  <si>
    <t>172</t>
  </si>
  <si>
    <t>SHP-100553</t>
  </si>
  <si>
    <t>16.9</t>
  </si>
  <si>
    <t xml:space="preserve">Rs 269 </t>
  </si>
  <si>
    <t>SHP-100277</t>
  </si>
  <si>
    <t>2024-02-23</t>
  </si>
  <si>
    <t xml:space="preserve">9.4 Kg </t>
  </si>
  <si>
    <t>563</t>
  </si>
  <si>
    <t>SHP-100745</t>
  </si>
  <si>
    <t>10.7KG</t>
  </si>
  <si>
    <t xml:space="preserve">Rs 504 </t>
  </si>
  <si>
    <t>SHP-101190</t>
  </si>
  <si>
    <t>05/01/2024</t>
  </si>
  <si>
    <t xml:space="preserve">10.1 Kg </t>
  </si>
  <si>
    <t>424</t>
  </si>
  <si>
    <t>SHP-100419</t>
  </si>
  <si>
    <t xml:space="preserve">Rs 591 </t>
  </si>
  <si>
    <t>2024-03-15</t>
  </si>
  <si>
    <t>SHP-101125</t>
  </si>
  <si>
    <t>2024-06-03</t>
  </si>
  <si>
    <t>8.8kg</t>
  </si>
  <si>
    <t>₹252</t>
  </si>
  <si>
    <t>SHP-100825</t>
  </si>
  <si>
    <t>14-Jan-2024</t>
  </si>
  <si>
    <t>249</t>
  </si>
  <si>
    <t>2024-01-20</t>
  </si>
  <si>
    <t>SHP-100862</t>
  </si>
  <si>
    <t>16/03/2024</t>
  </si>
  <si>
    <t>7.4kg</t>
  </si>
  <si>
    <t xml:space="preserve">Rs 289 </t>
  </si>
  <si>
    <t xml:space="preserve"> 21/03/2024 </t>
  </si>
  <si>
    <t>SHP-100026</t>
  </si>
  <si>
    <t>4.9kg</t>
  </si>
  <si>
    <t>93</t>
  </si>
  <si>
    <t>SHP-100428</t>
  </si>
  <si>
    <t>15.4kg</t>
  </si>
  <si>
    <t>841</t>
  </si>
  <si>
    <t>23-Apr-2024</t>
  </si>
  <si>
    <t>SHP-100728</t>
  </si>
  <si>
    <t>AUTOMOTIVE  PARTS</t>
  </si>
  <si>
    <t>35.1</t>
  </si>
  <si>
    <t>₹768</t>
  </si>
  <si>
    <t>2024-01-13</t>
  </si>
  <si>
    <t>SHP-101300</t>
  </si>
  <si>
    <t xml:space="preserve"> 18/06/2024 </t>
  </si>
  <si>
    <t>6.0KG</t>
  </si>
  <si>
    <t>242</t>
  </si>
  <si>
    <t xml:space="preserve"> 25/06/2024 </t>
  </si>
  <si>
    <t>SHP-101573</t>
  </si>
  <si>
    <t xml:space="preserve"> 20/01/2024 </t>
  </si>
  <si>
    <t>21.8kg</t>
  </si>
  <si>
    <t xml:space="preserve">Rs 668 </t>
  </si>
  <si>
    <t>SHP-100969</t>
  </si>
  <si>
    <t>07/03/2024</t>
  </si>
  <si>
    <t xml:space="preserve">24.9 Kg </t>
  </si>
  <si>
    <t xml:space="preserve">Rs 680 </t>
  </si>
  <si>
    <t>SHP-100992</t>
  </si>
  <si>
    <t>3.1</t>
  </si>
  <si>
    <t>₹329</t>
  </si>
  <si>
    <t>06/03/2024</t>
  </si>
  <si>
    <t>SHP-100263</t>
  </si>
  <si>
    <t>2024-03-18</t>
  </si>
  <si>
    <t>163</t>
  </si>
  <si>
    <t>2024-03-28</t>
  </si>
  <si>
    <t>SHP-100945</t>
  </si>
  <si>
    <t>195</t>
  </si>
  <si>
    <t xml:space="preserve"> 14/03/2024 </t>
  </si>
  <si>
    <t>SHP-101173</t>
  </si>
  <si>
    <t>02-Mar-2024</t>
  </si>
  <si>
    <t>4.6KG</t>
  </si>
  <si>
    <t>331</t>
  </si>
  <si>
    <t>SHP-101206</t>
  </si>
  <si>
    <t xml:space="preserve">  PHARMA </t>
  </si>
  <si>
    <t>28/05/2024</t>
  </si>
  <si>
    <t>SHP-101115</t>
  </si>
  <si>
    <t>17-Jan-2024</t>
  </si>
  <si>
    <t>10.7</t>
  </si>
  <si>
    <t>₹306</t>
  </si>
  <si>
    <t>SHP-101485</t>
  </si>
  <si>
    <t>13-Mar-2024</t>
  </si>
  <si>
    <t>6.2kg</t>
  </si>
  <si>
    <t>223</t>
  </si>
  <si>
    <t>SHP-100782</t>
  </si>
  <si>
    <t>17-Apr-2024</t>
  </si>
  <si>
    <t>76.1KG</t>
  </si>
  <si>
    <t>₹3,434</t>
  </si>
  <si>
    <t>18/04/2024</t>
  </si>
  <si>
    <t>SHP-100236</t>
  </si>
  <si>
    <t>02/05/2024</t>
  </si>
  <si>
    <t>₹719</t>
  </si>
  <si>
    <t>06-May-2024</t>
  </si>
  <si>
    <t>SHP-100476</t>
  </si>
  <si>
    <t xml:space="preserve"> 27/01/2024 </t>
  </si>
  <si>
    <t>68.5kg</t>
  </si>
  <si>
    <t xml:space="preserve">Rs 1689 </t>
  </si>
  <si>
    <t>2024-02-03</t>
  </si>
  <si>
    <t>SHP-100649</t>
  </si>
  <si>
    <t xml:space="preserve"> 05/06/2024 </t>
  </si>
  <si>
    <t xml:space="preserve">Rs 238 </t>
  </si>
  <si>
    <t>SHP-100897</t>
  </si>
  <si>
    <t>2.1</t>
  </si>
  <si>
    <t>81</t>
  </si>
  <si>
    <t>SHP-101114</t>
  </si>
  <si>
    <t>2024-02-10</t>
  </si>
  <si>
    <t>14.7</t>
  </si>
  <si>
    <t>856</t>
  </si>
  <si>
    <t>2024-02-13</t>
  </si>
  <si>
    <t>SHP-100491</t>
  </si>
  <si>
    <t>2024-05-08</t>
  </si>
  <si>
    <t>72.3</t>
  </si>
  <si>
    <t>₹3,409</t>
  </si>
  <si>
    <t>SHP-100617</t>
  </si>
  <si>
    <t xml:space="preserve"> 06/05/2024 </t>
  </si>
  <si>
    <t>SHP-101149</t>
  </si>
  <si>
    <t>2024-04-28</t>
  </si>
  <si>
    <t>7.6kg</t>
  </si>
  <si>
    <t xml:space="preserve">Rs 314 </t>
  </si>
  <si>
    <t>2024-05-04</t>
  </si>
  <si>
    <t>SHP-100946</t>
  </si>
  <si>
    <t>24-May-2024</t>
  </si>
  <si>
    <t>2.3KG</t>
  </si>
  <si>
    <t xml:space="preserve">Rs 233 </t>
  </si>
  <si>
    <t>2024-05-29</t>
  </si>
  <si>
    <t>SHP-100956</t>
  </si>
  <si>
    <t>38.8KG</t>
  </si>
  <si>
    <t xml:space="preserve">Rs 1805 </t>
  </si>
  <si>
    <t xml:space="preserve"> 29/05/2024 </t>
  </si>
  <si>
    <t>SHP-100615</t>
  </si>
  <si>
    <t>4.9</t>
  </si>
  <si>
    <t xml:space="preserve">Rs 160 </t>
  </si>
  <si>
    <t>08/06/2024</t>
  </si>
  <si>
    <t>SHP-101266</t>
  </si>
  <si>
    <t>2024-04-18</t>
  </si>
  <si>
    <t xml:space="preserve">Rs 251 </t>
  </si>
  <si>
    <t>SHP-101224</t>
  </si>
  <si>
    <t>24.8</t>
  </si>
  <si>
    <t>2024-04-24</t>
  </si>
  <si>
    <t>SHP-100519</t>
  </si>
  <si>
    <t>2024-06-08</t>
  </si>
  <si>
    <t>11.8KG</t>
  </si>
  <si>
    <t>294</t>
  </si>
  <si>
    <t xml:space="preserve"> 17/06/2024 </t>
  </si>
  <si>
    <t>SHP-101515</t>
  </si>
  <si>
    <t>11-Jan-2024</t>
  </si>
  <si>
    <t>2.4kg</t>
  </si>
  <si>
    <t>23-Jan-2024</t>
  </si>
  <si>
    <t>SHP-101010</t>
  </si>
  <si>
    <t>25/06/2024</t>
  </si>
  <si>
    <t>4.3</t>
  </si>
  <si>
    <t>₹371</t>
  </si>
  <si>
    <t>29-Jun-2024</t>
  </si>
  <si>
    <t>SHP-101334</t>
  </si>
  <si>
    <t>0.7kg</t>
  </si>
  <si>
    <t>₹187</t>
  </si>
  <si>
    <t>30-Jun-2024</t>
  </si>
  <si>
    <t>SHP-101160</t>
  </si>
  <si>
    <t>13.3kg</t>
  </si>
  <si>
    <t>₹369</t>
  </si>
  <si>
    <t>29-Mar-2024</t>
  </si>
  <si>
    <t>SHP-101529</t>
  </si>
  <si>
    <t xml:space="preserve"> 22/05/2024 </t>
  </si>
  <si>
    <t>37.8</t>
  </si>
  <si>
    <t>1,857</t>
  </si>
  <si>
    <t>25-May-2024</t>
  </si>
  <si>
    <t>SHP-101215</t>
  </si>
  <si>
    <t>10/03/2024</t>
  </si>
  <si>
    <t xml:space="preserve">15.8 Kg </t>
  </si>
  <si>
    <t>557</t>
  </si>
  <si>
    <t>SHP-101112</t>
  </si>
  <si>
    <t>2024-02-08</t>
  </si>
  <si>
    <t xml:space="preserve">  AUTOMOTIVE PARTS </t>
  </si>
  <si>
    <t xml:space="preserve">17.4 Kg </t>
  </si>
  <si>
    <t>939</t>
  </si>
  <si>
    <t xml:space="preserve"> 13/02/2024 </t>
  </si>
  <si>
    <t>SHP-101472</t>
  </si>
  <si>
    <t>22-Jun-2024</t>
  </si>
  <si>
    <t>20.7kg</t>
  </si>
  <si>
    <t xml:space="preserve">Rs 469 </t>
  </si>
  <si>
    <t>03/07/2024</t>
  </si>
  <si>
    <t>SHP-100076</t>
  </si>
  <si>
    <t xml:space="preserve"> 06/02/2024 </t>
  </si>
  <si>
    <t>7.8kg</t>
  </si>
  <si>
    <t>₹336</t>
  </si>
  <si>
    <t>2024-02-11</t>
  </si>
  <si>
    <t>SHP-100721</t>
  </si>
  <si>
    <t xml:space="preserve"> 20/06/2024 </t>
  </si>
  <si>
    <t>14.2</t>
  </si>
  <si>
    <t xml:space="preserve">Rs 840 </t>
  </si>
  <si>
    <t>SHP-100778</t>
  </si>
  <si>
    <t>11-Jun-2024</t>
  </si>
  <si>
    <t>26.7</t>
  </si>
  <si>
    <t>₹1,369</t>
  </si>
  <si>
    <t>17/06/2024</t>
  </si>
  <si>
    <t>SHP-101046</t>
  </si>
  <si>
    <t>14.7KG</t>
  </si>
  <si>
    <t xml:space="preserve">Rs 782 </t>
  </si>
  <si>
    <t>2024-03-31</t>
  </si>
  <si>
    <t>SHP-100176</t>
  </si>
  <si>
    <t>14.7kg</t>
  </si>
  <si>
    <t>715</t>
  </si>
  <si>
    <t xml:space="preserve"> 28/04/2024 </t>
  </si>
  <si>
    <t>SHP-100225</t>
  </si>
  <si>
    <t>03-Jun-2024</t>
  </si>
  <si>
    <t xml:space="preserve">grocery  &amp; fmcg </t>
  </si>
  <si>
    <t xml:space="preserve">3.8 Kg </t>
  </si>
  <si>
    <t>12/06/2024</t>
  </si>
  <si>
    <t>SHP-100107</t>
  </si>
  <si>
    <t>2024-01-12</t>
  </si>
  <si>
    <t>6.5KG</t>
  </si>
  <si>
    <t xml:space="preserve">Rs 440 </t>
  </si>
  <si>
    <t>2024-01-17</t>
  </si>
  <si>
    <t>SHP-101393</t>
  </si>
  <si>
    <t>11.5</t>
  </si>
  <si>
    <t>₹303</t>
  </si>
  <si>
    <t>In transit</t>
  </si>
  <si>
    <t>SHP-100230</t>
  </si>
  <si>
    <t>26/01/2024</t>
  </si>
  <si>
    <t xml:space="preserve">Rs 232 </t>
  </si>
  <si>
    <t>2024-01-29</t>
  </si>
  <si>
    <t>SHP-101481</t>
  </si>
  <si>
    <t>9.4</t>
  </si>
  <si>
    <t>578</t>
  </si>
  <si>
    <t>15-Mar-2024</t>
  </si>
  <si>
    <t>SHP-101454</t>
  </si>
  <si>
    <t>21/03/2024</t>
  </si>
  <si>
    <t>11.0</t>
  </si>
  <si>
    <t xml:space="preserve">Rs 442 </t>
  </si>
  <si>
    <t>27-Mar-2024</t>
  </si>
  <si>
    <t>SHP-100763</t>
  </si>
  <si>
    <t>06-Apr-2024</t>
  </si>
  <si>
    <t>₹476</t>
  </si>
  <si>
    <t>11/04/2024</t>
  </si>
  <si>
    <t>SHP-101053</t>
  </si>
  <si>
    <t>2024-03-12</t>
  </si>
  <si>
    <t>19.2</t>
  </si>
  <si>
    <t>455</t>
  </si>
  <si>
    <t>SHP-100751</t>
  </si>
  <si>
    <t>15-Jan-2024</t>
  </si>
  <si>
    <t>77.0kg</t>
  </si>
  <si>
    <t>₹1,851</t>
  </si>
  <si>
    <t>2024-01-22</t>
  </si>
  <si>
    <t>SHP-100294</t>
  </si>
  <si>
    <t xml:space="preserve">39.1 Kg </t>
  </si>
  <si>
    <t>₹1,053</t>
  </si>
  <si>
    <t>SHP-101329</t>
  </si>
  <si>
    <t>12.5kg</t>
  </si>
  <si>
    <t xml:space="preserve">Rs 562 </t>
  </si>
  <si>
    <t>SHP-100482</t>
  </si>
  <si>
    <t xml:space="preserve"> 10/05/2024 </t>
  </si>
  <si>
    <t>11.4KG</t>
  </si>
  <si>
    <t>₹227</t>
  </si>
  <si>
    <t xml:space="preserve"> 13/05/2024 </t>
  </si>
  <si>
    <t>SHP-101365</t>
  </si>
  <si>
    <t>2024-05-28</t>
  </si>
  <si>
    <t>10.7kg</t>
  </si>
  <si>
    <t>₹390</t>
  </si>
  <si>
    <t>SHP-100168</t>
  </si>
  <si>
    <t xml:space="preserve">4.0 Kg </t>
  </si>
  <si>
    <t>SHP-100556</t>
  </si>
  <si>
    <t xml:space="preserve">13.8 Kg </t>
  </si>
  <si>
    <t>336</t>
  </si>
  <si>
    <t>SHP-100756</t>
  </si>
  <si>
    <t xml:space="preserve">15.0 Kg </t>
  </si>
  <si>
    <t>470</t>
  </si>
  <si>
    <t>SHP-101172</t>
  </si>
  <si>
    <t>27-Jun-2024</t>
  </si>
  <si>
    <t>65.4KG</t>
  </si>
  <si>
    <t>₹2,934</t>
  </si>
  <si>
    <t>SHP-100770</t>
  </si>
  <si>
    <t>2024-01-05</t>
  </si>
  <si>
    <t xml:space="preserve">6.2 Kg </t>
  </si>
  <si>
    <t>₹291</t>
  </si>
  <si>
    <t>SHP-101104</t>
  </si>
  <si>
    <t xml:space="preserve">4.2 Kg </t>
  </si>
  <si>
    <t>₹284</t>
  </si>
  <si>
    <t>SHP-100438</t>
  </si>
  <si>
    <t xml:space="preserve">16.4 Kg </t>
  </si>
  <si>
    <t>₹902</t>
  </si>
  <si>
    <t>16/04/2024</t>
  </si>
  <si>
    <t>SHP-101350</t>
  </si>
  <si>
    <t>17-Feb-2024</t>
  </si>
  <si>
    <t>₹124</t>
  </si>
  <si>
    <t>21-Feb-2024</t>
  </si>
  <si>
    <t>SHP-100364</t>
  </si>
  <si>
    <t>37.2</t>
  </si>
  <si>
    <t>₹1,000</t>
  </si>
  <si>
    <t>08-Apr-2024</t>
  </si>
  <si>
    <t>SHP-100235</t>
  </si>
  <si>
    <t xml:space="preserve"> 23/02/2024 </t>
  </si>
  <si>
    <t>15.4</t>
  </si>
  <si>
    <t>SHP-100145</t>
  </si>
  <si>
    <t>27-May-2024</t>
  </si>
  <si>
    <t>3.6kg</t>
  </si>
  <si>
    <t xml:space="preserve">Rs 348 </t>
  </si>
  <si>
    <t>30-May-2024</t>
  </si>
  <si>
    <t>SHP-100146</t>
  </si>
  <si>
    <t xml:space="preserve">22.1 Kg </t>
  </si>
  <si>
    <t>1,204</t>
  </si>
  <si>
    <t>19-Apr-2024</t>
  </si>
  <si>
    <t>SHP-100464</t>
  </si>
  <si>
    <t>₹88</t>
  </si>
  <si>
    <t>21-Mar-2024</t>
  </si>
  <si>
    <t>SHP-100073</t>
  </si>
  <si>
    <t xml:space="preserve">18.2 Kg </t>
  </si>
  <si>
    <t>₹830</t>
  </si>
  <si>
    <t>SHP-101166</t>
  </si>
  <si>
    <t>19/04/2024</t>
  </si>
  <si>
    <t xml:space="preserve">53.3 Kg </t>
  </si>
  <si>
    <t>₹1,349</t>
  </si>
  <si>
    <t>SHP-101352</t>
  </si>
  <si>
    <t>08/05/2024</t>
  </si>
  <si>
    <t xml:space="preserve">8.1 Kg </t>
  </si>
  <si>
    <t xml:space="preserve">Rs 146 </t>
  </si>
  <si>
    <t>SHP-100128</t>
  </si>
  <si>
    <t xml:space="preserve"> 22/03/2024 </t>
  </si>
  <si>
    <t xml:space="preserve">13.9 Kg </t>
  </si>
  <si>
    <t xml:space="preserve">Rs 752 </t>
  </si>
  <si>
    <t>2024-03-25</t>
  </si>
  <si>
    <t>SHP-100460</t>
  </si>
  <si>
    <t xml:space="preserve"> 25/03/2024 </t>
  </si>
  <si>
    <t xml:space="preserve">25.7 Kg </t>
  </si>
  <si>
    <t xml:space="preserve">Rs 566 </t>
  </si>
  <si>
    <t>02-Apr-2024</t>
  </si>
  <si>
    <t>SHP-100512</t>
  </si>
  <si>
    <t>17.5KG</t>
  </si>
  <si>
    <t>₹995</t>
  </si>
  <si>
    <t>SHP-101516</t>
  </si>
  <si>
    <t xml:space="preserve"> 12/04/2024 </t>
  </si>
  <si>
    <t>38.5KG</t>
  </si>
  <si>
    <t>726</t>
  </si>
  <si>
    <t>SHP-100052</t>
  </si>
  <si>
    <t>274</t>
  </si>
  <si>
    <t>SHP-100391</t>
  </si>
  <si>
    <t xml:space="preserve"> 18/04/2024 </t>
  </si>
  <si>
    <t>13.6KG</t>
  </si>
  <si>
    <t>367</t>
  </si>
  <si>
    <t>SHP-100466</t>
  </si>
  <si>
    <t>39.6</t>
  </si>
  <si>
    <t>704</t>
  </si>
  <si>
    <t>SHP-100148</t>
  </si>
  <si>
    <t>17/04/2024</t>
  </si>
  <si>
    <t>12.0</t>
  </si>
  <si>
    <t>₹269</t>
  </si>
  <si>
    <t>21-Apr-2024</t>
  </si>
  <si>
    <t>SHP-101324</t>
  </si>
  <si>
    <t>2024-03-10</t>
  </si>
  <si>
    <t>7.9</t>
  </si>
  <si>
    <t xml:space="preserve"> 18/03/2024 </t>
  </si>
  <si>
    <t>SHP-101264</t>
  </si>
  <si>
    <t>2.8KG</t>
  </si>
  <si>
    <t>2024-01-28</t>
  </si>
  <si>
    <t>SHP-101600</t>
  </si>
  <si>
    <t xml:space="preserve"> 09/03/2024 </t>
  </si>
  <si>
    <t>₹282</t>
  </si>
  <si>
    <t>SHP-100193</t>
  </si>
  <si>
    <t>2024-05-06</t>
  </si>
  <si>
    <t>0.7KG</t>
  </si>
  <si>
    <t>159</t>
  </si>
  <si>
    <t>SHP-101429</t>
  </si>
  <si>
    <t xml:space="preserve"> 15/04/2024 </t>
  </si>
  <si>
    <t xml:space="preserve">13.6 Kg </t>
  </si>
  <si>
    <t>332</t>
  </si>
  <si>
    <t xml:space="preserve"> 22/04/2024 </t>
  </si>
  <si>
    <t>SHP-100599</t>
  </si>
  <si>
    <t>04-Feb-2024</t>
  </si>
  <si>
    <t>30.6KG</t>
  </si>
  <si>
    <t xml:space="preserve">Rs 1548 </t>
  </si>
  <si>
    <t>08-Feb-2024</t>
  </si>
  <si>
    <t>SHP-101523</t>
  </si>
  <si>
    <t>20/02/2024</t>
  </si>
  <si>
    <t>2.9</t>
  </si>
  <si>
    <t>₹253</t>
  </si>
  <si>
    <t>SHP-101362</t>
  </si>
  <si>
    <t xml:space="preserve">2.4 Kg </t>
  </si>
  <si>
    <t>SHP-100913</t>
  </si>
  <si>
    <t xml:space="preserve"> 25/01/2024 </t>
  </si>
  <si>
    <t>33.0</t>
  </si>
  <si>
    <t>₹1,629</t>
  </si>
  <si>
    <t>29-Jan-2024</t>
  </si>
  <si>
    <t>SHP-100147</t>
  </si>
  <si>
    <t>03-Mar-2024</t>
  </si>
  <si>
    <t>224</t>
  </si>
  <si>
    <t>SHP-100352</t>
  </si>
  <si>
    <t xml:space="preserve"> 28/05/2024 </t>
  </si>
  <si>
    <t>2.2</t>
  </si>
  <si>
    <t>₹220</t>
  </si>
  <si>
    <t>2024-06-05</t>
  </si>
  <si>
    <t>SHP-100709</t>
  </si>
  <si>
    <t>36.5kg</t>
  </si>
  <si>
    <t>1,825</t>
  </si>
  <si>
    <t>SHP-100007</t>
  </si>
  <si>
    <t>22/03/2024</t>
  </si>
  <si>
    <t xml:space="preserve">Rs 516 </t>
  </si>
  <si>
    <t>07/04/2024</t>
  </si>
  <si>
    <t>SHP-101163</t>
  </si>
  <si>
    <t>2024-03-02</t>
  </si>
  <si>
    <t>1.2kg</t>
  </si>
  <si>
    <t xml:space="preserve"> 06/03/2024 </t>
  </si>
  <si>
    <t>SHP-100407</t>
  </si>
  <si>
    <t>9.3kg</t>
  </si>
  <si>
    <t xml:space="preserve">Rs 336 </t>
  </si>
  <si>
    <t>04-Jun-2024</t>
  </si>
  <si>
    <t>SHP-101091</t>
  </si>
  <si>
    <t>3.7kg</t>
  </si>
  <si>
    <t>244</t>
  </si>
  <si>
    <t>01-Jun-2024</t>
  </si>
  <si>
    <t>SHP-100788</t>
  </si>
  <si>
    <t>03/03/2024</t>
  </si>
  <si>
    <t>14.9kg</t>
  </si>
  <si>
    <t>2024-03-08</t>
  </si>
  <si>
    <t>SHP-100087</t>
  </si>
  <si>
    <t>2024-02-17</t>
  </si>
  <si>
    <t xml:space="preserve">6.3 Kg </t>
  </si>
  <si>
    <t>₹438</t>
  </si>
  <si>
    <t>SHP-101502</t>
  </si>
  <si>
    <t>13.7</t>
  </si>
  <si>
    <t>02-May-2024</t>
  </si>
  <si>
    <t>SHP-100963</t>
  </si>
  <si>
    <t>3.2KG</t>
  </si>
  <si>
    <t>27/05/2024</t>
  </si>
  <si>
    <t>SHP-100404</t>
  </si>
  <si>
    <t>15.5KG</t>
  </si>
  <si>
    <t xml:space="preserve">Rs 864 </t>
  </si>
  <si>
    <t>SHP-100718</t>
  </si>
  <si>
    <t xml:space="preserve"> 24/02/2024 </t>
  </si>
  <si>
    <t>11.6KG</t>
  </si>
  <si>
    <t>₹157</t>
  </si>
  <si>
    <t>SHP-101099</t>
  </si>
  <si>
    <t>03/02/2024</t>
  </si>
  <si>
    <t xml:space="preserve">Rs 158 </t>
  </si>
  <si>
    <t>09-Feb-2024</t>
  </si>
  <si>
    <t>SHP-100102</t>
  </si>
  <si>
    <t>5.9KG</t>
  </si>
  <si>
    <t>₹398</t>
  </si>
  <si>
    <t>SHP-100110</t>
  </si>
  <si>
    <t>12/03/2024</t>
  </si>
  <si>
    <t>5.4kg</t>
  </si>
  <si>
    <t>418</t>
  </si>
  <si>
    <t xml:space="preserve"> 16/03/2024 </t>
  </si>
  <si>
    <t>SHP-100053</t>
  </si>
  <si>
    <t>6.6</t>
  </si>
  <si>
    <t>SHP-100275</t>
  </si>
  <si>
    <t>15.8KG</t>
  </si>
  <si>
    <t>₹555</t>
  </si>
  <si>
    <t>2024-02-01</t>
  </si>
  <si>
    <t>SHP-100618</t>
  </si>
  <si>
    <t>308</t>
  </si>
  <si>
    <t>2024-04-26</t>
  </si>
  <si>
    <t>SHP-100339</t>
  </si>
  <si>
    <t>26/06/2024</t>
  </si>
  <si>
    <t>0.8KG</t>
  </si>
  <si>
    <t>SHP-101267</t>
  </si>
  <si>
    <t>25.2</t>
  </si>
  <si>
    <t>₹1,299</t>
  </si>
  <si>
    <t>SHP-101072</t>
  </si>
  <si>
    <t>2024-05-25</t>
  </si>
  <si>
    <t>8.4KG</t>
  </si>
  <si>
    <t>434</t>
  </si>
  <si>
    <t>SHP-100337</t>
  </si>
  <si>
    <t xml:space="preserve"> 12/01/2024 </t>
  </si>
  <si>
    <t>9.7kg</t>
  </si>
  <si>
    <t>619</t>
  </si>
  <si>
    <t>SHP-100875</t>
  </si>
  <si>
    <t>2024-01-16</t>
  </si>
  <si>
    <t xml:space="preserve">43.6 Kg </t>
  </si>
  <si>
    <t xml:space="preserve">Rs 1091 </t>
  </si>
  <si>
    <t>SHP-100787</t>
  </si>
  <si>
    <t xml:space="preserve"> 15/06/2024 </t>
  </si>
  <si>
    <t>6.4kg</t>
  </si>
  <si>
    <t xml:space="preserve">Rs 316 </t>
  </si>
  <si>
    <t>SHP-101435</t>
  </si>
  <si>
    <t xml:space="preserve">11.8 Kg </t>
  </si>
  <si>
    <t>₹440</t>
  </si>
  <si>
    <t>02/02/2024</t>
  </si>
  <si>
    <t>SHP-100768</t>
  </si>
  <si>
    <t xml:space="preserve"> 16/05/2024 </t>
  </si>
  <si>
    <t>250</t>
  </si>
  <si>
    <t>SHP-100274</t>
  </si>
  <si>
    <t>2024-01-19</t>
  </si>
  <si>
    <t>SHP-100004</t>
  </si>
  <si>
    <t xml:space="preserve"> 17/03/2024 </t>
  </si>
  <si>
    <t xml:space="preserve">Rs 215 </t>
  </si>
  <si>
    <t>24-Mar-2024</t>
  </si>
  <si>
    <t>SHP-100393</t>
  </si>
  <si>
    <t>76.5kg</t>
  </si>
  <si>
    <t xml:space="preserve">Rs 3437 </t>
  </si>
  <si>
    <t>SHP-100530</t>
  </si>
  <si>
    <t>59.5</t>
  </si>
  <si>
    <t>₹2,804</t>
  </si>
  <si>
    <t>SHP-101539</t>
  </si>
  <si>
    <t>35.1kg</t>
  </si>
  <si>
    <t xml:space="preserve">Rs 981 </t>
  </si>
  <si>
    <t>15-May-2024</t>
  </si>
  <si>
    <t>SHP-101116</t>
  </si>
  <si>
    <t>11.6kg</t>
  </si>
  <si>
    <t>531</t>
  </si>
  <si>
    <t>SHP-101073</t>
  </si>
  <si>
    <t xml:space="preserve">IN-TRANSIT </t>
  </si>
  <si>
    <t>SHP-101388</t>
  </si>
  <si>
    <t>1.4</t>
  </si>
  <si>
    <t>170</t>
  </si>
  <si>
    <t>22-Mar-2024</t>
  </si>
  <si>
    <t>SHP-101562</t>
  </si>
  <si>
    <t>69.7</t>
  </si>
  <si>
    <t>1,126</t>
  </si>
  <si>
    <t>SHP-101487</t>
  </si>
  <si>
    <t>13.1kg</t>
  </si>
  <si>
    <t xml:space="preserve">Rs 327 </t>
  </si>
  <si>
    <t>2024-06-28</t>
  </si>
  <si>
    <t>SHP-100691</t>
  </si>
  <si>
    <t xml:space="preserve">14.1 Kg </t>
  </si>
  <si>
    <t xml:space="preserve">Rs 454 </t>
  </si>
  <si>
    <t>2024-04-20</t>
  </si>
  <si>
    <t>SHP-100361</t>
  </si>
  <si>
    <t>2024-04-08</t>
  </si>
  <si>
    <t>50.0KG</t>
  </si>
  <si>
    <t>702</t>
  </si>
  <si>
    <t>15/04/2024</t>
  </si>
  <si>
    <t>SHP-100699</t>
  </si>
  <si>
    <t xml:space="preserve">39.5 Kg </t>
  </si>
  <si>
    <t>₹758</t>
  </si>
  <si>
    <t>SHP-101157</t>
  </si>
  <si>
    <t xml:space="preserve">Rs 836 </t>
  </si>
  <si>
    <t>SHP-101259</t>
  </si>
  <si>
    <t>34.4KG</t>
  </si>
  <si>
    <t>₹523</t>
  </si>
  <si>
    <t>29/05/2024</t>
  </si>
  <si>
    <t>SHP-100324</t>
  </si>
  <si>
    <t xml:space="preserve">Rs 283 </t>
  </si>
  <si>
    <t>SHP-100748</t>
  </si>
  <si>
    <t>3.9KG</t>
  </si>
  <si>
    <t>₹185</t>
  </si>
  <si>
    <t>SHP-100510</t>
  </si>
  <si>
    <t xml:space="preserve"> 08/01/2024 </t>
  </si>
  <si>
    <t>10.0</t>
  </si>
  <si>
    <t>₹339</t>
  </si>
  <si>
    <t>Wrong Item Delivered</t>
  </si>
  <si>
    <t>SHP-100999</t>
  </si>
  <si>
    <t xml:space="preserve"> 08/04/2024 </t>
  </si>
  <si>
    <t>2024-04-21</t>
  </si>
  <si>
    <t>SHP-101290</t>
  </si>
  <si>
    <t xml:space="preserve"> 13/06/2024 </t>
  </si>
  <si>
    <t>5.6kg</t>
  </si>
  <si>
    <t xml:space="preserve"> 26/06/2024 </t>
  </si>
  <si>
    <t>SHP-100603</t>
  </si>
  <si>
    <t>1.9KG</t>
  </si>
  <si>
    <t>260</t>
  </si>
  <si>
    <t>06/02/2024</t>
  </si>
  <si>
    <t>SHP-101255</t>
  </si>
  <si>
    <t xml:space="preserve"> 24/01/2024 </t>
  </si>
  <si>
    <t>42.6</t>
  </si>
  <si>
    <t xml:space="preserve">Rs 1144 </t>
  </si>
  <si>
    <t>SHP-100199</t>
  </si>
  <si>
    <t>231</t>
  </si>
  <si>
    <t>2024-01-15</t>
  </si>
  <si>
    <t>SHP-100293</t>
  </si>
  <si>
    <t>19/03/2024</t>
  </si>
  <si>
    <t>₹287</t>
  </si>
  <si>
    <t>SHP-100429</t>
  </si>
  <si>
    <t>2024-06-21</t>
  </si>
  <si>
    <t>19.8</t>
  </si>
  <si>
    <t>₹1,026</t>
  </si>
  <si>
    <t>SHP-101285</t>
  </si>
  <si>
    <t>SHP-101500</t>
  </si>
  <si>
    <t>23/06/2024</t>
  </si>
  <si>
    <t xml:space="preserve">5.2 Kg </t>
  </si>
  <si>
    <t>₹385</t>
  </si>
  <si>
    <t>2024-06-30</t>
  </si>
  <si>
    <t>SHP-100566</t>
  </si>
  <si>
    <t>56.7KG</t>
  </si>
  <si>
    <t>2,718</t>
  </si>
  <si>
    <t>Damaged</t>
  </si>
  <si>
    <t>SHP-101488</t>
  </si>
  <si>
    <t>₹247</t>
  </si>
  <si>
    <t>SHP-101423</t>
  </si>
  <si>
    <t>2024-04-05</t>
  </si>
  <si>
    <t>2.8</t>
  </si>
  <si>
    <t xml:space="preserve">Rs 278 </t>
  </si>
  <si>
    <t>SHP-101269</t>
  </si>
  <si>
    <t>21/05/2024</t>
  </si>
  <si>
    <t>19.3</t>
  </si>
  <si>
    <t xml:space="preserve">Rs 475 </t>
  </si>
  <si>
    <t>SHP-100933</t>
  </si>
  <si>
    <t>15-Apr-2024</t>
  </si>
  <si>
    <t>50.1kg</t>
  </si>
  <si>
    <t>₹2,457</t>
  </si>
  <si>
    <t>20-Apr-2024</t>
  </si>
  <si>
    <t>SHP-100033</t>
  </si>
  <si>
    <t>₹180</t>
  </si>
  <si>
    <t>SHP-100472</t>
  </si>
  <si>
    <t xml:space="preserve">7.5 Kg </t>
  </si>
  <si>
    <t>SHP-100111</t>
  </si>
  <si>
    <t>169</t>
  </si>
  <si>
    <t>SHP-101555</t>
  </si>
  <si>
    <t>12.7kg</t>
  </si>
  <si>
    <t>400</t>
  </si>
  <si>
    <t>24/02/2024</t>
  </si>
  <si>
    <t>SHP-101514</t>
  </si>
  <si>
    <t>2024-01-06</t>
  </si>
  <si>
    <t>5.7kg</t>
  </si>
  <si>
    <t>₹217</t>
  </si>
  <si>
    <t>SHP-101212</t>
  </si>
  <si>
    <t>09-Mar-2024</t>
  </si>
  <si>
    <t>66.0KG</t>
  </si>
  <si>
    <t xml:space="preserve">Rs 1080 </t>
  </si>
  <si>
    <t>SHP-101469</t>
  </si>
  <si>
    <t>2.6</t>
  </si>
  <si>
    <t>198</t>
  </si>
  <si>
    <t>18-Jun-2024</t>
  </si>
  <si>
    <t>SHP-101022</t>
  </si>
  <si>
    <t xml:space="preserve"> 28/06/2024 </t>
  </si>
  <si>
    <t>49.2</t>
  </si>
  <si>
    <t xml:space="preserve">Rs 670 </t>
  </si>
  <si>
    <t>in transit</t>
  </si>
  <si>
    <t>SHP-100810</t>
  </si>
  <si>
    <t xml:space="preserve">3.4 Kg </t>
  </si>
  <si>
    <t>285</t>
  </si>
  <si>
    <t xml:space="preserve"> 31/01/2024 </t>
  </si>
  <si>
    <t>SHP-101204</t>
  </si>
  <si>
    <t>49.7kg</t>
  </si>
  <si>
    <t>₹887</t>
  </si>
  <si>
    <t>SHP-101403</t>
  </si>
  <si>
    <t>12-Mar-2024</t>
  </si>
  <si>
    <t>9.5kg</t>
  </si>
  <si>
    <t>582</t>
  </si>
  <si>
    <t>SHP-100125</t>
  </si>
  <si>
    <t xml:space="preserve">2.0 Kg </t>
  </si>
  <si>
    <t>SHP-100658</t>
  </si>
  <si>
    <t>₹199</t>
  </si>
  <si>
    <t>22-Apr-2024</t>
  </si>
  <si>
    <t>SHP-100017</t>
  </si>
  <si>
    <t xml:space="preserve"> 03/01/2024 </t>
  </si>
  <si>
    <t xml:space="preserve">15.5 Kg </t>
  </si>
  <si>
    <t>SHP-100437</t>
  </si>
  <si>
    <t>18.0kg</t>
  </si>
  <si>
    <t>₹990</t>
  </si>
  <si>
    <t>SHP-100057</t>
  </si>
  <si>
    <t>19-Feb-2024</t>
  </si>
  <si>
    <t>229</t>
  </si>
  <si>
    <t>SHP-100098</t>
  </si>
  <si>
    <t>2024-06-09</t>
  </si>
  <si>
    <t xml:space="preserve">16.3 Kg </t>
  </si>
  <si>
    <t xml:space="preserve">Rs 745 </t>
  </si>
  <si>
    <t>SHP-101277</t>
  </si>
  <si>
    <t>2024-05-07</t>
  </si>
  <si>
    <t>2.8kg</t>
  </si>
  <si>
    <t>14-May-2024</t>
  </si>
  <si>
    <t>SHP-101189</t>
  </si>
  <si>
    <t>39.7KG</t>
  </si>
  <si>
    <t>₹1,048</t>
  </si>
  <si>
    <t>03/04/2024</t>
  </si>
  <si>
    <t>SHP-101032</t>
  </si>
  <si>
    <t>₹263</t>
  </si>
  <si>
    <t>29-Apr-2024</t>
  </si>
  <si>
    <t>SHP-101085</t>
  </si>
  <si>
    <t>09/03/2024</t>
  </si>
  <si>
    <t>17.5kg</t>
  </si>
  <si>
    <t xml:space="preserve">Rs 227 </t>
  </si>
  <si>
    <t>SHP-100808</t>
  </si>
  <si>
    <t>360</t>
  </si>
  <si>
    <t>2024-06-24</t>
  </si>
  <si>
    <t>SHP-101298</t>
  </si>
  <si>
    <t xml:space="preserve">13.3 Kg </t>
  </si>
  <si>
    <t>481</t>
  </si>
  <si>
    <t>18-Jan-2024</t>
  </si>
  <si>
    <t>SHP-100105</t>
  </si>
  <si>
    <t>4.1KG</t>
  </si>
  <si>
    <t>₹221</t>
  </si>
  <si>
    <t>18-Mar-2024</t>
  </si>
  <si>
    <t>SHP-100706</t>
  </si>
  <si>
    <t>7.4</t>
  </si>
  <si>
    <t>295</t>
  </si>
  <si>
    <t xml:space="preserve"> 20/02/2024 </t>
  </si>
  <si>
    <t>SHP-101019</t>
  </si>
  <si>
    <t xml:space="preserve">24.2 Kg </t>
  </si>
  <si>
    <t>₹669</t>
  </si>
  <si>
    <t>SHP-101082</t>
  </si>
  <si>
    <t>16-Jun-2024</t>
  </si>
  <si>
    <t>19.5</t>
  </si>
  <si>
    <t>₹602</t>
  </si>
  <si>
    <t>23-Jun-2024</t>
  </si>
  <si>
    <t>SHP-101068</t>
  </si>
  <si>
    <t>9.5</t>
  </si>
  <si>
    <t>SHP-100072</t>
  </si>
  <si>
    <t>2024-06-23</t>
  </si>
  <si>
    <t>62.6KG</t>
  </si>
  <si>
    <t xml:space="preserve">Rs 2992 </t>
  </si>
  <si>
    <t>SHP-101235</t>
  </si>
  <si>
    <t xml:space="preserve">8.6 Kg </t>
  </si>
  <si>
    <t xml:space="preserve">Rs 253 </t>
  </si>
  <si>
    <t>SHP-100535</t>
  </si>
  <si>
    <t>1.9</t>
  </si>
  <si>
    <t>SHP-100153</t>
  </si>
  <si>
    <t>13-Jun-2024</t>
  </si>
  <si>
    <t>12.8KG</t>
  </si>
  <si>
    <t xml:space="preserve">Rs 288 </t>
  </si>
  <si>
    <t>16/06/2024</t>
  </si>
  <si>
    <t>SHP-101093</t>
  </si>
  <si>
    <t>4.7kg</t>
  </si>
  <si>
    <t>351</t>
  </si>
  <si>
    <t>2024-01-31</t>
  </si>
  <si>
    <t>SHP-100045</t>
  </si>
  <si>
    <t xml:space="preserve">13.2 Kg </t>
  </si>
  <si>
    <t xml:space="preserve">Rs 343 </t>
  </si>
  <si>
    <t>SHP-101448</t>
  </si>
  <si>
    <t xml:space="preserve">14.7 Kg </t>
  </si>
  <si>
    <t xml:space="preserve">Rs 400 </t>
  </si>
  <si>
    <t>08/03/2024</t>
  </si>
  <si>
    <t>SHP-100114</t>
  </si>
  <si>
    <t>213</t>
  </si>
  <si>
    <t>SHP-101359</t>
  </si>
  <si>
    <t>19-Mar-2024</t>
  </si>
  <si>
    <t>SHP-101303</t>
  </si>
  <si>
    <t>6.8kg</t>
  </si>
  <si>
    <t>SHP-101198</t>
  </si>
  <si>
    <t>3.0KG</t>
  </si>
  <si>
    <t xml:space="preserve">Rs 176 </t>
  </si>
  <si>
    <t xml:space="preserve"> 27/06/2024 </t>
  </si>
  <si>
    <t>SHP-100742</t>
  </si>
  <si>
    <t>10.5</t>
  </si>
  <si>
    <t>₹346</t>
  </si>
  <si>
    <t>SHP-101326</t>
  </si>
  <si>
    <t>₹176</t>
  </si>
  <si>
    <t>SHP-101498</t>
  </si>
  <si>
    <t>297</t>
  </si>
  <si>
    <t>SHP-101591</t>
  </si>
  <si>
    <t>33.9</t>
  </si>
  <si>
    <t xml:space="preserve">Rs 914 </t>
  </si>
  <si>
    <t xml:space="preserve"> 03/04/2024 </t>
  </si>
  <si>
    <t>SHP-101067</t>
  </si>
  <si>
    <t>5.0KG</t>
  </si>
  <si>
    <t>268</t>
  </si>
  <si>
    <t>SHP-101142</t>
  </si>
  <si>
    <t xml:space="preserve">Rs 264 </t>
  </si>
  <si>
    <t>SHP-100712</t>
  </si>
  <si>
    <t xml:space="preserve"> 01/02/2024 </t>
  </si>
  <si>
    <t>32.8</t>
  </si>
  <si>
    <t>₹649</t>
  </si>
  <si>
    <t>SHP-101007</t>
  </si>
  <si>
    <t>06-Jan-2024</t>
  </si>
  <si>
    <t xml:space="preserve">furniture  </t>
  </si>
  <si>
    <t xml:space="preserve">59.0 Kg </t>
  </si>
  <si>
    <t>₹1,433</t>
  </si>
  <si>
    <t>12/01/2024</t>
  </si>
  <si>
    <t>SHP-101501</t>
  </si>
  <si>
    <t xml:space="preserve">Rs 236 </t>
  </si>
  <si>
    <t>SHP-100753</t>
  </si>
  <si>
    <t>06/05/2024</t>
  </si>
  <si>
    <t>₹327</t>
  </si>
  <si>
    <t>SHP-101482</t>
  </si>
  <si>
    <t xml:space="preserve">6.0 Kg </t>
  </si>
  <si>
    <t xml:space="preserve">Rs 405 </t>
  </si>
  <si>
    <t>SHP-101021</t>
  </si>
  <si>
    <t xml:space="preserve">6.5 Kg </t>
  </si>
  <si>
    <t xml:space="preserve">Rs 485 </t>
  </si>
  <si>
    <t>SHP-100909</t>
  </si>
  <si>
    <t>7.6KG</t>
  </si>
  <si>
    <t xml:space="preserve">Rs 312 </t>
  </si>
  <si>
    <t>SHP-101336</t>
  </si>
  <si>
    <t xml:space="preserve">  GROCERY &amp; FMCG </t>
  </si>
  <si>
    <t xml:space="preserve">Rs 358 </t>
  </si>
  <si>
    <t>2024-01-21</t>
  </si>
  <si>
    <t>SHP-100637</t>
  </si>
  <si>
    <t>6.3kg</t>
  </si>
  <si>
    <t>₹276</t>
  </si>
  <si>
    <t>15-Jun-2024</t>
  </si>
  <si>
    <t>SHP-100891</t>
  </si>
  <si>
    <t>2024-01-10</t>
  </si>
  <si>
    <t>39.8</t>
  </si>
  <si>
    <t>₹1,932</t>
  </si>
  <si>
    <t>SHP-100765</t>
  </si>
  <si>
    <t xml:space="preserve">29.5 Kg </t>
  </si>
  <si>
    <t>₹1,480</t>
  </si>
  <si>
    <t>SHP-101105</t>
  </si>
  <si>
    <t>05-May-2024</t>
  </si>
  <si>
    <t>29.8KG</t>
  </si>
  <si>
    <t>800</t>
  </si>
  <si>
    <t>SHP-100564</t>
  </si>
  <si>
    <t xml:space="preserve">7.2 Kg </t>
  </si>
  <si>
    <t>₹131</t>
  </si>
  <si>
    <t>SHP-100927</t>
  </si>
  <si>
    <t>1.1kg</t>
  </si>
  <si>
    <t>₹207</t>
  </si>
  <si>
    <t>SHP-100750</t>
  </si>
  <si>
    <t xml:space="preserve">78.5 Kg </t>
  </si>
  <si>
    <t>₹3,654</t>
  </si>
  <si>
    <t>SHP-101131</t>
  </si>
  <si>
    <t>2024-05-19</t>
  </si>
  <si>
    <t xml:space="preserve">2.2 Kg </t>
  </si>
  <si>
    <t>206</t>
  </si>
  <si>
    <t>2024-05-30</t>
  </si>
  <si>
    <t>SHP-100551</t>
  </si>
  <si>
    <t>automotive  parts</t>
  </si>
  <si>
    <t>6.3</t>
  </si>
  <si>
    <t>SHP-100058</t>
  </si>
  <si>
    <t xml:space="preserve">45.8 Kg </t>
  </si>
  <si>
    <t>₹2,215</t>
  </si>
  <si>
    <t>2024-04-10</t>
  </si>
  <si>
    <t>SHP-101134</t>
  </si>
  <si>
    <t>2.5kg</t>
  </si>
  <si>
    <t>₹302</t>
  </si>
  <si>
    <t>SHP-100623</t>
  </si>
  <si>
    <t>₹844</t>
  </si>
  <si>
    <t>2024-05-27</t>
  </si>
  <si>
    <t>SHP-100253</t>
  </si>
  <si>
    <t>33.7KG</t>
  </si>
  <si>
    <t>₹597</t>
  </si>
  <si>
    <t>28-Jan-2024</t>
  </si>
  <si>
    <t>SHP-100593</t>
  </si>
  <si>
    <t>03-May-2024</t>
  </si>
  <si>
    <t>14.5kg</t>
  </si>
  <si>
    <t xml:space="preserve">Rs 822 </t>
  </si>
  <si>
    <t>SHP-100021</t>
  </si>
  <si>
    <t xml:space="preserve"> 24/03/2024 </t>
  </si>
  <si>
    <t>21.5</t>
  </si>
  <si>
    <t>SHP-100486</t>
  </si>
  <si>
    <t>05/05/2024</t>
  </si>
  <si>
    <t>53.1KG</t>
  </si>
  <si>
    <t xml:space="preserve">Rs 1341 </t>
  </si>
  <si>
    <t>SHP-100323</t>
  </si>
  <si>
    <t>4.2</t>
  </si>
  <si>
    <t>16-Jan-2024</t>
  </si>
  <si>
    <t>SHP-101216</t>
  </si>
  <si>
    <t xml:space="preserve"> 02/04/2024 </t>
  </si>
  <si>
    <t>18.3</t>
  </si>
  <si>
    <t>₹815</t>
  </si>
  <si>
    <t>2024-04-04</t>
  </si>
  <si>
    <t>SHP-101405</t>
  </si>
  <si>
    <t xml:space="preserve">Rs 916 </t>
  </si>
  <si>
    <t>SHP-100326</t>
  </si>
  <si>
    <t>39.3kg</t>
  </si>
  <si>
    <t>₹1,945</t>
  </si>
  <si>
    <t>SHP-101020</t>
  </si>
  <si>
    <t>8.7</t>
  </si>
  <si>
    <t>SHP-101175</t>
  </si>
  <si>
    <t xml:space="preserve">0.9 Kg </t>
  </si>
  <si>
    <t>147</t>
  </si>
  <si>
    <t>SHP-100560</t>
  </si>
  <si>
    <t>3.1kg</t>
  </si>
  <si>
    <t xml:space="preserve">Rs 325 </t>
  </si>
  <si>
    <t xml:space="preserve"> 19/01/2024 </t>
  </si>
  <si>
    <t>SHP-100707</t>
  </si>
  <si>
    <t>19.5KG</t>
  </si>
  <si>
    <t>₹301</t>
  </si>
  <si>
    <t>2024-04-07</t>
  </si>
  <si>
    <t>SHP-100359</t>
  </si>
  <si>
    <t>1.6KG</t>
  </si>
  <si>
    <t xml:space="preserve">Rs 221 </t>
  </si>
  <si>
    <t>SHP-100234</t>
  </si>
  <si>
    <t xml:space="preserve"> 09/04/2024 </t>
  </si>
  <si>
    <t>₹179</t>
  </si>
  <si>
    <t>SHP-100470</t>
  </si>
  <si>
    <t>GROCERY  &amp; FMCG</t>
  </si>
  <si>
    <t>20.0</t>
  </si>
  <si>
    <t xml:space="preserve">Rs 448 </t>
  </si>
  <si>
    <t>SHP-100717</t>
  </si>
  <si>
    <t>17-May-2024</t>
  </si>
  <si>
    <t xml:space="preserve">Rs 248 </t>
  </si>
  <si>
    <t>SHP-101480</t>
  </si>
  <si>
    <t>2024-03-03</t>
  </si>
  <si>
    <t>14.5KG</t>
  </si>
  <si>
    <t>326</t>
  </si>
  <si>
    <t>SHP-100442</t>
  </si>
  <si>
    <t>₹235</t>
  </si>
  <si>
    <t>SHP-100664</t>
  </si>
  <si>
    <t>2024-02-27</t>
  </si>
  <si>
    <t xml:space="preserve">11.3 Kg </t>
  </si>
  <si>
    <t>369</t>
  </si>
  <si>
    <t>SHP-100408</t>
  </si>
  <si>
    <t>16.5KG</t>
  </si>
  <si>
    <t>271</t>
  </si>
  <si>
    <t>SHP-101292</t>
  </si>
  <si>
    <t>09-Jun-2024</t>
  </si>
  <si>
    <t xml:space="preserve">12.0 Kg </t>
  </si>
  <si>
    <t>454</t>
  </si>
  <si>
    <t>SHP-100050</t>
  </si>
  <si>
    <t>4.4</t>
  </si>
  <si>
    <t>SHP-100776</t>
  </si>
  <si>
    <t>34.6kg</t>
  </si>
  <si>
    <t>1,540</t>
  </si>
  <si>
    <t>SHP-100896</t>
  </si>
  <si>
    <t>10/02/2024</t>
  </si>
  <si>
    <t>18.0KG</t>
  </si>
  <si>
    <t>₹596</t>
  </si>
  <si>
    <t>16/02/2024</t>
  </si>
  <si>
    <t>SHP-100304</t>
  </si>
  <si>
    <t>28-May-2024</t>
  </si>
  <si>
    <t>5.8</t>
  </si>
  <si>
    <t xml:space="preserve">Rs 290 </t>
  </si>
  <si>
    <t>SHP-100555</t>
  </si>
  <si>
    <t>23.6KG</t>
  </si>
  <si>
    <t>₹506</t>
  </si>
  <si>
    <t>SHP-100286</t>
  </si>
  <si>
    <t>26.1kg</t>
  </si>
  <si>
    <t xml:space="preserve">Rs 1149 </t>
  </si>
  <si>
    <t>SHP-101445</t>
  </si>
  <si>
    <t xml:space="preserve"> 11/03/2024 </t>
  </si>
  <si>
    <t>10.2KG</t>
  </si>
  <si>
    <t>₹484</t>
  </si>
  <si>
    <t>SHP-100241</t>
  </si>
  <si>
    <t>SHP-100150</t>
  </si>
  <si>
    <t>SHP-100029</t>
  </si>
  <si>
    <t xml:space="preserve">11.5 Kg </t>
  </si>
  <si>
    <t>173</t>
  </si>
  <si>
    <t>SHP-100139</t>
  </si>
  <si>
    <t>27.1kg</t>
  </si>
  <si>
    <t>517</t>
  </si>
  <si>
    <t>SHP-101106</t>
  </si>
  <si>
    <t>05-Mar-2024</t>
  </si>
  <si>
    <t>35.0KG</t>
  </si>
  <si>
    <t>947</t>
  </si>
  <si>
    <t>SHP-100446</t>
  </si>
  <si>
    <t>22/01/2024</t>
  </si>
  <si>
    <t>19.3KG</t>
  </si>
  <si>
    <t>574</t>
  </si>
  <si>
    <t>SHP-100157</t>
  </si>
  <si>
    <t xml:space="preserve">14.4 Kg </t>
  </si>
  <si>
    <t>388</t>
  </si>
  <si>
    <t xml:space="preserve"> 12/06/2024 </t>
  </si>
  <si>
    <t>SHP-100158</t>
  </si>
  <si>
    <t>48.1kg</t>
  </si>
  <si>
    <t>₹841</t>
  </si>
  <si>
    <t>21/02/2024</t>
  </si>
  <si>
    <t>SHP-101321</t>
  </si>
  <si>
    <t>1.0</t>
  </si>
  <si>
    <t>179</t>
  </si>
  <si>
    <t>SHP-100692</t>
  </si>
  <si>
    <t>28.4kg</t>
  </si>
  <si>
    <t>₹456</t>
  </si>
  <si>
    <t>SHP-101013</t>
  </si>
  <si>
    <t>119</t>
  </si>
  <si>
    <t>SHP-100221</t>
  </si>
  <si>
    <t>2024-01-25</t>
  </si>
  <si>
    <t>6.7</t>
  </si>
  <si>
    <t>SHP-100705</t>
  </si>
  <si>
    <t>1.7</t>
  </si>
  <si>
    <t>SHP-100541</t>
  </si>
  <si>
    <t>31.8KG</t>
  </si>
  <si>
    <t>824</t>
  </si>
  <si>
    <t xml:space="preserve"> 06/04/2024 </t>
  </si>
  <si>
    <t>SHP-100988</t>
  </si>
  <si>
    <t>SHP-100144</t>
  </si>
  <si>
    <t>₹847</t>
  </si>
  <si>
    <t>SHP-100632</t>
  </si>
  <si>
    <t xml:space="preserve">Rs 350 </t>
  </si>
  <si>
    <t>SHP-100701</t>
  </si>
  <si>
    <t>339</t>
  </si>
  <si>
    <t>SHP-100191</t>
  </si>
  <si>
    <t xml:space="preserve"> 17/04/2024 </t>
  </si>
  <si>
    <t>₹285</t>
  </si>
  <si>
    <t>01-May-2024</t>
  </si>
  <si>
    <t>SHP-100212</t>
  </si>
  <si>
    <t xml:space="preserve">Rs 275 </t>
  </si>
  <si>
    <t>2024-05-17</t>
  </si>
  <si>
    <t>SHP-100698</t>
  </si>
  <si>
    <t>2024-01-27</t>
  </si>
  <si>
    <t>2.9KG</t>
  </si>
  <si>
    <t>₹96</t>
  </si>
  <si>
    <t>SHP-100520</t>
  </si>
  <si>
    <t>11-May-2024</t>
  </si>
  <si>
    <t>SHP-100762</t>
  </si>
  <si>
    <t>03/06/2024</t>
  </si>
  <si>
    <t>511</t>
  </si>
  <si>
    <t>SHP-100904</t>
  </si>
  <si>
    <t>23.8kg</t>
  </si>
  <si>
    <t xml:space="preserve">Rs 715 </t>
  </si>
  <si>
    <t>2024-03-27</t>
  </si>
  <si>
    <t>SHP-100307</t>
  </si>
  <si>
    <t>10.6</t>
  </si>
  <si>
    <t>145</t>
  </si>
  <si>
    <t>SHP-101337</t>
  </si>
  <si>
    <t>₹328</t>
  </si>
  <si>
    <t>12-Feb-2024</t>
  </si>
  <si>
    <t>SHP-100906</t>
  </si>
  <si>
    <t xml:space="preserve">Rs 719 </t>
  </si>
  <si>
    <t>2024-06-17</t>
  </si>
  <si>
    <t>SHP-100899</t>
  </si>
  <si>
    <t>16.2KG</t>
  </si>
  <si>
    <t>₹361</t>
  </si>
  <si>
    <t>26-Feb-2024</t>
  </si>
  <si>
    <t>SHP-100259</t>
  </si>
  <si>
    <t>14.8KG</t>
  </si>
  <si>
    <t>371</t>
  </si>
  <si>
    <t>SHP-101489</t>
  </si>
  <si>
    <t xml:space="preserve">56.0 Kg </t>
  </si>
  <si>
    <t>₹1,422</t>
  </si>
  <si>
    <t>SHP-100427</t>
  </si>
  <si>
    <t>17.9kg</t>
  </si>
  <si>
    <t>440</t>
  </si>
  <si>
    <t>09/05/2024</t>
  </si>
  <si>
    <t>SHP-100677</t>
  </si>
  <si>
    <t>6.4KG</t>
  </si>
  <si>
    <t>₹281</t>
  </si>
  <si>
    <t>SHP-100239</t>
  </si>
  <si>
    <t>SHP-100852</t>
  </si>
  <si>
    <t xml:space="preserve">Rs 93 </t>
  </si>
  <si>
    <t>SHP-100377</t>
  </si>
  <si>
    <t>8.0</t>
  </si>
  <si>
    <t>537</t>
  </si>
  <si>
    <t>SHP-101317</t>
  </si>
  <si>
    <t xml:space="preserve">Rs 353 </t>
  </si>
  <si>
    <t>SHP-101416</t>
  </si>
  <si>
    <t>₹201</t>
  </si>
  <si>
    <t>30-Apr-2024</t>
  </si>
  <si>
    <t>SHP-100378</t>
  </si>
  <si>
    <t>₹258</t>
  </si>
  <si>
    <t>SHP-101455</t>
  </si>
  <si>
    <t>3.8kg</t>
  </si>
  <si>
    <t>SHP-100609</t>
  </si>
  <si>
    <t>237</t>
  </si>
  <si>
    <t>30/05/2024</t>
  </si>
  <si>
    <t>SHP-100873</t>
  </si>
  <si>
    <t xml:space="preserve">14.6 Kg </t>
  </si>
  <si>
    <t>₹685</t>
  </si>
  <si>
    <t>SHP-100985</t>
  </si>
  <si>
    <t>22.0KG</t>
  </si>
  <si>
    <t>₹312</t>
  </si>
  <si>
    <t>SHP-100395</t>
  </si>
  <si>
    <t>26-Jan-2024</t>
  </si>
  <si>
    <t xml:space="preserve"> 07/02/2024 </t>
  </si>
  <si>
    <t>SHP-101312</t>
  </si>
  <si>
    <t>16.3</t>
  </si>
  <si>
    <t>545</t>
  </si>
  <si>
    <t>SHP-101331</t>
  </si>
  <si>
    <t>₹743</t>
  </si>
  <si>
    <t>SHP-101239</t>
  </si>
  <si>
    <t xml:space="preserve"> 26/05/2024 </t>
  </si>
  <si>
    <t>₹486</t>
  </si>
  <si>
    <t>SHP-100020</t>
  </si>
  <si>
    <t>16/01/2024</t>
  </si>
  <si>
    <t xml:space="preserve">58.0 Kg </t>
  </si>
  <si>
    <t>2,769</t>
  </si>
  <si>
    <t>SHP-100656</t>
  </si>
  <si>
    <t>₹222</t>
  </si>
  <si>
    <t>SHP-100531</t>
  </si>
  <si>
    <t>SHP-100571</t>
  </si>
  <si>
    <t>2024-01-03</t>
  </si>
  <si>
    <t>364</t>
  </si>
  <si>
    <t>SHP-100893</t>
  </si>
  <si>
    <t xml:space="preserve">Rs 163 </t>
  </si>
  <si>
    <t>SHP-101111</t>
  </si>
  <si>
    <t>417</t>
  </si>
  <si>
    <t>20-Mar-2024</t>
  </si>
  <si>
    <t>SHP-101372</t>
  </si>
  <si>
    <t>14.3kg</t>
  </si>
  <si>
    <t>₹671</t>
  </si>
  <si>
    <t>SHP-100185</t>
  </si>
  <si>
    <t xml:space="preserve">2.9 Kg </t>
  </si>
  <si>
    <t xml:space="preserve">Rs 190 </t>
  </si>
  <si>
    <t>2024-04-01</t>
  </si>
  <si>
    <t>SHP-101313</t>
  </si>
  <si>
    <t>1.4KG</t>
  </si>
  <si>
    <t>201</t>
  </si>
  <si>
    <t>SHP-100160</t>
  </si>
  <si>
    <t xml:space="preserve">4.1 Kg </t>
  </si>
  <si>
    <t>SHP-100871</t>
  </si>
  <si>
    <t>2024-02-07</t>
  </si>
  <si>
    <t xml:space="preserve">1.9 Kg </t>
  </si>
  <si>
    <t xml:space="preserve">Rs 192 </t>
  </si>
  <si>
    <t>2024-02-14</t>
  </si>
  <si>
    <t>SHP-100997</t>
  </si>
  <si>
    <t>21.9KG</t>
  </si>
  <si>
    <t>₹462</t>
  </si>
  <si>
    <t xml:space="preserve"> 30/06/2024 </t>
  </si>
  <si>
    <t>SHP-101384</t>
  </si>
  <si>
    <t>12-Apr-2024</t>
  </si>
  <si>
    <t xml:space="preserve">Rs 434 </t>
  </si>
  <si>
    <t>SHP-101536</t>
  </si>
  <si>
    <t>SHP-101520</t>
  </si>
  <si>
    <t>SHP-101505</t>
  </si>
  <si>
    <t xml:space="preserve">3.7 Kg </t>
  </si>
  <si>
    <t>₹315</t>
  </si>
  <si>
    <t xml:space="preserve"> 01/07/2024 </t>
  </si>
  <si>
    <t>SHP-101005</t>
  </si>
  <si>
    <t>36.0</t>
  </si>
  <si>
    <t>974</t>
  </si>
  <si>
    <t xml:space="preserve"> 16/02/2024 </t>
  </si>
  <si>
    <t>SHP-100127</t>
  </si>
  <si>
    <t>2024-03-07</t>
  </si>
  <si>
    <t>₹337</t>
  </si>
  <si>
    <t>SHP-101319</t>
  </si>
  <si>
    <t>386</t>
  </si>
  <si>
    <t xml:space="preserve"> 07/05/2024 </t>
  </si>
  <si>
    <t>SHP-100943</t>
  </si>
  <si>
    <t>1.7KG</t>
  </si>
  <si>
    <t>253</t>
  </si>
  <si>
    <t>SHP-101507</t>
  </si>
  <si>
    <t xml:space="preserve">Rs 341 </t>
  </si>
  <si>
    <t>17/02/2024</t>
  </si>
  <si>
    <t>SHP-100341</t>
  </si>
  <si>
    <t>5.3</t>
  </si>
  <si>
    <t>₹174</t>
  </si>
  <si>
    <t>2024-06-07</t>
  </si>
  <si>
    <t>SHP-100014</t>
  </si>
  <si>
    <t>8.7KG</t>
  </si>
  <si>
    <t>287</t>
  </si>
  <si>
    <t>SHP-100984</t>
  </si>
  <si>
    <t>6.6KG</t>
  </si>
  <si>
    <t xml:space="preserve"> 16/04/2024 </t>
  </si>
  <si>
    <t>Returned</t>
  </si>
  <si>
    <t>SHP-100194</t>
  </si>
  <si>
    <t>71.3kg</t>
  </si>
  <si>
    <t>1,176</t>
  </si>
  <si>
    <t>SHP-100612</t>
  </si>
  <si>
    <t>2024-05-20</t>
  </si>
  <si>
    <t>10.1kg</t>
  </si>
  <si>
    <t xml:space="preserve">Rs 140 </t>
  </si>
  <si>
    <t>SHP-100994</t>
  </si>
  <si>
    <t>222</t>
  </si>
  <si>
    <t>SHP-100804</t>
  </si>
  <si>
    <t>2024-01-07</t>
  </si>
  <si>
    <t>29.3kg</t>
  </si>
  <si>
    <t xml:space="preserve">Rs 778 </t>
  </si>
  <si>
    <t xml:space="preserve"> 21/01/2024 </t>
  </si>
  <si>
    <t>SHP-100264</t>
  </si>
  <si>
    <t xml:space="preserve"> 01/01/2024 </t>
  </si>
  <si>
    <t>₹226</t>
  </si>
  <si>
    <t>14/01/2024</t>
  </si>
  <si>
    <t>SHP-100113</t>
  </si>
  <si>
    <t>16.6</t>
  </si>
  <si>
    <t>374</t>
  </si>
  <si>
    <t>2024-06-13</t>
  </si>
  <si>
    <t>SHP-100340</t>
  </si>
  <si>
    <t>57.5kg</t>
  </si>
  <si>
    <t>1,268</t>
  </si>
  <si>
    <t>SHP-100188</t>
  </si>
  <si>
    <t>3.3kg</t>
  </si>
  <si>
    <t>113</t>
  </si>
  <si>
    <t>SHP-100775</t>
  </si>
  <si>
    <t>62.1KG</t>
  </si>
  <si>
    <t>1,544</t>
  </si>
  <si>
    <t>In-Transit</t>
  </si>
  <si>
    <t>SHP-100828</t>
  </si>
  <si>
    <t>9.6kg</t>
  </si>
  <si>
    <t>SHP-100731</t>
  </si>
  <si>
    <t>₹238</t>
  </si>
  <si>
    <t>SHP-100822</t>
  </si>
  <si>
    <t>8.5</t>
  </si>
  <si>
    <t>2024-04-25</t>
  </si>
  <si>
    <t>SHP-101522</t>
  </si>
  <si>
    <t>3.5kg</t>
  </si>
  <si>
    <t>306</t>
  </si>
  <si>
    <t>SHP-100195</t>
  </si>
  <si>
    <t xml:space="preserve">7.6 Kg </t>
  </si>
  <si>
    <t>SHP-100738</t>
  </si>
  <si>
    <t>2024-05-23</t>
  </si>
  <si>
    <t xml:space="preserve">Rs 127 </t>
  </si>
  <si>
    <t>SHP-100374</t>
  </si>
  <si>
    <t xml:space="preserve">15.9 Kg </t>
  </si>
  <si>
    <t>524</t>
  </si>
  <si>
    <t>01/02/2024</t>
  </si>
  <si>
    <t>SHP-101152</t>
  </si>
  <si>
    <t>6.5kg</t>
  </si>
  <si>
    <t>SHP-100544</t>
  </si>
  <si>
    <t>₹262</t>
  </si>
  <si>
    <t>SHP-101495</t>
  </si>
  <si>
    <t>SHP-101048</t>
  </si>
  <si>
    <t xml:space="preserve">Rs 578 </t>
  </si>
  <si>
    <t>SHP-100344</t>
  </si>
  <si>
    <t xml:space="preserve"> 05/04/2024 </t>
  </si>
  <si>
    <t>19.2kg</t>
  </si>
  <si>
    <t>551</t>
  </si>
  <si>
    <t>SHP-100108</t>
  </si>
  <si>
    <t>4.1</t>
  </si>
  <si>
    <t>255</t>
  </si>
  <si>
    <t>SHP-101391</t>
  </si>
  <si>
    <t>21.3KG</t>
  </si>
  <si>
    <t>428</t>
  </si>
  <si>
    <t>31-May-2024</t>
  </si>
  <si>
    <t>SHP-100247</t>
  </si>
  <si>
    <t>07-Jan-2024</t>
  </si>
  <si>
    <t xml:space="preserve">5.5 Kg </t>
  </si>
  <si>
    <t>₹405</t>
  </si>
  <si>
    <t>SHP-100398</t>
  </si>
  <si>
    <t xml:space="preserve">17.9 Kg </t>
  </si>
  <si>
    <t>826</t>
  </si>
  <si>
    <t>SHP-100306</t>
  </si>
  <si>
    <t xml:space="preserve">76.5 Kg </t>
  </si>
  <si>
    <t>3,570</t>
  </si>
  <si>
    <t>07-Feb-2024</t>
  </si>
  <si>
    <t>SHP-100961</t>
  </si>
  <si>
    <t xml:space="preserve"> 11/05/2024 </t>
  </si>
  <si>
    <t>₹640</t>
  </si>
  <si>
    <t>SHP-100485</t>
  </si>
  <si>
    <t>₹118</t>
  </si>
  <si>
    <t xml:space="preserve"> 20/03/2024 </t>
  </si>
  <si>
    <t>SHP-101236</t>
  </si>
  <si>
    <t xml:space="preserve">Rs 208 </t>
  </si>
  <si>
    <t>SHP-100104</t>
  </si>
  <si>
    <t>251</t>
  </si>
  <si>
    <t>30-Mar-2024</t>
  </si>
  <si>
    <t>SHP-101316</t>
  </si>
  <si>
    <t>10.5kg</t>
  </si>
  <si>
    <t xml:space="preserve">Rs 406 </t>
  </si>
  <si>
    <t>SHP-100608</t>
  </si>
  <si>
    <t>10/01/2024</t>
  </si>
  <si>
    <t>59.7</t>
  </si>
  <si>
    <t xml:space="preserve">Rs 870 </t>
  </si>
  <si>
    <t>SHP-100031</t>
  </si>
  <si>
    <t xml:space="preserve">17.3 Kg </t>
  </si>
  <si>
    <t>589</t>
  </si>
  <si>
    <t>SHP-100065</t>
  </si>
  <si>
    <t>11.9KG</t>
  </si>
  <si>
    <t xml:space="preserve">Rs 685 </t>
  </si>
  <si>
    <t>SHP-101132</t>
  </si>
  <si>
    <t>14/06/2024</t>
  </si>
  <si>
    <t xml:space="preserve">Rs 281 </t>
  </si>
  <si>
    <t>SHP-101120</t>
  </si>
  <si>
    <t xml:space="preserve"> 07/04/2024 </t>
  </si>
  <si>
    <t>2.2kg</t>
  </si>
  <si>
    <t>2024-04-14</t>
  </si>
  <si>
    <t>SHP-100056</t>
  </si>
  <si>
    <t>2024-04-27</t>
  </si>
  <si>
    <t xml:space="preserve">27.4 Kg </t>
  </si>
  <si>
    <t xml:space="preserve"> 04/05/2024 </t>
  </si>
  <si>
    <t>SHP-100012</t>
  </si>
  <si>
    <t xml:space="preserve">9.5 Kg </t>
  </si>
  <si>
    <t>329</t>
  </si>
  <si>
    <t>2024-05-05</t>
  </si>
  <si>
    <t>SHP-101229</t>
  </si>
  <si>
    <t xml:space="preserve">Rs 106 </t>
  </si>
  <si>
    <t>SHP-100735</t>
  </si>
  <si>
    <t>₹320</t>
  </si>
  <si>
    <t>SHP-101556</t>
  </si>
  <si>
    <t>0.9kg</t>
  </si>
  <si>
    <t>₹249</t>
  </si>
  <si>
    <t>SHP-100967</t>
  </si>
  <si>
    <t>2024-06-20</t>
  </si>
  <si>
    <t>3.2kg</t>
  </si>
  <si>
    <t xml:space="preserve">Rs 206 </t>
  </si>
  <si>
    <t>SHP-100312</t>
  </si>
  <si>
    <t>55.9kg</t>
  </si>
  <si>
    <t>₹928</t>
  </si>
  <si>
    <t>SHP-101508</t>
  </si>
  <si>
    <t>2.3kg</t>
  </si>
  <si>
    <t xml:space="preserve"> 16/06/2024 </t>
  </si>
  <si>
    <t>SHP-101024</t>
  </si>
  <si>
    <t>22-May-2024</t>
  </si>
  <si>
    <t>22.4kg</t>
  </si>
  <si>
    <t>478</t>
  </si>
  <si>
    <t>31/05/2024</t>
  </si>
  <si>
    <t>SHP-101199</t>
  </si>
  <si>
    <t>SHP-100769</t>
  </si>
  <si>
    <t>₹219</t>
  </si>
  <si>
    <t>SHP-101526</t>
  </si>
  <si>
    <t>466</t>
  </si>
  <si>
    <t>SHP-101449</t>
  </si>
  <si>
    <t>₹169</t>
  </si>
  <si>
    <t>SHP-101143</t>
  </si>
  <si>
    <t>12.2</t>
  </si>
  <si>
    <t>461</t>
  </si>
  <si>
    <t>SHP-100346</t>
  </si>
  <si>
    <t>32.9kg</t>
  </si>
  <si>
    <t>SHP-100130</t>
  </si>
  <si>
    <t>SHP-100727</t>
  </si>
  <si>
    <t xml:space="preserve">Rs 279 </t>
  </si>
  <si>
    <t>SHP-100786</t>
  </si>
  <si>
    <t xml:space="preserve">14.0 Kg </t>
  </si>
  <si>
    <t>₹355</t>
  </si>
  <si>
    <t>SHP-101478</t>
  </si>
  <si>
    <t>57.3</t>
  </si>
  <si>
    <t xml:space="preserve">Rs 1391 </t>
  </si>
  <si>
    <t>SHP-101381</t>
  </si>
  <si>
    <t>SHP-101534</t>
  </si>
  <si>
    <t xml:space="preserve"> 15/05/2024 </t>
  </si>
  <si>
    <t>44.7kg</t>
  </si>
  <si>
    <t>2,035</t>
  </si>
  <si>
    <t>SHP-100651</t>
  </si>
  <si>
    <t xml:space="preserve">Rs 139 </t>
  </si>
  <si>
    <t>SHP-101064</t>
  </si>
  <si>
    <t>30.4</t>
  </si>
  <si>
    <t>₹792</t>
  </si>
  <si>
    <t xml:space="preserve"> 29/03/2024 </t>
  </si>
  <si>
    <t>SHP-100538</t>
  </si>
  <si>
    <t xml:space="preserve">25.3 Kg </t>
  </si>
  <si>
    <t>1,333</t>
  </si>
  <si>
    <t>SHP-100207</t>
  </si>
  <si>
    <t xml:space="preserve"> 06/01/2024 </t>
  </si>
  <si>
    <t>1.3KG</t>
  </si>
  <si>
    <t>20/01/2024</t>
  </si>
  <si>
    <t>SHP-101015</t>
  </si>
  <si>
    <t>20-Jun-2024</t>
  </si>
  <si>
    <t>SHP-101440</t>
  </si>
  <si>
    <t xml:space="preserve"> 09/01/2024 </t>
  </si>
  <si>
    <t xml:space="preserve">0.6 Kg </t>
  </si>
  <si>
    <t>SHP-101170</t>
  </si>
  <si>
    <t>10.8kg</t>
  </si>
  <si>
    <t>SHP-100887</t>
  </si>
  <si>
    <t>SHP-100134</t>
  </si>
  <si>
    <t>₹442</t>
  </si>
  <si>
    <t>05/02/2024</t>
  </si>
  <si>
    <t>SHP-101383</t>
  </si>
  <si>
    <t xml:space="preserve">50.6 Kg </t>
  </si>
  <si>
    <t>₹2,470</t>
  </si>
  <si>
    <t>SHP-100935</t>
  </si>
  <si>
    <t>53.2kg</t>
  </si>
  <si>
    <t>1,312</t>
  </si>
  <si>
    <t>SHP-100502</t>
  </si>
  <si>
    <t>16.1kg</t>
  </si>
  <si>
    <t>₹891</t>
  </si>
  <si>
    <t>SHP-100524</t>
  </si>
  <si>
    <t>2024-02-22</t>
  </si>
  <si>
    <t>36.4</t>
  </si>
  <si>
    <t>942</t>
  </si>
  <si>
    <t>27-Feb-2024</t>
  </si>
  <si>
    <t>SHP-101425</t>
  </si>
  <si>
    <t>1.5kg</t>
  </si>
  <si>
    <t>SHP-100710</t>
  </si>
  <si>
    <t>5.0kg</t>
  </si>
  <si>
    <t>202</t>
  </si>
  <si>
    <t>SHP-100297</t>
  </si>
  <si>
    <t xml:space="preserve">3.1 Kg </t>
  </si>
  <si>
    <t>SHP-101147</t>
  </si>
  <si>
    <t>₹155</t>
  </si>
  <si>
    <t>SHP-101183</t>
  </si>
  <si>
    <t xml:space="preserve">Rs 193 </t>
  </si>
  <si>
    <t>SHP-100313</t>
  </si>
  <si>
    <t xml:space="preserve">8.0 Kg </t>
  </si>
  <si>
    <t>SHP-100962</t>
  </si>
  <si>
    <t>318</t>
  </si>
  <si>
    <t>SHP-101379</t>
  </si>
  <si>
    <t>₹111</t>
  </si>
  <si>
    <t>SHP-100829</t>
  </si>
  <si>
    <t>2024-01-01</t>
  </si>
  <si>
    <t xml:space="preserve">64.5 Kg </t>
  </si>
  <si>
    <t xml:space="preserve">Rs 3105 </t>
  </si>
  <si>
    <t>SHP-100477</t>
  </si>
  <si>
    <t>20/03/2024</t>
  </si>
  <si>
    <t>SHP-100746</t>
  </si>
  <si>
    <t xml:space="preserve">1.4 Kg </t>
  </si>
  <si>
    <t>165</t>
  </si>
  <si>
    <t>SHP-101031</t>
  </si>
  <si>
    <t>161</t>
  </si>
  <si>
    <t>SHP-100673</t>
  </si>
  <si>
    <t>11.4kg</t>
  </si>
  <si>
    <t xml:space="preserve">Rs 346 </t>
  </si>
  <si>
    <t xml:space="preserve"> 05/05/2024 </t>
  </si>
  <si>
    <t>SHP-100585</t>
  </si>
  <si>
    <t xml:space="preserve">13.4 Kg </t>
  </si>
  <si>
    <t>286</t>
  </si>
  <si>
    <t>SHP-100492</t>
  </si>
  <si>
    <t xml:space="preserve">46.6 Kg </t>
  </si>
  <si>
    <t xml:space="preserve">Rs 627 </t>
  </si>
  <si>
    <t>SHP-101280</t>
  </si>
  <si>
    <t xml:space="preserve">20.1 Kg </t>
  </si>
  <si>
    <t>SHP-101220</t>
  </si>
  <si>
    <t>1.3kg</t>
  </si>
  <si>
    <t xml:space="preserve">Rs 117 </t>
  </si>
  <si>
    <t>SHP-101373</t>
  </si>
  <si>
    <t>₹1,630</t>
  </si>
  <si>
    <t>SHP-100070</t>
  </si>
  <si>
    <t>22-Feb-2024</t>
  </si>
  <si>
    <t>5.6KG</t>
  </si>
  <si>
    <t>SHP-101096</t>
  </si>
  <si>
    <t>SHP-101164</t>
  </si>
  <si>
    <t xml:space="preserve">25.5 Kg </t>
  </si>
  <si>
    <t>711</t>
  </si>
  <si>
    <t>SHP-100884</t>
  </si>
  <si>
    <t xml:space="preserve">21.7 Kg </t>
  </si>
  <si>
    <t xml:space="preserve">Rs 478 </t>
  </si>
  <si>
    <t>SHP-101232</t>
  </si>
  <si>
    <t xml:space="preserve">16.0 Kg </t>
  </si>
  <si>
    <t xml:space="preserve">Rs 427 </t>
  </si>
  <si>
    <t>2024-05-16</t>
  </si>
  <si>
    <t>SHP-100028</t>
  </si>
  <si>
    <t>37.5KG</t>
  </si>
  <si>
    <t>1,012</t>
  </si>
  <si>
    <t>SHP-101262</t>
  </si>
  <si>
    <t>27.4KG</t>
  </si>
  <si>
    <t>₹415</t>
  </si>
  <si>
    <t>SHP-101357</t>
  </si>
  <si>
    <t xml:space="preserve">Rs 245 </t>
  </si>
  <si>
    <t>SHP-100759</t>
  </si>
  <si>
    <t>SHP-100480</t>
  </si>
  <si>
    <t xml:space="preserve">Rs 313 </t>
  </si>
  <si>
    <t>SHP-101532</t>
  </si>
  <si>
    <t>407</t>
  </si>
  <si>
    <t>SHP-100051</t>
  </si>
  <si>
    <t>12.3KG</t>
  </si>
  <si>
    <t>349</t>
  </si>
  <si>
    <t xml:space="preserve"> 30/05/2024 </t>
  </si>
  <si>
    <t>SHP-100903</t>
  </si>
  <si>
    <t>08-Jun-2024</t>
  </si>
  <si>
    <t>₹295</t>
  </si>
  <si>
    <t>SHP-100300</t>
  </si>
  <si>
    <t>0.9</t>
  </si>
  <si>
    <t>₹164</t>
  </si>
  <si>
    <t>SHP-100652</t>
  </si>
  <si>
    <t xml:space="preserve">Rs 259 </t>
  </si>
  <si>
    <t xml:space="preserve"> 25/04/2024 </t>
  </si>
  <si>
    <t>SHP-100345</t>
  </si>
  <si>
    <t>4.8KG</t>
  </si>
  <si>
    <t>₹230</t>
  </si>
  <si>
    <t>SHP-101309</t>
  </si>
  <si>
    <t xml:space="preserve">23.0 Kg </t>
  </si>
  <si>
    <t>1,221</t>
  </si>
  <si>
    <t>SHP-100122</t>
  </si>
  <si>
    <t xml:space="preserve">Rs 743 </t>
  </si>
  <si>
    <t>SHP-100272</t>
  </si>
  <si>
    <t>31.1</t>
  </si>
  <si>
    <t>592</t>
  </si>
  <si>
    <t>SHP-100687</t>
  </si>
  <si>
    <t>₹483</t>
  </si>
  <si>
    <t>SHP-100989</t>
  </si>
  <si>
    <t>₹414</t>
  </si>
  <si>
    <t>24/05/2024</t>
  </si>
  <si>
    <t>SHP-100467</t>
  </si>
  <si>
    <t xml:space="preserve"> 03/06/2024 </t>
  </si>
  <si>
    <t>7.6</t>
  </si>
  <si>
    <t>SHP-101318</t>
  </si>
  <si>
    <t>18.7</t>
  </si>
  <si>
    <t xml:space="preserve">Rs 572 </t>
  </si>
  <si>
    <t>11-Mar-2024</t>
  </si>
  <si>
    <t>SHP-100642</t>
  </si>
  <si>
    <t>04/01/2024</t>
  </si>
  <si>
    <t>74.6KG</t>
  </si>
  <si>
    <t>₹3,540</t>
  </si>
  <si>
    <t>2024-01-09</t>
  </si>
  <si>
    <t>SHP-101441</t>
  </si>
  <si>
    <t>₹142</t>
  </si>
  <si>
    <t>12/04/2024</t>
  </si>
  <si>
    <t>SHP-101486</t>
  </si>
  <si>
    <t xml:space="preserve">59.1 Kg </t>
  </si>
  <si>
    <t>2,792</t>
  </si>
  <si>
    <t>SHP-100744</t>
  </si>
  <si>
    <t xml:space="preserve"> 17/01/2024 </t>
  </si>
  <si>
    <t>11.9</t>
  </si>
  <si>
    <t xml:space="preserve">Rs 510 </t>
  </si>
  <si>
    <t>SHP-100827</t>
  </si>
  <si>
    <t>10-Feb-2024</t>
  </si>
  <si>
    <t xml:space="preserve">10.7 Kg </t>
  </si>
  <si>
    <t>SHP-100041</t>
  </si>
  <si>
    <t>38.5kg</t>
  </si>
  <si>
    <t>₹729</t>
  </si>
  <si>
    <t>SHP-101453</t>
  </si>
  <si>
    <t>53.8</t>
  </si>
  <si>
    <t>₹2,546</t>
  </si>
  <si>
    <t>11-Apr-2024</t>
  </si>
  <si>
    <t>SHP-100469</t>
  </si>
  <si>
    <t>2.7KG</t>
  </si>
  <si>
    <t>₹161</t>
  </si>
  <si>
    <t>04/04/2024</t>
  </si>
  <si>
    <t>SHP-101098</t>
  </si>
  <si>
    <t>14-Jun-2024</t>
  </si>
  <si>
    <t>SHP-101392</t>
  </si>
  <si>
    <t>₹268</t>
  </si>
  <si>
    <t>2024-02-12</t>
  </si>
  <si>
    <t>SHP-100874</t>
  </si>
  <si>
    <t>13.8KG</t>
  </si>
  <si>
    <t xml:space="preserve">Rs 513 </t>
  </si>
  <si>
    <t>SHP-101202</t>
  </si>
  <si>
    <t>212</t>
  </si>
  <si>
    <t>SHP-100003</t>
  </si>
  <si>
    <t>39.9</t>
  </si>
  <si>
    <t xml:space="preserve">Rs 541 </t>
  </si>
  <si>
    <t>SHP-101428</t>
  </si>
  <si>
    <t>45.5KG</t>
  </si>
  <si>
    <t>₹656</t>
  </si>
  <si>
    <t>SHP-100975</t>
  </si>
  <si>
    <t>19.6kg</t>
  </si>
  <si>
    <t>₹584</t>
  </si>
  <si>
    <t>SHP-100011</t>
  </si>
  <si>
    <t>1.7kg</t>
  </si>
  <si>
    <t xml:space="preserve">Rs 174 </t>
  </si>
  <si>
    <t>SHP-101328</t>
  </si>
  <si>
    <t>10.8KG</t>
  </si>
  <si>
    <t>315</t>
  </si>
  <si>
    <t>SHP-100968</t>
  </si>
  <si>
    <t xml:space="preserve">37.1 Kg </t>
  </si>
  <si>
    <t xml:space="preserve">Rs 977 </t>
  </si>
  <si>
    <t>SHP-100521</t>
  </si>
  <si>
    <t>34.5kg</t>
  </si>
  <si>
    <t>₹776</t>
  </si>
  <si>
    <t>SHP-101230</t>
  </si>
  <si>
    <t>SHP-100631</t>
  </si>
  <si>
    <t>629</t>
  </si>
  <si>
    <t>SHP-100976</t>
  </si>
  <si>
    <t>04-Apr-2024</t>
  </si>
  <si>
    <t>3.4KG</t>
  </si>
  <si>
    <t xml:space="preserve">Rs 209 </t>
  </si>
  <si>
    <t>SHP-100716</t>
  </si>
  <si>
    <t>53.7kg</t>
  </si>
  <si>
    <t>₹2,549</t>
  </si>
  <si>
    <t>SHP-101095</t>
  </si>
  <si>
    <t>7.0kg</t>
  </si>
  <si>
    <t>SHP-100097</t>
  </si>
  <si>
    <t>₹223</t>
  </si>
  <si>
    <t>25-Apr-2024</t>
  </si>
  <si>
    <t>SHP-100678</t>
  </si>
  <si>
    <t>61.8</t>
  </si>
  <si>
    <t>2,906</t>
  </si>
  <si>
    <t>SHP-100970</t>
  </si>
  <si>
    <t xml:space="preserve">1.5 Kg </t>
  </si>
  <si>
    <t>SHP-100700</t>
  </si>
  <si>
    <t xml:space="preserve">34.7 Kg </t>
  </si>
  <si>
    <t>SHP-101009</t>
  </si>
  <si>
    <t xml:space="preserve">20.0 Kg </t>
  </si>
  <si>
    <t xml:space="preserve">Rs 608 </t>
  </si>
  <si>
    <t>SHP-101127</t>
  </si>
  <si>
    <t>₹742</t>
  </si>
  <si>
    <t>SHP-101519</t>
  </si>
  <si>
    <t>SHP-101145</t>
  </si>
  <si>
    <t>384</t>
  </si>
  <si>
    <t>SHP-100948</t>
  </si>
  <si>
    <t>₹289</t>
  </si>
  <si>
    <t>SHP-100518</t>
  </si>
  <si>
    <t>14.8</t>
  </si>
  <si>
    <t>526</t>
  </si>
  <si>
    <t>SHP-100885</t>
  </si>
  <si>
    <t>SHP-100621</t>
  </si>
  <si>
    <t>284</t>
  </si>
  <si>
    <t>SHP-100260</t>
  </si>
  <si>
    <t xml:space="preserve">Rs 992 </t>
  </si>
  <si>
    <t>26/04/2024</t>
  </si>
  <si>
    <t>SHP-100568</t>
  </si>
  <si>
    <t>210</t>
  </si>
  <si>
    <t>SHP-100802</t>
  </si>
  <si>
    <t>16.8</t>
  </si>
  <si>
    <t>880</t>
  </si>
  <si>
    <t>SHP-100711</t>
  </si>
  <si>
    <t xml:space="preserve"> 12/05/2024 </t>
  </si>
  <si>
    <t>9.9</t>
  </si>
  <si>
    <t>₹569</t>
  </si>
  <si>
    <t>SHP-101219</t>
  </si>
  <si>
    <t>9.6KG</t>
  </si>
  <si>
    <t xml:space="preserve">Rs 395 </t>
  </si>
  <si>
    <t xml:space="preserve"> 31/03/2024 </t>
  </si>
  <si>
    <t>SHP-101006</t>
  </si>
  <si>
    <t>30.8KG</t>
  </si>
  <si>
    <t>1,576</t>
  </si>
  <si>
    <t>SHP-100952</t>
  </si>
  <si>
    <t>SHP-100790</t>
  </si>
  <si>
    <t xml:space="preserve">4.5 Kg </t>
  </si>
  <si>
    <t>264</t>
  </si>
  <si>
    <t>SHP-101203</t>
  </si>
  <si>
    <t>₹186</t>
  </si>
  <si>
    <t>SHP-100317</t>
  </si>
  <si>
    <t xml:space="preserve">25.8 Kg </t>
  </si>
  <si>
    <t xml:space="preserve">Rs 1320 </t>
  </si>
  <si>
    <t>SHP-101038</t>
  </si>
  <si>
    <t>12.8</t>
  </si>
  <si>
    <t>₹314</t>
  </si>
  <si>
    <t>08/01/2024</t>
  </si>
  <si>
    <t>SHP-100837</t>
  </si>
  <si>
    <t xml:space="preserve">4.7 Kg </t>
  </si>
  <si>
    <t xml:space="preserve">Rs 403 </t>
  </si>
  <si>
    <t>SHP-101272</t>
  </si>
  <si>
    <t>₹352</t>
  </si>
  <si>
    <t>15/03/2024</t>
  </si>
  <si>
    <t>SHP-101282</t>
  </si>
  <si>
    <t>16.5</t>
  </si>
  <si>
    <t xml:space="preserve">Rs 383 </t>
  </si>
  <si>
    <t>2024-04-03</t>
  </si>
  <si>
    <t>SHP-100574</t>
  </si>
  <si>
    <t xml:space="preserve">Rs 249 </t>
  </si>
  <si>
    <t>SHP-100156</t>
  </si>
  <si>
    <t>17-Mar-2024</t>
  </si>
  <si>
    <t>29.4KG</t>
  </si>
  <si>
    <t>₹836</t>
  </si>
  <si>
    <t xml:space="preserve"> 23/03/2024 </t>
  </si>
  <si>
    <t>SHP-101214</t>
  </si>
  <si>
    <t>SHP-101437</t>
  </si>
  <si>
    <t>79.5</t>
  </si>
  <si>
    <t>₹3,727</t>
  </si>
  <si>
    <t>SHP-101419</t>
  </si>
  <si>
    <t>41.9kg</t>
  </si>
  <si>
    <t>₹771</t>
  </si>
  <si>
    <t>SHP-100063</t>
  </si>
  <si>
    <t>SHP-101059</t>
  </si>
  <si>
    <t>317</t>
  </si>
  <si>
    <t>SHP-100159</t>
  </si>
  <si>
    <t xml:space="preserve">Rs 317 </t>
  </si>
  <si>
    <t>SHP-101542</t>
  </si>
  <si>
    <t>14.0</t>
  </si>
  <si>
    <t>₹770</t>
  </si>
  <si>
    <t xml:space="preserve"> 19/04/2024 </t>
  </si>
  <si>
    <t>SHP-101330</t>
  </si>
  <si>
    <t>₹657</t>
  </si>
  <si>
    <t>SHP-100515</t>
  </si>
  <si>
    <t>₹166</t>
  </si>
  <si>
    <t>SHP-100494</t>
  </si>
  <si>
    <t>6.2KG</t>
  </si>
  <si>
    <t>SHP-100760</t>
  </si>
  <si>
    <t xml:space="preserve">4.3 Kg </t>
  </si>
  <si>
    <t>2024-05-14</t>
  </si>
  <si>
    <t>SHP-100450</t>
  </si>
  <si>
    <t xml:space="preserve">Rs 339 </t>
  </si>
  <si>
    <t>2024-05-31</t>
  </si>
  <si>
    <t>SHP-101140</t>
  </si>
  <si>
    <t>23-Feb-2024</t>
  </si>
  <si>
    <t>2024-02-26</t>
  </si>
  <si>
    <t>SHP-100761</t>
  </si>
  <si>
    <t>6.2</t>
  </si>
  <si>
    <t>2024-03-16</t>
  </si>
  <si>
    <t>SHP-100322</t>
  </si>
  <si>
    <t>5.1</t>
  </si>
  <si>
    <t>262</t>
  </si>
  <si>
    <t>SHP-100980</t>
  </si>
  <si>
    <t>2024-05-18</t>
  </si>
  <si>
    <t>17.5</t>
  </si>
  <si>
    <t>₹968</t>
  </si>
  <si>
    <t>SHP-100594</t>
  </si>
  <si>
    <t>6.5</t>
  </si>
  <si>
    <t>₹479</t>
  </si>
  <si>
    <t>SHP-100774</t>
  </si>
  <si>
    <t>06-Jun-2024</t>
  </si>
  <si>
    <t xml:space="preserve">Rs 223 </t>
  </si>
  <si>
    <t>SHP-100526</t>
  </si>
  <si>
    <t>7.5</t>
  </si>
  <si>
    <t xml:space="preserve">Rs 330 </t>
  </si>
  <si>
    <t>SHP-100845</t>
  </si>
  <si>
    <t>3.4kg</t>
  </si>
  <si>
    <t>SHP-101590</t>
  </si>
  <si>
    <t>3.6</t>
  </si>
  <si>
    <t>SHP-100283</t>
  </si>
  <si>
    <t xml:space="preserve"> 18/02/2024 </t>
  </si>
  <si>
    <t xml:space="preserve">Rs 268 </t>
  </si>
  <si>
    <t>SHP-101462</t>
  </si>
  <si>
    <t>4.0</t>
  </si>
  <si>
    <t>SHP-101438</t>
  </si>
  <si>
    <t>8.1</t>
  </si>
  <si>
    <t>₹239</t>
  </si>
  <si>
    <t>SHP-101345</t>
  </si>
  <si>
    <t xml:space="preserve">Rs 523 </t>
  </si>
  <si>
    <t>SHP-100743</t>
  </si>
  <si>
    <t>SHP-100552</t>
  </si>
  <si>
    <t>SHP-100449</t>
  </si>
  <si>
    <t>763</t>
  </si>
  <si>
    <t>SHP-101432</t>
  </si>
  <si>
    <t>17.2KG</t>
  </si>
  <si>
    <t>383</t>
  </si>
  <si>
    <t>SHP-101253</t>
  </si>
  <si>
    <t>1.0kg</t>
  </si>
  <si>
    <t>₹149</t>
  </si>
  <si>
    <t>2024-07-02</t>
  </si>
  <si>
    <t>SHP-100351</t>
  </si>
  <si>
    <t>2.5KG</t>
  </si>
  <si>
    <t>254</t>
  </si>
  <si>
    <t>SHP-100231</t>
  </si>
  <si>
    <t>7.2KG</t>
  </si>
  <si>
    <t>₹137</t>
  </si>
  <si>
    <t>SHP-101084</t>
  </si>
  <si>
    <t>40.6</t>
  </si>
  <si>
    <t>₹607</t>
  </si>
  <si>
    <t>SHP-101274</t>
  </si>
  <si>
    <t>13.9</t>
  </si>
  <si>
    <t xml:space="preserve">Rs 369 </t>
  </si>
  <si>
    <t>SHP-101386</t>
  </si>
  <si>
    <t xml:space="preserve">Rs 153 </t>
  </si>
  <si>
    <t>SHP-100523</t>
  </si>
  <si>
    <t>14.5</t>
  </si>
  <si>
    <t>SHP-100329</t>
  </si>
  <si>
    <t>230</t>
  </si>
  <si>
    <t>07-Jun-2024</t>
  </si>
  <si>
    <t>SHP-100600</t>
  </si>
  <si>
    <t>SHP-101210</t>
  </si>
  <si>
    <t xml:space="preserve">Rs 321 </t>
  </si>
  <si>
    <t>SHP-100554</t>
  </si>
  <si>
    <t>98</t>
  </si>
  <si>
    <t>SHP-100089</t>
  </si>
  <si>
    <t>19-May-2024</t>
  </si>
  <si>
    <t>8.3</t>
  </si>
  <si>
    <t>₹581</t>
  </si>
  <si>
    <t>SHP-101541</t>
  </si>
  <si>
    <t xml:space="preserve">6.7 Kg </t>
  </si>
  <si>
    <t xml:space="preserve">Rs 167 </t>
  </si>
  <si>
    <t>SHP-100922</t>
  </si>
  <si>
    <t xml:space="preserve">10.8 Kg </t>
  </si>
  <si>
    <t>356</t>
  </si>
  <si>
    <t>2024-04-15</t>
  </si>
  <si>
    <t>SHP-101470</t>
  </si>
  <si>
    <t>₹1,953</t>
  </si>
  <si>
    <t>SHP-101356</t>
  </si>
  <si>
    <t>₹305</t>
  </si>
  <si>
    <t>SHP-100990</t>
  </si>
  <si>
    <t xml:space="preserve">Rs 220 </t>
  </si>
  <si>
    <t>2024-03-01</t>
  </si>
  <si>
    <t>SHP-101398</t>
  </si>
  <si>
    <t xml:space="preserve"> 03/03/2024 </t>
  </si>
  <si>
    <t xml:space="preserve">Rs 197 </t>
  </si>
  <si>
    <t>SHP-100059</t>
  </si>
  <si>
    <t>₹233</t>
  </si>
  <si>
    <t>SHP-100043</t>
  </si>
  <si>
    <t xml:space="preserve">26.3 Kg </t>
  </si>
  <si>
    <t>₹588</t>
  </si>
  <si>
    <t>SHP-101368</t>
  </si>
  <si>
    <t>10.3kg</t>
  </si>
  <si>
    <t xml:space="preserve">Rs 456 </t>
  </si>
  <si>
    <t>SHP-101410</t>
  </si>
  <si>
    <t>157</t>
  </si>
  <si>
    <t>SHP-100823</t>
  </si>
  <si>
    <t>SHP-101102</t>
  </si>
  <si>
    <t xml:space="preserve">Rs 508 </t>
  </si>
  <si>
    <t>SHP-100396</t>
  </si>
  <si>
    <t>0.8</t>
  </si>
  <si>
    <t>SHP-100645</t>
  </si>
  <si>
    <t>SHP-101577</t>
  </si>
  <si>
    <t>SHP-100496</t>
  </si>
  <si>
    <t>13/05/2024</t>
  </si>
  <si>
    <t>16.4KG</t>
  </si>
  <si>
    <t>362</t>
  </si>
  <si>
    <t>SHP-100640</t>
  </si>
  <si>
    <t>283</t>
  </si>
  <si>
    <t>SHP-100388</t>
  </si>
  <si>
    <t xml:space="preserve"> 02/03/2024 </t>
  </si>
  <si>
    <t>SHP-100371</t>
  </si>
  <si>
    <t>15.7KG</t>
  </si>
  <si>
    <t xml:space="preserve">Rs 370 </t>
  </si>
  <si>
    <t>SHP-100966</t>
  </si>
  <si>
    <t>5.5KG</t>
  </si>
  <si>
    <t>₹316</t>
  </si>
  <si>
    <t>SHP-101422</t>
  </si>
  <si>
    <t xml:space="preserve">4.6 Kg </t>
  </si>
  <si>
    <t>₹396</t>
  </si>
  <si>
    <t>2024-04-22</t>
  </si>
  <si>
    <t>SHP-100747</t>
  </si>
  <si>
    <t>₹326</t>
  </si>
  <si>
    <t>SHP-100581</t>
  </si>
  <si>
    <t>31.7KG</t>
  </si>
  <si>
    <t>₹1,591</t>
  </si>
  <si>
    <t>SHP-100578</t>
  </si>
  <si>
    <t xml:space="preserve">16.6 Kg </t>
  </si>
  <si>
    <t xml:space="preserve">Rs 558 </t>
  </si>
  <si>
    <t>SHP-100171</t>
  </si>
  <si>
    <t>25/05/2024</t>
  </si>
  <si>
    <t>SHP-101100</t>
  </si>
  <si>
    <t xml:space="preserve">40.6 Kg </t>
  </si>
  <si>
    <t>2,025</t>
  </si>
  <si>
    <t xml:space="preserve"> 08/02/2024 </t>
  </si>
  <si>
    <t>SHP-100135</t>
  </si>
  <si>
    <t xml:space="preserve"> 03/02/2024 </t>
  </si>
  <si>
    <t xml:space="preserve">23.2 Kg </t>
  </si>
  <si>
    <t>660</t>
  </si>
  <si>
    <t>2024-02-09</t>
  </si>
  <si>
    <t>SHP-100859</t>
  </si>
  <si>
    <t xml:space="preserve">Rs 331 </t>
  </si>
  <si>
    <t>SHP-101564</t>
  </si>
  <si>
    <t xml:space="preserve"> 08/06/2024 </t>
  </si>
  <si>
    <t xml:space="preserve">Rs 89 </t>
  </si>
  <si>
    <t>15/06/2024</t>
  </si>
  <si>
    <t>SHP-100570</t>
  </si>
  <si>
    <t>09/01/2024</t>
  </si>
  <si>
    <t>SHP-101030</t>
  </si>
  <si>
    <t>64.9</t>
  </si>
  <si>
    <t xml:space="preserve">Rs 1465 </t>
  </si>
  <si>
    <t>SHP-101417</t>
  </si>
  <si>
    <t>SHP-100773</t>
  </si>
  <si>
    <t xml:space="preserve">2.7 Kg </t>
  </si>
  <si>
    <t>SHP-100851</t>
  </si>
  <si>
    <t>17.0</t>
  </si>
  <si>
    <t xml:space="preserve">Rs 907 </t>
  </si>
  <si>
    <t>SHP-101118</t>
  </si>
  <si>
    <t xml:space="preserve">Rs 195 </t>
  </si>
  <si>
    <t>SHP-101335</t>
  </si>
  <si>
    <t>281</t>
  </si>
  <si>
    <t>SHP-100601</t>
  </si>
  <si>
    <t>12.9</t>
  </si>
  <si>
    <t xml:space="preserve">Rs 726 </t>
  </si>
  <si>
    <t>22/05/2024</t>
  </si>
  <si>
    <t>SHP-100663</t>
  </si>
  <si>
    <t>SHP-100548</t>
  </si>
  <si>
    <t>9.2KG</t>
  </si>
  <si>
    <t>469</t>
  </si>
  <si>
    <t>SHP-100781</t>
  </si>
  <si>
    <t>239</t>
  </si>
  <si>
    <t>SHP-101477</t>
  </si>
  <si>
    <t>66.2KG</t>
  </si>
  <si>
    <t>1,094</t>
  </si>
  <si>
    <t>SHP-101310</t>
  </si>
  <si>
    <t>5.9kg</t>
  </si>
  <si>
    <t>SHP-100027</t>
  </si>
  <si>
    <t xml:space="preserve">30.3 Kg </t>
  </si>
  <si>
    <t>₹858</t>
  </si>
  <si>
    <t xml:space="preserve"> 14/01/2024 </t>
  </si>
  <si>
    <t>SHP-101057</t>
  </si>
  <si>
    <t>933</t>
  </si>
  <si>
    <t>SHP-100921</t>
  </si>
  <si>
    <t>SHP-101050</t>
  </si>
  <si>
    <t>20/05/2024</t>
  </si>
  <si>
    <t xml:space="preserve">9.8 Kg </t>
  </si>
  <si>
    <t>₹594</t>
  </si>
  <si>
    <t>SHP-100878</t>
  </si>
  <si>
    <t>20.8</t>
  </si>
  <si>
    <t>SHP-101412</t>
  </si>
  <si>
    <t>2024-01-04</t>
  </si>
  <si>
    <t xml:space="preserve">11.4 Kg </t>
  </si>
  <si>
    <t>SHP-100695</t>
  </si>
  <si>
    <t>10.8</t>
  </si>
  <si>
    <t xml:space="preserve">Rs 621 </t>
  </si>
  <si>
    <t xml:space="preserve"> 14/04/2024 </t>
  </si>
  <si>
    <t>SHP-100509</t>
  </si>
  <si>
    <t>7.7</t>
  </si>
  <si>
    <t xml:space="preserve">Rs 323 </t>
  </si>
  <si>
    <t>SHP-100801</t>
  </si>
  <si>
    <t>34.1</t>
  </si>
  <si>
    <t>₹610</t>
  </si>
  <si>
    <t>SHP-101433</t>
  </si>
  <si>
    <t xml:space="preserve">4.8 Kg </t>
  </si>
  <si>
    <t>₹271</t>
  </si>
  <si>
    <t>SHP-100865</t>
  </si>
  <si>
    <t>4.2kg</t>
  </si>
  <si>
    <t>SHP-100853</t>
  </si>
  <si>
    <t xml:space="preserve"> 12/02/2024 </t>
  </si>
  <si>
    <t>26.4kg</t>
  </si>
  <si>
    <t>₹1,378</t>
  </si>
  <si>
    <t>16-Feb-2024</t>
  </si>
  <si>
    <t>SHP-100037</t>
  </si>
  <si>
    <t xml:space="preserve"> 27/02/2024 </t>
  </si>
  <si>
    <t>SHP-100809</t>
  </si>
  <si>
    <t>368</t>
  </si>
  <si>
    <t>SHP-100163</t>
  </si>
  <si>
    <t xml:space="preserve">14.2 Kg </t>
  </si>
  <si>
    <t>SHP-101576</t>
  </si>
  <si>
    <t xml:space="preserve">19.2 Kg </t>
  </si>
  <si>
    <t>577</t>
  </si>
  <si>
    <t>SHP-101075</t>
  </si>
  <si>
    <t>₹514</t>
  </si>
  <si>
    <t>SHP-100015</t>
  </si>
  <si>
    <t>14.0KG</t>
  </si>
  <si>
    <t xml:space="preserve">Rs 430 </t>
  </si>
  <si>
    <t>SHP-101122</t>
  </si>
  <si>
    <t>36.9kg</t>
  </si>
  <si>
    <t>520</t>
  </si>
  <si>
    <t>SHP-100814</t>
  </si>
  <si>
    <t xml:space="preserve">Rs 423 </t>
  </si>
  <si>
    <t>28/04/2024</t>
  </si>
  <si>
    <t>SHP-100584</t>
  </si>
  <si>
    <t>78.4</t>
  </si>
  <si>
    <t>3,710</t>
  </si>
  <si>
    <t>SHP-100121</t>
  </si>
  <si>
    <t xml:space="preserve">27.7 Kg </t>
  </si>
  <si>
    <t>18-Feb-2024</t>
  </si>
  <si>
    <t>SHP-100379</t>
  </si>
  <si>
    <t>18.8kg</t>
  </si>
  <si>
    <t>SHP-101451</t>
  </si>
  <si>
    <t>6.7kg</t>
  </si>
  <si>
    <t xml:space="preserve">Rs 187 </t>
  </si>
  <si>
    <t>SHP-101027</t>
  </si>
  <si>
    <t xml:space="preserve">Rs 88 </t>
  </si>
  <si>
    <t>SHP-101533</t>
  </si>
  <si>
    <t>66.2kg</t>
  </si>
  <si>
    <t>₹1,642</t>
  </si>
  <si>
    <t>SHP-101364</t>
  </si>
  <si>
    <t>150</t>
  </si>
  <si>
    <t>SHP-100376</t>
  </si>
  <si>
    <t>15.9KG</t>
  </si>
  <si>
    <t>SHP-101584</t>
  </si>
  <si>
    <t>SHP-100754</t>
  </si>
  <si>
    <t>4.6</t>
  </si>
  <si>
    <t xml:space="preserve">Rs 391 </t>
  </si>
  <si>
    <t>SHP-101377</t>
  </si>
  <si>
    <t>16.9kg</t>
  </si>
  <si>
    <t xml:space="preserve">Rs 363 </t>
  </si>
  <si>
    <t>SHP-100426</t>
  </si>
  <si>
    <t>44.2</t>
  </si>
  <si>
    <t>₹2,134</t>
  </si>
  <si>
    <t>SHP-100586</t>
  </si>
  <si>
    <t xml:space="preserve">9.3 Kg </t>
  </si>
  <si>
    <t>₹360</t>
  </si>
  <si>
    <t>SHP-101008</t>
  </si>
  <si>
    <t>23/03/2024</t>
  </si>
  <si>
    <t>397</t>
  </si>
  <si>
    <t>31-Mar-2024</t>
  </si>
  <si>
    <t>SHP-100232</t>
  </si>
  <si>
    <t>07/06/2024</t>
  </si>
  <si>
    <t>SHP-100186</t>
  </si>
  <si>
    <t xml:space="preserve"> 19/03/2024 </t>
  </si>
  <si>
    <t>SHP-100643</t>
  </si>
  <si>
    <t xml:space="preserve">10.6 Kg </t>
  </si>
  <si>
    <t>₹297</t>
  </si>
  <si>
    <t>SHP-100689</t>
  </si>
  <si>
    <t>7.3KG</t>
  </si>
  <si>
    <t xml:space="preserve">Rs 305 </t>
  </si>
  <si>
    <t>SHP-100170</t>
  </si>
  <si>
    <t>95</t>
  </si>
  <si>
    <t>2024-02-15</t>
  </si>
  <si>
    <t>SHP-101273</t>
  </si>
  <si>
    <t>53.0KG</t>
  </si>
  <si>
    <t>881</t>
  </si>
  <si>
    <t>SHP-100166</t>
  </si>
  <si>
    <t>2024-02-28</t>
  </si>
  <si>
    <t>SHP-101051</t>
  </si>
  <si>
    <t xml:space="preserve">65.7 Kg </t>
  </si>
  <si>
    <t xml:space="preserve">Rs 3113 </t>
  </si>
  <si>
    <t>SHP-101471</t>
  </si>
  <si>
    <t>65.2KG</t>
  </si>
  <si>
    <t>1,604</t>
  </si>
  <si>
    <t>SHP-101141</t>
  </si>
  <si>
    <t>14/04/2024</t>
  </si>
  <si>
    <t>SHP-100863</t>
  </si>
  <si>
    <t>6.1KG</t>
  </si>
  <si>
    <t>₹461</t>
  </si>
  <si>
    <t>SHP-100858</t>
  </si>
  <si>
    <t xml:space="preserve">15.1 Kg </t>
  </si>
  <si>
    <t xml:space="preserve">Rs 808 </t>
  </si>
  <si>
    <t>SHP-100633</t>
  </si>
  <si>
    <t>SHP-101304</t>
  </si>
  <si>
    <t>323</t>
  </si>
  <si>
    <t>12-Jan-2024</t>
  </si>
  <si>
    <t>SHP-101402</t>
  </si>
  <si>
    <t xml:space="preserve"> 16/01/2024 </t>
  </si>
  <si>
    <t>12.2KG</t>
  </si>
  <si>
    <t>755</t>
  </si>
  <si>
    <t>SHP-100248</t>
  </si>
  <si>
    <t>304</t>
  </si>
  <si>
    <t>SHP-101268</t>
  </si>
  <si>
    <t xml:space="preserve"> 01/05/2024 </t>
  </si>
  <si>
    <t xml:space="preserve">1.6 Kg </t>
  </si>
  <si>
    <t xml:space="preserve">Rs 185 </t>
  </si>
  <si>
    <t>SHP-100925</t>
  </si>
  <si>
    <t>2024-05-02</t>
  </si>
  <si>
    <t>SHP-101151</t>
  </si>
  <si>
    <t>13.6</t>
  </si>
  <si>
    <t>SHP-101358</t>
  </si>
  <si>
    <t xml:space="preserve">27.1 Kg </t>
  </si>
  <si>
    <t xml:space="preserve">Rs 438 </t>
  </si>
  <si>
    <t>SHP-100883</t>
  </si>
  <si>
    <t>15.3</t>
  </si>
  <si>
    <t>₹526</t>
  </si>
  <si>
    <t>SHP-100203</t>
  </si>
  <si>
    <t>10.9KG</t>
  </si>
  <si>
    <t xml:space="preserve">Rs 700 </t>
  </si>
  <si>
    <t>SHP-100189</t>
  </si>
  <si>
    <t>70.4</t>
  </si>
  <si>
    <t>1,108</t>
  </si>
  <si>
    <t>SHP-100370</t>
  </si>
  <si>
    <t>SHP-100679</t>
  </si>
  <si>
    <t xml:space="preserve">46.7 Kg </t>
  </si>
  <si>
    <t>₹806</t>
  </si>
  <si>
    <t>SHP-101531</t>
  </si>
  <si>
    <t>₹100</t>
  </si>
  <si>
    <t>SHP-100525</t>
  </si>
  <si>
    <t xml:space="preserve">Rs 217 </t>
  </si>
  <si>
    <t>SHP-101042</t>
  </si>
  <si>
    <t>15.6kg</t>
  </si>
  <si>
    <t>₹419</t>
  </si>
  <si>
    <t>SHP-100665</t>
  </si>
  <si>
    <t xml:space="preserve"> 23/05/2024 </t>
  </si>
  <si>
    <t>39.1kg</t>
  </si>
  <si>
    <t xml:space="preserve">Rs 887 </t>
  </si>
  <si>
    <t>SHP-100457</t>
  </si>
  <si>
    <t>2024-04-17</t>
  </si>
  <si>
    <t>6.7KG</t>
  </si>
  <si>
    <t>340</t>
  </si>
  <si>
    <t>SHP-100507</t>
  </si>
  <si>
    <t>684</t>
  </si>
  <si>
    <t>SHP-101353</t>
  </si>
  <si>
    <t>61.3kg</t>
  </si>
  <si>
    <t>₹1,062</t>
  </si>
  <si>
    <t>SHP-101583</t>
  </si>
  <si>
    <t>199</t>
  </si>
  <si>
    <t>SHP-100369</t>
  </si>
  <si>
    <t xml:space="preserve">Rs 239 </t>
  </si>
  <si>
    <t>SHP-100569</t>
  </si>
  <si>
    <t>197</t>
  </si>
  <si>
    <t>SHP-101548</t>
  </si>
  <si>
    <t xml:space="preserve">Rs 418 </t>
  </si>
  <si>
    <t>SHP-101257</t>
  </si>
  <si>
    <t>1,282</t>
  </si>
  <si>
    <t>SHP-100181</t>
  </si>
  <si>
    <t>19/05/2024</t>
  </si>
  <si>
    <t>15.8</t>
  </si>
  <si>
    <t>891</t>
  </si>
  <si>
    <t>2024-05-24</t>
  </si>
  <si>
    <t>SHP-100403</t>
  </si>
  <si>
    <t xml:space="preserve">45.6 Kg </t>
  </si>
  <si>
    <t>1,129</t>
  </si>
  <si>
    <t>SHP-101062</t>
  </si>
  <si>
    <t>SHP-100080</t>
  </si>
  <si>
    <t>14-Feb-2024</t>
  </si>
  <si>
    <t xml:space="preserve">52.9 Kg </t>
  </si>
  <si>
    <t>946</t>
  </si>
  <si>
    <t>SHP-100308</t>
  </si>
  <si>
    <t>41.5KG</t>
  </si>
  <si>
    <t>₹967</t>
  </si>
  <si>
    <t>SHP-100055</t>
  </si>
  <si>
    <t xml:space="preserve"> 22/02/2024 </t>
  </si>
  <si>
    <t>SHP-100474</t>
  </si>
  <si>
    <t xml:space="preserve"> 21/02/2024 </t>
  </si>
  <si>
    <t>20.0KG</t>
  </si>
  <si>
    <t xml:space="preserve">Rs 459 </t>
  </si>
  <si>
    <t>2024-02-29</t>
  </si>
  <si>
    <t>SHP-100714</t>
  </si>
  <si>
    <t>134</t>
  </si>
  <si>
    <t>SHP-100639</t>
  </si>
  <si>
    <t xml:space="preserve">38.6 Kg </t>
  </si>
  <si>
    <t>1,033</t>
  </si>
  <si>
    <t>SHP-101443</t>
  </si>
  <si>
    <t>SHP-100187</t>
  </si>
  <si>
    <t>207</t>
  </si>
  <si>
    <t>SHP-100085</t>
  </si>
  <si>
    <t>24/04/2024</t>
  </si>
  <si>
    <t>SHP-101394</t>
  </si>
  <si>
    <t>348</t>
  </si>
  <si>
    <t>SHP-100196</t>
  </si>
  <si>
    <t>SHP-101538</t>
  </si>
  <si>
    <t>15/01/2024</t>
  </si>
  <si>
    <t>SHP-101378</t>
  </si>
  <si>
    <t>73.1kg</t>
  </si>
  <si>
    <t>3,458</t>
  </si>
  <si>
    <t>SHP-101245</t>
  </si>
  <si>
    <t>26.7KG</t>
  </si>
  <si>
    <t>₹1,214</t>
  </si>
  <si>
    <t>SHP-101338</t>
  </si>
  <si>
    <t>16.4</t>
  </si>
  <si>
    <t xml:space="preserve">Rs 894 </t>
  </si>
  <si>
    <t>SHP-100084</t>
  </si>
  <si>
    <t xml:space="preserve">Rs 184 </t>
  </si>
  <si>
    <t>SHP-100583</t>
  </si>
  <si>
    <t>₹192</t>
  </si>
  <si>
    <t>SHP-101101</t>
  </si>
  <si>
    <t>16.9KG</t>
  </si>
  <si>
    <t xml:space="preserve">Rs 903 </t>
  </si>
  <si>
    <t>SHP-100152</t>
  </si>
  <si>
    <t>477</t>
  </si>
  <si>
    <t>SHP-101176</t>
  </si>
  <si>
    <t>14.1kg</t>
  </si>
  <si>
    <t xml:space="preserve">Rs 824 </t>
  </si>
  <si>
    <t>SHP-100938</t>
  </si>
  <si>
    <t>46.0kg</t>
  </si>
  <si>
    <t xml:space="preserve">Rs 2222 </t>
  </si>
  <si>
    <t>SHP-101554</t>
  </si>
  <si>
    <t>595</t>
  </si>
  <si>
    <t>07-May-2024</t>
  </si>
  <si>
    <t>SHP-100572</t>
  </si>
  <si>
    <t xml:space="preserve">Rs 265 </t>
  </si>
  <si>
    <t>SHP-100435</t>
  </si>
  <si>
    <t>04-Mar-2024</t>
  </si>
  <si>
    <t>391</t>
  </si>
  <si>
    <t>SHP-100382</t>
  </si>
  <si>
    <t xml:space="preserve">62.7 Kg </t>
  </si>
  <si>
    <t>1,030</t>
  </si>
  <si>
    <t>SHP-100137</t>
  </si>
  <si>
    <t>SHP-101370</t>
  </si>
  <si>
    <t>13.2KG</t>
  </si>
  <si>
    <t xml:space="preserve">Rs 306 </t>
  </si>
  <si>
    <t>SHP-101079</t>
  </si>
  <si>
    <t>₹443</t>
  </si>
  <si>
    <t>SHP-100279</t>
  </si>
  <si>
    <t xml:space="preserve">Rs 198 </t>
  </si>
  <si>
    <t>SHP-100390</t>
  </si>
  <si>
    <t>26.6</t>
  </si>
  <si>
    <t xml:space="preserve">Rs 1191 </t>
  </si>
  <si>
    <t xml:space="preserve"> 12/03/2024 </t>
  </si>
  <si>
    <t>SHP-100164</t>
  </si>
  <si>
    <t>SHP-100129</t>
  </si>
  <si>
    <t>SHP-100872</t>
  </si>
  <si>
    <t>59.3</t>
  </si>
  <si>
    <t xml:space="preserve">Rs 1278 </t>
  </si>
  <si>
    <t>SHP-100850</t>
  </si>
  <si>
    <t>44.9KG</t>
  </si>
  <si>
    <t>1,124</t>
  </si>
  <si>
    <t>SHP-100558</t>
  </si>
  <si>
    <t>SHP-100400</t>
  </si>
  <si>
    <t>11.8</t>
  </si>
  <si>
    <t xml:space="preserve">Rs 425 </t>
  </si>
  <si>
    <t>30/04/2024</t>
  </si>
  <si>
    <t>SHP-100730</t>
  </si>
  <si>
    <t xml:space="preserve">33.6 Kg </t>
  </si>
  <si>
    <t>673</t>
  </si>
  <si>
    <t>SHP-100303</t>
  </si>
  <si>
    <t>6.1</t>
  </si>
  <si>
    <t>27/03/2024</t>
  </si>
  <si>
    <t>SHP-100335</t>
  </si>
  <si>
    <t xml:space="preserve">Rs 319 </t>
  </si>
  <si>
    <t>SHP-101029</t>
  </si>
  <si>
    <t>SHP-100413</t>
  </si>
  <si>
    <t xml:space="preserve">Rs 380 </t>
  </si>
  <si>
    <t>SHP-100653</t>
  </si>
  <si>
    <t>04-Jan-2024</t>
  </si>
  <si>
    <t xml:space="preserve">Rs 431 </t>
  </si>
  <si>
    <t>SHP-100598</t>
  </si>
  <si>
    <t>SHP-100794</t>
  </si>
  <si>
    <t>SHP-100489</t>
  </si>
  <si>
    <t xml:space="preserve">Rs 702 </t>
  </si>
  <si>
    <t>SHP-101126</t>
  </si>
  <si>
    <t>17.7kg</t>
  </si>
  <si>
    <t xml:space="preserve">Rs 953 </t>
  </si>
  <si>
    <t>SHP-101023</t>
  </si>
  <si>
    <t xml:space="preserve">2.5 Kg </t>
  </si>
  <si>
    <t>SHP-101322</t>
  </si>
  <si>
    <t>09-May-2024</t>
  </si>
  <si>
    <t>261</t>
  </si>
  <si>
    <t>SHP-101086</t>
  </si>
  <si>
    <t>79.6</t>
  </si>
  <si>
    <t xml:space="preserve">Rs 1897 </t>
  </si>
  <si>
    <t>SHP-101521</t>
  </si>
  <si>
    <t xml:space="preserve">Rs 713 </t>
  </si>
  <si>
    <t>2024-01-24</t>
  </si>
  <si>
    <t>SHP-100172</t>
  </si>
  <si>
    <t>269</t>
  </si>
  <si>
    <t>SHP-100009</t>
  </si>
  <si>
    <t xml:space="preserve">54.0 Kg </t>
  </si>
  <si>
    <t>1,322</t>
  </si>
  <si>
    <t>16/05/2024</t>
  </si>
  <si>
    <t>SHP-100278</t>
  </si>
  <si>
    <t>13-May-2024</t>
  </si>
  <si>
    <t>240</t>
  </si>
  <si>
    <t>SHP-100616</t>
  </si>
  <si>
    <t xml:space="preserve">18.6 Kg </t>
  </si>
  <si>
    <t>425</t>
  </si>
  <si>
    <t>10-Apr-2024</t>
  </si>
  <si>
    <t>SHP-101301</t>
  </si>
  <si>
    <t>38.6</t>
  </si>
  <si>
    <t xml:space="preserve">Rs 1014 </t>
  </si>
  <si>
    <t>SHP-100516</t>
  </si>
  <si>
    <t>02-Feb-2024</t>
  </si>
  <si>
    <t>22.7kg</t>
  </si>
  <si>
    <t>1,222</t>
  </si>
  <si>
    <t>SHP-100539</t>
  </si>
  <si>
    <t>₹293</t>
  </si>
  <si>
    <t>SHP-100411</t>
  </si>
  <si>
    <t>471</t>
  </si>
  <si>
    <t>SHP-100501</t>
  </si>
  <si>
    <t>2.3</t>
  </si>
  <si>
    <t>SHP-100327</t>
  </si>
  <si>
    <t xml:space="preserve">30.4 Kg </t>
  </si>
  <si>
    <t xml:space="preserve">Rs 1552 </t>
  </si>
  <si>
    <t>SHP-100414</t>
  </si>
  <si>
    <t xml:space="preserve">8.7 Kg </t>
  </si>
  <si>
    <t xml:space="preserve">Rs 274 </t>
  </si>
  <si>
    <t>SHP-100986</t>
  </si>
  <si>
    <t>14.6</t>
  </si>
  <si>
    <t>SHP-100907</t>
  </si>
  <si>
    <t>17.2kg</t>
  </si>
  <si>
    <t>₹954</t>
  </si>
  <si>
    <t>SHP-100165</t>
  </si>
  <si>
    <t>37.7</t>
  </si>
  <si>
    <t>955</t>
  </si>
  <si>
    <t>SHP-100626</t>
  </si>
  <si>
    <t>25.5KG</t>
  </si>
  <si>
    <t>541</t>
  </si>
  <si>
    <t>SHP-100914</t>
  </si>
  <si>
    <t>SHP-100895</t>
  </si>
  <si>
    <t>2024-01-26</t>
  </si>
  <si>
    <t>SHP-101578</t>
  </si>
  <si>
    <t xml:space="preserve">Rs 122 </t>
  </si>
  <si>
    <t>SHP-100183</t>
  </si>
  <si>
    <t>2024-01-23</t>
  </si>
  <si>
    <t>SHP-100368</t>
  </si>
  <si>
    <t>31.8kg</t>
  </si>
  <si>
    <t>SHP-100101</t>
  </si>
  <si>
    <t>₹255</t>
  </si>
  <si>
    <t>SHP-100563</t>
  </si>
  <si>
    <t>51.6KG</t>
  </si>
  <si>
    <t>2,524</t>
  </si>
  <si>
    <t>SHP-100964</t>
  </si>
  <si>
    <t>25/02/2024</t>
  </si>
  <si>
    <t>₹120</t>
  </si>
  <si>
    <t>SHP-100115</t>
  </si>
  <si>
    <t>₹194</t>
  </si>
  <si>
    <t>SHP-100305</t>
  </si>
  <si>
    <t>28.9KG</t>
  </si>
  <si>
    <t>587</t>
  </si>
  <si>
    <t>SHP-101182</t>
  </si>
  <si>
    <t>63.2kg</t>
  </si>
  <si>
    <t>₹875</t>
  </si>
  <si>
    <t>SHP-100354</t>
  </si>
  <si>
    <t xml:space="preserve">Rs 292 </t>
  </si>
  <si>
    <t>SHP-101154</t>
  </si>
  <si>
    <t xml:space="preserve"> 04/03/2024 </t>
  </si>
  <si>
    <t>26.0kg</t>
  </si>
  <si>
    <t>₹749</t>
  </si>
  <si>
    <t>2024-03-11</t>
  </si>
  <si>
    <t>SHP-101045</t>
  </si>
  <si>
    <t>13.5</t>
  </si>
  <si>
    <t>₹752</t>
  </si>
  <si>
    <t>SHP-100493</t>
  </si>
  <si>
    <t>₹709</t>
  </si>
  <si>
    <t>SHP-100318</t>
  </si>
  <si>
    <t>225</t>
  </si>
  <si>
    <t>2024-04-29</t>
  </si>
  <si>
    <t>SHP-100902</t>
  </si>
  <si>
    <t xml:space="preserve">5.1 Kg </t>
  </si>
  <si>
    <t xml:space="preserve">Rs 394 </t>
  </si>
  <si>
    <t>SHP-100116</t>
  </si>
  <si>
    <t>4.9KG</t>
  </si>
  <si>
    <t xml:space="preserve"> 29/06/2024 </t>
  </si>
  <si>
    <t>SHP-100869</t>
  </si>
  <si>
    <t xml:space="preserve">28.0 Kg </t>
  </si>
  <si>
    <t>777</t>
  </si>
  <si>
    <t>SHP-100596</t>
  </si>
  <si>
    <t>4.1kg</t>
  </si>
  <si>
    <t xml:space="preserve">Rs 355 </t>
  </si>
  <si>
    <t>SHP-100646</t>
  </si>
  <si>
    <t xml:space="preserve">18.1 Kg </t>
  </si>
  <si>
    <t>419</t>
  </si>
  <si>
    <t>SHP-101546</t>
  </si>
  <si>
    <t>₹575</t>
  </si>
  <si>
    <t>SHP-101369</t>
  </si>
  <si>
    <t xml:space="preserve">17.5 Kg </t>
  </si>
  <si>
    <t xml:space="preserve">Rs 410 </t>
  </si>
  <si>
    <t>SHP-100723</t>
  </si>
  <si>
    <t>61.5KG</t>
  </si>
  <si>
    <t xml:space="preserve">Rs 988 </t>
  </si>
  <si>
    <t>SHP-100068</t>
  </si>
  <si>
    <t>SHP-100456</t>
  </si>
  <si>
    <t>9.1KG</t>
  </si>
  <si>
    <t>SHP-101582</t>
  </si>
  <si>
    <t>16-May-2024</t>
  </si>
  <si>
    <t>SHP-101420</t>
  </si>
  <si>
    <t>13.2kg</t>
  </si>
  <si>
    <t>₹491</t>
  </si>
  <si>
    <t>SHP-100947</t>
  </si>
  <si>
    <t>60.4</t>
  </si>
  <si>
    <t>₹2,860</t>
  </si>
  <si>
    <t>SHP-100799</t>
  </si>
  <si>
    <t xml:space="preserve">29.1 Kg </t>
  </si>
  <si>
    <t>₹785</t>
  </si>
  <si>
    <t>SHP-100060</t>
  </si>
  <si>
    <t>SHP-101366</t>
  </si>
  <si>
    <t>SHP-100298</t>
  </si>
  <si>
    <t>608</t>
  </si>
  <si>
    <t>SHP-100959</t>
  </si>
  <si>
    <t>SHP-101400</t>
  </si>
  <si>
    <t>25.7</t>
  </si>
  <si>
    <t>1,362</t>
  </si>
  <si>
    <t>SHP-100944</t>
  </si>
  <si>
    <t>16.1KG</t>
  </si>
  <si>
    <t>883</t>
  </si>
  <si>
    <t>SHP-101360</t>
  </si>
  <si>
    <t>78.8</t>
  </si>
  <si>
    <t>₹1,273</t>
  </si>
  <si>
    <t>SHP-101249</t>
  </si>
  <si>
    <t>4.4kg</t>
  </si>
  <si>
    <t>2024-02-19</t>
  </si>
  <si>
    <t>SHP-100939</t>
  </si>
  <si>
    <t>16.6KG</t>
  </si>
  <si>
    <t>518</t>
  </si>
  <si>
    <t>SHP-100177</t>
  </si>
  <si>
    <t>2.5</t>
  </si>
  <si>
    <t>SHP-101296</t>
  </si>
  <si>
    <t>SHP-101055</t>
  </si>
  <si>
    <t>SHP-100764</t>
  </si>
  <si>
    <t>2024-02-18</t>
  </si>
  <si>
    <t>243</t>
  </si>
  <si>
    <t>SHP-100285</t>
  </si>
  <si>
    <t>24.4kg</t>
  </si>
  <si>
    <t>₹1,137</t>
  </si>
  <si>
    <t>SHP-101528</t>
  </si>
  <si>
    <t>3.2</t>
  </si>
  <si>
    <t>SHP-100242</t>
  </si>
  <si>
    <t>SHP-100796</t>
  </si>
  <si>
    <t xml:space="preserve">76.1 Kg </t>
  </si>
  <si>
    <t>₹1,188</t>
  </si>
  <si>
    <t>SHP-101289</t>
  </si>
  <si>
    <t xml:space="preserve">22.6 Kg </t>
  </si>
  <si>
    <t xml:space="preserve">Rs 552 </t>
  </si>
  <si>
    <t>SHP-101297</t>
  </si>
  <si>
    <t>SHP-100866</t>
  </si>
  <si>
    <t xml:space="preserve"> 03/05/2024 </t>
  </si>
  <si>
    <t>7.1kg</t>
  </si>
  <si>
    <t>SHP-100138</t>
  </si>
  <si>
    <t>208</t>
  </si>
  <si>
    <t>SHP-100749</t>
  </si>
  <si>
    <t>39.9KG</t>
  </si>
  <si>
    <t>1,929</t>
  </si>
  <si>
    <t>SHP-101011</t>
  </si>
  <si>
    <t>12.1kg</t>
  </si>
  <si>
    <t>593</t>
  </si>
  <si>
    <t>SHP-101080</t>
  </si>
  <si>
    <t>09-Jan-2024</t>
  </si>
  <si>
    <t>14.6KG</t>
  </si>
  <si>
    <t xml:space="preserve">Rs 393 </t>
  </si>
  <si>
    <t>SHP-100490</t>
  </si>
  <si>
    <t>344</t>
  </si>
  <si>
    <t>SHP-100334</t>
  </si>
  <si>
    <t>27.7</t>
  </si>
  <si>
    <t xml:space="preserve">Rs 798 </t>
  </si>
  <si>
    <t>SHP-101209</t>
  </si>
  <si>
    <t>SHP-101033</t>
  </si>
  <si>
    <t>15.3kg</t>
  </si>
  <si>
    <t>513</t>
  </si>
  <si>
    <t>SHP-100384</t>
  </si>
  <si>
    <t>5.7KG</t>
  </si>
  <si>
    <t xml:space="preserve">Rs 302 </t>
  </si>
  <si>
    <t>SHP-100680</t>
  </si>
  <si>
    <t xml:space="preserve">9.6 Kg </t>
  </si>
  <si>
    <t>365</t>
  </si>
  <si>
    <t>SHP-101194</t>
  </si>
  <si>
    <t>77.3kg</t>
  </si>
  <si>
    <t>3,633</t>
  </si>
  <si>
    <t>SHP-100498</t>
  </si>
  <si>
    <t>30.7KG</t>
  </si>
  <si>
    <t xml:space="preserve">Rs 1521 </t>
  </si>
  <si>
    <t>SHP-101525</t>
  </si>
  <si>
    <t>18/05/2024</t>
  </si>
  <si>
    <t>SHP-100204</t>
  </si>
  <si>
    <t>₹1,705</t>
  </si>
  <si>
    <t>SHP-101510</t>
  </si>
  <si>
    <t xml:space="preserve">Rs 172 </t>
  </si>
  <si>
    <t>SHP-101161</t>
  </si>
  <si>
    <t xml:space="preserve">19.7 Kg </t>
  </si>
  <si>
    <t>₹1,089</t>
  </si>
  <si>
    <t>SHP-100998</t>
  </si>
  <si>
    <t>16.4kg</t>
  </si>
  <si>
    <t>₹907</t>
  </si>
  <si>
    <t>SHP-100954</t>
  </si>
  <si>
    <t xml:space="preserve">10.5 Kg </t>
  </si>
  <si>
    <t>SHP-101284</t>
  </si>
  <si>
    <t>₹860</t>
  </si>
  <si>
    <t>SHP-100389</t>
  </si>
  <si>
    <t xml:space="preserve">Rs 297 </t>
  </si>
  <si>
    <t>SHP-100685</t>
  </si>
  <si>
    <t xml:space="preserve">1.3 Kg </t>
  </si>
  <si>
    <t>SHP-100190</t>
  </si>
  <si>
    <t>21.2kg</t>
  </si>
  <si>
    <t xml:space="preserve">Rs 432 </t>
  </si>
  <si>
    <t>SHP-100713</t>
  </si>
  <si>
    <t xml:space="preserve">39.6 Kg </t>
  </si>
  <si>
    <t>₹612</t>
  </si>
  <si>
    <t>SHP-100347</t>
  </si>
  <si>
    <t xml:space="preserve">Rs 242 </t>
  </si>
  <si>
    <t>SHP-101325</t>
  </si>
  <si>
    <t xml:space="preserve">Rs 915 </t>
  </si>
  <si>
    <t>15/02/2024</t>
  </si>
  <si>
    <t>SHP-100086</t>
  </si>
  <si>
    <t>74.9kg</t>
  </si>
  <si>
    <t xml:space="preserve">Rs 1788 </t>
  </si>
  <si>
    <t>SHP-100124</t>
  </si>
  <si>
    <t xml:space="preserve">Rs 300 </t>
  </si>
  <si>
    <t>SHP-100736</t>
  </si>
  <si>
    <t>2.7</t>
  </si>
  <si>
    <t>SHP-101234</t>
  </si>
  <si>
    <t xml:space="preserve">Rs 351 </t>
  </si>
  <si>
    <t>SHP-101197</t>
  </si>
  <si>
    <t>01-Jan-2024</t>
  </si>
  <si>
    <t>SHP-100440</t>
  </si>
  <si>
    <t>60.7kg</t>
  </si>
  <si>
    <t>975</t>
  </si>
  <si>
    <t>SHP-101395</t>
  </si>
  <si>
    <t>SHP-101389</t>
  </si>
  <si>
    <t>SHP-101083</t>
  </si>
  <si>
    <t>₹645</t>
  </si>
  <si>
    <t>SHP-100226</t>
  </si>
  <si>
    <t>7.2kg</t>
  </si>
  <si>
    <t>₹267</t>
  </si>
  <si>
    <t>SHP-100755</t>
  </si>
  <si>
    <t xml:space="preserve">5.3 Kg </t>
  </si>
  <si>
    <t>SHP-101560</t>
  </si>
  <si>
    <t>65.5</t>
  </si>
  <si>
    <t xml:space="preserve">Rs 2965 </t>
  </si>
  <si>
    <t>SHP-100729</t>
  </si>
  <si>
    <t>27.6KG</t>
  </si>
  <si>
    <t>SHP-101070</t>
  </si>
  <si>
    <t xml:space="preserve">Rs 515 </t>
  </si>
  <si>
    <t>SHP-100672</t>
  </si>
  <si>
    <t>7.1</t>
  </si>
  <si>
    <t>SHP-101380</t>
  </si>
  <si>
    <t>24/06/2024</t>
  </si>
  <si>
    <t xml:space="preserve">Rs 447 </t>
  </si>
  <si>
    <t>SHP-101278</t>
  </si>
  <si>
    <t>SHP-100244</t>
  </si>
  <si>
    <t>58.5kg</t>
  </si>
  <si>
    <t xml:space="preserve">Rs 1469 </t>
  </si>
  <si>
    <t>SHP-100295</t>
  </si>
  <si>
    <t xml:space="preserve">Rs 173 </t>
  </si>
  <si>
    <t>11-Feb-2024</t>
  </si>
  <si>
    <t>SHP-100561</t>
  </si>
  <si>
    <t>8.9kg</t>
  </si>
  <si>
    <t>SHP-100192</t>
  </si>
  <si>
    <t>227</t>
  </si>
  <si>
    <t>SHP-101436</t>
  </si>
  <si>
    <t xml:space="preserve">Rs 202 </t>
  </si>
  <si>
    <t>SHP-100273</t>
  </si>
  <si>
    <t xml:space="preserve">Rs 452 </t>
  </si>
  <si>
    <t>SHP-100589</t>
  </si>
  <si>
    <t>8.3KG</t>
  </si>
  <si>
    <t>SHP-101581</t>
  </si>
  <si>
    <t>SHP-100686</t>
  </si>
  <si>
    <t>₹309</t>
  </si>
  <si>
    <t>SHP-100795</t>
  </si>
  <si>
    <t>₹254</t>
  </si>
  <si>
    <t>SHP-100619</t>
  </si>
  <si>
    <t>273</t>
  </si>
  <si>
    <t>SHP-100451</t>
  </si>
  <si>
    <t xml:space="preserve">11.6 Kg </t>
  </si>
  <si>
    <t>SHP-101468</t>
  </si>
  <si>
    <t>5.4KG</t>
  </si>
  <si>
    <t>104</t>
  </si>
  <si>
    <t>SHP-101557</t>
  </si>
  <si>
    <t>15.6KG</t>
  </si>
  <si>
    <t>SHP-100425</t>
  </si>
  <si>
    <t>SHP-100504</t>
  </si>
  <si>
    <t>11.9kg</t>
  </si>
  <si>
    <t>SHP-100965</t>
  </si>
  <si>
    <t>2.9kg</t>
  </si>
  <si>
    <t>SHP-100079</t>
  </si>
  <si>
    <t>4.3KG</t>
  </si>
  <si>
    <t xml:space="preserve">Rs 211 </t>
  </si>
  <si>
    <t>SHP-100847</t>
  </si>
  <si>
    <t>₹310</t>
  </si>
  <si>
    <t>SHP-100210</t>
  </si>
  <si>
    <t>6.4</t>
  </si>
  <si>
    <t>311</t>
  </si>
  <si>
    <t>SHP-101174</t>
  </si>
  <si>
    <t>26.4KG</t>
  </si>
  <si>
    <t xml:space="preserve">Rs 712 </t>
  </si>
  <si>
    <t>SHP-100310</t>
  </si>
  <si>
    <t>58.1KG</t>
  </si>
  <si>
    <t>₹2,811</t>
  </si>
  <si>
    <t>SHP-100726</t>
  </si>
  <si>
    <t>21/06/2024</t>
  </si>
  <si>
    <t>₹1,184</t>
  </si>
  <si>
    <t>SHP-100830</t>
  </si>
  <si>
    <t xml:space="preserve"> 17/02/2024 </t>
  </si>
  <si>
    <t xml:space="preserve">Rs 263 </t>
  </si>
  <si>
    <t>SHP-101066</t>
  </si>
  <si>
    <t xml:space="preserve">Rs 389 </t>
  </si>
  <si>
    <t>SHP-101208</t>
  </si>
  <si>
    <t>SHP-101475</t>
  </si>
  <si>
    <t>₹95</t>
  </si>
  <si>
    <t>13-Apr-2024</t>
  </si>
  <si>
    <t>SHP-101271</t>
  </si>
  <si>
    <t>187</t>
  </si>
  <si>
    <t>SHP-101390</t>
  </si>
  <si>
    <t>74.7kg</t>
  </si>
  <si>
    <t xml:space="preserve">Rs 3376 </t>
  </si>
  <si>
    <t>SHP-100142</t>
  </si>
  <si>
    <t>2024-05-01</t>
  </si>
  <si>
    <t>6.8KG</t>
  </si>
  <si>
    <t xml:space="preserve">Rs 333 </t>
  </si>
  <si>
    <t>SHP-100860</t>
  </si>
  <si>
    <t>24-Feb-2024</t>
  </si>
  <si>
    <t xml:space="preserve">3.3 Kg </t>
  </si>
  <si>
    <t>SHP-100929</t>
  </si>
  <si>
    <t>35.3kg</t>
  </si>
  <si>
    <t>669</t>
  </si>
  <si>
    <t>SHP-100430</t>
  </si>
  <si>
    <t xml:space="preserve">Rs 107 </t>
  </si>
  <si>
    <t>SHP-100604</t>
  </si>
  <si>
    <t>8.0KG</t>
  </si>
  <si>
    <t>164</t>
  </si>
  <si>
    <t>SHP-101113</t>
  </si>
  <si>
    <t>₹214</t>
  </si>
  <si>
    <t>18/01/2024</t>
  </si>
  <si>
    <t>SHP-101409</t>
  </si>
  <si>
    <t>SHP-100071</t>
  </si>
  <si>
    <t xml:space="preserve">Rs 186 </t>
  </si>
  <si>
    <t>SHP-101188</t>
  </si>
  <si>
    <t xml:space="preserve">Rs 218 </t>
  </si>
  <si>
    <t>SHP-100162</t>
  </si>
  <si>
    <t xml:space="preserve">7.9 Kg </t>
  </si>
  <si>
    <t>496</t>
  </si>
  <si>
    <t>SHP-100901</t>
  </si>
  <si>
    <t xml:space="preserve">41.6 Kg </t>
  </si>
  <si>
    <t>2,075</t>
  </si>
  <si>
    <t>31/03/2024</t>
  </si>
  <si>
    <t>SHP-100592</t>
  </si>
  <si>
    <t>290</t>
  </si>
  <si>
    <t>SHP-100511</t>
  </si>
  <si>
    <t>SHP-100864</t>
  </si>
  <si>
    <t>₹89</t>
  </si>
  <si>
    <t>SHP-101168</t>
  </si>
  <si>
    <t xml:space="preserve">Rs 531 </t>
  </si>
  <si>
    <t>SHP-100655</t>
  </si>
  <si>
    <t>18.5KG</t>
  </si>
  <si>
    <t xml:space="preserve">Rs 589 </t>
  </si>
  <si>
    <t>SHP-100848</t>
  </si>
  <si>
    <t>2024-05-15</t>
  </si>
  <si>
    <t>SHP-100805</t>
  </si>
  <si>
    <t>₹210</t>
  </si>
  <si>
    <t>SHP-100820</t>
  </si>
  <si>
    <t>SHP-101037</t>
  </si>
  <si>
    <t>SHP-101226</t>
  </si>
  <si>
    <t>758</t>
  </si>
  <si>
    <t>SHP-101092</t>
  </si>
  <si>
    <t>32.9KG</t>
  </si>
  <si>
    <t xml:space="preserve">Rs 858 </t>
  </si>
  <si>
    <t>SHP-100217</t>
  </si>
  <si>
    <t>62.5KG</t>
  </si>
  <si>
    <t>₹1,547</t>
  </si>
  <si>
    <t>SHP-101171</t>
  </si>
  <si>
    <t xml:space="preserve">Rs 384 </t>
  </si>
  <si>
    <t>SHP-100381</t>
  </si>
  <si>
    <t>11.2kg</t>
  </si>
  <si>
    <t>679</t>
  </si>
  <si>
    <t>SHP-100849</t>
  </si>
  <si>
    <t>60.0</t>
  </si>
  <si>
    <t xml:space="preserve">Rs 1023 </t>
  </si>
  <si>
    <t>SHP-100256</t>
  </si>
  <si>
    <t>SHP-100675</t>
  </si>
  <si>
    <t>SHP-100064</t>
  </si>
  <si>
    <t xml:space="preserve">Rs 189 </t>
  </si>
  <si>
    <t>SHP-100319</t>
  </si>
  <si>
    <t>₹229</t>
  </si>
  <si>
    <t>SHP-100669</t>
  </si>
  <si>
    <t>52.9KG</t>
  </si>
  <si>
    <t xml:space="preserve">Rs 2536 </t>
  </si>
  <si>
    <t>SHP-101530</t>
  </si>
  <si>
    <t>2024-02-25</t>
  </si>
  <si>
    <t xml:space="preserve">Rs 224 </t>
  </si>
  <si>
    <t xml:space="preserve"> 29/02/2024 </t>
  </si>
  <si>
    <t>SHP-100792</t>
  </si>
  <si>
    <t>6.9KG</t>
  </si>
  <si>
    <t>SHP-100880</t>
  </si>
  <si>
    <t xml:space="preserve">Rs 575 </t>
  </si>
  <si>
    <t>SHP-101034</t>
  </si>
  <si>
    <t>SHP-100915</t>
  </si>
  <si>
    <t>₹408</t>
  </si>
  <si>
    <t>SHP-100732</t>
  </si>
  <si>
    <t>SHP-101137</t>
  </si>
  <si>
    <t>SHP-100978</t>
  </si>
  <si>
    <t>14.3</t>
  </si>
  <si>
    <t>775</t>
  </si>
  <si>
    <t>SHP-101150</t>
  </si>
  <si>
    <t>34.3kg</t>
  </si>
  <si>
    <t>SHP-101575</t>
  </si>
  <si>
    <t>10.2</t>
  </si>
  <si>
    <t>SHP-101047</t>
  </si>
  <si>
    <t xml:space="preserve">36.5 Kg </t>
  </si>
  <si>
    <t>₹945</t>
  </si>
  <si>
    <t>SHP-100644</t>
  </si>
  <si>
    <t>SHP-100136</t>
  </si>
  <si>
    <t>₹290</t>
  </si>
  <si>
    <t>SHP-101559</t>
  </si>
  <si>
    <t>26.8KG</t>
  </si>
  <si>
    <t>1,394</t>
  </si>
  <si>
    <t>SHP-100934</t>
  </si>
  <si>
    <t>29-May-2024</t>
  </si>
  <si>
    <t>SHP-101291</t>
  </si>
  <si>
    <t>SHP-100977</t>
  </si>
  <si>
    <t>24.0</t>
  </si>
  <si>
    <t>1,062</t>
  </si>
  <si>
    <t>SHP-100894</t>
  </si>
  <si>
    <t>02/06/2024</t>
  </si>
  <si>
    <t>₹393</t>
  </si>
  <si>
    <t>SHP-100453</t>
  </si>
  <si>
    <t>06/06/2024</t>
  </si>
  <si>
    <t>SHP-101549</t>
  </si>
  <si>
    <t xml:space="preserve">Rs 322 </t>
  </si>
  <si>
    <t>SHP-100941</t>
  </si>
  <si>
    <t>SHP-101570</t>
  </si>
  <si>
    <t>28/06/2024</t>
  </si>
  <si>
    <t>29.7KG</t>
  </si>
  <si>
    <t>SHP-101327</t>
  </si>
  <si>
    <t>SHP-100257</t>
  </si>
  <si>
    <t>SHP-100505</t>
  </si>
  <si>
    <t>₹1,051</t>
  </si>
  <si>
    <t>SHP-100931</t>
  </si>
  <si>
    <t>291</t>
  </si>
  <si>
    <t>SHP-101241</t>
  </si>
  <si>
    <t>28.3</t>
  </si>
  <si>
    <t>SHP-100169</t>
  </si>
  <si>
    <t>SHP-100131</t>
  </si>
  <si>
    <t>SHP-100406</t>
  </si>
  <si>
    <t>135</t>
  </si>
  <si>
    <t>SHP-100844</t>
  </si>
  <si>
    <t>10.1</t>
  </si>
  <si>
    <t>₹432</t>
  </si>
  <si>
    <t>SHP-100981</t>
  </si>
  <si>
    <t>SHP-101506</t>
  </si>
  <si>
    <t>11.7kg</t>
  </si>
  <si>
    <t>SHP-100724</t>
  </si>
  <si>
    <t>214</t>
  </si>
  <si>
    <t>SHP-100434</t>
  </si>
  <si>
    <t>SHP-100149</t>
  </si>
  <si>
    <t>SHP-101599</t>
  </si>
  <si>
    <t xml:space="preserve">Rs 550 </t>
  </si>
  <si>
    <t>SHP-101039</t>
  </si>
  <si>
    <t>SHP-100417</t>
  </si>
  <si>
    <t xml:space="preserve">63.8 Kg </t>
  </si>
  <si>
    <t>1,050</t>
  </si>
  <si>
    <t>SHP-100441</t>
  </si>
  <si>
    <t>SHP-100771</t>
  </si>
  <si>
    <t xml:space="preserve">8.5 Kg </t>
  </si>
  <si>
    <t>572</t>
  </si>
  <si>
    <t>SHP-101281</t>
  </si>
  <si>
    <t>SHP-101404</t>
  </si>
  <si>
    <t xml:space="preserve">68.5 Kg </t>
  </si>
  <si>
    <t>₹1,138</t>
  </si>
  <si>
    <t>SHP-100180</t>
  </si>
  <si>
    <t>58.2</t>
  </si>
  <si>
    <t xml:space="preserve">Rs 966 </t>
  </si>
  <si>
    <t>SHP-100140</t>
  </si>
  <si>
    <t>4.5kg</t>
  </si>
  <si>
    <t>SHP-100567</t>
  </si>
  <si>
    <t xml:space="preserve">20.3 Kg </t>
  </si>
  <si>
    <t>1,098</t>
  </si>
  <si>
    <t>SHP-101185</t>
  </si>
  <si>
    <t>SHP-101043</t>
  </si>
  <si>
    <t xml:space="preserve">74.7 Kg </t>
  </si>
  <si>
    <t>₹3,412</t>
  </si>
  <si>
    <t>SHP-100355</t>
  </si>
  <si>
    <t>₹104</t>
  </si>
  <si>
    <t>SHP-100409</t>
  </si>
  <si>
    <t>91</t>
  </si>
  <si>
    <t>SHP-101492</t>
  </si>
  <si>
    <t xml:space="preserve"> 22/06/2024 </t>
  </si>
  <si>
    <t>SHP-101063</t>
  </si>
  <si>
    <t>11.0kg</t>
  </si>
  <si>
    <t>SHP-100950</t>
  </si>
  <si>
    <t>0.6</t>
  </si>
  <si>
    <t xml:space="preserve">Rs 138 </t>
  </si>
  <si>
    <t>SHP-101568</t>
  </si>
  <si>
    <t>61.4</t>
  </si>
  <si>
    <t xml:space="preserve">Rs 1049 </t>
  </si>
  <si>
    <t>SHP-101283</t>
  </si>
  <si>
    <t>366</t>
  </si>
  <si>
    <t>SHP-101077</t>
  </si>
  <si>
    <t>12.4</t>
  </si>
  <si>
    <t xml:space="preserve">Rs 540 </t>
  </si>
  <si>
    <t>SHP-100547</t>
  </si>
  <si>
    <t>103</t>
  </si>
  <si>
    <t>SHP-100506</t>
  </si>
  <si>
    <t>55.0kg</t>
  </si>
  <si>
    <t>2,674</t>
  </si>
  <si>
    <t>SHP-100282</t>
  </si>
  <si>
    <t>71.5</t>
  </si>
  <si>
    <t>₹1,736</t>
  </si>
  <si>
    <t>SHP-101060</t>
  </si>
  <si>
    <t xml:space="preserve">Rs 267 </t>
  </si>
  <si>
    <t>SHP-100075</t>
  </si>
  <si>
    <t>₹481</t>
  </si>
  <si>
    <t>SHP-100373</t>
  </si>
  <si>
    <t>79.5KG</t>
  </si>
  <si>
    <t>₹1,168</t>
  </si>
  <si>
    <t>SHP-100957</t>
  </si>
  <si>
    <t xml:space="preserve">Rs 328 </t>
  </si>
  <si>
    <t>SHP-101450</t>
  </si>
  <si>
    <t>27.9kg</t>
  </si>
  <si>
    <t>1,382</t>
  </si>
  <si>
    <t>SHP-101363</t>
  </si>
  <si>
    <t>SHP-100211</t>
  </si>
  <si>
    <t>SHP-100292</t>
  </si>
  <si>
    <t>SHP-100611</t>
  </si>
  <si>
    <t xml:space="preserve">Rs 1174 </t>
  </si>
  <si>
    <t>SHP-100657</t>
  </si>
  <si>
    <t>SHP-100831</t>
  </si>
  <si>
    <t>37.1KG</t>
  </si>
  <si>
    <t>₹1,813</t>
  </si>
  <si>
    <t>SHP-101540</t>
  </si>
  <si>
    <t>SHP-101286</t>
  </si>
  <si>
    <t>359</t>
  </si>
  <si>
    <t>SHP-100132</t>
  </si>
  <si>
    <t>₹237</t>
  </si>
  <si>
    <t>SHP-101550</t>
  </si>
  <si>
    <t>SHP-101252</t>
  </si>
  <si>
    <t xml:space="preserve">46.3 Kg </t>
  </si>
  <si>
    <t>2,228</t>
  </si>
  <si>
    <t>SHP-101155</t>
  </si>
  <si>
    <t>21.0KG</t>
  </si>
  <si>
    <t xml:space="preserve">Rs 493 </t>
  </si>
  <si>
    <t xml:space="preserve"> 30/03/2024 </t>
  </si>
  <si>
    <t>SHP-100444</t>
  </si>
  <si>
    <t>16.7kg</t>
  </si>
  <si>
    <t xml:space="preserve">Rs 527 </t>
  </si>
  <si>
    <t>SHP-101138</t>
  </si>
  <si>
    <t>2024-05-12</t>
  </si>
  <si>
    <t>SHP-101058</t>
  </si>
  <si>
    <t>₹467</t>
  </si>
  <si>
    <t>14/02/2024</t>
  </si>
  <si>
    <t>SHP-101408</t>
  </si>
  <si>
    <t>SHP-100461</t>
  </si>
  <si>
    <t>111</t>
  </si>
  <si>
    <t>SHP-100069</t>
  </si>
  <si>
    <t>276</t>
  </si>
  <si>
    <t>SHP-101376</t>
  </si>
  <si>
    <t>21.7kg</t>
  </si>
  <si>
    <t>426</t>
  </si>
  <si>
    <t>20-Feb-2024</t>
  </si>
  <si>
    <t>SHP-100715</t>
  </si>
  <si>
    <t>259</t>
  </si>
  <si>
    <t>SHP-100410</t>
  </si>
  <si>
    <t>SHP-100048</t>
  </si>
  <si>
    <t xml:space="preserve">Rs 155 </t>
  </si>
  <si>
    <t>2024-03-30</t>
  </si>
  <si>
    <t>SHP-100793</t>
  </si>
  <si>
    <t>SHP-101293</t>
  </si>
  <si>
    <t>14.2KG</t>
  </si>
  <si>
    <t xml:space="preserve">Rs 324 </t>
  </si>
  <si>
    <t>SHP-101347</t>
  </si>
  <si>
    <t>43.3KG</t>
  </si>
  <si>
    <t xml:space="preserve">Rs 2075 </t>
  </si>
  <si>
    <t>SHP-101421</t>
  </si>
  <si>
    <t>₹215</t>
  </si>
  <si>
    <t>SHP-101302</t>
  </si>
  <si>
    <t>140</t>
  </si>
  <si>
    <t>SHP-101201</t>
  </si>
  <si>
    <t>16.7</t>
  </si>
  <si>
    <t>₹358</t>
  </si>
  <si>
    <t>SHP-100151</t>
  </si>
  <si>
    <t>19.6</t>
  </si>
  <si>
    <t xml:space="preserve">Rs 635 </t>
  </si>
  <si>
    <t>SHP-101355</t>
  </si>
  <si>
    <t>₹992</t>
  </si>
  <si>
    <t>SHP-101511</t>
  </si>
  <si>
    <t xml:space="preserve">Rs 364 </t>
  </si>
  <si>
    <t>SHP-100078</t>
  </si>
  <si>
    <t>₹261</t>
  </si>
  <si>
    <t>SHP-100109</t>
  </si>
  <si>
    <t>SHP-100739</t>
  </si>
  <si>
    <t>SHP-100093</t>
  </si>
  <si>
    <t>₹99</t>
  </si>
  <si>
    <t>SHP-100447</t>
  </si>
  <si>
    <t>03/01/2024</t>
  </si>
  <si>
    <t xml:space="preserve">Rs 900 </t>
  </si>
  <si>
    <t>SHP-100167</t>
  </si>
  <si>
    <t xml:space="preserve">8.4 Kg </t>
  </si>
  <si>
    <t xml:space="preserve">Rs 386 </t>
  </si>
  <si>
    <t>SHP-101135</t>
  </si>
  <si>
    <t>SHP-100099</t>
  </si>
  <si>
    <t>58.6</t>
  </si>
  <si>
    <t>₹1,447</t>
  </si>
  <si>
    <t>SHP-101476</t>
  </si>
  <si>
    <t xml:space="preserve">1.1 Kg </t>
  </si>
  <si>
    <t>SHP-100595</t>
  </si>
  <si>
    <t>56.8kg</t>
  </si>
  <si>
    <t>₹994</t>
  </si>
  <si>
    <t>SHP-100422</t>
  </si>
  <si>
    <t>2024-06-02</t>
  </si>
  <si>
    <t>SHP-101139</t>
  </si>
  <si>
    <t xml:space="preserve">20.7 Kg </t>
  </si>
  <si>
    <t>307</t>
  </si>
  <si>
    <t>SHP-100270</t>
  </si>
  <si>
    <t>₹205</t>
  </si>
  <si>
    <t>SHP-100463</t>
  </si>
  <si>
    <t xml:space="preserve"> 09/06/2024 </t>
  </si>
  <si>
    <t>807</t>
  </si>
  <si>
    <t>SHP-100325</t>
  </si>
  <si>
    <t>13.9KG</t>
  </si>
  <si>
    <t>502</t>
  </si>
  <si>
    <t>SHP-100789</t>
  </si>
  <si>
    <t>₹324</t>
  </si>
  <si>
    <t>SHP-100265</t>
  </si>
  <si>
    <t>SHP-100703</t>
  </si>
  <si>
    <t>SHP-101407</t>
  </si>
  <si>
    <t>483</t>
  </si>
  <si>
    <t>SHP-101374</t>
  </si>
  <si>
    <t>44.6KG</t>
  </si>
  <si>
    <t>766</t>
  </si>
  <si>
    <t>SHP-101193</t>
  </si>
  <si>
    <t>SHP-100478</t>
  </si>
  <si>
    <t>13.8</t>
  </si>
  <si>
    <t xml:space="preserve">Rs 461 </t>
  </si>
  <si>
    <t>SHP-101434</t>
  </si>
  <si>
    <t>36.7</t>
  </si>
  <si>
    <t>1,643</t>
  </si>
  <si>
    <t>SHP-101351</t>
  </si>
  <si>
    <t>16.5kg</t>
  </si>
  <si>
    <t>387</t>
  </si>
  <si>
    <t>SHP-100661</t>
  </si>
  <si>
    <t xml:space="preserve">27.6 Kg </t>
  </si>
  <si>
    <t xml:space="preserve">Rs 549 </t>
  </si>
  <si>
    <t>SHP-101294</t>
  </si>
  <si>
    <t>SHP-100543</t>
  </si>
  <si>
    <t>SHP-100697</t>
  </si>
  <si>
    <t>SHP-100350</t>
  </si>
  <si>
    <t>04/05/2024</t>
  </si>
  <si>
    <t>07/05/2024</t>
  </si>
  <si>
    <t>SHP-101544</t>
  </si>
  <si>
    <t>₹151</t>
  </si>
  <si>
    <t>SHP-101594</t>
  </si>
  <si>
    <t xml:space="preserve">29.8 Kg </t>
  </si>
  <si>
    <t xml:space="preserve">Rs 802 </t>
  </si>
  <si>
    <t>SHP-101457</t>
  </si>
  <si>
    <t>₹790</t>
  </si>
  <si>
    <t>SHP-101571</t>
  </si>
  <si>
    <t>9.4kg</t>
  </si>
  <si>
    <t>414</t>
  </si>
  <si>
    <t>SHP-100549</t>
  </si>
  <si>
    <t>SHP-100035</t>
  </si>
  <si>
    <t>43.8</t>
  </si>
  <si>
    <t>1,157</t>
  </si>
  <si>
    <t>SHP-101218</t>
  </si>
  <si>
    <t xml:space="preserve">7.7 Kg </t>
  </si>
  <si>
    <t>SHP-100806</t>
  </si>
  <si>
    <t>75.2KG</t>
  </si>
  <si>
    <t>₹1,777</t>
  </si>
  <si>
    <t>SHP-100280</t>
  </si>
  <si>
    <t>SHP-101251</t>
  </si>
  <si>
    <t>SHP-100006</t>
  </si>
  <si>
    <t>2.1kg</t>
  </si>
  <si>
    <t xml:space="preserve">Rs 295 </t>
  </si>
  <si>
    <t>SHP-101484</t>
  </si>
  <si>
    <t>SHP-100220</t>
  </si>
  <si>
    <t>886</t>
  </si>
  <si>
    <t>SHP-101524</t>
  </si>
  <si>
    <t xml:space="preserve">8.2 Kg </t>
  </si>
  <si>
    <t>₹334</t>
  </si>
  <si>
    <t>SHP-101240</t>
  </si>
  <si>
    <t xml:space="preserve">42.4 Kg </t>
  </si>
  <si>
    <t>₹1,904</t>
  </si>
  <si>
    <t>SHP-100722</t>
  </si>
  <si>
    <t>SHP-101177</t>
  </si>
  <si>
    <t>SHP-100580</t>
  </si>
  <si>
    <t>16.1</t>
  </si>
  <si>
    <t>515</t>
  </si>
  <si>
    <t>SHP-101551</t>
  </si>
  <si>
    <t>152</t>
  </si>
  <si>
    <t>SHP-100222</t>
  </si>
  <si>
    <t>SHP-101090</t>
  </si>
  <si>
    <t>08-Mar-2024</t>
  </si>
  <si>
    <t>SHP-100898</t>
  </si>
  <si>
    <t xml:space="preserve">7.0 Kg </t>
  </si>
  <si>
    <t>SHP-100301</t>
  </si>
  <si>
    <t>46.2KG</t>
  </si>
  <si>
    <t>1,217</t>
  </si>
  <si>
    <t>SHP-101497</t>
  </si>
  <si>
    <t>188</t>
  </si>
  <si>
    <t>SHP-100311</t>
  </si>
  <si>
    <t>SHP-101123</t>
  </si>
  <si>
    <t>19.0kg</t>
  </si>
  <si>
    <t>SHP-100882</t>
  </si>
  <si>
    <t xml:space="preserve">18.8 Kg </t>
  </si>
  <si>
    <t xml:space="preserve">Rs 420 </t>
  </si>
  <si>
    <t>SHP-100229</t>
  </si>
  <si>
    <t>SHP-100216</t>
  </si>
  <si>
    <t>₹129</t>
  </si>
  <si>
    <t>SHP-100455</t>
  </si>
  <si>
    <t>SHP-100540</t>
  </si>
  <si>
    <t xml:space="preserve"> 06/06/2024 </t>
  </si>
  <si>
    <t>SHP-101586</t>
  </si>
  <si>
    <t>₹444</t>
  </si>
  <si>
    <t>2024-06-18</t>
  </si>
  <si>
    <t>SHP-100039</t>
  </si>
  <si>
    <t>SHP-101211</t>
  </si>
  <si>
    <t>02/01/2024</t>
  </si>
  <si>
    <t>17.4KG</t>
  </si>
  <si>
    <t xml:space="preserve">Rs 986 </t>
  </si>
  <si>
    <t>SHP-100654</t>
  </si>
  <si>
    <t>05/04/2024</t>
  </si>
  <si>
    <t>69.5</t>
  </si>
  <si>
    <t>₹972</t>
  </si>
  <si>
    <t>SHP-100826</t>
  </si>
  <si>
    <t>₹132</t>
  </si>
  <si>
    <t>SHP-100696</t>
  </si>
  <si>
    <t>SHP-101227</t>
  </si>
  <si>
    <t xml:space="preserve">6.8 Kg </t>
  </si>
  <si>
    <t>141</t>
  </si>
  <si>
    <t>SHP-100276</t>
  </si>
  <si>
    <t>SHP-100772</t>
  </si>
  <si>
    <t xml:space="preserve">11.1 Kg </t>
  </si>
  <si>
    <t>314</t>
  </si>
  <si>
    <t>SHP-100682</t>
  </si>
  <si>
    <t xml:space="preserve">13.0 Kg </t>
  </si>
  <si>
    <t>SHP-100331</t>
  </si>
  <si>
    <t>9.9KG</t>
  </si>
  <si>
    <t>SHP-101593</t>
  </si>
  <si>
    <t xml:space="preserve">Rs 111 </t>
  </si>
  <si>
    <t>SHP-100471</t>
  </si>
  <si>
    <t xml:space="preserve">Rs 490 </t>
  </si>
  <si>
    <t>SHP-100811</t>
  </si>
  <si>
    <t>22.2kg</t>
  </si>
  <si>
    <t xml:space="preserve">Rs 1177 </t>
  </si>
  <si>
    <t>SHP-100209</t>
  </si>
  <si>
    <t xml:space="preserve">Rs 133 </t>
  </si>
  <si>
    <t>SHP-101382</t>
  </si>
  <si>
    <t xml:space="preserve">52.7 Kg </t>
  </si>
  <si>
    <t xml:space="preserve">Rs 2522 </t>
  </si>
  <si>
    <t>SHP-100983</t>
  </si>
  <si>
    <t>SHP-100062</t>
  </si>
  <si>
    <t>11.5KG</t>
  </si>
  <si>
    <t>SHP-100420</t>
  </si>
  <si>
    <t>SHP-100255</t>
  </si>
  <si>
    <t xml:space="preserve"> 04/04/2024 </t>
  </si>
  <si>
    <t>70.9</t>
  </si>
  <si>
    <t>1,171</t>
  </si>
  <si>
    <t>SHP-100066</t>
  </si>
  <si>
    <t xml:space="preserve">Rs 294 </t>
  </si>
  <si>
    <t>SHP-101041</t>
  </si>
  <si>
    <t>SHP-101148</t>
  </si>
  <si>
    <t>82</t>
  </si>
  <si>
    <t>SHP-100081</t>
  </si>
  <si>
    <t>373</t>
  </si>
  <si>
    <t>SHP-100243</t>
  </si>
  <si>
    <t xml:space="preserve">Rs 797 </t>
  </si>
  <si>
    <t>SHP-100923</t>
  </si>
  <si>
    <t>SHP-100720</t>
  </si>
  <si>
    <t xml:space="preserve">Rs 270 </t>
  </si>
  <si>
    <t>SHP-100219</t>
  </si>
  <si>
    <t>SHP-100214</t>
  </si>
  <si>
    <t xml:space="preserve">29.4 Kg </t>
  </si>
  <si>
    <t>1,469</t>
  </si>
  <si>
    <t>SHP-100940</t>
  </si>
  <si>
    <t>22.8kg</t>
  </si>
  <si>
    <t xml:space="preserve">Rs 495 </t>
  </si>
  <si>
    <t>29/01/2024</t>
  </si>
  <si>
    <t>SHP-101413</t>
  </si>
  <si>
    <t>809</t>
  </si>
  <si>
    <t>SHP-100010</t>
  </si>
  <si>
    <t>1.9kg</t>
  </si>
  <si>
    <t xml:space="preserve">Rs 170 </t>
  </si>
  <si>
    <t>SHP-100228</t>
  </si>
  <si>
    <t>₹395</t>
  </si>
  <si>
    <t>SHP-101074</t>
  </si>
  <si>
    <t>₹359</t>
  </si>
  <si>
    <t>SHP-100870</t>
  </si>
  <si>
    <t>305</t>
  </si>
  <si>
    <t>SHP-100702</t>
  </si>
  <si>
    <t>SHP-100367</t>
  </si>
  <si>
    <t>₹113</t>
  </si>
  <si>
    <t>SHP-101279</t>
  </si>
  <si>
    <t>12.5KG</t>
  </si>
  <si>
    <t>₹399</t>
  </si>
  <si>
    <t>SHP-100995</t>
  </si>
  <si>
    <t>SHP-100005</t>
  </si>
  <si>
    <t>77.4kg</t>
  </si>
  <si>
    <t>1,895</t>
  </si>
  <si>
    <t>SHP-100688</t>
  </si>
  <si>
    <t>5.1kg</t>
  </si>
  <si>
    <t>293</t>
  </si>
  <si>
    <t>SHP-100545</t>
  </si>
  <si>
    <t xml:space="preserve">Rs 276 </t>
  </si>
  <si>
    <t>SHP-101354</t>
  </si>
  <si>
    <t xml:space="preserve">Rs 969 </t>
  </si>
  <si>
    <t>SHP-100500</t>
  </si>
  <si>
    <t>32.6</t>
  </si>
  <si>
    <t>₹638</t>
  </si>
  <si>
    <t>SHP-101305</t>
  </si>
  <si>
    <t>32.6KG</t>
  </si>
  <si>
    <t xml:space="preserve">Rs 616 </t>
  </si>
  <si>
    <t>SHP-100648</t>
  </si>
  <si>
    <t>SHP-100861</t>
  </si>
  <si>
    <t>14.2kg</t>
  </si>
  <si>
    <t>842</t>
  </si>
  <si>
    <t>SHP-100353</t>
  </si>
  <si>
    <t>16.8kg</t>
  </si>
  <si>
    <t>SHP-100182</t>
  </si>
  <si>
    <t>11.2KG</t>
  </si>
  <si>
    <t>SHP-100357</t>
  </si>
  <si>
    <t>797</t>
  </si>
  <si>
    <t>SHP-101119</t>
  </si>
  <si>
    <t>SHP-100734</t>
  </si>
  <si>
    <t xml:space="preserve">Rs 381 </t>
  </si>
  <si>
    <t>SHP-100821</t>
  </si>
  <si>
    <t>8.9KG</t>
  </si>
  <si>
    <t>298</t>
  </si>
  <si>
    <t>SHP-101537</t>
  </si>
  <si>
    <t>SHP-101184</t>
  </si>
  <si>
    <t xml:space="preserve">Rs 445 </t>
  </si>
  <si>
    <t>SHP-100550</t>
  </si>
  <si>
    <t>SHP-101035</t>
  </si>
  <si>
    <t>23.2kg</t>
  </si>
  <si>
    <t>SHP-100546</t>
  </si>
  <si>
    <t>44.0KG</t>
  </si>
  <si>
    <t>SHP-101558</t>
  </si>
  <si>
    <t xml:space="preserve">Rs 757 </t>
  </si>
  <si>
    <t>SHP-100627</t>
  </si>
  <si>
    <t>SHP-100483</t>
  </si>
  <si>
    <t xml:space="preserve">Rs 219 </t>
  </si>
  <si>
    <t>21/01/2024</t>
  </si>
  <si>
    <t>SHP-100725</t>
  </si>
  <si>
    <t>30.0kg</t>
  </si>
  <si>
    <t>834</t>
  </si>
  <si>
    <t>SHP-101288</t>
  </si>
  <si>
    <t>23.3</t>
  </si>
  <si>
    <t>₹454</t>
  </si>
  <si>
    <t>SHP-100803</t>
  </si>
  <si>
    <t>SHP-100415</t>
  </si>
  <si>
    <t>2024-02-04</t>
  </si>
  <si>
    <t>SHP-101146</t>
  </si>
  <si>
    <t>SHP-101527</t>
  </si>
  <si>
    <t>19.7kg</t>
  </si>
  <si>
    <t xml:space="preserve">Rs 409 </t>
  </si>
  <si>
    <t>SHP-100513</t>
  </si>
  <si>
    <t>280</t>
  </si>
  <si>
    <t>SHP-101589</t>
  </si>
  <si>
    <t>₹144</t>
  </si>
  <si>
    <t>SHP-100475</t>
  </si>
  <si>
    <t xml:space="preserve">27.3 Kg </t>
  </si>
  <si>
    <t xml:space="preserve">Rs 529 </t>
  </si>
  <si>
    <t>SHP-100302</t>
  </si>
  <si>
    <t>42.1kg</t>
  </si>
  <si>
    <t>₹1,126</t>
  </si>
  <si>
    <t>SHP-101128</t>
  </si>
  <si>
    <t>SHP-101017</t>
  </si>
  <si>
    <t>₹496</t>
  </si>
  <si>
    <t>SHP-100380</t>
  </si>
  <si>
    <t>23.9KG</t>
  </si>
  <si>
    <t xml:space="preserve">Rs 1250 </t>
  </si>
  <si>
    <t>SHP-100911</t>
  </si>
  <si>
    <t>9.2kg</t>
  </si>
  <si>
    <t xml:space="preserve">Rs 398 </t>
  </si>
  <si>
    <t>SHP-100245</t>
  </si>
  <si>
    <t>₹296</t>
  </si>
  <si>
    <t>SHP-100034</t>
  </si>
  <si>
    <t>₹200</t>
  </si>
  <si>
    <t>SHP-100900</t>
  </si>
  <si>
    <t>37.3</t>
  </si>
  <si>
    <t>853</t>
  </si>
  <si>
    <t>SHP-100479</t>
  </si>
  <si>
    <t>SHP-101343</t>
  </si>
  <si>
    <t>335</t>
  </si>
  <si>
    <t>SHP-100588</t>
  </si>
  <si>
    <t>325</t>
  </si>
  <si>
    <t>SHP-100780</t>
  </si>
  <si>
    <t>3.7</t>
  </si>
  <si>
    <t>₹250</t>
  </si>
  <si>
    <t>SHP-100002</t>
  </si>
  <si>
    <t>17.8kg</t>
  </si>
  <si>
    <t>₹531</t>
  </si>
  <si>
    <t>SHP-100412</t>
  </si>
  <si>
    <t xml:space="preserve">12.9 Kg </t>
  </si>
  <si>
    <t>SHP-100916</t>
  </si>
  <si>
    <t>SHP-100155</t>
  </si>
  <si>
    <t>338</t>
  </si>
  <si>
    <t>SHP-100576</t>
  </si>
  <si>
    <t>5.2KG</t>
  </si>
  <si>
    <t>SHP-100487</t>
  </si>
  <si>
    <t>SHP-101473</t>
  </si>
  <si>
    <t>69.0</t>
  </si>
  <si>
    <t>SHP-100254</t>
  </si>
  <si>
    <t xml:space="preserve">5.8 Kg </t>
  </si>
  <si>
    <t xml:space="preserve">Rs 382 </t>
  </si>
  <si>
    <t>SHP-100343</t>
  </si>
  <si>
    <t>21.8KG</t>
  </si>
  <si>
    <t>SHP-100291</t>
  </si>
  <si>
    <t xml:space="preserve">48.6 Kg </t>
  </si>
  <si>
    <t>2,387</t>
  </si>
  <si>
    <t>SHP-101598</t>
  </si>
  <si>
    <t>13.7KG</t>
  </si>
  <si>
    <t>₹619</t>
  </si>
  <si>
    <t>SHP-100342</t>
  </si>
  <si>
    <t>SHP-100766</t>
  </si>
  <si>
    <t>₹842</t>
  </si>
  <si>
    <t>SHP-100684</t>
  </si>
  <si>
    <t xml:space="preserve">Rs 125 </t>
  </si>
  <si>
    <t>SHP-101517</t>
  </si>
  <si>
    <t>₹394</t>
  </si>
  <si>
    <t>SHP-100920</t>
  </si>
  <si>
    <t>₹148</t>
  </si>
  <si>
    <t>SHP-100281</t>
  </si>
  <si>
    <t>1,069</t>
  </si>
  <si>
    <t>SHP-101574</t>
  </si>
  <si>
    <t>247</t>
  </si>
  <si>
    <t>SHP-101044</t>
  </si>
  <si>
    <t>SHP-101178</t>
  </si>
  <si>
    <t>55.5KG</t>
  </si>
  <si>
    <t>₹1,376</t>
  </si>
  <si>
    <t>SHP-101545</t>
  </si>
  <si>
    <t>774</t>
  </si>
  <si>
    <t>SHP-101250</t>
  </si>
  <si>
    <t>SHP-101162</t>
  </si>
  <si>
    <t>508</t>
  </si>
  <si>
    <t>SHP-100095</t>
  </si>
  <si>
    <t>02/03/2024</t>
  </si>
  <si>
    <t>SHP-100582</t>
  </si>
  <si>
    <t xml:space="preserve">15.3 Kg </t>
  </si>
  <si>
    <t xml:space="preserve">Rs 811 </t>
  </si>
  <si>
    <t>SHP-101314</t>
  </si>
  <si>
    <t>₹170</t>
  </si>
  <si>
    <t>SHP-100120</t>
  </si>
  <si>
    <t>SHP-101078</t>
  </si>
  <si>
    <t xml:space="preserve">23.8 Kg </t>
  </si>
  <si>
    <t xml:space="preserve">Rs 1258 </t>
  </si>
  <si>
    <t>SHP-101311</t>
  </si>
  <si>
    <t>216</t>
  </si>
  <si>
    <t>SHP-101387</t>
  </si>
  <si>
    <t>04/06/2024</t>
  </si>
  <si>
    <t>₹265</t>
  </si>
  <si>
    <t>SHP-100161</t>
  </si>
  <si>
    <t>SHP-100397</t>
  </si>
  <si>
    <t>SHP-100316</t>
  </si>
  <si>
    <t>13.8kg</t>
  </si>
  <si>
    <t>28-Apr-2024</t>
  </si>
  <si>
    <t>SHP-101107</t>
  </si>
  <si>
    <t xml:space="preserve">54.3 Kg </t>
  </si>
  <si>
    <t xml:space="preserve">Rs 1315 </t>
  </si>
  <si>
    <t>SHP-100336</t>
  </si>
  <si>
    <t>79.9</t>
  </si>
  <si>
    <t xml:space="preserve">Rs 3572 </t>
  </si>
  <si>
    <t>SHP-101439</t>
  </si>
  <si>
    <t>14.1KG</t>
  </si>
  <si>
    <t xml:space="preserve">Rs 796 </t>
  </si>
  <si>
    <t>SHP-101167</t>
  </si>
  <si>
    <t>42.3kg</t>
  </si>
  <si>
    <t>784</t>
  </si>
  <si>
    <t>SHP-101195</t>
  </si>
  <si>
    <t>62.7KG</t>
  </si>
  <si>
    <t>1,007</t>
  </si>
  <si>
    <t>SHP-100508</t>
  </si>
  <si>
    <t>96</t>
  </si>
  <si>
    <t>SHP-100348</t>
  </si>
  <si>
    <t xml:space="preserve">9.9 Kg </t>
  </si>
  <si>
    <t xml:space="preserve">Rs 419 </t>
  </si>
  <si>
    <t>SHP-100955</t>
  </si>
  <si>
    <t>128</t>
  </si>
  <si>
    <t>SHP-101238</t>
  </si>
  <si>
    <t>SHP-100392</t>
  </si>
  <si>
    <t xml:space="preserve">15.2 Kg </t>
  </si>
  <si>
    <t xml:space="preserve">Rs 868 </t>
  </si>
  <si>
    <t>SHP-100855</t>
  </si>
  <si>
    <t>₹332</t>
  </si>
  <si>
    <t>SHP-101461</t>
  </si>
  <si>
    <t>₹188</t>
  </si>
  <si>
    <t>SHP-101270</t>
  </si>
  <si>
    <t>SHP-100733</t>
  </si>
  <si>
    <t>24.2</t>
  </si>
  <si>
    <t>1,269</t>
  </si>
  <si>
    <t>SHP-100839</t>
  </si>
  <si>
    <t>₹304</t>
  </si>
  <si>
    <t>SHP-100577</t>
  </si>
  <si>
    <t>5.3KG</t>
  </si>
  <si>
    <t>SHP-100184</t>
  </si>
  <si>
    <t>22.6</t>
  </si>
  <si>
    <t>SHP-100815</t>
  </si>
  <si>
    <t>₹718</t>
  </si>
  <si>
    <t>SHP-101097</t>
  </si>
  <si>
    <t>40.3</t>
  </si>
  <si>
    <t>867</t>
  </si>
  <si>
    <t>SHP-100100</t>
  </si>
  <si>
    <t>SHP-100624</t>
  </si>
  <si>
    <t xml:space="preserve">37.0 Kg </t>
  </si>
  <si>
    <t>₹682</t>
  </si>
  <si>
    <t>SHP-100932</t>
  </si>
  <si>
    <t>₹376</t>
  </si>
  <si>
    <t>SHP-100061</t>
  </si>
  <si>
    <t>5.2kg</t>
  </si>
  <si>
    <t>278</t>
  </si>
  <si>
    <t>SHP-100201</t>
  </si>
  <si>
    <t>29.7kg</t>
  </si>
  <si>
    <t>₹1,534</t>
  </si>
  <si>
    <t>SHP-100338</t>
  </si>
  <si>
    <t>SHP-100433</t>
  </si>
  <si>
    <t>27/02/2024</t>
  </si>
  <si>
    <t>SHP-100534</t>
  </si>
  <si>
    <t xml:space="preserve">14.8 Kg </t>
  </si>
  <si>
    <t xml:space="preserve">Rs 235 </t>
  </si>
  <si>
    <t>SHP-101512</t>
  </si>
  <si>
    <t>19.8KG</t>
  </si>
  <si>
    <t xml:space="preserve">Rs 605 </t>
  </si>
  <si>
    <t>SHP-100832</t>
  </si>
  <si>
    <t>52.5kg</t>
  </si>
  <si>
    <t xml:space="preserve">Rs 2518 </t>
  </si>
  <si>
    <t>SHP-100841</t>
  </si>
  <si>
    <t>SHP-101447</t>
  </si>
  <si>
    <t>2.7kg</t>
  </si>
  <si>
    <t>SHP-100465</t>
  </si>
  <si>
    <t>17/03/2024</t>
  </si>
  <si>
    <t>31.4</t>
  </si>
  <si>
    <t>₹647</t>
  </si>
  <si>
    <t>SHP-100879</t>
  </si>
  <si>
    <t>68.3KG</t>
  </si>
  <si>
    <t xml:space="preserve">Rs 3255 </t>
  </si>
  <si>
    <t>SHP-101233</t>
  </si>
  <si>
    <t>53.1kg</t>
  </si>
  <si>
    <t>2,558</t>
  </si>
  <si>
    <t>SHP-100785</t>
  </si>
  <si>
    <t>174</t>
  </si>
  <si>
    <t>SHP-100514</t>
  </si>
  <si>
    <t>46.0</t>
  </si>
  <si>
    <t>₹784</t>
  </si>
  <si>
    <t>SHP-101109</t>
  </si>
  <si>
    <t>SHP-100082</t>
  </si>
  <si>
    <t xml:space="preserve"> 07/06/2024 </t>
  </si>
  <si>
    <t>SHP-100154</t>
  </si>
  <si>
    <t>2.6KG</t>
  </si>
  <si>
    <t>SHP-100238</t>
  </si>
  <si>
    <t>33.3KG</t>
  </si>
  <si>
    <t>1,491</t>
  </si>
  <si>
    <t>SHP-100349</t>
  </si>
  <si>
    <t>68.9KG</t>
  </si>
  <si>
    <t xml:space="preserve">Rs 3287 </t>
  </si>
  <si>
    <t>SHP-100783</t>
  </si>
  <si>
    <t>SHP-100333</t>
  </si>
  <si>
    <t>190</t>
  </si>
  <si>
    <t>SHP-101361</t>
  </si>
  <si>
    <t>SHP-101222</t>
  </si>
  <si>
    <t>76.2kg</t>
  </si>
  <si>
    <t>1,235</t>
  </si>
  <si>
    <t>SHP-101323</t>
  </si>
  <si>
    <t>SHP-100289</t>
  </si>
  <si>
    <t xml:space="preserve">3.5 Kg </t>
  </si>
  <si>
    <t>SHP-101180</t>
  </si>
  <si>
    <t xml:space="preserve">Rs 143 </t>
  </si>
  <si>
    <t>SHP-101580</t>
  </si>
  <si>
    <t>2024-04-02</t>
  </si>
  <si>
    <t>SHP-100013</t>
  </si>
  <si>
    <t>SHP-100103</t>
  </si>
  <si>
    <t>₹319</t>
  </si>
  <si>
    <t>SHP-100660</t>
  </si>
  <si>
    <t>₹502</t>
  </si>
  <si>
    <t>SHP-101181</t>
  </si>
  <si>
    <t>₹522</t>
  </si>
  <si>
    <t>SHP-100495</t>
  </si>
  <si>
    <t>67.9KG</t>
  </si>
  <si>
    <t>₹1,700</t>
  </si>
  <si>
    <t>SHP-101110</t>
  </si>
  <si>
    <t>13.0kg</t>
  </si>
  <si>
    <t>₹387</t>
  </si>
  <si>
    <t>SHP-101452</t>
  </si>
  <si>
    <t xml:space="preserve">Rs 592 </t>
  </si>
  <si>
    <t>SHP-101153</t>
  </si>
  <si>
    <t>7.0</t>
  </si>
  <si>
    <t>₹447</t>
  </si>
  <si>
    <t>SHP-100937</t>
  </si>
  <si>
    <t>28.8KG</t>
  </si>
  <si>
    <t>₹1,449</t>
  </si>
  <si>
    <t>SHP-100562</t>
  </si>
  <si>
    <t>SHP-100067</t>
  </si>
  <si>
    <t>23.0kg</t>
  </si>
  <si>
    <t xml:space="preserve">Rs 1188 </t>
  </si>
  <si>
    <t>SHP-100630</t>
  </si>
  <si>
    <t>SHP-100527</t>
  </si>
  <si>
    <t>5.3kg</t>
  </si>
  <si>
    <t>SHP-100892</t>
  </si>
  <si>
    <t>SHP-100741</t>
  </si>
  <si>
    <t xml:space="preserve">Rs 282 </t>
  </si>
  <si>
    <t>SHP-101076</t>
  </si>
  <si>
    <t>SHP-100118</t>
  </si>
  <si>
    <t>SHP-100019</t>
  </si>
  <si>
    <t>₹183</t>
  </si>
  <si>
    <t>SHP-101535</t>
  </si>
  <si>
    <t>3.0kg</t>
  </si>
  <si>
    <t>SHP-100360</t>
  </si>
  <si>
    <t>₹275</t>
  </si>
  <si>
    <t>SHP-101490</t>
  </si>
  <si>
    <t xml:space="preserve">51.4 Kg </t>
  </si>
  <si>
    <t>2,286</t>
  </si>
  <si>
    <t>SHP-100077</t>
  </si>
  <si>
    <t>SHP-100096</t>
  </si>
  <si>
    <t>5.2</t>
  </si>
  <si>
    <t>SHP-100117</t>
  </si>
  <si>
    <t>₹208</t>
  </si>
  <si>
    <t>SHP-101333</t>
  </si>
  <si>
    <t>14.9KG</t>
  </si>
  <si>
    <t xml:space="preserve">Rs 699 </t>
  </si>
  <si>
    <t>SHP-100791</t>
  </si>
  <si>
    <t xml:space="preserve">Rs 329 </t>
  </si>
  <si>
    <t>SHP-100886</t>
  </si>
  <si>
    <t>35.2</t>
  </si>
  <si>
    <t>697</t>
  </si>
  <si>
    <t>SHP-100924</t>
  </si>
  <si>
    <t xml:space="preserve">Rs 110 </t>
  </si>
  <si>
    <t>SHP-100890</t>
  </si>
  <si>
    <t>13.0KG</t>
  </si>
  <si>
    <t>350</t>
  </si>
  <si>
    <t>SHP-100258</t>
  </si>
  <si>
    <t>59.1</t>
  </si>
  <si>
    <t xml:space="preserve">Rs 1472 </t>
  </si>
  <si>
    <t>SHP-101483</t>
  </si>
  <si>
    <t>34.0KG</t>
  </si>
  <si>
    <t>₹1,691</t>
  </si>
  <si>
    <t>SHP-100448</t>
  </si>
  <si>
    <t>235</t>
  </si>
  <si>
    <t>SHP-100533</t>
  </si>
  <si>
    <t>SHP-101016</t>
  </si>
  <si>
    <t xml:space="preserve">28.9 Kg </t>
  </si>
  <si>
    <t>₹1,452</t>
  </si>
  <si>
    <t>24-Jan-2024</t>
  </si>
  <si>
    <t>SHP-100517</t>
  </si>
  <si>
    <t>27.1</t>
  </si>
  <si>
    <t>732</t>
  </si>
  <si>
    <t>SHP-100846</t>
  </si>
  <si>
    <t xml:space="preserve">Rs 154 </t>
  </si>
  <si>
    <t>SHP-100074</t>
  </si>
  <si>
    <t>10.9</t>
  </si>
  <si>
    <t>₹171</t>
  </si>
  <si>
    <t>SHP-100607</t>
  </si>
  <si>
    <t>SHP-100812</t>
  </si>
  <si>
    <t xml:space="preserve">40.7 Kg </t>
  </si>
  <si>
    <t>695</t>
  </si>
  <si>
    <t>SHP-100620</t>
  </si>
  <si>
    <t xml:space="preserve">53.4 Kg </t>
  </si>
  <si>
    <t xml:space="preserve">Rs 2589 </t>
  </si>
  <si>
    <t>SHP-100091</t>
  </si>
  <si>
    <t>2024-04-23</t>
  </si>
  <si>
    <t>₹1,223</t>
  </si>
  <si>
    <t>2024-04-30</t>
  </si>
  <si>
    <t>SHP-100443</t>
  </si>
  <si>
    <t>SHP-100622</t>
  </si>
  <si>
    <t>SHP-101561</t>
  </si>
  <si>
    <t>43.3</t>
  </si>
  <si>
    <t>1,977</t>
  </si>
  <si>
    <t>SHP-100662</t>
  </si>
  <si>
    <t>SHP-100023</t>
  </si>
  <si>
    <t>423</t>
  </si>
  <si>
    <t>SHP-100174</t>
  </si>
  <si>
    <t>SHP-101565</t>
  </si>
  <si>
    <t>75.9</t>
  </si>
  <si>
    <t>1,836</t>
  </si>
  <si>
    <t>SHP-100857</t>
  </si>
  <si>
    <t>SHP-100836</t>
  </si>
  <si>
    <t>₹341</t>
  </si>
  <si>
    <t>SHP-100173</t>
  </si>
  <si>
    <t>SHP-100767</t>
  </si>
  <si>
    <t>70.6</t>
  </si>
  <si>
    <t>1,113</t>
  </si>
  <si>
    <t>SHP-100629</t>
  </si>
  <si>
    <t>13.1KG</t>
  </si>
  <si>
    <t>₹489</t>
  </si>
  <si>
    <t>SHP-100499</t>
  </si>
  <si>
    <t>SHP-100779</t>
  </si>
  <si>
    <t>34.7</t>
  </si>
  <si>
    <t>1,614</t>
  </si>
  <si>
    <t>SHP-100488</t>
  </si>
  <si>
    <t xml:space="preserve">19.4 Kg </t>
  </si>
  <si>
    <t>₹866</t>
  </si>
  <si>
    <t>SHP-101411</t>
  </si>
  <si>
    <t>19.6KG</t>
  </si>
  <si>
    <t>1,086</t>
  </si>
  <si>
    <t>SHP-100979</t>
  </si>
  <si>
    <t>18.9kg</t>
  </si>
  <si>
    <t>SHP-100842</t>
  </si>
  <si>
    <t>SHP-100375</t>
  </si>
  <si>
    <t xml:space="preserve">Rs 99 </t>
  </si>
  <si>
    <t>SHP-100777</t>
  </si>
  <si>
    <t>7.5KG</t>
  </si>
  <si>
    <t>SHP-100484</t>
  </si>
  <si>
    <t xml:space="preserve"> 05/01/2024 </t>
  </si>
  <si>
    <t>183</t>
  </si>
  <si>
    <t>SHP-100529</t>
  </si>
  <si>
    <t>SHP-101124</t>
  </si>
  <si>
    <t xml:space="preserve">Rs 191 </t>
  </si>
  <si>
    <t>SHP-101205</t>
  </si>
  <si>
    <t xml:space="preserve">12.6 Kg </t>
  </si>
  <si>
    <t>SHP-100972</t>
  </si>
  <si>
    <t xml:space="preserve">Rs 379 </t>
  </si>
  <si>
    <t>SHP-101585</t>
  </si>
  <si>
    <t xml:space="preserve">Rs 255 </t>
  </si>
  <si>
    <t>SHP-101588</t>
  </si>
  <si>
    <t xml:space="preserve">0.7 Kg </t>
  </si>
  <si>
    <t>205</t>
  </si>
  <si>
    <t>SHP-100856</t>
  </si>
  <si>
    <t>SHP-101569</t>
  </si>
  <si>
    <t>401</t>
  </si>
  <si>
    <t>SHP-100919</t>
  </si>
  <si>
    <t>479</t>
  </si>
  <si>
    <t>SHP-100366</t>
  </si>
  <si>
    <t>12.9KG</t>
  </si>
  <si>
    <t>353</t>
  </si>
  <si>
    <t>SHP-101069</t>
  </si>
  <si>
    <t>₹115</t>
  </si>
  <si>
    <t>SHP-100690</t>
  </si>
  <si>
    <t>₹493</t>
  </si>
  <si>
    <t>SHP-101004</t>
  </si>
  <si>
    <t>85</t>
  </si>
  <si>
    <t>SHP-100049</t>
  </si>
  <si>
    <t xml:space="preserve">5.6 Kg </t>
  </si>
  <si>
    <t xml:space="preserve">Rs 299 </t>
  </si>
  <si>
    <t>SHP-101191</t>
  </si>
  <si>
    <t>9.4KG</t>
  </si>
  <si>
    <t>SHP-101254</t>
  </si>
  <si>
    <t>24.6KG</t>
  </si>
  <si>
    <t>₹727</t>
  </si>
  <si>
    <t>SHP-100522</t>
  </si>
  <si>
    <t>51.0kg</t>
  </si>
  <si>
    <t>762</t>
  </si>
  <si>
    <t>SHP-100614</t>
  </si>
  <si>
    <t xml:space="preserve">26.7 Kg </t>
  </si>
  <si>
    <t xml:space="preserve">Rs 1355 </t>
  </si>
  <si>
    <t>SHP-100269</t>
  </si>
  <si>
    <t>SHP-101346</t>
  </si>
  <si>
    <t>322</t>
  </si>
  <si>
    <t>SHP-100840</t>
  </si>
  <si>
    <t xml:space="preserve">Rs 518 </t>
  </si>
  <si>
    <t>SHP-101213</t>
  </si>
  <si>
    <t>219</t>
  </si>
  <si>
    <t>01-Jul-2024</t>
  </si>
  <si>
    <t>SHP-100867</t>
  </si>
  <si>
    <t>₹429</t>
  </si>
  <si>
    <t>SHP-101001</t>
  </si>
  <si>
    <t>SHP-100362</t>
  </si>
  <si>
    <t>SHP-100683</t>
  </si>
  <si>
    <t>₹280</t>
  </si>
  <si>
    <t>SHP-100694</t>
  </si>
  <si>
    <t>SHP-100912</t>
  </si>
  <si>
    <t xml:space="preserve">Rs 664 </t>
  </si>
  <si>
    <t>SHP-100385</t>
  </si>
  <si>
    <t>SHP-101186</t>
  </si>
  <si>
    <t>SHP-101261</t>
  </si>
  <si>
    <t>64.1kg</t>
  </si>
  <si>
    <t>₹3,061</t>
  </si>
  <si>
    <t>SHP-100399</t>
  </si>
  <si>
    <t xml:space="preserve">Rs 280 </t>
  </si>
  <si>
    <t>SHP-100424</t>
  </si>
  <si>
    <t>35.5kg</t>
  </si>
  <si>
    <t>SHP-101108</t>
  </si>
  <si>
    <t>₹574</t>
  </si>
  <si>
    <t>SHP-101237</t>
  </si>
  <si>
    <t>₹3,282</t>
  </si>
  <si>
    <t>SHP-101144</t>
  </si>
  <si>
    <t>SHP-100606</t>
  </si>
  <si>
    <t>SHP-100198</t>
  </si>
  <si>
    <t>6.1kg</t>
  </si>
  <si>
    <t>₹274</t>
  </si>
  <si>
    <t>26-Mar-2024</t>
  </si>
  <si>
    <t>SHP-101169</t>
  </si>
  <si>
    <t>148</t>
  </si>
  <si>
    <t>SHP-101094</t>
  </si>
  <si>
    <t>₹228</t>
  </si>
  <si>
    <t>SHP-100439</t>
  </si>
  <si>
    <t>SHP-101228</t>
  </si>
  <si>
    <t xml:space="preserve">9.7 Kg </t>
  </si>
  <si>
    <t>₹373</t>
  </si>
  <si>
    <t>SHP-100358</t>
  </si>
  <si>
    <t>11.1kg</t>
  </si>
  <si>
    <t>SHP-101567</t>
  </si>
  <si>
    <t>13.7kg</t>
  </si>
  <si>
    <t>SHP-100635</t>
  </si>
  <si>
    <t xml:space="preserve">24.7 Kg </t>
  </si>
  <si>
    <t>506</t>
  </si>
  <si>
    <t>SHP-100038</t>
  </si>
  <si>
    <t xml:space="preserve"> 04/06/2024 </t>
  </si>
  <si>
    <t xml:space="preserve">72.1 Kg </t>
  </si>
  <si>
    <t>₹3,427</t>
  </si>
  <si>
    <t>SHP-100267</t>
  </si>
  <si>
    <t xml:space="preserve">Rs 285 </t>
  </si>
  <si>
    <t>SHP-100431</t>
  </si>
  <si>
    <t>16.0</t>
  </si>
  <si>
    <t>413</t>
  </si>
  <si>
    <t>SHP-100088</t>
  </si>
  <si>
    <t>1,003</t>
  </si>
  <si>
    <t>SHP-101503</t>
  </si>
  <si>
    <t>SHP-100537</t>
  </si>
  <si>
    <t>₹344</t>
  </si>
  <si>
    <t>SHP-101129</t>
  </si>
  <si>
    <t>SHP-101344</t>
  </si>
  <si>
    <t xml:space="preserve">Rs 231 </t>
  </si>
  <si>
    <t>SHP-100605</t>
  </si>
  <si>
    <t>₹212</t>
  </si>
  <si>
    <t>SHP-100363</t>
  </si>
  <si>
    <t>SHP-100213</t>
  </si>
  <si>
    <t>SHP-100090</t>
  </si>
  <si>
    <t>SHP-100418</t>
  </si>
  <si>
    <t>SHP-100321</t>
  </si>
  <si>
    <t>20.9</t>
  </si>
  <si>
    <t>₹331</t>
  </si>
  <si>
    <t>SHP-100143</t>
  </si>
  <si>
    <t xml:space="preserve"> 29/04/2024 </t>
  </si>
  <si>
    <t>SHP-100473</t>
  </si>
  <si>
    <t>SHP-100958</t>
  </si>
  <si>
    <t xml:space="preserve">Rs 310 </t>
  </si>
  <si>
    <t>SHP-100670</t>
  </si>
  <si>
    <t>06/01/2024</t>
  </si>
  <si>
    <t>523</t>
  </si>
  <si>
    <t>SHP-101246</t>
  </si>
  <si>
    <t>SHP-101463</t>
  </si>
  <si>
    <t xml:space="preserve">Rs 229 </t>
  </si>
  <si>
    <t>SHP-100445</t>
  </si>
  <si>
    <t>09-Apr-2024</t>
  </si>
  <si>
    <t>SHP-100579</t>
  </si>
  <si>
    <t xml:space="preserve">22.3 Kg </t>
  </si>
  <si>
    <t xml:space="preserve">Rs 620 </t>
  </si>
  <si>
    <t>SHP-101427</t>
  </si>
  <si>
    <t>SHP-100383</t>
  </si>
  <si>
    <t>SHP-100332</t>
  </si>
  <si>
    <t>27.2</t>
  </si>
  <si>
    <t>SHP-101276</t>
  </si>
  <si>
    <t xml:space="preserve">Rs 537 </t>
  </si>
  <si>
    <t>SHP-100833</t>
  </si>
  <si>
    <t xml:space="preserve">6.6 Kg </t>
  </si>
  <si>
    <t>SHP-101595</t>
  </si>
  <si>
    <t>168</t>
  </si>
  <si>
    <t>SHP-100881</t>
  </si>
  <si>
    <t>SHP-100936</t>
  </si>
  <si>
    <t>SHP-100018</t>
  </si>
  <si>
    <t>34.4</t>
  </si>
  <si>
    <t>₹1,726</t>
  </si>
  <si>
    <t>SHP-100634</t>
  </si>
  <si>
    <t>₹260</t>
  </si>
  <si>
    <t>SHP-101002</t>
  </si>
  <si>
    <t>7.9KG</t>
  </si>
  <si>
    <t>SHP-100818</t>
  </si>
  <si>
    <t>SHP-101089</t>
  </si>
  <si>
    <t xml:space="preserve">Rs 284 </t>
  </si>
  <si>
    <t>SHP-101552</t>
  </si>
  <si>
    <t>SHP-101133</t>
  </si>
  <si>
    <t xml:space="preserve">Rs 271 </t>
  </si>
  <si>
    <t>SHP-101088</t>
  </si>
  <si>
    <t>SHP-101248</t>
  </si>
  <si>
    <t>SHP-101572</t>
  </si>
  <si>
    <t>185</t>
  </si>
  <si>
    <t>SHP-101563</t>
  </si>
  <si>
    <t>68.0kg</t>
  </si>
  <si>
    <t>₹1,105</t>
  </si>
  <si>
    <t>SHP-100314</t>
  </si>
  <si>
    <t>SHP-100740</t>
  </si>
  <si>
    <t>₹90</t>
  </si>
  <si>
    <t>SHP-100636</t>
  </si>
  <si>
    <t>4.0KG</t>
  </si>
  <si>
    <t xml:space="preserve">Rs 368 </t>
  </si>
  <si>
    <t>SHP-101547</t>
  </si>
  <si>
    <t>01/01/2024</t>
  </si>
  <si>
    <t xml:space="preserve">34.1 Kg </t>
  </si>
  <si>
    <t>₹960</t>
  </si>
  <si>
    <t>SHP-100175</t>
  </si>
  <si>
    <t>13.5KG</t>
  </si>
  <si>
    <t>SHP-101444</t>
  </si>
  <si>
    <t>SHP-100708</t>
  </si>
  <si>
    <t>2.6kg</t>
  </si>
  <si>
    <t xml:space="preserve">Rs 131 </t>
  </si>
  <si>
    <t>SHP-101306</t>
  </si>
  <si>
    <t>SHP-101244</t>
  </si>
  <si>
    <t>SHP-101465</t>
  </si>
  <si>
    <t>292</t>
  </si>
  <si>
    <t>SHP-101371</t>
  </si>
  <si>
    <t>₹427</t>
  </si>
  <si>
    <t>SHP-101513</t>
  </si>
  <si>
    <t>4.4KG</t>
  </si>
  <si>
    <t>₹377</t>
  </si>
  <si>
    <t>SHP-100365</t>
  </si>
  <si>
    <t>60.1KG</t>
  </si>
  <si>
    <t xml:space="preserve">Rs 995 </t>
  </si>
  <si>
    <t>SHP-101018</t>
  </si>
  <si>
    <t xml:space="preserve">Rs 266 </t>
  </si>
  <si>
    <t>SHP-101442</t>
  </si>
  <si>
    <t>220</t>
  </si>
  <si>
    <t>SHP-100044</t>
  </si>
  <si>
    <t>SHP-100036</t>
  </si>
  <si>
    <t>SHP-100982</t>
  </si>
  <si>
    <t>₹384</t>
  </si>
  <si>
    <t>SHP-100106</t>
  </si>
  <si>
    <t xml:space="preserve">17.0 Kg </t>
  </si>
  <si>
    <t xml:space="preserve">Rs 561 </t>
  </si>
  <si>
    <t>SHP-100610</t>
  </si>
  <si>
    <t>₹409</t>
  </si>
  <si>
    <t>SHP-101071</t>
  </si>
  <si>
    <t>SHP-100942</t>
  </si>
  <si>
    <t xml:space="preserve">Rs 471 </t>
  </si>
  <si>
    <t>SHP-100394</t>
  </si>
  <si>
    <t xml:space="preserve">16.8 Kg </t>
  </si>
  <si>
    <t>SHP-101117</t>
  </si>
  <si>
    <t>SHP-101397</t>
  </si>
  <si>
    <t>8.6</t>
  </si>
  <si>
    <t>SHP-101464</t>
  </si>
  <si>
    <t>21.5kg</t>
  </si>
  <si>
    <t>449</t>
  </si>
  <si>
    <t>SHP-100250</t>
  </si>
  <si>
    <t>431</t>
  </si>
  <si>
    <t>SHP-100917</t>
  </si>
  <si>
    <t>58.4</t>
  </si>
  <si>
    <t>2,761</t>
  </si>
  <si>
    <t>SHP-101446</t>
  </si>
  <si>
    <t>SHP-100416</t>
  </si>
  <si>
    <t>SHP-100252</t>
  </si>
  <si>
    <t>863</t>
  </si>
  <si>
    <t>SHP-100288</t>
  </si>
  <si>
    <t>17.6kg</t>
  </si>
  <si>
    <t>970</t>
  </si>
  <si>
    <t>SHP-100671</t>
  </si>
  <si>
    <t>1.2KG</t>
  </si>
  <si>
    <t>SHP-101256</t>
  </si>
  <si>
    <t>SHP-100032</t>
  </si>
  <si>
    <t>69.6KG</t>
  </si>
  <si>
    <t>3,283</t>
  </si>
  <si>
    <t>SHP-100197</t>
  </si>
  <si>
    <t xml:space="preserve">47.3 Kg </t>
  </si>
  <si>
    <t>1,194</t>
  </si>
  <si>
    <t>SHP-100205</t>
  </si>
  <si>
    <t>SHP-100141</t>
  </si>
  <si>
    <t>10.4</t>
  </si>
  <si>
    <t>SHP-101040</t>
  </si>
  <si>
    <t>₹330</t>
  </si>
  <si>
    <t>SHP-101307</t>
  </si>
  <si>
    <t>33.6kg</t>
  </si>
  <si>
    <t>SHP-100905</t>
  </si>
  <si>
    <t>15.0KG</t>
  </si>
  <si>
    <t xml:space="preserve">Rs 708 </t>
  </si>
  <si>
    <t>SHP-100542</t>
  </si>
  <si>
    <t xml:space="preserve">42.2 Kg </t>
  </si>
  <si>
    <t>722</t>
  </si>
  <si>
    <t>SHP-100951</t>
  </si>
  <si>
    <t>22.3kg</t>
  </si>
  <si>
    <t>1,186</t>
  </si>
  <si>
    <t>SHP-100908</t>
  </si>
  <si>
    <t xml:space="preserve">24.3 Kg </t>
  </si>
  <si>
    <t xml:space="preserve">Rs 1281 </t>
  </si>
  <si>
    <t>SHP-100813</t>
  </si>
  <si>
    <t>₹366</t>
  </si>
  <si>
    <t>SHP-100047</t>
  </si>
  <si>
    <t>SHP-100262</t>
  </si>
  <si>
    <t>SHP-100650</t>
  </si>
  <si>
    <t>SHP-101052</t>
  </si>
  <si>
    <t>₹112</t>
  </si>
  <si>
    <t>SHP-100123</t>
  </si>
  <si>
    <t>SHP-100816</t>
  </si>
  <si>
    <t>₹159</t>
  </si>
  <si>
    <t>SHP-101430</t>
  </si>
  <si>
    <t>SHP-100889</t>
  </si>
  <si>
    <t>64.4KG</t>
  </si>
  <si>
    <t>1,626</t>
  </si>
  <si>
    <t>SHP-101348</t>
  </si>
  <si>
    <t>20.3kg</t>
  </si>
  <si>
    <t>310</t>
  </si>
  <si>
    <t>SHP-101225</t>
  </si>
  <si>
    <t>39.3</t>
  </si>
  <si>
    <t xml:space="preserve">Rs 1785 </t>
  </si>
  <si>
    <t>SHP-100602</t>
  </si>
  <si>
    <t>SHP-100693</t>
  </si>
  <si>
    <t>SHP-101406</t>
  </si>
  <si>
    <t>SHP-101493</t>
  </si>
  <si>
    <t>SHP-100971</t>
  </si>
  <si>
    <t>75.3KG</t>
  </si>
  <si>
    <t>3,571</t>
  </si>
  <si>
    <t>SHP-100251</t>
  </si>
  <si>
    <t>SHP-100666</t>
  </si>
  <si>
    <t>442</t>
  </si>
  <si>
    <t>SHP-100001</t>
  </si>
  <si>
    <t xml:space="preserve">Rs 228 </t>
  </si>
  <si>
    <t>SHP-100926</t>
  </si>
  <si>
    <t>SHP-100824</t>
  </si>
  <si>
    <t>18.3kg</t>
  </si>
  <si>
    <t>SHP-100928</t>
  </si>
  <si>
    <t>SHP-100008</t>
  </si>
  <si>
    <t xml:space="preserve">Rs 98 </t>
  </si>
  <si>
    <t>SHP-100834</t>
  </si>
  <si>
    <t xml:space="preserve">Rs 159 </t>
  </si>
  <si>
    <t>SHP-101509</t>
  </si>
  <si>
    <t>SHP-100800</t>
  </si>
  <si>
    <t>18.6KG</t>
  </si>
  <si>
    <t xml:space="preserve">Rs 433 </t>
  </si>
  <si>
    <t>29/03/2024</t>
  </si>
  <si>
    <t>SHP-100083</t>
  </si>
  <si>
    <t>258</t>
  </si>
  <si>
    <t>SHP-100993</t>
  </si>
  <si>
    <t>SHP-100290</t>
  </si>
  <si>
    <t>67.1</t>
  </si>
  <si>
    <t xml:space="preserve">Rs 1107 </t>
  </si>
  <si>
    <t>SHP-101223</t>
  </si>
  <si>
    <t>SHP-100497</t>
  </si>
  <si>
    <t>₹423</t>
  </si>
  <si>
    <t>SHP-100784</t>
  </si>
  <si>
    <t>SHP-101158</t>
  </si>
  <si>
    <t>228</t>
  </si>
  <si>
    <t>SHP-100421</t>
  </si>
  <si>
    <t>215</t>
  </si>
  <si>
    <t>SHP-101456</t>
  </si>
  <si>
    <t>₹894</t>
  </si>
  <si>
    <t>SHP-100386</t>
  </si>
  <si>
    <t xml:space="preserve">26.9 Kg </t>
  </si>
  <si>
    <t>₹1,337</t>
  </si>
  <si>
    <t>SHP-101458</t>
  </si>
  <si>
    <t>₹1,417</t>
  </si>
  <si>
    <t>SHP-100590</t>
  </si>
  <si>
    <t>₹81</t>
  </si>
  <si>
    <t>SHP-100960</t>
  </si>
  <si>
    <t>SHP-101332</t>
  </si>
  <si>
    <t>72.8kg</t>
  </si>
  <si>
    <t>1,160</t>
  </si>
  <si>
    <t>SHP-100528</t>
  </si>
  <si>
    <t>357</t>
  </si>
  <si>
    <t>SHP-100208</t>
  </si>
  <si>
    <t>SHP-100854</t>
  </si>
  <si>
    <t>380</t>
  </si>
  <si>
    <t>SHP-101579</t>
  </si>
  <si>
    <t xml:space="preserve">Rs 497 </t>
  </si>
  <si>
    <t>SHP-100573</t>
  </si>
  <si>
    <t>SHP-101087</t>
  </si>
  <si>
    <t>39.7kg</t>
  </si>
  <si>
    <t xml:space="preserve">Rs 1001 </t>
  </si>
  <si>
    <t>SHP-101466</t>
  </si>
  <si>
    <t xml:space="preserve">Rs 338 </t>
  </si>
  <si>
    <t>SHP-100458</t>
  </si>
  <si>
    <t>SHP-100987</t>
  </si>
  <si>
    <t xml:space="preserve">67.8 Kg </t>
  </si>
  <si>
    <t xml:space="preserve">Rs 1119 </t>
  </si>
  <si>
    <t>SHP-100179</t>
  </si>
  <si>
    <t>₹686</t>
  </si>
  <si>
    <t>SHP-101258</t>
  </si>
  <si>
    <t>9.2</t>
  </si>
  <si>
    <t>175</t>
  </si>
  <si>
    <t>SHP-100918</t>
  </si>
  <si>
    <t>77.2KG</t>
  </si>
  <si>
    <t>₹1,207</t>
  </si>
  <si>
    <t>SHP-100423</t>
  </si>
  <si>
    <t xml:space="preserve">Rs 240 </t>
  </si>
  <si>
    <t>SHP-100237</t>
  </si>
  <si>
    <t>SHP-101341</t>
  </si>
  <si>
    <t xml:space="preserve">10.4 Kg </t>
  </si>
  <si>
    <t xml:space="preserve">Rs 637 </t>
  </si>
  <si>
    <t>SHP-101494</t>
  </si>
  <si>
    <t>SHP-101518</t>
  </si>
  <si>
    <t>1.2</t>
  </si>
  <si>
    <t>SHP-101247</t>
  </si>
  <si>
    <t>9.1</t>
  </si>
  <si>
    <t>SHP-100287</t>
  </si>
  <si>
    <t>SHP-100559</t>
  </si>
  <si>
    <t>SHP-100843</t>
  </si>
  <si>
    <t>SHP-101315</t>
  </si>
  <si>
    <t>SHP-100459</t>
  </si>
  <si>
    <t>₹136</t>
  </si>
  <si>
    <t>SHP-101103</t>
  </si>
  <si>
    <t xml:space="preserve">20.9 Kg </t>
  </si>
  <si>
    <t>₹1,099</t>
  </si>
  <si>
    <t>SHP-101592</t>
  </si>
  <si>
    <t>35.9KG</t>
  </si>
  <si>
    <t xml:space="preserve">Rs 1793 </t>
  </si>
  <si>
    <t>SHP-101012</t>
  </si>
  <si>
    <t xml:space="preserve">Rs 199 </t>
  </si>
  <si>
    <t>SHP-101260</t>
  </si>
  <si>
    <t>12.0KG</t>
  </si>
  <si>
    <t>SHP-100309</t>
  </si>
  <si>
    <t xml:space="preserve">Rs 480 </t>
  </si>
  <si>
    <t>SHP-100641</t>
  </si>
  <si>
    <t>21.4</t>
  </si>
  <si>
    <t xml:space="preserve">Rs 1090 </t>
  </si>
  <si>
    <t>SHP-100328</t>
  </si>
  <si>
    <t>62.0KG</t>
  </si>
  <si>
    <t>₹1,528</t>
  </si>
  <si>
    <t>SHP-100224</t>
  </si>
  <si>
    <t>13.3KG</t>
  </si>
  <si>
    <t>720</t>
  </si>
  <si>
    <t>SHP-100206</t>
  </si>
  <si>
    <t>11.1KG</t>
  </si>
  <si>
    <t>SHP-101003</t>
  </si>
  <si>
    <t>529</t>
  </si>
  <si>
    <t>SHP-100432</t>
  </si>
  <si>
    <t xml:space="preserve">Rs 137 </t>
  </si>
  <si>
    <t>SHP-100200</t>
  </si>
  <si>
    <t>209</t>
  </si>
  <si>
    <t>SHP-100674</t>
  </si>
  <si>
    <t>₹513</t>
  </si>
  <si>
    <t>SHP-101340</t>
  </si>
  <si>
    <t>302</t>
  </si>
  <si>
    <t>01/07/2024</t>
  </si>
  <si>
    <t>SHP-100591</t>
  </si>
  <si>
    <t>1618 rows total. Text/categorical/date/weight/cost fields are intentionally messy. 18 rows are exact duplicates from a re-export. 30 rows have a genuine data-entry blank (OriginHubRaw, ProductCategoryRaw, WeightRaw, or CarrierRaw). Separately, DeliveryDateRaw/CustomerRating/ReturnReason are blank by DESIGN for shipments that are In-Transit / not yet delivered / not returned — that is not missing data, don't 'clean' those away.</t>
  </si>
  <si>
    <t>Mini Project — Questions (Cleaning + Analysis)</t>
  </si>
  <si>
    <t>A. Data Cleaning (build these in CleanData_Workspace)</t>
  </si>
  <si>
    <t>#</t>
  </si>
  <si>
    <t>Question</t>
  </si>
  <si>
    <t>Your Answer / Formula</t>
  </si>
  <si>
    <t>OrderDateRaw and DeliveryDateRaw are stored as text in 4 different formats. DATEVALUE alone can misread the plain 'dd/mm/yyyy' format if Excel's regional settings expect 'mm/dd/yyyy' (e.g. '26/01/2024' would error, since 26 isn't a valid month). Write a formula that parses that slash-separated format manually (LEFT/MID/RIGHT + DATE) so it doesn't depend on regional settings, and falls back to DATEVALUE for the other, unambiguous formats.</t>
  </si>
  <si>
    <t>OriginHubRaw has inconsistent case/spacing. After cleaning it, write the lookup formula that pulls OriginZone from HubMaster.</t>
  </si>
  <si>
    <t>WeightRaw has an inconsistent 'kg' suffix ('12.5kg', '12.5KG', '12.5 Kg', '12.5'). Write one formula that strips the unit regardless of its case and returns a clean number.</t>
  </si>
  <si>
    <t>ShipmentCostRaw mixes ₹ symbols, 'Rs' prefixes, and comma separators. Write one formula that returns a clean number from any of these formats.</t>
  </si>
  <si>
    <t>CarrierRaw has both case/spacing issues AND genuine spelling variants for the same carrier ('Blue Dart' vs 'BlueDart'). Why can PROPER(TRIM()) alone not fully fix this field, and what approach fixes the remaining issue?</t>
  </si>
  <si>
    <t>DeliveryStatusRaw's 'In-Transit' status appears both hyphenated ('In-Transit') and as two words ('in transit', 'In transit'). Write one formula that normalises both forms to the same clean value — and explain why PROPER(TRIM()) alone isn't enough here (test it on 'in transit').</t>
  </si>
  <si>
    <t>This dataset has 18 exact duplicate rows from a re-export. Which ShipmentIDs are duplicated, and which Excel feature would you use to remove them in bulk?</t>
  </si>
  <si>
    <t>30 rows have a genuine data-entry blank in OriginHubRaw, ProductCategoryRaw, WeightRaw, or CarrierRaw. Write a COUNTBLANK-based formula to count how many blanks exist in each of those 4 columns.</t>
  </si>
  <si>
    <t>DeliveryDateRaw, CustomerRating, and ReturnReason are also blank for many rows — but NOT because of a data-entry error. Explain, for each of these 3 fields, why the blank is legitimate and should NOT be filled in or deleted.</t>
  </si>
  <si>
    <t>B. Derived KPI Columns (build these in CleanData_Workspace)</t>
  </si>
  <si>
    <t>Write a formula for ActualDeliveryDays (DeliveryDate minus OrderDate) that correctly returns blank instead of an error for In-Transit shipments.</t>
  </si>
  <si>
    <t>Write a formula for DelayDays (ActualDeliveryDays minus PromisedDeliveryDays), also blank-safe for In-Transit shipments.</t>
  </si>
  <si>
    <t>Write an IF formula for an 'On Time' / 'Late' flag based on DelayDays, that returns 'N/A' (not an error) for In-Transit shipments.</t>
  </si>
  <si>
    <t>Write a formula for CostPerKg (ShipmentCost divided by Weight_kg) — why is this a more useful comparison metric across hubs than raw ShipmentCost?</t>
  </si>
  <si>
    <t>Write an IF formula for IsCrossZone (Yes/No) comparing OriginZone to DestinationZone.</t>
  </si>
  <si>
    <t>C. Analysis &amp; Dashboard (build these as PivotTables/PivotCharts)</t>
  </si>
  <si>
    <t>Question (answers a business question)</t>
  </si>
  <si>
    <t>Your Answer / Notes</t>
  </si>
  <si>
    <t>What % of shipments are 'Late' overall, and how does that % vary by OriginHub and by Carrier?</t>
  </si>
  <si>
    <t>What is the average ActualDeliveryDays by Carrier, and separately by ShipmentMode?</t>
  </si>
  <si>
    <t>Does crossing zones (IsCrossZone) meaningfully increase average delay? Compare average DelayDays for cross-zone vs. same-zone shipments.</t>
  </si>
  <si>
    <t>Which ProductCategory has the highest combined Damaged+Returned rate?</t>
  </si>
  <si>
    <t>Is there a relationship between average CostPerKg and average ActualDeliveryDays across the 5 carriers — i.e. are any carriers both expensive AND slow?</t>
  </si>
  <si>
    <t>Build a monthly trend of total shipment volume and On-Time % from January to June.</t>
  </si>
  <si>
    <t>Within the OriginHub with the worst late % (from Q1 above), is a specific Carrier driving most of that lateness, or is it spread evenly?</t>
  </si>
  <si>
    <t>Put Carrier, ShipmentMode, and DeliveryStatus slicers on one dashboard sheet connected to all the PivotTables above, so a manager can filter to any one carrier/mode and see every chart update together.</t>
  </si>
  <si>
    <t>OrderDate</t>
  </si>
  <si>
    <t>Origin Hub</t>
  </si>
  <si>
    <t>IsCrossZone</t>
  </si>
  <si>
    <t>Cost per Kg</t>
  </si>
  <si>
    <t>Actual Delivery Date</t>
  </si>
  <si>
    <t>Delay Days</t>
  </si>
  <si>
    <t>OnTime Flag</t>
  </si>
  <si>
    <t>OnTime</t>
  </si>
  <si>
    <t>Ontime Trimmed</t>
  </si>
  <si>
    <t xml:space="preserve"> 22-01-2024 </t>
  </si>
  <si>
    <t>No Return</t>
  </si>
  <si>
    <t xml:space="preserve"> 10-06-2024 </t>
  </si>
  <si>
    <t xml:space="preserve"> chennai </t>
  </si>
  <si>
    <t xml:space="preserve"> hyderabad </t>
  </si>
  <si>
    <t xml:space="preserve"> 02-01-2024 </t>
  </si>
  <si>
    <t xml:space="preserve"> 02-05-2024 </t>
  </si>
  <si>
    <t xml:space="preserve"> 11-01-2024 </t>
  </si>
  <si>
    <t xml:space="preserve"> mumbai </t>
  </si>
  <si>
    <t/>
  </si>
  <si>
    <t xml:space="preserve"> 04-02-2024 </t>
  </si>
  <si>
    <t xml:space="preserve"> 11-04-2024 </t>
  </si>
  <si>
    <t xml:space="preserve"> 21-05-2024 </t>
  </si>
  <si>
    <t xml:space="preserve"> kolkata </t>
  </si>
  <si>
    <t xml:space="preserve"> delhi </t>
  </si>
  <si>
    <t xml:space="preserve"> 26-04-2024 </t>
  </si>
  <si>
    <t xml:space="preserve"> 01-04-2024 </t>
  </si>
  <si>
    <t xml:space="preserve"> 21-06-2024 </t>
  </si>
  <si>
    <t xml:space="preserve"> 26-02-2024 </t>
  </si>
  <si>
    <t xml:space="preserve"> 23-06-2024 </t>
  </si>
  <si>
    <t xml:space="preserve"> 19-05-2024 </t>
  </si>
  <si>
    <t xml:space="preserve"> bengaluru </t>
  </si>
  <si>
    <t xml:space="preserve"> 17-05-2024 </t>
  </si>
  <si>
    <t xml:space="preserve"> 15-02-2024 </t>
  </si>
  <si>
    <t xml:space="preserve"> 14-06-2024 </t>
  </si>
  <si>
    <t xml:space="preserve"> 24-06-2024 </t>
  </si>
  <si>
    <t xml:space="preserve"> 13-03-2024 </t>
  </si>
  <si>
    <t xml:space="preserve"> 11-02-2024 </t>
  </si>
  <si>
    <t xml:space="preserve"> 18-05-2024 </t>
  </si>
  <si>
    <t xml:space="preserve"> 26-03-2024 </t>
  </si>
  <si>
    <t xml:space="preserve"> 01-06-2024 </t>
  </si>
  <si>
    <t xml:space="preserve"> 27-05-2024 </t>
  </si>
  <si>
    <t xml:space="preserve"> 27-04-2024 </t>
  </si>
  <si>
    <t xml:space="preserve"> 23-04-2024 </t>
  </si>
  <si>
    <t xml:space="preserve"> 18-01-2024 </t>
  </si>
  <si>
    <t xml:space="preserve"> 13-01-2024 </t>
  </si>
  <si>
    <t xml:space="preserve"> 10-03-2024 </t>
  </si>
  <si>
    <t xml:space="preserve"> 20-05-2024 </t>
  </si>
  <si>
    <t xml:space="preserve"> 27-03-2024 </t>
  </si>
  <si>
    <t xml:space="preserve"> 23-01-2024 </t>
  </si>
  <si>
    <t xml:space="preserve"> 28-02-2024 </t>
  </si>
  <si>
    <t xml:space="preserve"> 19-06-2024 </t>
  </si>
  <si>
    <t xml:space="preserve"> 05-03-2024 </t>
  </si>
  <si>
    <t xml:space="preserve"> 11-06-2024 </t>
  </si>
  <si>
    <t xml:space="preserve"> 07-03-2024 </t>
  </si>
  <si>
    <t xml:space="preserve"> 18-06-2024 </t>
  </si>
  <si>
    <t xml:space="preserve"> 20-01-2024 </t>
  </si>
  <si>
    <t xml:space="preserve"> 01-03-2024 </t>
  </si>
  <si>
    <t xml:space="preserve"> 27-01-2024 </t>
  </si>
  <si>
    <t xml:space="preserve"> 05-06-2024 </t>
  </si>
  <si>
    <t xml:space="preserve"> 06-05-2024 </t>
  </si>
  <si>
    <t xml:space="preserve"> 22-05-2024 </t>
  </si>
  <si>
    <t xml:space="preserve"> 06-02-2024 </t>
  </si>
  <si>
    <t xml:space="preserve"> 20-06-2024 </t>
  </si>
  <si>
    <t xml:space="preserve"> 10-05-2024 </t>
  </si>
  <si>
    <t xml:space="preserve"> 24-04-2024 </t>
  </si>
  <si>
    <t xml:space="preserve"> 23-02-2024 </t>
  </si>
  <si>
    <t xml:space="preserve"> 22-03-2024 </t>
  </si>
  <si>
    <t xml:space="preserve"> 25-03-2024 </t>
  </si>
  <si>
    <t xml:space="preserve"> 12-04-2024 </t>
  </si>
  <si>
    <t xml:space="preserve"> 18-04-2024 </t>
  </si>
  <si>
    <t xml:space="preserve"> 09-03-2024 </t>
  </si>
  <si>
    <t xml:space="preserve"> 15-04-2024 </t>
  </si>
  <si>
    <t xml:space="preserve"> 25-01-2024 </t>
  </si>
  <si>
    <t xml:space="preserve"> 28-05-2024 </t>
  </si>
  <si>
    <t xml:space="preserve"> 24-02-2024 </t>
  </si>
  <si>
    <t xml:space="preserve"> 26-01-2024 </t>
  </si>
  <si>
    <t xml:space="preserve"> 12-01-2024 </t>
  </si>
  <si>
    <t xml:space="preserve"> 15-06-2024 </t>
  </si>
  <si>
    <t xml:space="preserve"> 16-05-2024 </t>
  </si>
  <si>
    <t xml:space="preserve"> 17-03-2024 </t>
  </si>
  <si>
    <t xml:space="preserve"> 09-05-2024 </t>
  </si>
  <si>
    <t xml:space="preserve"> 08-01-2024 </t>
  </si>
  <si>
    <t xml:space="preserve"> 08-04-2024 </t>
  </si>
  <si>
    <t xml:space="preserve"> 13-06-2024 </t>
  </si>
  <si>
    <t xml:space="preserve"> 24-01-2024 </t>
  </si>
  <si>
    <t xml:space="preserve"> 28-06-2024 </t>
  </si>
  <si>
    <t xml:space="preserve"> 03-01-2024 </t>
  </si>
  <si>
    <t xml:space="preserve"> 22-04-2024 </t>
  </si>
  <si>
    <t xml:space="preserve"> 14-05-2024 </t>
  </si>
  <si>
    <t xml:space="preserve"> 01-02-2024 </t>
  </si>
  <si>
    <t xml:space="preserve"> 08-05-2024 </t>
  </si>
  <si>
    <t xml:space="preserve"> 15-01-2024 </t>
  </si>
  <si>
    <t xml:space="preserve"> 16-03-2024 </t>
  </si>
  <si>
    <t xml:space="preserve"> 24-03-2024 </t>
  </si>
  <si>
    <t xml:space="preserve"> 02-04-2024 </t>
  </si>
  <si>
    <t xml:space="preserve"> 09-04-2024 </t>
  </si>
  <si>
    <t xml:space="preserve"> 11-03-2024 </t>
  </si>
  <si>
    <t xml:space="preserve"> 14-02-2024 </t>
  </si>
  <si>
    <t xml:space="preserve"> 17-04-2024 </t>
  </si>
  <si>
    <t xml:space="preserve"> 13-02-2024 </t>
  </si>
  <si>
    <t xml:space="preserve"> 26-05-2024 </t>
  </si>
  <si>
    <t xml:space="preserve"> 15-03-2024 </t>
  </si>
  <si>
    <t xml:space="preserve"> 27-06-2024 </t>
  </si>
  <si>
    <t xml:space="preserve"> 01-01-2024 </t>
  </si>
  <si>
    <t xml:space="preserve"> 21-04-2024 </t>
  </si>
  <si>
    <t xml:space="preserve"> 24-05-2024 </t>
  </si>
  <si>
    <t xml:space="preserve"> 05-04-2024 </t>
  </si>
  <si>
    <t xml:space="preserve"> 02-02-2024 </t>
  </si>
  <si>
    <t xml:space="preserve"> 11-05-2024 </t>
  </si>
  <si>
    <t xml:space="preserve"> 07-02-2024 </t>
  </si>
  <si>
    <t xml:space="preserve"> 07-04-2024 </t>
  </si>
  <si>
    <t xml:space="preserve"> 15-05-2024 </t>
  </si>
  <si>
    <t xml:space="preserve"> 06-01-2024 </t>
  </si>
  <si>
    <t xml:space="preserve"> 09-01-2024 </t>
  </si>
  <si>
    <t xml:space="preserve"> 28-01-2024 </t>
  </si>
  <si>
    <t xml:space="preserve"> 04-05-2024 </t>
  </si>
  <si>
    <t xml:space="preserve"> 21-01-2024 </t>
  </si>
  <si>
    <t xml:space="preserve"> 10-04-2024 </t>
  </si>
  <si>
    <t xml:space="preserve"> 28-03-2024 </t>
  </si>
  <si>
    <t xml:space="preserve"> 16-04-2024 </t>
  </si>
  <si>
    <t xml:space="preserve"> 03-06-2024 </t>
  </si>
  <si>
    <t xml:space="preserve"> 17-01-2024 </t>
  </si>
  <si>
    <t xml:space="preserve"> 13-04-2024 </t>
  </si>
  <si>
    <t xml:space="preserve"> 12-06-2024 </t>
  </si>
  <si>
    <t xml:space="preserve"> 10-01-2024 </t>
  </si>
  <si>
    <t xml:space="preserve"> 12-05-2024 </t>
  </si>
  <si>
    <t xml:space="preserve"> 16-06-2024 </t>
  </si>
  <si>
    <t xml:space="preserve"> 10-02-2024 </t>
  </si>
  <si>
    <t xml:space="preserve"> 18-02-2024 </t>
  </si>
  <si>
    <t xml:space="preserve"> 23-03-2024 </t>
  </si>
  <si>
    <t xml:space="preserve"> 16-02-2024 </t>
  </si>
  <si>
    <t xml:space="preserve"> 03-03-2024 </t>
  </si>
  <si>
    <t xml:space="preserve"> 28-04-2024 </t>
  </si>
  <si>
    <t xml:space="preserve"> 02-03-2024 </t>
  </si>
  <si>
    <t xml:space="preserve"> 18-03-2024 </t>
  </si>
  <si>
    <t xml:space="preserve"> 03-02-2024 </t>
  </si>
  <si>
    <t xml:space="preserve"> 08-06-2024 </t>
  </si>
  <si>
    <t xml:space="preserve"> 20-03-2024 </t>
  </si>
  <si>
    <t xml:space="preserve"> 12-02-2024 </t>
  </si>
  <si>
    <t xml:space="preserve"> 07-05-2024 </t>
  </si>
  <si>
    <t xml:space="preserve"> 26-06-2024 </t>
  </si>
  <si>
    <t xml:space="preserve"> 19-03-2024 </t>
  </si>
  <si>
    <t xml:space="preserve"> 16-01-2024 </t>
  </si>
  <si>
    <t xml:space="preserve"> 01-05-2024 </t>
  </si>
  <si>
    <t xml:space="preserve"> 03-04-2024 </t>
  </si>
  <si>
    <t xml:space="preserve"> 23-05-2024 </t>
  </si>
  <si>
    <t xml:space="preserve"> 21-02-2024 </t>
  </si>
  <si>
    <t xml:space="preserve"> 14-01-2024 </t>
  </si>
  <si>
    <t xml:space="preserve"> 13-05-2024 </t>
  </si>
  <si>
    <t xml:space="preserve"> 06-03-2024 </t>
  </si>
  <si>
    <t xml:space="preserve"> 08-02-2024 </t>
  </si>
  <si>
    <t xml:space="preserve"> 04-03-2024 </t>
  </si>
  <si>
    <t xml:space="preserve"> 03-05-2024 </t>
  </si>
  <si>
    <t xml:space="preserve"> 05-02-2024 </t>
  </si>
  <si>
    <t xml:space="preserve"> 19-01-2024 </t>
  </si>
  <si>
    <t xml:space="preserve"> 14-03-2024 </t>
  </si>
  <si>
    <t xml:space="preserve"> 17-02-2024 </t>
  </si>
  <si>
    <t xml:space="preserve"> 21-03-2024 </t>
  </si>
  <si>
    <t xml:space="preserve"> 19-02-2024 </t>
  </si>
  <si>
    <t xml:space="preserve"> 25-04-2024 </t>
  </si>
  <si>
    <t xml:space="preserve"> 02-06-2024 </t>
  </si>
  <si>
    <t xml:space="preserve"> 07-01-2024 </t>
  </si>
  <si>
    <t xml:space="preserve"> 08-03-2024 </t>
  </si>
  <si>
    <t xml:space="preserve"> 09-06-2024 </t>
  </si>
  <si>
    <t xml:space="preserve"> 17-06-2024 </t>
  </si>
  <si>
    <t xml:space="preserve"> 19-04-2024 </t>
  </si>
  <si>
    <t xml:space="preserve"> 06-06-2024 </t>
  </si>
  <si>
    <t xml:space="preserve"> 04-04-2024 </t>
  </si>
  <si>
    <t xml:space="preserve"> 25-02-2024 </t>
  </si>
  <si>
    <t xml:space="preserve"> 22-02-2024 </t>
  </si>
  <si>
    <t xml:space="preserve"> 07-06-2024 </t>
  </si>
  <si>
    <t xml:space="preserve"> 12-03-2024 </t>
  </si>
  <si>
    <t xml:space="preserve"> 05-05-2024 </t>
  </si>
  <si>
    <t xml:space="preserve"> 05-01-2024 </t>
  </si>
  <si>
    <t xml:space="preserve"> 04-06-2024 </t>
  </si>
  <si>
    <t xml:space="preserve"> 25-05-2024 </t>
  </si>
  <si>
    <t>LOGISTICS ANALYSIS — PIVOT-STYLE SUMMARY TABLES</t>
  </si>
  <si>
    <t>Q1 — Late % by Origin Hub</t>
  </si>
  <si>
    <t>Completed Shipments</t>
  </si>
  <si>
    <t>Late Shipments</t>
  </si>
  <si>
    <t>Late %</t>
  </si>
  <si>
    <t>Q1 — Late % by Carrier</t>
  </si>
  <si>
    <t>Carrier</t>
  </si>
  <si>
    <t>Q2 — Average Actual Delivery Days by Carrier</t>
  </si>
  <si>
    <t>Avg Actual Delivery Days</t>
  </si>
  <si>
    <t>Shipment Count</t>
  </si>
  <si>
    <t>Q2 — Average Actual Delivery Days by Shipment Mode</t>
  </si>
  <si>
    <t>ShipmentMode</t>
  </si>
  <si>
    <t>Q3 — Average Delay by Cross-Zone Flag</t>
  </si>
  <si>
    <t>Avg Delay Days</t>
  </si>
  <si>
    <t>Q4 — Damaged + Returned Rate by Product Category</t>
  </si>
  <si>
    <t>ProductCategory</t>
  </si>
  <si>
    <t>Total Shipments</t>
  </si>
  <si>
    <t>Damaged + Returned</t>
  </si>
  <si>
    <t>Combined Rate</t>
  </si>
  <si>
    <t>Grocery &amp; Fmcg</t>
  </si>
  <si>
    <t>Q5 — Average Cost/kg vs Actual Delivery Days</t>
  </si>
  <si>
    <t>Avg CostPerKg</t>
  </si>
  <si>
    <t>Q6 — Monthly Shipment Volume and On-Time %</t>
  </si>
  <si>
    <t>Month</t>
  </si>
  <si>
    <t>On-Time Shipments</t>
  </si>
  <si>
    <t>On-Time %</t>
  </si>
  <si>
    <t>Jan</t>
  </si>
  <si>
    <t>Feb</t>
  </si>
  <si>
    <t>Mar</t>
  </si>
  <si>
    <t>Apr</t>
  </si>
  <si>
    <t>May</t>
  </si>
  <si>
    <t>Jun</t>
  </si>
  <si>
    <t>Q7 — Carrier Late % within Bengaluru (Highest Late % Hub)</t>
  </si>
  <si>
    <t>TRANSGLOBAL LOGISTICS | SHIPMENT PERFORMANCE DASHBOARD</t>
  </si>
  <si>
    <t>TOTAL UNIQUE SHIPMENTS
1,602</t>
  </si>
  <si>
    <t>OVERALL LATE RATE
50.3%</t>
  </si>
  <si>
    <t>HIGHEST LATE-RATE HUB
Bengaluru • 59.1%</t>
  </si>
  <si>
    <t>HIGHEST DAMAGED + RETURNED
Electronics • 11.0%</t>
  </si>
  <si>
    <t>CARRIERS ANALYSED
5</t>
  </si>
  <si>
    <t>KEY TAKEAWAYS</t>
  </si>
  <si>
    <t>• Overall late rate: 50.3% of shipments with a delivery date.</t>
  </si>
  <si>
    <t>• Highest late-rate origin hub: Bengaluru (59.1%).</t>
  </si>
  <si>
    <t>• Carrier with highest late rate overall: DTDC (58.2%).</t>
  </si>
  <si>
    <t>• Highest combined damaged + returned rate: Electronics (11.0%).</t>
  </si>
  <si>
    <t>• Cross-zone shipments average 1.23 delay days vs 1.01 for same-zone shipments.</t>
  </si>
  <si>
    <t>• In Bengaluru, highest carrier late rate: Ecom Express (65.1%); lateness varies by carrier.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</si>
</sst>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m/d/yyyy;@"/>
    <numFmt numFmtId="182" formatCode="dd/mm/yyyy"/>
    <numFmt numFmtId="183" formatCode="0_);[Red]\(0\)"/>
  </numFmts>
  <fonts count="37">
    <font>
      <sz val="11"/>
      <color theme="1"/>
      <name val="Calibri"/>
      <charset val="1"/>
    </font>
    <font>
      <b/>
      <sz val="18"/>
      <color rgb="FFFFFFFF"/>
      <name val="Calibri"/>
      <charset val="134"/>
    </font>
    <font>
      <i/>
      <sz val="10"/>
      <color rgb="FF44546A"/>
      <name val="Calibri"/>
      <charset val="134"/>
    </font>
    <font>
      <b/>
      <sz val="14"/>
      <color rgb="FFFFFFFF"/>
      <name val="Calibri"/>
      <charset val="134"/>
    </font>
    <font>
      <b/>
      <sz val="12"/>
      <color rgb="FFFFFFFF"/>
      <name val="Calibri"/>
      <charset val="134"/>
    </font>
    <font>
      <i/>
      <sz val="9"/>
      <color rgb="FF666666"/>
      <name val="Calibri"/>
      <charset val="134"/>
    </font>
    <font>
      <b/>
      <sz val="16"/>
      <color rgb="FFFFFFFF"/>
      <name val="Calibri"/>
      <charset val="134"/>
    </font>
    <font>
      <i/>
      <sz val="11"/>
      <color rgb="FF666666"/>
      <name val="Calibri"/>
      <charset val="134"/>
    </font>
    <font>
      <b/>
      <sz val="12"/>
      <color rgb="FF17365D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i/>
      <sz val="9"/>
      <color rgb="FFB5651D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D98E36"/>
        <bgColor rgb="FFFF8080"/>
      </patternFill>
    </fill>
    <fill>
      <patternFill patternType="solid">
        <fgColor rgb="FFFBE7CB"/>
        <bgColor rgb="FFFFF2CC"/>
      </patternFill>
    </fill>
    <fill>
      <patternFill patternType="solid">
        <fgColor rgb="FF7A4A00"/>
        <bgColor rgb="FFB5651D"/>
      </patternFill>
    </fill>
    <fill>
      <patternFill patternType="solid">
        <fgColor rgb="FFB5651D"/>
        <bgColor rgb="FFD98E36"/>
      </patternFill>
    </fill>
    <fill>
      <patternFill patternType="solid">
        <fgColor rgb="FFFFF2CC"/>
        <bgColor rgb="FFFBE7C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>
      <alignment vertical="center"/>
    </xf>
    <xf numFmtId="177" fontId="17" fillId="0" borderId="0">
      <alignment vertical="center"/>
    </xf>
    <xf numFmtId="9" fontId="17" fillId="0" borderId="0">
      <alignment vertical="center"/>
    </xf>
    <xf numFmtId="178" fontId="17" fillId="0" borderId="0">
      <alignment vertical="center"/>
    </xf>
    <xf numFmtId="179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7" fillId="14" borderId="4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5">
      <alignment vertical="center"/>
    </xf>
    <xf numFmtId="0" fontId="24" fillId="0" borderId="5">
      <alignment vertical="center"/>
    </xf>
    <xf numFmtId="0" fontId="25" fillId="0" borderId="6">
      <alignment vertical="center"/>
    </xf>
    <xf numFmtId="0" fontId="25" fillId="0" borderId="0">
      <alignment vertical="center"/>
    </xf>
    <xf numFmtId="0" fontId="26" fillId="15" borderId="7">
      <alignment vertical="center"/>
    </xf>
    <xf numFmtId="0" fontId="27" fillId="16" borderId="8">
      <alignment vertical="center"/>
    </xf>
    <xf numFmtId="0" fontId="28" fillId="16" borderId="7">
      <alignment vertical="center"/>
    </xf>
    <xf numFmtId="0" fontId="29" fillId="17" borderId="9">
      <alignment vertical="center"/>
    </xf>
    <xf numFmtId="0" fontId="30" fillId="0" borderId="10">
      <alignment vertical="center"/>
    </xf>
    <xf numFmtId="0" fontId="31" fillId="0" borderId="11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35" fillId="36" borderId="0">
      <alignment vertical="center"/>
    </xf>
    <xf numFmtId="0" fontId="35" fillId="37" borderId="0">
      <alignment vertical="center"/>
    </xf>
    <xf numFmtId="0" fontId="36" fillId="38" borderId="0">
      <alignment vertical="center"/>
    </xf>
    <xf numFmtId="0" fontId="36" fillId="39" borderId="0">
      <alignment vertical="center"/>
    </xf>
    <xf numFmtId="0" fontId="35" fillId="40" borderId="0">
      <alignment vertical="center"/>
    </xf>
    <xf numFmtId="0" fontId="35" fillId="41" borderId="0">
      <alignment vertical="center"/>
    </xf>
    <xf numFmtId="0" fontId="36" fillId="42" borderId="0">
      <alignment vertical="center"/>
    </xf>
    <xf numFmtId="0" fontId="36" fillId="43" borderId="0">
      <alignment vertical="center"/>
    </xf>
    <xf numFmtId="0" fontId="35" fillId="44" borderId="0">
      <alignment vertical="center"/>
    </xf>
  </cellStyleXfs>
  <cellXfs count="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/>
    <xf numFmtId="0" fontId="0" fillId="5" borderId="0" xfId="0" applyFill="1" applyBorder="1" applyAlignment="1">
      <alignment vertical="center" wrapText="1"/>
    </xf>
    <xf numFmtId="0" fontId="0" fillId="6" borderId="0" xfId="0" applyFill="1" applyBorder="1"/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8" fillId="7" borderId="0" xfId="0" applyFont="1" applyFill="1"/>
    <xf numFmtId="0" fontId="9" fillId="3" borderId="0" xfId="0" applyFont="1" applyFill="1" applyAlignment="1">
      <alignment vertical="center" wrapText="1"/>
    </xf>
    <xf numFmtId="3" fontId="0" fillId="0" borderId="0" xfId="0" applyNumberFormat="1"/>
    <xf numFmtId="180" fontId="0" fillId="0" borderId="0" xfId="0" applyNumberFormat="1"/>
    <xf numFmtId="0" fontId="0" fillId="8" borderId="0" xfId="0" applyFill="1"/>
    <xf numFmtId="3" fontId="0" fillId="8" borderId="0" xfId="0" applyNumberFormat="1" applyFill="1"/>
    <xf numFmtId="180" fontId="0" fillId="8" borderId="0" xfId="0" applyNumberFormat="1" applyFill="1"/>
    <xf numFmtId="2" fontId="0" fillId="0" borderId="0" xfId="0" applyNumberFormat="1"/>
    <xf numFmtId="2" fontId="0" fillId="8" borderId="0" xfId="0" applyNumberFormat="1" applyFill="1"/>
    <xf numFmtId="181" fontId="0" fillId="0" borderId="0" xfId="0" applyNumberFormat="1" applyAlignment="1">
      <alignment horizontal="justify"/>
    </xf>
    <xf numFmtId="0" fontId="0" fillId="0" borderId="0" xfId="0" applyAlignment="1">
      <alignment horizontal="justify" vertical="top"/>
    </xf>
    <xf numFmtId="0" fontId="0" fillId="0" borderId="0" xfId="0" applyAlignment="1">
      <alignment horizontal="justify"/>
    </xf>
    <xf numFmtId="1" fontId="0" fillId="0" borderId="0" xfId="0" applyNumberFormat="1"/>
    <xf numFmtId="182" fontId="0" fillId="0" borderId="0" xfId="0" applyNumberFormat="1"/>
    <xf numFmtId="183" fontId="0" fillId="0" borderId="0" xfId="0" applyNumberFormat="1"/>
    <xf numFmtId="0" fontId="10" fillId="9" borderId="2" xfId="0" applyFont="1" applyFill="1" applyBorder="1" applyAlignment="1">
      <alignment vertical="center" wrapText="1"/>
    </xf>
    <xf numFmtId="181" fontId="10" fillId="9" borderId="2" xfId="0" applyNumberFormat="1" applyFont="1" applyFill="1" applyBorder="1" applyAlignment="1">
      <alignment horizontal="justify" vertical="center" wrapText="1"/>
    </xf>
    <xf numFmtId="0" fontId="10" fillId="9" borderId="2" xfId="0" applyFont="1" applyFill="1" applyBorder="1" applyAlignment="1">
      <alignment horizontal="justify" vertical="center" wrapText="1"/>
    </xf>
    <xf numFmtId="0" fontId="10" fillId="9" borderId="2" xfId="0" applyFont="1" applyFill="1" applyBorder="1" applyAlignment="1">
      <alignment horizontal="justify" vertical="top" wrapText="1"/>
    </xf>
    <xf numFmtId="1" fontId="10" fillId="9" borderId="2" xfId="0" applyNumberFormat="1" applyFont="1" applyFill="1" applyBorder="1" applyAlignment="1">
      <alignment vertical="center" wrapText="1"/>
    </xf>
    <xf numFmtId="182" fontId="10" fillId="9" borderId="2" xfId="0" applyNumberFormat="1" applyFont="1" applyFill="1" applyBorder="1" applyAlignment="1">
      <alignment vertical="center" wrapText="1"/>
    </xf>
    <xf numFmtId="183" fontId="10" fillId="9" borderId="2" xfId="0" applyNumberFormat="1" applyFont="1" applyFill="1" applyBorder="1" applyAlignment="1">
      <alignment vertical="center" wrapText="1"/>
    </xf>
    <xf numFmtId="0" fontId="11" fillId="10" borderId="2" xfId="0" applyFont="1" applyFill="1" applyBorder="1"/>
    <xf numFmtId="181" fontId="11" fillId="10" borderId="2" xfId="0" applyNumberFormat="1" applyFont="1" applyFill="1" applyBorder="1" applyAlignment="1">
      <alignment horizontal="justify"/>
    </xf>
    <xf numFmtId="182" fontId="0" fillId="0" borderId="0" xfId="0" applyNumberFormat="1" applyAlignment="1">
      <alignment wrapText="1"/>
    </xf>
    <xf numFmtId="0" fontId="11" fillId="10" borderId="2" xfId="0" applyFont="1" applyFill="1" applyBorder="1" applyAlignment="1">
      <alignment horizontal="justify" vertical="top"/>
    </xf>
    <xf numFmtId="0" fontId="11" fillId="10" borderId="2" xfId="0" applyFont="1" applyFill="1" applyBorder="1" applyAlignment="1">
      <alignment horizontal="justify"/>
    </xf>
    <xf numFmtId="1" fontId="11" fillId="10" borderId="2" xfId="0" applyNumberFormat="1" applyFont="1" applyFill="1" applyBorder="1"/>
    <xf numFmtId="182" fontId="11" fillId="10" borderId="2" xfId="0" applyNumberFormat="1" applyFont="1" applyFill="1" applyBorder="1"/>
    <xf numFmtId="183" fontId="11" fillId="10" borderId="2" xfId="0" applyNumberFormat="1" applyFont="1" applyFill="1" applyBorder="1" applyAlignment="1">
      <alignment wrapText="1"/>
    </xf>
    <xf numFmtId="10" fontId="11" fillId="10" borderId="2" xfId="0" applyNumberFormat="1" applyFont="1" applyFill="1" applyBorder="1"/>
    <xf numFmtId="0" fontId="11" fillId="0" borderId="2" xfId="0" applyFont="1" applyBorder="1"/>
    <xf numFmtId="181" fontId="11" fillId="0" borderId="2" xfId="0" applyNumberFormat="1" applyFont="1" applyBorder="1" applyAlignment="1">
      <alignment horizontal="justify"/>
    </xf>
    <xf numFmtId="0" fontId="11" fillId="0" borderId="2" xfId="0" applyFont="1" applyBorder="1" applyAlignment="1">
      <alignment horizontal="justify" vertical="top"/>
    </xf>
    <xf numFmtId="0" fontId="11" fillId="0" borderId="2" xfId="0" applyFont="1" applyBorder="1" applyAlignment="1">
      <alignment horizontal="justify"/>
    </xf>
    <xf numFmtId="3" fontId="11" fillId="10" borderId="2" xfId="0" applyNumberFormat="1" applyFont="1" applyFill="1" applyBorder="1" applyAlignment="1">
      <alignment horizontal="justify"/>
    </xf>
    <xf numFmtId="3" fontId="11" fillId="0" borderId="2" xfId="0" applyNumberFormat="1" applyFont="1" applyBorder="1" applyAlignment="1">
      <alignment horizontal="justify"/>
    </xf>
    <xf numFmtId="0" fontId="12" fillId="0" borderId="0" xfId="0" applyFont="1" applyAlignment="1">
      <alignment vertical="top" wrapText="1"/>
    </xf>
    <xf numFmtId="181" fontId="12" fillId="0" borderId="0" xfId="0" applyNumberFormat="1" applyFont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12" fillId="0" borderId="0" xfId="0" applyFont="1" applyAlignment="1">
      <alignment horizontal="center" vertical="top" wrapText="1"/>
    </xf>
    <xf numFmtId="0" fontId="13" fillId="11" borderId="0" xfId="0" applyFont="1" applyFill="1" applyAlignment="1">
      <alignment vertical="center" indent="1"/>
    </xf>
    <xf numFmtId="0" fontId="14" fillId="12" borderId="0" xfId="0" applyFont="1" applyFill="1" applyAlignment="1">
      <alignment vertical="center" indent="1"/>
    </xf>
    <xf numFmtId="0" fontId="15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0" fillId="13" borderId="2" xfId="0" applyFill="1" applyBorder="1"/>
    <xf numFmtId="0" fontId="0" fillId="0" borderId="3" xfId="0" applyBorder="1"/>
    <xf numFmtId="0" fontId="16" fillId="0" borderId="2" xfId="0" applyFont="1" applyBorder="1" applyAlignment="1">
      <alignment vertical="top" wrapText="1"/>
    </xf>
    <xf numFmtId="0" fontId="10" fillId="9" borderId="2" xfId="0" applyFont="1" applyFill="1" applyBorder="1"/>
    <xf numFmtId="0" fontId="12" fillId="0" borderId="0" xfId="0" applyFont="1"/>
    <xf numFmtId="0" fontId="15" fillId="10" borderId="2" xfId="0" applyFont="1" applyFill="1" applyBorder="1"/>
    <xf numFmtId="0" fontId="11" fillId="10" borderId="2" xfId="0" applyFont="1" applyFill="1" applyBorder="1" applyAlignment="1">
      <alignment vertical="top" wrapText="1"/>
    </xf>
    <xf numFmtId="0" fontId="12" fillId="10" borderId="2" xfId="0" applyFont="1" applyFill="1" applyBorder="1" applyAlignment="1">
      <alignment vertical="top" wrapText="1"/>
    </xf>
    <xf numFmtId="0" fontId="15" fillId="0" borderId="2" xfId="0" applyFont="1" applyBorder="1"/>
    <xf numFmtId="0" fontId="12" fillId="0" borderId="2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5651D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BE7CB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D98E36"/>
      <rgbColor rgb="00FF6600"/>
      <rgbColor rgb="00666699"/>
      <rgbColor rgb="00969696"/>
      <rgbColor rgb="00003366"/>
      <rgbColor rgb="00339966"/>
      <rgbColor rgb="00003300"/>
      <rgbColor rgb="00333300"/>
      <rgbColor rgb="007A4A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Q1 | Late % by Origin Hub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PivotTables!$D$5</c:f>
              <c:strCache>
                <c:ptCount val="1"/>
                <c:pt idx="0">
                  <c:v>Late %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PivotTables!$A$6:$A$11</c:f>
              <c:strCache>
                <c:ptCount val="6"/>
                <c:pt idx="0">
                  <c:v>Bengaluru</c:v>
                </c:pt>
                <c:pt idx="1">
                  <c:v>Hyderabad</c:v>
                </c:pt>
                <c:pt idx="2">
                  <c:v>Chennai</c:v>
                </c:pt>
                <c:pt idx="3">
                  <c:v>Delhi</c:v>
                </c:pt>
                <c:pt idx="4">
                  <c:v>Kolkata</c:v>
                </c:pt>
                <c:pt idx="5">
                  <c:v>Mumbai</c:v>
                </c:pt>
              </c:strCache>
            </c:strRef>
          </c:cat>
          <c:val>
            <c:numRef>
              <c:f>PivotTables!$D$6:$D$11</c:f>
              <c:numCache>
                <c:formatCode>0.0%</c:formatCode>
                <c:ptCount val="6"/>
                <c:pt idx="0">
                  <c:v>0.591439688715953</c:v>
                </c:pt>
                <c:pt idx="1">
                  <c:v>0.522900763358779</c:v>
                </c:pt>
                <c:pt idx="2">
                  <c:v>0.50936329588015</c:v>
                </c:pt>
                <c:pt idx="3">
                  <c:v>0.5</c:v>
                </c:pt>
                <c:pt idx="4">
                  <c:v>0.469750889679715</c:v>
                </c:pt>
                <c:pt idx="5">
                  <c:v>0.438405797101449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4b8f46-bfea-40f6-912a-6e47371c2f1f}"/>
      </c:ext>
    </c:extLst>
  </c:chart>
  <c:spPr>
    <a:gradFill flip="none" rotWithShape="1">
      <a:gsLst>
        <a:gs pos="30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28575" cap="flat" cmpd="sng" algn="ctr">
      <a:noFill/>
      <a:prstDash val="solid"/>
      <a:round/>
    </a:ln>
    <a:effectLst>
      <a:glow rad="228600">
        <a:schemeClr val="accent5">
          <a:satMod val="175000"/>
          <a:alpha val="40000"/>
        </a:schemeClr>
      </a:glow>
      <a:innerShdw blurRad="63500" dist="50800" dir="13500000">
        <a:prstClr val="black">
          <a:alpha val="50000"/>
        </a:prstClr>
      </a:innerShd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Q1 | Late % by Carrier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PivotTables!$D$15</c:f>
              <c:strCache>
                <c:ptCount val="1"/>
                <c:pt idx="0">
                  <c:v>Late %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PivotTables!$A$16:$A$20</c:f>
              <c:strCache>
                <c:ptCount val="5"/>
                <c:pt idx="0">
                  <c:v>DTDC</c:v>
                </c:pt>
                <c:pt idx="1">
                  <c:v>XpressBees</c:v>
                </c:pt>
                <c:pt idx="2">
                  <c:v>Ecom Express</c:v>
                </c:pt>
                <c:pt idx="3">
                  <c:v>Delhivery</c:v>
                </c:pt>
                <c:pt idx="4">
                  <c:v>BlueDart</c:v>
                </c:pt>
              </c:strCache>
            </c:strRef>
          </c:cat>
          <c:val>
            <c:numRef>
              <c:f>PivotTables!$D$16:$D$20</c:f>
              <c:numCache>
                <c:formatCode>0.0%</c:formatCode>
                <c:ptCount val="5"/>
                <c:pt idx="0">
                  <c:v>0.58160237388724</c:v>
                </c:pt>
                <c:pt idx="1">
                  <c:v>0.538922155688623</c:v>
                </c:pt>
                <c:pt idx="2">
                  <c:v>0.515358361774744</c:v>
                </c:pt>
                <c:pt idx="3">
                  <c:v>0.469453376205788</c:v>
                </c:pt>
                <c:pt idx="4">
                  <c:v>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49c3ae-d1ed-44dd-8bfb-6a4cf4723680}"/>
      </c:ext>
    </c:extLst>
  </c:chart>
  <c:spPr>
    <a:gradFill>
      <a:gsLst>
        <a:gs pos="2200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6350" cap="flat" cmpd="sng" algn="ctr">
      <a:gradFill>
        <a:gsLst>
          <a:gs pos="89000">
            <a:srgbClr val="BDD0E6"/>
          </a:gs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glow rad="228600">
        <a:schemeClr val="accent5">
          <a:satMod val="175000"/>
          <a:alpha val="40000"/>
        </a:schemeClr>
      </a:glow>
      <a:innerShdw blurRad="63500" dist="50800" dir="13500000">
        <a:prstClr val="black">
          <a:alpha val="50000"/>
        </a:prstClr>
      </a:innerShd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Q2 | Average Delivery Days by Carrier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PivotTables!$B$25</c:f>
              <c:strCache>
                <c:ptCount val="1"/>
                <c:pt idx="0">
                  <c:v>Avg Actual Delivery Days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PivotTables!$A$26:$A$30</c:f>
              <c:strCache>
                <c:ptCount val="5"/>
                <c:pt idx="0">
                  <c:v>BlueDart</c:v>
                </c:pt>
                <c:pt idx="1">
                  <c:v>DTDC</c:v>
                </c:pt>
                <c:pt idx="2">
                  <c:v>Delhivery</c:v>
                </c:pt>
                <c:pt idx="3">
                  <c:v>Ecom Express</c:v>
                </c:pt>
                <c:pt idx="4">
                  <c:v>XpressBees</c:v>
                </c:pt>
              </c:strCache>
            </c:strRef>
          </c:cat>
          <c:val>
            <c:numRef>
              <c:f>PivotTables!$B$26:$B$30</c:f>
              <c:numCache>
                <c:formatCode>0.00</c:formatCode>
                <c:ptCount val="5"/>
                <c:pt idx="0">
                  <c:v>6.14426229508197</c:v>
                </c:pt>
                <c:pt idx="1">
                  <c:v>7.50445103857567</c:v>
                </c:pt>
                <c:pt idx="2">
                  <c:v>6.27009646302251</c:v>
                </c:pt>
                <c:pt idx="3">
                  <c:v>6.72013651877133</c:v>
                </c:pt>
                <c:pt idx="4">
                  <c:v>6.80239520958084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fd75fb-ec12-4e41-afde-8d4f3e3553ce}"/>
      </c:ext>
    </c:extLst>
  </c:chart>
  <c:spPr>
    <a:solidFill>
      <a:schemeClr val="accent2"/>
    </a:solidFill>
    <a:ln w="6350" cap="flat" cmpd="sng" algn="ctr">
      <a:gradFill>
        <a:gsLst>
          <a:gs pos="89000">
            <a:srgbClr val="BDD0E6"/>
          </a:gs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glow rad="228600">
        <a:schemeClr val="accent2">
          <a:satMod val="175000"/>
          <a:alpha val="40000"/>
        </a:schemeClr>
      </a:glow>
      <a:innerShdw blurRad="63500" dist="50800" dir="13500000">
        <a:prstClr val="black">
          <a:alpha val="50000"/>
        </a:prstClr>
      </a:innerShd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Q2 | Average Delivery Days by 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PivotTables!$B$34</c:f>
              <c:strCache>
                <c:ptCount val="1"/>
                <c:pt idx="0">
                  <c:v>Avg Actual Delivery Days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PivotTables!$A$35:$A$37</c:f>
              <c:strCache>
                <c:ptCount val="3"/>
                <c:pt idx="0">
                  <c:v>Air</c:v>
                </c:pt>
                <c:pt idx="1">
                  <c:v>Road</c:v>
                </c:pt>
                <c:pt idx="2">
                  <c:v>Surface</c:v>
                </c:pt>
              </c:strCache>
            </c:strRef>
          </c:cat>
          <c:val>
            <c:numRef>
              <c:f>PivotTables!$B$35:$B$37</c:f>
              <c:numCache>
                <c:formatCode>0.00</c:formatCode>
                <c:ptCount val="3"/>
                <c:pt idx="0">
                  <c:v>4.91238095238095</c:v>
                </c:pt>
                <c:pt idx="1">
                  <c:v>8.49009009009009</c:v>
                </c:pt>
                <c:pt idx="2">
                  <c:v>6.63510848126233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22f1eb-6a82-4774-857d-907842609c81}"/>
      </c:ext>
    </c:extLst>
  </c:chart>
  <c:spPr>
    <a:solidFill>
      <a:schemeClr val="accent2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228600">
        <a:schemeClr val="accent2">
          <a:satMod val="175000"/>
          <a:alpha val="40000"/>
        </a:schemeClr>
      </a:glow>
      <a:innerShdw blurRad="63500" dist="50800" dir="13500000">
        <a:prstClr val="black">
          <a:alpha val="50000"/>
        </a:prstClr>
      </a:innerShd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Q3 | Average Delay: Cross-Zone vs Same-Zone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PivotTables!$B$43</c:f>
              <c:strCache>
                <c:ptCount val="1"/>
                <c:pt idx="0">
                  <c:v>Avg Delay Days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PivotTables!$A$44:$A$45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PivotTables!$B$44:$B$45</c:f>
              <c:numCache>
                <c:formatCode>0.00</c:formatCode>
                <c:ptCount val="2"/>
                <c:pt idx="0">
                  <c:v>1.00759493670886</c:v>
                </c:pt>
                <c:pt idx="1">
                  <c:v>1.22888513513514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dcc956-4927-4e5b-8cca-83e04263cca4}"/>
      </c:ext>
    </c:extLst>
  </c:chart>
  <c:spPr>
    <a:solidFill>
      <a:schemeClr val="accent4">
        <a:lumMod val="60000"/>
        <a:lumOff val="40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228600">
        <a:schemeClr val="accent4">
          <a:satMod val="175000"/>
          <a:alpha val="40000"/>
        </a:schemeClr>
      </a:glo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Q4 | Damaged + Returned Rate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PivotTables!$F$51</c:f>
              <c:strCache>
                <c:ptCount val="1"/>
                <c:pt idx="0">
                  <c:v>Combined Rate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PivotTables!$A$52:$A$57</c:f>
              <c:strCache>
                <c:ptCount val="6"/>
                <c:pt idx="0">
                  <c:v>Electronics</c:v>
                </c:pt>
                <c:pt idx="1">
                  <c:v>Furniture</c:v>
                </c:pt>
                <c:pt idx="2">
                  <c:v>Apparel</c:v>
                </c:pt>
                <c:pt idx="3">
                  <c:v>Automotive Parts</c:v>
                </c:pt>
                <c:pt idx="4">
                  <c:v>Grocery &amp; Fmcg</c:v>
                </c:pt>
                <c:pt idx="5">
                  <c:v>Pharma</c:v>
                </c:pt>
              </c:strCache>
            </c:strRef>
          </c:cat>
          <c:val>
            <c:numRef>
              <c:f>PivotTables!$F$52:$F$57</c:f>
              <c:numCache>
                <c:formatCode>0.0%</c:formatCode>
                <c:ptCount val="6"/>
                <c:pt idx="0">
                  <c:v>0.109803921568627</c:v>
                </c:pt>
                <c:pt idx="1">
                  <c:v>0.0898876404494382</c:v>
                </c:pt>
                <c:pt idx="2">
                  <c:v>0.0846774193548387</c:v>
                </c:pt>
                <c:pt idx="3">
                  <c:v>0.0516605166051661</c:v>
                </c:pt>
                <c:pt idx="4">
                  <c:v>0.0373134328358209</c:v>
                </c:pt>
                <c:pt idx="5">
                  <c:v>0.00706713780918728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696857-4ed1-41da-8c1f-6a115f0439d7}"/>
      </c:ext>
    </c:extLst>
  </c:chart>
  <c:spPr>
    <a:solidFill>
      <a:schemeClr val="accent6">
        <a:lumMod val="75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381000">
        <a:schemeClr val="accent6">
          <a:satMod val="175000"/>
          <a:alpha val="40000"/>
        </a:schemeClr>
      </a:glo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Q5 | Average Cost/kg vs Delivery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PivotTables!$B$63:$B$67</c:f>
              <c:numCache>
                <c:formatCode>0.00</c:formatCode>
                <c:ptCount val="5"/>
                <c:pt idx="0" c:formatCode="0.00">
                  <c:v>53.6637901114923</c:v>
                </c:pt>
                <c:pt idx="1" c:formatCode="0.00">
                  <c:v>55.0382441414792</c:v>
                </c:pt>
                <c:pt idx="2" c:formatCode="0.00">
                  <c:v>57.7299099272908</c:v>
                </c:pt>
                <c:pt idx="3" c:formatCode="0.00">
                  <c:v>52.1461631336909</c:v>
                </c:pt>
                <c:pt idx="4" c:formatCode="0.00">
                  <c:v>53.8037723732431</c:v>
                </c:pt>
              </c:numCache>
            </c:numRef>
          </c:cat>
          <c:val>
            <c:numRef>
              <c:f>PivotTables!$C$63:$C$67</c:f>
              <c:numCache>
                <c:formatCode>0.00</c:formatCode>
                <c:ptCount val="5"/>
                <c:pt idx="0">
                  <c:v>6.14426229508197</c:v>
                </c:pt>
                <c:pt idx="1">
                  <c:v>7.50445103857567</c:v>
                </c:pt>
                <c:pt idx="2">
                  <c:v>6.27009646302251</c:v>
                </c:pt>
                <c:pt idx="3">
                  <c:v>6.72013651877133</c:v>
                </c:pt>
                <c:pt idx="4">
                  <c:v>6.80239520958084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"Carriers"</c15:sqref>
                        </c15:formulaRef>
                      </c:ext>
                    </c:extLst>
                    <c:strCache>
                      <c:ptCount val="1"/>
                      <c:pt idx="0">
                        <c:v>Carriers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"/>
        <c:axId val="10"/>
      </c:barChart>
      <c:catAx>
        <c:axId val="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auto val="1"/>
        <c:lblAlgn val="ctr"/>
        <c:lblOffset val="100"/>
        <c:noMultiLvlLbl val="0"/>
      </c:catAx>
      <c:valAx>
        <c:axId val="1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eaf7a0-0a4a-462b-8894-113dfe417ada}"/>
      </c:ext>
    </c:extLst>
  </c:chart>
  <c:spPr>
    <a:solidFill>
      <a:srgbClr val="F79646">
        <a:lumMod val="60000"/>
        <a:lumOff val="4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355600">
        <a:srgbClr val="F79646">
          <a:satMod val="175000"/>
          <a:alpha val="40000"/>
        </a:srgbClr>
      </a:glow>
      <a:softEdge rad="31750"/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Q6 | Monthly Shipment Volume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PivotTables!$B$71</c:f>
              <c:strCache>
                <c:ptCount val="1"/>
                <c:pt idx="0">
                  <c:v>Total Shipments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PivotTables!$A$72:$A$77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PivotTables!$B$72:$B$77</c:f>
              <c:numCache>
                <c:formatCode>#,##0</c:formatCode>
                <c:ptCount val="6"/>
                <c:pt idx="0">
                  <c:v>273</c:v>
                </c:pt>
                <c:pt idx="1">
                  <c:v>229</c:v>
                </c:pt>
                <c:pt idx="2">
                  <c:v>295</c:v>
                </c:pt>
                <c:pt idx="3">
                  <c:v>258</c:v>
                </c:pt>
                <c:pt idx="4">
                  <c:v>276</c:v>
                </c:pt>
                <c:pt idx="5">
                  <c:v>269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46"/>
        <c:overlap val="-28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Shipments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90ce06-12f0-481b-9b28-86f250977d71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2">
          <a:satMod val="175000"/>
          <a:alpha val="40000"/>
        </a:schemeClr>
      </a:glow>
      <a:softEdge rad="31750"/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Q6 | Monthly On-Time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PivotTables!$E$71</c:f>
              <c:strCache>
                <c:ptCount val="1"/>
                <c:pt idx="0">
                  <c:v>On-Time %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PivotTables!$A$72:$A$77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PivotTables!$E$72:$E$77</c:f>
              <c:numCache>
                <c:formatCode>0.0%</c:formatCode>
                <c:ptCount val="6"/>
                <c:pt idx="0">
                  <c:v>0.545787545787546</c:v>
                </c:pt>
                <c:pt idx="1">
                  <c:v>0.54585152838428</c:v>
                </c:pt>
                <c:pt idx="2">
                  <c:v>0.420338983050847</c:v>
                </c:pt>
                <c:pt idx="3">
                  <c:v>0.476744186046512</c:v>
                </c:pt>
                <c:pt idx="4">
                  <c:v>0.481884057971015</c:v>
                </c:pt>
                <c:pt idx="5">
                  <c:v>0.5234375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5dcef1-4187-4f9d-8563-81b78ede2606}"/>
      </c:ext>
    </c:extLst>
  </c:chart>
  <c:spPr>
    <a:solidFill>
      <a:schemeClr val="accent4">
        <a:lumMod val="40000"/>
        <a:lumOff val="60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228600">
        <a:schemeClr val="accent4">
          <a:satMod val="175000"/>
          <a:alpha val="40000"/>
        </a:schemeClr>
      </a:glo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Q7 | Carrier Late % within Bengaluru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PivotTables!$D$81</c:f>
              <c:strCache>
                <c:ptCount val="1"/>
                <c:pt idx="0">
                  <c:v>Late %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PivotTables!$A$82:$A$86</c:f>
              <c:strCache>
                <c:ptCount val="5"/>
                <c:pt idx="0">
                  <c:v>Ecom Express</c:v>
                </c:pt>
                <c:pt idx="1">
                  <c:v>XpressBees</c:v>
                </c:pt>
                <c:pt idx="2">
                  <c:v>DTDC</c:v>
                </c:pt>
                <c:pt idx="3">
                  <c:v>Delhivery</c:v>
                </c:pt>
                <c:pt idx="4">
                  <c:v>BlueDart</c:v>
                </c:pt>
              </c:strCache>
            </c:strRef>
          </c:cat>
          <c:val>
            <c:numRef>
              <c:f>PivotTables!$D$82:$D$86</c:f>
              <c:numCache>
                <c:formatCode>0.0%</c:formatCode>
                <c:ptCount val="5"/>
                <c:pt idx="0">
                  <c:v>0.651162790697674</c:v>
                </c:pt>
                <c:pt idx="1">
                  <c:v>0.642857142857143</c:v>
                </c:pt>
                <c:pt idx="2">
                  <c:v>0.62962962962963</c:v>
                </c:pt>
                <c:pt idx="3">
                  <c:v>0.576923076923077</c:v>
                </c:pt>
                <c:pt idx="4">
                  <c:v>0.450980392156863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003cab-6e92-442a-ba21-cf759b1155bc}"/>
      </c:ext>
    </c:extLst>
  </c:chart>
  <c:spPr>
    <a:solidFill>
      <a:schemeClr val="bg2">
        <a:lumMod val="75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glow rad="266700">
        <a:schemeClr val="accent3">
          <a:lumMod val="75000"/>
          <a:alpha val="75000"/>
        </a:schemeClr>
      </a:glow>
      <a:softEdge rad="31750"/>
    </a:effectLst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5">
  <a:schemeClr val="accent3"/>
  <a:schemeClr val="accent3"/>
  <a:schemeClr val="accent3"/>
  <a:schemeClr val="accent3"/>
  <a:schemeClr val="accent3"/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6</xdr:row>
      <xdr:rowOff>0</xdr:rowOff>
    </xdr:from>
    <xdr:ext cx="5040000" cy="2420940"/>
    <xdr:graphicFrame>
      <xdr:nvGraphicFramePr>
        <xdr:cNvPr id="2" name="Chart 1"/>
        <xdr:cNvGraphicFramePr/>
      </xdr:nvGraphicFramePr>
      <xdr:xfrm>
        <a:off x="0" y="18992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883920</xdr:colOff>
      <xdr:row>6</xdr:row>
      <xdr:rowOff>30480</xdr:rowOff>
    </xdr:from>
    <xdr:ext cx="5040000" cy="2420940"/>
    <xdr:graphicFrame>
      <xdr:nvGraphicFramePr>
        <xdr:cNvPr id="3" name="Chart 2"/>
        <xdr:cNvGraphicFramePr/>
      </xdr:nvGraphicFramePr>
      <xdr:xfrm>
        <a:off x="7124700" y="192976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040000" cy="2420940"/>
    <xdr:graphicFrame>
      <xdr:nvGraphicFramePr>
        <xdr:cNvPr id="4" name="Chart 3"/>
        <xdr:cNvGraphicFramePr/>
      </xdr:nvGraphicFramePr>
      <xdr:xfrm>
        <a:off x="0" y="46424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5040000" cy="2420940"/>
    <xdr:graphicFrame>
      <xdr:nvGraphicFramePr>
        <xdr:cNvPr id="5" name="Chart 4"/>
        <xdr:cNvGraphicFramePr/>
      </xdr:nvGraphicFramePr>
      <xdr:xfrm>
        <a:off x="7132320" y="46424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5040000" cy="2420940"/>
    <xdr:graphicFrame>
      <xdr:nvGraphicFramePr>
        <xdr:cNvPr id="6" name="Chart 5"/>
        <xdr:cNvGraphicFramePr/>
      </xdr:nvGraphicFramePr>
      <xdr:xfrm>
        <a:off x="0" y="73856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0</xdr:colOff>
      <xdr:row>36</xdr:row>
      <xdr:rowOff>0</xdr:rowOff>
    </xdr:from>
    <xdr:ext cx="5040000" cy="2420940"/>
    <xdr:graphicFrame>
      <xdr:nvGraphicFramePr>
        <xdr:cNvPr id="7" name="Chart 6"/>
        <xdr:cNvGraphicFramePr/>
      </xdr:nvGraphicFramePr>
      <xdr:xfrm>
        <a:off x="7132320" y="73856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5040000" cy="2420940"/>
    <xdr:graphicFrame>
      <xdr:nvGraphicFramePr>
        <xdr:cNvPr id="8" name="Chart 7" descr="7b0a202020202263686172745265734964223a202234353536333835220a7d0a"/>
        <xdr:cNvGraphicFramePr/>
      </xdr:nvGraphicFramePr>
      <xdr:xfrm>
        <a:off x="0" y="101288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50</xdr:row>
      <xdr:rowOff>68580</xdr:rowOff>
    </xdr:from>
    <xdr:ext cx="5420360" cy="2656840"/>
    <xdr:graphicFrame>
      <xdr:nvGraphicFramePr>
        <xdr:cNvPr id="9" name="Chart 8"/>
        <xdr:cNvGraphicFramePr/>
      </xdr:nvGraphicFramePr>
      <xdr:xfrm>
        <a:off x="7132320" y="10014585"/>
        <a:ext cx="5420360" cy="265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66</xdr:row>
      <xdr:rowOff>0</xdr:rowOff>
    </xdr:from>
    <xdr:ext cx="5040000" cy="2420940"/>
    <xdr:graphicFrame>
      <xdr:nvGraphicFramePr>
        <xdr:cNvPr id="10" name="Chart 9"/>
        <xdr:cNvGraphicFramePr/>
      </xdr:nvGraphicFramePr>
      <xdr:xfrm>
        <a:off x="0" y="1287208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160020</xdr:colOff>
      <xdr:row>66</xdr:row>
      <xdr:rowOff>15240</xdr:rowOff>
    </xdr:from>
    <xdr:ext cx="5040000" cy="2420940"/>
    <xdr:graphicFrame>
      <xdr:nvGraphicFramePr>
        <xdr:cNvPr id="11" name="Chart 10"/>
        <xdr:cNvGraphicFramePr/>
      </xdr:nvGraphicFramePr>
      <xdr:xfrm>
        <a:off x="7292340" y="12887325"/>
        <a:ext cx="503999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2" name="Q1LateByOriginHub4X" displayName="Q1LateByOriginHub4X" ref="A5:D11">
  <autoFilter xmlns:etc="http://www.wps.cn/officeDocument/2017/etCustomData" ref="A5:D11" etc:filterBottomFollowUsedRange="0"/>
  <tableColumns count="4">
    <tableColumn id="1" name="OriginHub"/>
    <tableColumn id="2" name="Completed Shipments"/>
    <tableColumn id="3" name="Late Shipments"/>
    <tableColumn id="4" name="Lat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Q1LateByCarrier14X" displayName="Q1LateByCarrier14X" ref="A15:D20">
  <autoFilter xmlns:etc="http://www.wps.cn/officeDocument/2017/etCustomData" ref="A15:D20" etc:filterBottomFollowUsedRange="0"/>
  <tableColumns count="4">
    <tableColumn id="1" name="Carrier"/>
    <tableColumn id="2" name="Completed Shipments"/>
    <tableColumn id="3" name="Late Shipments"/>
    <tableColumn id="4" name="Late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Q2AverageActualDeliver24X" displayName="Q2AverageActualDeliver24X" ref="A25:C30">
  <autoFilter xmlns:etc="http://www.wps.cn/officeDocument/2017/etCustomData" ref="A25:C30" etc:filterBottomFollowUsedRange="0"/>
  <tableColumns count="3">
    <tableColumn id="1" name="Carrier"/>
    <tableColumn id="2" name="Avg Actual Delivery Days"/>
    <tableColumn id="3" name="Shipment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Q2AverageActualDeliver33X" displayName="Q2AverageActualDeliver33X" ref="A34:C37">
  <autoFilter xmlns:etc="http://www.wps.cn/officeDocument/2017/etCustomData" ref="A34:C37" etc:filterBottomFollowUsedRange="0"/>
  <tableColumns count="3">
    <tableColumn id="1" name="ShipmentMode"/>
    <tableColumn id="2" name="Avg Actual Delivery Days"/>
    <tableColumn id="3" name="Shipment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Q3AverageDelayByCrossZ42X" displayName="Q3AverageDelayByCrossZ42X" ref="A43:C45">
  <autoFilter xmlns:etc="http://www.wps.cn/officeDocument/2017/etCustomData" ref="A43:C45" etc:filterBottomFollowUsedRange="0"/>
  <tableColumns count="3">
    <tableColumn id="1" name="IsCrossZone"/>
    <tableColumn id="2" name="Avg Delay Days"/>
    <tableColumn id="3" name="Shipment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Q4DamagedReturnedRateB50X" displayName="Q4DamagedReturnedRateB50X" ref="A51:F57">
  <autoFilter xmlns:etc="http://www.wps.cn/officeDocument/2017/etCustomData" ref="A51:F57" etc:filterBottomFollowUsedRange="0"/>
  <tableColumns count="6">
    <tableColumn id="1" name="ProductCategory"/>
    <tableColumn id="2" name="Total Shipments"/>
    <tableColumn id="3" name="Damaged"/>
    <tableColumn id="4" name="Returned"/>
    <tableColumn id="5" name="Damaged + Returned"/>
    <tableColumn id="6" name="Combined 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Q5AverageCostKgVsActua61X" displayName="Q5AverageCostKgVsActua61X" ref="A62:D67">
  <autoFilter xmlns:etc="http://www.wps.cn/officeDocument/2017/etCustomData" ref="A62:D67" etc:filterBottomFollowUsedRange="0"/>
  <tableColumns count="4">
    <tableColumn id="1" name="Carrier"/>
    <tableColumn id="2" name="Avg CostPerKg"/>
    <tableColumn id="3" name="Avg Actual Delivery Days"/>
    <tableColumn id="4" name="Shipment 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Q6MonthlyShipmentVolum70X" displayName="Q6MonthlyShipmentVolum70X" ref="A71:E77">
  <autoFilter xmlns:etc="http://www.wps.cn/officeDocument/2017/etCustomData" ref="A71:E77" etc:filterBottomFollowUsedRange="0"/>
  <tableColumns count="5">
    <tableColumn id="1" name="Month"/>
    <tableColumn id="2" name="Total Shipments"/>
    <tableColumn id="3" name="On-Time Shipments"/>
    <tableColumn id="4" name="Late Shipments"/>
    <tableColumn id="5" name="On-Time 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Q7CarrierLateWithinBen80X" displayName="Q7CarrierLateWithinBen80X" ref="A81:D86">
  <autoFilter xmlns:etc="http://www.wps.cn/officeDocument/2017/etCustomData" ref="A81:D86" etc:filterBottomFollowUsedRange="0"/>
  <tableColumns count="4">
    <tableColumn id="1" name="Carrier"/>
    <tableColumn id="2" name="Completed Shipments"/>
    <tableColumn id="3" name="Late Shipments"/>
    <tableColumn id="4" name="Lat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showGridLines="0" workbookViewId="0">
      <selection activeCell="I7" sqref="I7"/>
    </sheetView>
  </sheetViews>
  <sheetFormatPr defaultColWidth="8.66666666666667" defaultRowHeight="14.4"/>
  <cols>
    <col min="1" max="1" width="122.333333333333" customWidth="1"/>
  </cols>
  <sheetData>
    <row r="1" ht="31.5" customHeight="1" spans="1:1">
      <c r="A1" s="56" t="s">
        <v>0</v>
      </c>
    </row>
    <row r="2" spans="1:1">
      <c r="A2" s="70"/>
    </row>
    <row r="3" spans="1:1">
      <c r="A3" s="71" t="s">
        <v>1</v>
      </c>
    </row>
    <row r="4" ht="39.6" customHeight="1" spans="1:1">
      <c r="A4" s="70" t="s">
        <v>2</v>
      </c>
    </row>
    <row r="5" spans="1:1">
      <c r="A5" s="70"/>
    </row>
    <row r="6" spans="1:1">
      <c r="A6" s="71" t="s">
        <v>3</v>
      </c>
    </row>
    <row r="7" ht="52.8" customHeight="1" spans="1:1">
      <c r="A7" s="70" t="s">
        <v>4</v>
      </c>
    </row>
    <row r="8" ht="26.4" customHeight="1" spans="1:1">
      <c r="A8" s="70" t="s">
        <v>5</v>
      </c>
    </row>
    <row r="9" spans="1:1">
      <c r="A9" s="70"/>
    </row>
    <row r="10" spans="1:1">
      <c r="A10" s="71" t="s">
        <v>6</v>
      </c>
    </row>
    <row r="11" spans="1:1">
      <c r="A11" s="70" t="s">
        <v>7</v>
      </c>
    </row>
    <row r="12" ht="26.4" customHeight="1" spans="1:1">
      <c r="A12" s="70" t="s">
        <v>8</v>
      </c>
    </row>
    <row r="13" ht="26.4" customHeight="1" spans="1:1">
      <c r="A13" s="70" t="s">
        <v>9</v>
      </c>
    </row>
    <row r="14" spans="1:1">
      <c r="A14" s="70"/>
    </row>
    <row r="15" spans="1:1">
      <c r="A15" s="71" t="s">
        <v>10</v>
      </c>
    </row>
    <row r="16" ht="26.4" customHeight="1" spans="1:1">
      <c r="A16" s="70" t="s">
        <v>11</v>
      </c>
    </row>
    <row r="17" spans="1:1">
      <c r="A17" s="70"/>
    </row>
    <row r="18" spans="1:1">
      <c r="A18" s="71" t="s">
        <v>12</v>
      </c>
    </row>
    <row r="19" spans="1:1">
      <c r="A19" s="70" t="s">
        <v>13</v>
      </c>
    </row>
    <row r="20" spans="1:1">
      <c r="A20" s="70" t="s">
        <v>14</v>
      </c>
    </row>
    <row r="21" spans="1:1">
      <c r="A21" s="70" t="s">
        <v>15</v>
      </c>
    </row>
    <row r="22" spans="1:1">
      <c r="A22" s="70" t="s">
        <v>16</v>
      </c>
    </row>
    <row r="23" ht="26.4" customHeight="1" spans="1:1">
      <c r="A23" s="70" t="s">
        <v>17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workbookViewId="0">
      <pane ySplit="1" topLeftCell="A9" activePane="bottomLeft" state="frozen"/>
      <selection/>
      <selection pane="bottomLeft" activeCell="D13" sqref="D13"/>
    </sheetView>
  </sheetViews>
  <sheetFormatPr defaultColWidth="8.66666666666667" defaultRowHeight="14.4" outlineLevelCol="6"/>
  <cols>
    <col min="1" max="1" width="22" customWidth="1"/>
    <col min="2" max="2" width="55" customWidth="1"/>
    <col min="3" max="3" width="20" customWidth="1"/>
    <col min="4" max="4" width="36.3333333333333" customWidth="1"/>
  </cols>
  <sheetData>
    <row r="1" ht="19.5" customHeight="1" spans="1:7">
      <c r="A1" s="30" t="s">
        <v>18</v>
      </c>
      <c r="B1" s="30" t="s">
        <v>19</v>
      </c>
      <c r="C1" s="30" t="s">
        <v>20</v>
      </c>
      <c r="D1" s="30" t="s">
        <v>21</v>
      </c>
    </row>
    <row r="2" ht="36" customHeight="1" spans="1:7">
      <c r="A2" s="65" t="s">
        <v>22</v>
      </c>
      <c r="B2" s="66" t="s">
        <v>23</v>
      </c>
      <c r="C2" s="37" t="s">
        <v>24</v>
      </c>
      <c r="D2" s="67" t="s">
        <v>25</v>
      </c>
    </row>
    <row r="3" ht="36" customHeight="1" spans="1:7">
      <c r="A3" s="68" t="s">
        <v>26</v>
      </c>
      <c r="B3" s="59" t="s">
        <v>27</v>
      </c>
      <c r="C3" s="46" t="s">
        <v>28</v>
      </c>
      <c r="D3" s="69" t="s">
        <v>29</v>
      </c>
    </row>
    <row r="4" ht="36" customHeight="1" spans="1:7">
      <c r="A4" s="65" t="s">
        <v>30</v>
      </c>
      <c r="B4" s="66" t="s">
        <v>31</v>
      </c>
      <c r="C4" s="37" t="s">
        <v>32</v>
      </c>
      <c r="D4" s="67" t="s">
        <v>33</v>
      </c>
      <c r="G4" t="s">
        <v>34</v>
      </c>
    </row>
    <row r="5" ht="36" customHeight="1" spans="1:7">
      <c r="A5" s="68" t="s">
        <v>35</v>
      </c>
      <c r="B5" s="59" t="s">
        <v>36</v>
      </c>
      <c r="C5" s="46" t="s">
        <v>37</v>
      </c>
      <c r="D5" s="69" t="s">
        <v>38</v>
      </c>
      <c r="G5" t="s">
        <v>39</v>
      </c>
    </row>
    <row r="6" ht="36" customHeight="1" spans="1:7">
      <c r="A6" s="65" t="s">
        <v>40</v>
      </c>
      <c r="B6" s="66" t="s">
        <v>41</v>
      </c>
      <c r="C6" s="37" t="s">
        <v>42</v>
      </c>
      <c r="D6" s="67" t="s">
        <v>43</v>
      </c>
      <c r="G6" t="s">
        <v>44</v>
      </c>
    </row>
    <row r="7" ht="36" customHeight="1" spans="1:7">
      <c r="A7" s="68" t="s">
        <v>45</v>
      </c>
      <c r="B7" s="59" t="s">
        <v>46</v>
      </c>
      <c r="C7" s="46" t="s">
        <v>47</v>
      </c>
      <c r="D7" s="69" t="s">
        <v>48</v>
      </c>
    </row>
    <row r="8" ht="36" customHeight="1" spans="1:7">
      <c r="A8" s="65" t="s">
        <v>49</v>
      </c>
      <c r="B8" s="66" t="s">
        <v>50</v>
      </c>
      <c r="C8" s="37" t="s">
        <v>51</v>
      </c>
      <c r="D8" s="67" t="s">
        <v>43</v>
      </c>
    </row>
    <row r="9" ht="36" customHeight="1" spans="1:7">
      <c r="A9" s="68" t="s">
        <v>52</v>
      </c>
      <c r="B9" s="59" t="s">
        <v>53</v>
      </c>
      <c r="C9" s="46" t="s">
        <v>54</v>
      </c>
      <c r="D9" s="69" t="s">
        <v>25</v>
      </c>
    </row>
    <row r="10" ht="36" customHeight="1" spans="1:7">
      <c r="A10" s="65" t="s">
        <v>55</v>
      </c>
      <c r="B10" s="66" t="s">
        <v>56</v>
      </c>
      <c r="C10" s="37" t="s">
        <v>57</v>
      </c>
      <c r="D10" s="67" t="s">
        <v>58</v>
      </c>
    </row>
    <row r="11" ht="36" customHeight="1" spans="1:7">
      <c r="A11" s="68" t="s">
        <v>59</v>
      </c>
      <c r="B11" s="59" t="s">
        <v>60</v>
      </c>
      <c r="C11" s="46" t="s">
        <v>61</v>
      </c>
      <c r="D11" s="69" t="s">
        <v>62</v>
      </c>
    </row>
    <row r="12" ht="36" customHeight="1" spans="1:7">
      <c r="A12" s="65" t="s">
        <v>63</v>
      </c>
      <c r="B12" s="66" t="s">
        <v>64</v>
      </c>
      <c r="C12" s="37" t="s">
        <v>65</v>
      </c>
      <c r="D12" s="67" t="s">
        <v>25</v>
      </c>
    </row>
    <row r="13" ht="36" customHeight="1" spans="1:7">
      <c r="A13" s="68" t="s">
        <v>66</v>
      </c>
      <c r="B13" s="59" t="s">
        <v>67</v>
      </c>
      <c r="C13" s="46" t="s">
        <v>68</v>
      </c>
      <c r="D13" s="69" t="s">
        <v>69</v>
      </c>
    </row>
    <row r="14" ht="36" customHeight="1" spans="1:7">
      <c r="A14" s="65" t="s">
        <v>70</v>
      </c>
      <c r="B14" s="66" t="s">
        <v>71</v>
      </c>
      <c r="C14" s="37" t="s">
        <v>72</v>
      </c>
      <c r="D14" s="67" t="s">
        <v>73</v>
      </c>
    </row>
    <row r="15" ht="36" customHeight="1" spans="1:7">
      <c r="A15" s="68" t="s">
        <v>74</v>
      </c>
      <c r="B15" s="59" t="s">
        <v>75</v>
      </c>
      <c r="C15" s="46" t="s">
        <v>65</v>
      </c>
      <c r="D15" s="69" t="s">
        <v>76</v>
      </c>
    </row>
    <row r="16" ht="36" customHeight="1" spans="1:7">
      <c r="A16" s="65" t="s">
        <v>77</v>
      </c>
      <c r="B16" s="66" t="s">
        <v>78</v>
      </c>
      <c r="C16" s="37" t="s">
        <v>79</v>
      </c>
      <c r="D16" s="67" t="s">
        <v>80</v>
      </c>
    </row>
    <row r="17" ht="36" customHeight="1" spans="1:4">
      <c r="A17" s="68" t="s">
        <v>81</v>
      </c>
      <c r="B17" s="59" t="s">
        <v>82</v>
      </c>
      <c r="C17" s="46" t="s">
        <v>83</v>
      </c>
      <c r="D17" s="69" t="s">
        <v>84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C18" sqref="C18"/>
    </sheetView>
  </sheetViews>
  <sheetFormatPr defaultColWidth="8.66666666666667" defaultRowHeight="14.4" outlineLevelCol="3"/>
  <cols>
    <col min="1" max="2" width="14" customWidth="1"/>
  </cols>
  <sheetData>
    <row r="1" spans="1:2">
      <c r="A1" s="63" t="s">
        <v>85</v>
      </c>
      <c r="B1" s="63" t="s">
        <v>86</v>
      </c>
    </row>
    <row r="2" spans="1:2">
      <c r="A2" s="37" t="s">
        <v>32</v>
      </c>
      <c r="B2" s="37" t="s">
        <v>87</v>
      </c>
    </row>
    <row r="3" spans="1:2">
      <c r="A3" s="46" t="s">
        <v>88</v>
      </c>
      <c r="B3" s="46" t="s">
        <v>89</v>
      </c>
    </row>
    <row r="4" spans="1:2">
      <c r="A4" s="37" t="s">
        <v>90</v>
      </c>
      <c r="B4" s="37" t="s">
        <v>51</v>
      </c>
    </row>
    <row r="5" spans="1:2">
      <c r="A5" s="46" t="s">
        <v>54</v>
      </c>
      <c r="B5" s="46" t="s">
        <v>51</v>
      </c>
    </row>
    <row r="6" spans="1:2">
      <c r="A6" s="37" t="s">
        <v>91</v>
      </c>
      <c r="B6" s="37" t="s">
        <v>92</v>
      </c>
    </row>
    <row r="7" spans="1:2">
      <c r="A7" s="46" t="s">
        <v>93</v>
      </c>
      <c r="B7" s="46" t="s">
        <v>89</v>
      </c>
    </row>
    <row r="9" spans="1:2">
      <c r="A9" s="64" t="s">
        <v>94</v>
      </c>
    </row>
  </sheetData>
  <mergeCells count="1">
    <mergeCell ref="A9:D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21"/>
  <sheetViews>
    <sheetView showGridLines="0" workbookViewId="0">
      <pane ySplit="1" topLeftCell="A164" activePane="bottomLeft" state="frozen"/>
      <selection/>
      <selection pane="bottomLeft" activeCell="G4" sqref="A1:P1619"/>
    </sheetView>
  </sheetViews>
  <sheetFormatPr defaultColWidth="8.66666666666667" defaultRowHeight="14.4"/>
  <cols>
    <col min="1" max="1" width="11" customWidth="1"/>
    <col min="2" max="2" width="14" customWidth="1"/>
    <col min="3" max="3" width="12" customWidth="1"/>
    <col min="4" max="4" width="14" customWidth="1"/>
    <col min="5" max="5" width="13" customWidth="1"/>
    <col min="6" max="6" width="16" customWidth="1"/>
    <col min="7" max="7" width="15" customWidth="1"/>
    <col min="8" max="8" width="13" customWidth="1"/>
    <col min="9" max="9" width="11" customWidth="1"/>
    <col min="10" max="10" width="13" customWidth="1"/>
    <col min="11" max="11" width="12" customWidth="1"/>
    <col min="12" max="13" width="14" customWidth="1"/>
    <col min="14" max="14" width="11" customWidth="1"/>
    <col min="15" max="15" width="10" customWidth="1"/>
    <col min="16" max="16" width="20" customWidth="1"/>
  </cols>
  <sheetData>
    <row r="1" ht="31.5" customHeight="1" spans="1:16">
      <c r="A1" s="30" t="s">
        <v>22</v>
      </c>
      <c r="B1" s="30" t="s">
        <v>26</v>
      </c>
      <c r="C1" s="30" t="s">
        <v>30</v>
      </c>
      <c r="D1" s="30" t="s">
        <v>35</v>
      </c>
      <c r="E1" s="30" t="s">
        <v>40</v>
      </c>
      <c r="F1" s="30" t="s">
        <v>45</v>
      </c>
      <c r="G1" s="30" t="s">
        <v>49</v>
      </c>
      <c r="H1" s="30" t="s">
        <v>52</v>
      </c>
      <c r="I1" s="30" t="s">
        <v>55</v>
      </c>
      <c r="J1" s="30" t="s">
        <v>59</v>
      </c>
      <c r="K1" s="30" t="s">
        <v>63</v>
      </c>
      <c r="L1" s="30" t="s">
        <v>66</v>
      </c>
      <c r="M1" s="30" t="s">
        <v>70</v>
      </c>
      <c r="N1" s="30" t="s">
        <v>74</v>
      </c>
      <c r="O1" s="30" t="s">
        <v>77</v>
      </c>
      <c r="P1" s="30" t="s">
        <v>81</v>
      </c>
    </row>
    <row r="2" spans="1:16">
      <c r="A2" s="37" t="s">
        <v>95</v>
      </c>
      <c r="B2" s="37" t="s">
        <v>96</v>
      </c>
      <c r="C2" s="37" t="s">
        <v>97</v>
      </c>
      <c r="D2" s="37" t="s">
        <v>98</v>
      </c>
      <c r="E2" s="37" t="s">
        <v>99</v>
      </c>
      <c r="F2" s="37" t="s">
        <v>100</v>
      </c>
      <c r="G2" s="37" t="s">
        <v>101</v>
      </c>
      <c r="H2" s="37" t="s">
        <v>88</v>
      </c>
      <c r="I2" s="37" t="s">
        <v>102</v>
      </c>
      <c r="J2" s="37" t="s">
        <v>103</v>
      </c>
      <c r="K2" s="37">
        <v>4</v>
      </c>
      <c r="L2" s="37" t="s">
        <v>104</v>
      </c>
      <c r="M2" s="37" t="s">
        <v>105</v>
      </c>
      <c r="N2" s="37">
        <v>4</v>
      </c>
      <c r="O2" s="37" t="s">
        <v>106</v>
      </c>
      <c r="P2" s="37"/>
    </row>
    <row r="3" spans="1:16">
      <c r="A3" s="46" t="s">
        <v>107</v>
      </c>
      <c r="B3" s="46" t="s">
        <v>108</v>
      </c>
      <c r="C3" s="46" t="s">
        <v>109</v>
      </c>
      <c r="D3" s="46" t="s">
        <v>37</v>
      </c>
      <c r="E3" s="46" t="s">
        <v>110</v>
      </c>
      <c r="F3" s="46" t="s">
        <v>111</v>
      </c>
      <c r="G3" s="46" t="s">
        <v>112</v>
      </c>
      <c r="H3" s="46" t="s">
        <v>113</v>
      </c>
      <c r="I3" s="46" t="s">
        <v>114</v>
      </c>
      <c r="J3" s="46" t="s">
        <v>115</v>
      </c>
      <c r="K3" s="46">
        <v>6</v>
      </c>
      <c r="L3" s="46" t="s">
        <v>116</v>
      </c>
      <c r="M3" s="46" t="s">
        <v>117</v>
      </c>
      <c r="N3" s="46">
        <v>5</v>
      </c>
      <c r="O3" s="46" t="s">
        <v>118</v>
      </c>
      <c r="P3" s="46"/>
    </row>
    <row r="4" spans="1:16">
      <c r="A4" s="37" t="s">
        <v>119</v>
      </c>
      <c r="B4" s="37" t="s">
        <v>120</v>
      </c>
      <c r="C4" s="37" t="s">
        <v>121</v>
      </c>
      <c r="D4" s="37" t="s">
        <v>122</v>
      </c>
      <c r="E4" s="37" t="s">
        <v>123</v>
      </c>
      <c r="F4" s="37" t="s">
        <v>124</v>
      </c>
      <c r="G4" s="37" t="s">
        <v>125</v>
      </c>
      <c r="H4" s="37" t="s">
        <v>126</v>
      </c>
      <c r="I4" s="37" t="s">
        <v>127</v>
      </c>
      <c r="J4" s="37" t="s">
        <v>128</v>
      </c>
      <c r="K4" s="37">
        <v>4</v>
      </c>
      <c r="L4" s="37" t="s">
        <v>129</v>
      </c>
      <c r="M4" s="37" t="s">
        <v>130</v>
      </c>
      <c r="N4" s="37"/>
      <c r="O4" s="37" t="s">
        <v>131</v>
      </c>
      <c r="P4" s="37" t="s">
        <v>132</v>
      </c>
    </row>
    <row r="5" spans="1:16">
      <c r="A5" s="46" t="s">
        <v>133</v>
      </c>
      <c r="B5" s="46" t="s">
        <v>134</v>
      </c>
      <c r="C5" s="46" t="s">
        <v>135</v>
      </c>
      <c r="D5" s="46" t="s">
        <v>136</v>
      </c>
      <c r="E5" s="46" t="s">
        <v>137</v>
      </c>
      <c r="F5" s="46" t="s">
        <v>138</v>
      </c>
      <c r="G5" s="46" t="s">
        <v>139</v>
      </c>
      <c r="H5" s="46" t="s">
        <v>32</v>
      </c>
      <c r="I5" s="46" t="s">
        <v>140</v>
      </c>
      <c r="J5" s="46" t="s">
        <v>141</v>
      </c>
      <c r="K5" s="46">
        <v>8</v>
      </c>
      <c r="L5" s="46" t="s">
        <v>142</v>
      </c>
      <c r="M5" s="46" t="s">
        <v>143</v>
      </c>
      <c r="N5" s="46">
        <v>3</v>
      </c>
      <c r="O5" s="46" t="s">
        <v>131</v>
      </c>
      <c r="P5" s="46"/>
    </row>
    <row r="6" spans="1:16">
      <c r="A6" s="37" t="s">
        <v>144</v>
      </c>
      <c r="B6" s="37" t="s">
        <v>145</v>
      </c>
      <c r="C6" s="37" t="s">
        <v>109</v>
      </c>
      <c r="D6" s="37" t="s">
        <v>146</v>
      </c>
      <c r="E6" s="37" t="s">
        <v>147</v>
      </c>
      <c r="F6" s="37" t="s">
        <v>148</v>
      </c>
      <c r="G6" s="37" t="s">
        <v>139</v>
      </c>
      <c r="H6" s="37" t="s">
        <v>32</v>
      </c>
      <c r="I6" s="37" t="s">
        <v>149</v>
      </c>
      <c r="J6" s="37" t="s">
        <v>150</v>
      </c>
      <c r="K6" s="37">
        <v>8</v>
      </c>
      <c r="L6" s="37" t="s">
        <v>151</v>
      </c>
      <c r="M6" s="37" t="s">
        <v>72</v>
      </c>
      <c r="N6" s="37">
        <v>1</v>
      </c>
      <c r="O6" s="37" t="s">
        <v>152</v>
      </c>
      <c r="P6" s="37"/>
    </row>
    <row r="7" spans="1:16">
      <c r="A7" s="46" t="s">
        <v>153</v>
      </c>
      <c r="B7" s="46" t="s">
        <v>154</v>
      </c>
      <c r="C7" s="46" t="s">
        <v>155</v>
      </c>
      <c r="D7" s="46" t="s">
        <v>156</v>
      </c>
      <c r="E7" s="46" t="s">
        <v>157</v>
      </c>
      <c r="F7" s="46" t="s">
        <v>158</v>
      </c>
      <c r="G7" s="46" t="s">
        <v>159</v>
      </c>
      <c r="H7" s="46" t="s">
        <v>90</v>
      </c>
      <c r="I7" s="46" t="s">
        <v>160</v>
      </c>
      <c r="J7" s="46" t="s">
        <v>161</v>
      </c>
      <c r="K7" s="46">
        <v>4</v>
      </c>
      <c r="L7" s="46" t="s">
        <v>162</v>
      </c>
      <c r="M7" s="46" t="s">
        <v>163</v>
      </c>
      <c r="N7" s="46">
        <v>5</v>
      </c>
      <c r="O7" s="46" t="s">
        <v>106</v>
      </c>
      <c r="P7" s="46"/>
    </row>
    <row r="8" spans="1:16">
      <c r="A8" s="37" t="s">
        <v>164</v>
      </c>
      <c r="B8" s="37" t="s">
        <v>165</v>
      </c>
      <c r="C8" s="37" t="s">
        <v>166</v>
      </c>
      <c r="D8" s="37" t="s">
        <v>122</v>
      </c>
      <c r="E8" s="37" t="s">
        <v>137</v>
      </c>
      <c r="F8" s="37" t="s">
        <v>167</v>
      </c>
      <c r="G8" s="37" t="s">
        <v>168</v>
      </c>
      <c r="H8" s="37" t="s">
        <v>88</v>
      </c>
      <c r="I8" s="37" t="s">
        <v>169</v>
      </c>
      <c r="J8" s="37" t="s">
        <v>170</v>
      </c>
      <c r="K8" s="37">
        <v>8</v>
      </c>
      <c r="L8" s="37" t="s">
        <v>171</v>
      </c>
      <c r="M8" s="37" t="s">
        <v>172</v>
      </c>
      <c r="N8" s="37">
        <v>3</v>
      </c>
      <c r="O8" s="37" t="s">
        <v>118</v>
      </c>
      <c r="P8" s="37"/>
    </row>
    <row r="9" spans="1:16">
      <c r="A9" s="46" t="s">
        <v>173</v>
      </c>
      <c r="B9" s="46" t="s">
        <v>104</v>
      </c>
      <c r="C9" s="46" t="s">
        <v>174</v>
      </c>
      <c r="D9" s="46" t="s">
        <v>175</v>
      </c>
      <c r="E9" s="46" t="s">
        <v>176</v>
      </c>
      <c r="F9" s="46" t="s">
        <v>177</v>
      </c>
      <c r="G9" s="46" t="s">
        <v>139</v>
      </c>
      <c r="H9" s="46" t="s">
        <v>113</v>
      </c>
      <c r="I9" s="46" t="s">
        <v>178</v>
      </c>
      <c r="J9" s="46" t="s">
        <v>179</v>
      </c>
      <c r="K9" s="46">
        <v>8</v>
      </c>
      <c r="L9" s="46" t="s">
        <v>180</v>
      </c>
      <c r="M9" s="46" t="s">
        <v>105</v>
      </c>
      <c r="N9" s="46">
        <v>5</v>
      </c>
      <c r="O9" s="46" t="s">
        <v>181</v>
      </c>
      <c r="P9" s="46"/>
    </row>
    <row r="10" spans="1:16">
      <c r="A10" s="37" t="s">
        <v>182</v>
      </c>
      <c r="B10" s="37" t="s">
        <v>183</v>
      </c>
      <c r="C10" s="37" t="s">
        <v>109</v>
      </c>
      <c r="D10" s="37" t="s">
        <v>184</v>
      </c>
      <c r="E10" s="37" t="s">
        <v>185</v>
      </c>
      <c r="F10" s="37" t="s">
        <v>186</v>
      </c>
      <c r="G10" s="37" t="s">
        <v>89</v>
      </c>
      <c r="H10" s="37" t="s">
        <v>187</v>
      </c>
      <c r="I10" s="37" t="s">
        <v>188</v>
      </c>
      <c r="J10" s="37" t="s">
        <v>189</v>
      </c>
      <c r="K10" s="37">
        <v>4</v>
      </c>
      <c r="L10" s="37" t="s">
        <v>190</v>
      </c>
      <c r="M10" s="37" t="s">
        <v>143</v>
      </c>
      <c r="N10" s="37">
        <v>5</v>
      </c>
      <c r="O10" s="37" t="s">
        <v>191</v>
      </c>
      <c r="P10" s="37"/>
    </row>
    <row r="11" spans="1:16">
      <c r="A11" s="46" t="s">
        <v>192</v>
      </c>
      <c r="B11" s="46" t="s">
        <v>193</v>
      </c>
      <c r="C11" s="46" t="s">
        <v>90</v>
      </c>
      <c r="D11" s="46" t="s">
        <v>194</v>
      </c>
      <c r="E11" s="46" t="s">
        <v>195</v>
      </c>
      <c r="F11" s="46" t="s">
        <v>196</v>
      </c>
      <c r="G11" s="46" t="s">
        <v>197</v>
      </c>
      <c r="H11" s="46" t="s">
        <v>54</v>
      </c>
      <c r="I11" s="46" t="s">
        <v>198</v>
      </c>
      <c r="J11" s="46" t="s">
        <v>161</v>
      </c>
      <c r="K11" s="46">
        <v>6</v>
      </c>
      <c r="L11" s="46" t="s">
        <v>199</v>
      </c>
      <c r="M11" s="46" t="s">
        <v>200</v>
      </c>
      <c r="N11" s="46">
        <v>3</v>
      </c>
      <c r="O11" s="46" t="s">
        <v>131</v>
      </c>
      <c r="P11" s="46"/>
    </row>
    <row r="12" spans="1:16">
      <c r="A12" s="37" t="s">
        <v>201</v>
      </c>
      <c r="B12" s="37" t="s">
        <v>202</v>
      </c>
      <c r="C12" s="37" t="s">
        <v>203</v>
      </c>
      <c r="D12" s="37" t="s">
        <v>204</v>
      </c>
      <c r="E12" s="37" t="s">
        <v>110</v>
      </c>
      <c r="F12" s="37" t="s">
        <v>205</v>
      </c>
      <c r="G12" s="37" t="s">
        <v>89</v>
      </c>
      <c r="H12" s="37" t="s">
        <v>206</v>
      </c>
      <c r="I12" s="37" t="s">
        <v>207</v>
      </c>
      <c r="J12" s="37" t="s">
        <v>208</v>
      </c>
      <c r="K12" s="37">
        <v>4</v>
      </c>
      <c r="L12" s="37" t="s">
        <v>209</v>
      </c>
      <c r="M12" s="37" t="s">
        <v>200</v>
      </c>
      <c r="N12" s="37">
        <v>3</v>
      </c>
      <c r="O12" s="37" t="s">
        <v>106</v>
      </c>
      <c r="P12" s="37"/>
    </row>
    <row r="13" spans="1:16">
      <c r="A13" s="46" t="s">
        <v>210</v>
      </c>
      <c r="B13" s="46" t="s">
        <v>211</v>
      </c>
      <c r="C13" s="46" t="s">
        <v>212</v>
      </c>
      <c r="D13" s="46" t="s">
        <v>213</v>
      </c>
      <c r="E13" s="46" t="s">
        <v>147</v>
      </c>
      <c r="F13" s="46" t="s">
        <v>214</v>
      </c>
      <c r="G13" s="46" t="s">
        <v>139</v>
      </c>
      <c r="H13" s="46" t="s">
        <v>215</v>
      </c>
      <c r="I13" s="46" t="s">
        <v>216</v>
      </c>
      <c r="J13" s="46" t="s">
        <v>217</v>
      </c>
      <c r="K13" s="46">
        <v>8</v>
      </c>
      <c r="L13" s="46" t="s">
        <v>218</v>
      </c>
      <c r="M13" s="46" t="s">
        <v>219</v>
      </c>
      <c r="N13" s="46">
        <v>5</v>
      </c>
      <c r="O13" s="46" t="s">
        <v>79</v>
      </c>
      <c r="P13" s="46"/>
    </row>
    <row r="14" spans="1:16">
      <c r="A14" s="37" t="s">
        <v>220</v>
      </c>
      <c r="B14" s="37" t="s">
        <v>221</v>
      </c>
      <c r="C14" s="37" t="s">
        <v>222</v>
      </c>
      <c r="D14" s="37" t="s">
        <v>223</v>
      </c>
      <c r="E14" s="37" t="s">
        <v>224</v>
      </c>
      <c r="F14" s="37" t="s">
        <v>177</v>
      </c>
      <c r="G14" s="37" t="s">
        <v>112</v>
      </c>
      <c r="H14" s="37" t="s">
        <v>32</v>
      </c>
      <c r="I14" s="37" t="s">
        <v>225</v>
      </c>
      <c r="J14" s="37" t="s">
        <v>226</v>
      </c>
      <c r="K14" s="37">
        <v>4</v>
      </c>
      <c r="L14" s="37" t="s">
        <v>227</v>
      </c>
      <c r="M14" s="37" t="s">
        <v>105</v>
      </c>
      <c r="N14" s="37">
        <v>5</v>
      </c>
      <c r="O14" s="37" t="s">
        <v>106</v>
      </c>
      <c r="P14" s="37"/>
    </row>
    <row r="15" spans="1:16">
      <c r="A15" s="46" t="s">
        <v>228</v>
      </c>
      <c r="B15" s="46" t="s">
        <v>229</v>
      </c>
      <c r="C15" s="46" t="s">
        <v>109</v>
      </c>
      <c r="D15" s="46" t="s">
        <v>230</v>
      </c>
      <c r="E15" s="46" t="s">
        <v>137</v>
      </c>
      <c r="F15" s="46" t="s">
        <v>231</v>
      </c>
      <c r="G15" s="46" t="s">
        <v>51</v>
      </c>
      <c r="H15" s="46" t="s">
        <v>90</v>
      </c>
      <c r="I15" s="46" t="s">
        <v>232</v>
      </c>
      <c r="J15" s="46" t="s">
        <v>233</v>
      </c>
      <c r="K15" s="46">
        <v>8</v>
      </c>
      <c r="L15" s="46" t="s">
        <v>234</v>
      </c>
      <c r="M15" s="46" t="s">
        <v>200</v>
      </c>
      <c r="N15" s="46">
        <v>1</v>
      </c>
      <c r="O15" s="46" t="s">
        <v>152</v>
      </c>
      <c r="P15" s="46"/>
    </row>
    <row r="16" spans="1:16">
      <c r="A16" s="37" t="s">
        <v>235</v>
      </c>
      <c r="B16" s="37" t="s">
        <v>236</v>
      </c>
      <c r="C16" s="37" t="s">
        <v>155</v>
      </c>
      <c r="D16" s="37" t="s">
        <v>194</v>
      </c>
      <c r="E16" s="37" t="s">
        <v>157</v>
      </c>
      <c r="F16" s="37" t="s">
        <v>237</v>
      </c>
      <c r="G16" s="37" t="s">
        <v>101</v>
      </c>
      <c r="H16" s="37" t="s">
        <v>187</v>
      </c>
      <c r="I16" s="37" t="s">
        <v>238</v>
      </c>
      <c r="J16" s="37" t="s">
        <v>239</v>
      </c>
      <c r="K16" s="37">
        <v>6</v>
      </c>
      <c r="L16" s="37" t="s">
        <v>240</v>
      </c>
      <c r="M16" s="37" t="s">
        <v>219</v>
      </c>
      <c r="N16" s="37">
        <v>4</v>
      </c>
      <c r="O16" s="37" t="s">
        <v>79</v>
      </c>
      <c r="P16" s="37"/>
    </row>
    <row r="17" spans="1:16">
      <c r="A17" s="46" t="s">
        <v>241</v>
      </c>
      <c r="B17" s="46" t="s">
        <v>242</v>
      </c>
      <c r="C17" s="46" t="s">
        <v>243</v>
      </c>
      <c r="D17" s="46" t="s">
        <v>213</v>
      </c>
      <c r="E17" s="46" t="s">
        <v>244</v>
      </c>
      <c r="F17" s="46" t="s">
        <v>245</v>
      </c>
      <c r="G17" s="46" t="s">
        <v>87</v>
      </c>
      <c r="H17" s="46" t="s">
        <v>215</v>
      </c>
      <c r="I17" s="46" t="s">
        <v>246</v>
      </c>
      <c r="J17" s="46" t="s">
        <v>247</v>
      </c>
      <c r="K17" s="46">
        <v>4</v>
      </c>
      <c r="L17" s="46" t="s">
        <v>248</v>
      </c>
      <c r="M17" s="46" t="s">
        <v>117</v>
      </c>
      <c r="N17" s="46">
        <v>5</v>
      </c>
      <c r="O17" s="46" t="s">
        <v>79</v>
      </c>
      <c r="P17" s="46"/>
    </row>
    <row r="18" spans="1:16">
      <c r="A18" s="37" t="s">
        <v>249</v>
      </c>
      <c r="B18" s="37" t="s">
        <v>250</v>
      </c>
      <c r="C18" s="37" t="s">
        <v>251</v>
      </c>
      <c r="D18" s="37" t="s">
        <v>136</v>
      </c>
      <c r="E18" s="37" t="s">
        <v>137</v>
      </c>
      <c r="F18" s="37" t="s">
        <v>158</v>
      </c>
      <c r="G18" s="37" t="s">
        <v>168</v>
      </c>
      <c r="H18" s="37" t="s">
        <v>88</v>
      </c>
      <c r="I18" s="37" t="s">
        <v>252</v>
      </c>
      <c r="J18" s="37" t="s">
        <v>253</v>
      </c>
      <c r="K18" s="37">
        <v>8</v>
      </c>
      <c r="L18" s="37" t="s">
        <v>254</v>
      </c>
      <c r="M18" s="37" t="s">
        <v>117</v>
      </c>
      <c r="N18" s="37">
        <v>4</v>
      </c>
      <c r="O18" s="37" t="s">
        <v>152</v>
      </c>
      <c r="P18" s="37"/>
    </row>
    <row r="19" spans="1:16">
      <c r="A19" s="46" t="s">
        <v>255</v>
      </c>
      <c r="B19" s="46" t="s">
        <v>256</v>
      </c>
      <c r="C19" s="46" t="s">
        <v>93</v>
      </c>
      <c r="D19" s="46" t="s">
        <v>175</v>
      </c>
      <c r="E19" s="46" t="s">
        <v>99</v>
      </c>
      <c r="F19" s="46" t="s">
        <v>138</v>
      </c>
      <c r="G19" s="46" t="s">
        <v>257</v>
      </c>
      <c r="H19" s="46" t="s">
        <v>187</v>
      </c>
      <c r="I19" s="46" t="s">
        <v>258</v>
      </c>
      <c r="J19" s="46" t="s">
        <v>259</v>
      </c>
      <c r="K19" s="46">
        <v>2</v>
      </c>
      <c r="L19" s="46" t="s">
        <v>260</v>
      </c>
      <c r="M19" s="46" t="s">
        <v>117</v>
      </c>
      <c r="N19" s="46">
        <v>5</v>
      </c>
      <c r="O19" s="46" t="s">
        <v>106</v>
      </c>
      <c r="P19" s="46"/>
    </row>
    <row r="20" spans="1:16">
      <c r="A20" s="37" t="s">
        <v>261</v>
      </c>
      <c r="B20" s="37" t="s">
        <v>262</v>
      </c>
      <c r="C20" s="37" t="s">
        <v>121</v>
      </c>
      <c r="D20" s="37" t="s">
        <v>156</v>
      </c>
      <c r="E20" s="37" t="s">
        <v>137</v>
      </c>
      <c r="F20" s="37" t="s">
        <v>263</v>
      </c>
      <c r="G20" s="37" t="s">
        <v>264</v>
      </c>
      <c r="H20" s="37" t="s">
        <v>187</v>
      </c>
      <c r="I20" s="37" t="s">
        <v>265</v>
      </c>
      <c r="J20" s="37" t="s">
        <v>266</v>
      </c>
      <c r="K20" s="37">
        <v>8</v>
      </c>
      <c r="L20" s="37" t="s">
        <v>267</v>
      </c>
      <c r="M20" s="37" t="s">
        <v>163</v>
      </c>
      <c r="N20" s="37">
        <v>5</v>
      </c>
      <c r="O20" s="37" t="s">
        <v>191</v>
      </c>
      <c r="P20" s="37"/>
    </row>
    <row r="21" spans="1:16">
      <c r="A21" s="46" t="s">
        <v>268</v>
      </c>
      <c r="B21" s="46" t="s">
        <v>269</v>
      </c>
      <c r="C21" s="46" t="s">
        <v>54</v>
      </c>
      <c r="D21" s="46" t="s">
        <v>270</v>
      </c>
      <c r="E21" s="46" t="s">
        <v>157</v>
      </c>
      <c r="F21" s="46" t="s">
        <v>271</v>
      </c>
      <c r="G21" s="46" t="s">
        <v>264</v>
      </c>
      <c r="H21" s="46" t="s">
        <v>88</v>
      </c>
      <c r="I21" s="46" t="s">
        <v>272</v>
      </c>
      <c r="J21" s="46" t="s">
        <v>273</v>
      </c>
      <c r="K21" s="46">
        <v>6</v>
      </c>
      <c r="L21" s="46" t="s">
        <v>274</v>
      </c>
      <c r="M21" s="46" t="s">
        <v>200</v>
      </c>
      <c r="N21" s="46">
        <v>3</v>
      </c>
      <c r="O21" s="46" t="s">
        <v>131</v>
      </c>
      <c r="P21" s="46"/>
    </row>
    <row r="22" spans="1:16">
      <c r="A22" s="37" t="s">
        <v>275</v>
      </c>
      <c r="B22" s="37" t="s">
        <v>276</v>
      </c>
      <c r="C22" s="37" t="s">
        <v>135</v>
      </c>
      <c r="D22" s="37" t="s">
        <v>156</v>
      </c>
      <c r="E22" s="37" t="s">
        <v>244</v>
      </c>
      <c r="F22" s="37" t="s">
        <v>277</v>
      </c>
      <c r="G22" s="37" t="s">
        <v>101</v>
      </c>
      <c r="H22" s="37" t="s">
        <v>278</v>
      </c>
      <c r="I22" s="37" t="s">
        <v>279</v>
      </c>
      <c r="J22" s="37" t="s">
        <v>161</v>
      </c>
      <c r="K22" s="37">
        <v>2</v>
      </c>
      <c r="L22" s="37" t="s">
        <v>280</v>
      </c>
      <c r="M22" s="37" t="s">
        <v>219</v>
      </c>
      <c r="N22" s="37">
        <v>4</v>
      </c>
      <c r="O22" s="37" t="s">
        <v>118</v>
      </c>
      <c r="P22" s="37"/>
    </row>
    <row r="23" spans="1:16">
      <c r="A23" s="46" t="s">
        <v>281</v>
      </c>
      <c r="B23" s="46" t="s">
        <v>96</v>
      </c>
      <c r="C23" s="46" t="s">
        <v>282</v>
      </c>
      <c r="D23" s="46" t="s">
        <v>204</v>
      </c>
      <c r="E23" s="46" t="s">
        <v>157</v>
      </c>
      <c r="F23" s="46" t="s">
        <v>283</v>
      </c>
      <c r="G23" s="46" t="s">
        <v>168</v>
      </c>
      <c r="H23" s="46" t="s">
        <v>206</v>
      </c>
      <c r="I23" s="46" t="s">
        <v>284</v>
      </c>
      <c r="J23" s="46" t="s">
        <v>161</v>
      </c>
      <c r="K23" s="46">
        <v>4</v>
      </c>
      <c r="L23" s="46" t="s">
        <v>285</v>
      </c>
      <c r="M23" s="46" t="s">
        <v>143</v>
      </c>
      <c r="N23" s="46">
        <v>3</v>
      </c>
      <c r="O23" s="46" t="s">
        <v>286</v>
      </c>
      <c r="P23" s="46"/>
    </row>
    <row r="24" spans="1:16">
      <c r="A24" s="37" t="s">
        <v>287</v>
      </c>
      <c r="B24" s="37" t="s">
        <v>288</v>
      </c>
      <c r="C24" s="37"/>
      <c r="D24" s="37" t="s">
        <v>184</v>
      </c>
      <c r="E24" s="37" t="s">
        <v>157</v>
      </c>
      <c r="F24" s="37" t="s">
        <v>277</v>
      </c>
      <c r="G24" s="37" t="s">
        <v>89</v>
      </c>
      <c r="H24" s="37" t="s">
        <v>88</v>
      </c>
      <c r="I24" s="37" t="s">
        <v>289</v>
      </c>
      <c r="J24" s="37" t="s">
        <v>290</v>
      </c>
      <c r="K24" s="37">
        <v>4</v>
      </c>
      <c r="L24" s="37" t="s">
        <v>291</v>
      </c>
      <c r="M24" s="37" t="s">
        <v>163</v>
      </c>
      <c r="N24" s="37">
        <v>5</v>
      </c>
      <c r="O24" s="37" t="s">
        <v>79</v>
      </c>
      <c r="P24" s="37"/>
    </row>
    <row r="25" spans="1:16">
      <c r="A25" s="46" t="s">
        <v>292</v>
      </c>
      <c r="B25" s="46" t="s">
        <v>293</v>
      </c>
      <c r="C25" s="46" t="s">
        <v>90</v>
      </c>
      <c r="D25" s="46" t="s">
        <v>122</v>
      </c>
      <c r="E25" s="46" t="s">
        <v>244</v>
      </c>
      <c r="F25" s="46"/>
      <c r="G25" s="46" t="s">
        <v>92</v>
      </c>
      <c r="H25" s="46" t="s">
        <v>294</v>
      </c>
      <c r="I25" s="46" t="s">
        <v>295</v>
      </c>
      <c r="J25" s="46" t="s">
        <v>296</v>
      </c>
      <c r="K25" s="46">
        <v>4</v>
      </c>
      <c r="L25" s="46" t="s">
        <v>297</v>
      </c>
      <c r="M25" s="46" t="s">
        <v>72</v>
      </c>
      <c r="N25" s="46">
        <v>3</v>
      </c>
      <c r="O25" s="46" t="s">
        <v>181</v>
      </c>
      <c r="P25" s="46"/>
    </row>
    <row r="26" spans="1:16">
      <c r="A26" s="37" t="s">
        <v>298</v>
      </c>
      <c r="B26" s="37" t="s">
        <v>299</v>
      </c>
      <c r="C26" s="37" t="s">
        <v>300</v>
      </c>
      <c r="D26" s="37" t="s">
        <v>270</v>
      </c>
      <c r="E26" s="37" t="s">
        <v>147</v>
      </c>
      <c r="F26" s="37" t="s">
        <v>301</v>
      </c>
      <c r="G26" s="37" t="s">
        <v>302</v>
      </c>
      <c r="H26" s="37" t="s">
        <v>91</v>
      </c>
      <c r="I26" s="37" t="s">
        <v>303</v>
      </c>
      <c r="J26" s="37" t="s">
        <v>304</v>
      </c>
      <c r="K26" s="37">
        <v>8</v>
      </c>
      <c r="L26" s="37" t="s">
        <v>162</v>
      </c>
      <c r="M26" s="37" t="s">
        <v>172</v>
      </c>
      <c r="N26" s="37">
        <v>2</v>
      </c>
      <c r="O26" s="37" t="s">
        <v>131</v>
      </c>
      <c r="P26" s="37"/>
    </row>
    <row r="27" spans="1:16">
      <c r="A27" s="46" t="s">
        <v>305</v>
      </c>
      <c r="B27" s="46" t="s">
        <v>306</v>
      </c>
      <c r="C27" s="46" t="s">
        <v>307</v>
      </c>
      <c r="D27" s="46" t="s">
        <v>213</v>
      </c>
      <c r="E27" s="46" t="s">
        <v>195</v>
      </c>
      <c r="F27" s="46" t="s">
        <v>177</v>
      </c>
      <c r="G27" s="46" t="s">
        <v>302</v>
      </c>
      <c r="H27" s="46" t="s">
        <v>91</v>
      </c>
      <c r="I27" s="46" t="s">
        <v>308</v>
      </c>
      <c r="J27" s="46" t="s">
        <v>266</v>
      </c>
      <c r="K27" s="46">
        <v>8</v>
      </c>
      <c r="L27" s="46" t="s">
        <v>309</v>
      </c>
      <c r="M27" s="46" t="s">
        <v>200</v>
      </c>
      <c r="N27" s="46">
        <v>2</v>
      </c>
      <c r="O27" s="46" t="s">
        <v>181</v>
      </c>
      <c r="P27" s="46"/>
    </row>
    <row r="28" spans="1:16">
      <c r="A28" s="37" t="s">
        <v>310</v>
      </c>
      <c r="B28" s="37" t="s">
        <v>311</v>
      </c>
      <c r="C28" s="37" t="s">
        <v>174</v>
      </c>
      <c r="D28" s="37" t="s">
        <v>312</v>
      </c>
      <c r="E28" s="37" t="s">
        <v>195</v>
      </c>
      <c r="F28" s="37" t="s">
        <v>313</v>
      </c>
      <c r="G28" s="37" t="s">
        <v>139</v>
      </c>
      <c r="H28" s="37" t="s">
        <v>215</v>
      </c>
      <c r="I28" s="37" t="s">
        <v>314</v>
      </c>
      <c r="J28" s="37" t="s">
        <v>315</v>
      </c>
      <c r="K28" s="37">
        <v>8</v>
      </c>
      <c r="L28" s="37" t="s">
        <v>316</v>
      </c>
      <c r="M28" s="37" t="s">
        <v>163</v>
      </c>
      <c r="N28" s="37">
        <v>4</v>
      </c>
      <c r="O28" s="37" t="s">
        <v>131</v>
      </c>
      <c r="P28" s="37"/>
    </row>
    <row r="29" spans="1:16">
      <c r="A29" s="46" t="s">
        <v>317</v>
      </c>
      <c r="B29" s="46" t="s">
        <v>318</v>
      </c>
      <c r="C29" s="46" t="s">
        <v>166</v>
      </c>
      <c r="D29" s="46" t="s">
        <v>213</v>
      </c>
      <c r="E29" s="46" t="s">
        <v>195</v>
      </c>
      <c r="F29" s="46" t="s">
        <v>319</v>
      </c>
      <c r="G29" s="46" t="s">
        <v>125</v>
      </c>
      <c r="H29" s="46" t="s">
        <v>294</v>
      </c>
      <c r="I29" s="46" t="s">
        <v>320</v>
      </c>
      <c r="J29" s="46" t="s">
        <v>321</v>
      </c>
      <c r="K29" s="46">
        <v>6</v>
      </c>
      <c r="L29" s="46" t="s">
        <v>322</v>
      </c>
      <c r="M29" s="46" t="s">
        <v>163</v>
      </c>
      <c r="N29" s="46">
        <v>2</v>
      </c>
      <c r="O29" s="46" t="s">
        <v>118</v>
      </c>
      <c r="P29" s="46"/>
    </row>
    <row r="30" spans="1:16">
      <c r="A30" s="37" t="s">
        <v>323</v>
      </c>
      <c r="B30" s="37" t="s">
        <v>324</v>
      </c>
      <c r="C30" s="37" t="s">
        <v>91</v>
      </c>
      <c r="D30" s="37" t="s">
        <v>146</v>
      </c>
      <c r="E30" s="37" t="s">
        <v>325</v>
      </c>
      <c r="F30" s="37" t="s">
        <v>326</v>
      </c>
      <c r="G30" s="37" t="s">
        <v>51</v>
      </c>
      <c r="H30" s="37" t="s">
        <v>327</v>
      </c>
      <c r="I30" s="37" t="s">
        <v>328</v>
      </c>
      <c r="J30" s="37" t="s">
        <v>329</v>
      </c>
      <c r="K30" s="37">
        <v>4</v>
      </c>
      <c r="L30" s="37" t="s">
        <v>330</v>
      </c>
      <c r="M30" s="37" t="s">
        <v>117</v>
      </c>
      <c r="N30" s="37">
        <v>5</v>
      </c>
      <c r="O30" s="37" t="s">
        <v>181</v>
      </c>
      <c r="P30" s="37"/>
    </row>
    <row r="31" spans="1:16">
      <c r="A31" s="46" t="s">
        <v>331</v>
      </c>
      <c r="B31" s="46" t="s">
        <v>332</v>
      </c>
      <c r="C31" s="46" t="s">
        <v>212</v>
      </c>
      <c r="D31" s="46" t="s">
        <v>333</v>
      </c>
      <c r="E31" s="46" t="s">
        <v>244</v>
      </c>
      <c r="F31" s="46" t="s">
        <v>326</v>
      </c>
      <c r="G31" s="46" t="s">
        <v>334</v>
      </c>
      <c r="H31" s="46" t="s">
        <v>215</v>
      </c>
      <c r="I31" s="46" t="s">
        <v>160</v>
      </c>
      <c r="J31" s="46" t="s">
        <v>335</v>
      </c>
      <c r="K31" s="46">
        <v>4</v>
      </c>
      <c r="L31" s="46" t="s">
        <v>336</v>
      </c>
      <c r="M31" s="46" t="s">
        <v>337</v>
      </c>
      <c r="N31" s="46"/>
      <c r="O31" s="46" t="s">
        <v>286</v>
      </c>
      <c r="P31" s="46" t="s">
        <v>132</v>
      </c>
    </row>
    <row r="32" spans="1:16">
      <c r="A32" s="37" t="s">
        <v>338</v>
      </c>
      <c r="B32" s="37" t="s">
        <v>339</v>
      </c>
      <c r="C32" s="37" t="s">
        <v>340</v>
      </c>
      <c r="D32" s="37" t="s">
        <v>230</v>
      </c>
      <c r="E32" s="37" t="s">
        <v>157</v>
      </c>
      <c r="F32" s="37" t="s">
        <v>100</v>
      </c>
      <c r="G32" s="37" t="s">
        <v>257</v>
      </c>
      <c r="H32" s="37" t="s">
        <v>206</v>
      </c>
      <c r="I32" s="37" t="s">
        <v>341</v>
      </c>
      <c r="J32" s="37" t="s">
        <v>342</v>
      </c>
      <c r="K32" s="37">
        <v>6</v>
      </c>
      <c r="L32" s="37" t="s">
        <v>343</v>
      </c>
      <c r="M32" s="37" t="s">
        <v>172</v>
      </c>
      <c r="N32" s="37">
        <v>4</v>
      </c>
      <c r="O32" s="37" t="s">
        <v>191</v>
      </c>
      <c r="P32" s="37"/>
    </row>
    <row r="33" spans="1:16">
      <c r="A33" s="46" t="s">
        <v>344</v>
      </c>
      <c r="B33" s="46" t="s">
        <v>116</v>
      </c>
      <c r="C33" s="46" t="s">
        <v>174</v>
      </c>
      <c r="D33" s="46" t="s">
        <v>230</v>
      </c>
      <c r="E33" s="46" t="s">
        <v>345</v>
      </c>
      <c r="F33" s="46" t="s">
        <v>237</v>
      </c>
      <c r="G33" s="46" t="s">
        <v>346</v>
      </c>
      <c r="H33" s="46" t="s">
        <v>113</v>
      </c>
      <c r="I33" s="46" t="s">
        <v>347</v>
      </c>
      <c r="J33" s="46" t="s">
        <v>348</v>
      </c>
      <c r="K33" s="46">
        <v>6</v>
      </c>
      <c r="L33" s="46" t="s">
        <v>349</v>
      </c>
      <c r="M33" s="46" t="s">
        <v>117</v>
      </c>
      <c r="N33" s="46">
        <v>4</v>
      </c>
      <c r="O33" s="46" t="s">
        <v>181</v>
      </c>
      <c r="P33" s="46"/>
    </row>
    <row r="34" spans="1:16">
      <c r="A34" s="37" t="s">
        <v>350</v>
      </c>
      <c r="B34" s="37" t="s">
        <v>351</v>
      </c>
      <c r="C34" s="37" t="s">
        <v>174</v>
      </c>
      <c r="D34" s="37" t="s">
        <v>352</v>
      </c>
      <c r="E34" s="37" t="s">
        <v>147</v>
      </c>
      <c r="F34" s="37" t="s">
        <v>353</v>
      </c>
      <c r="G34" s="37" t="s">
        <v>334</v>
      </c>
      <c r="H34" s="37" t="s">
        <v>354</v>
      </c>
      <c r="I34" s="37" t="s">
        <v>355</v>
      </c>
      <c r="J34" s="37" t="s">
        <v>356</v>
      </c>
      <c r="K34" s="37">
        <v>8</v>
      </c>
      <c r="L34" s="37" t="s">
        <v>357</v>
      </c>
      <c r="M34" s="37" t="s">
        <v>117</v>
      </c>
      <c r="N34" s="37">
        <v>4</v>
      </c>
      <c r="O34" s="37" t="s">
        <v>152</v>
      </c>
      <c r="P34" s="37"/>
    </row>
    <row r="35" spans="1:16">
      <c r="A35" s="46" t="s">
        <v>358</v>
      </c>
      <c r="B35" s="46" t="s">
        <v>359</v>
      </c>
      <c r="C35" s="46" t="s">
        <v>32</v>
      </c>
      <c r="D35" s="46" t="s">
        <v>122</v>
      </c>
      <c r="E35" s="46" t="s">
        <v>99</v>
      </c>
      <c r="F35" s="46" t="s">
        <v>360</v>
      </c>
      <c r="G35" s="46" t="s">
        <v>139</v>
      </c>
      <c r="H35" s="46" t="s">
        <v>354</v>
      </c>
      <c r="I35" s="46" t="s">
        <v>361</v>
      </c>
      <c r="J35" s="46" t="s">
        <v>362</v>
      </c>
      <c r="K35" s="46">
        <v>2</v>
      </c>
      <c r="L35" s="46" t="s">
        <v>363</v>
      </c>
      <c r="M35" s="46" t="s">
        <v>219</v>
      </c>
      <c r="N35" s="46">
        <v>5</v>
      </c>
      <c r="O35" s="46" t="s">
        <v>79</v>
      </c>
      <c r="P35" s="46"/>
    </row>
    <row r="36" spans="1:16">
      <c r="A36" s="37" t="s">
        <v>364</v>
      </c>
      <c r="B36" s="37" t="s">
        <v>365</v>
      </c>
      <c r="C36" s="37" t="s">
        <v>366</v>
      </c>
      <c r="D36" s="37" t="s">
        <v>367</v>
      </c>
      <c r="E36" s="37" t="s">
        <v>147</v>
      </c>
      <c r="F36" s="37" t="s">
        <v>368</v>
      </c>
      <c r="G36" s="37" t="s">
        <v>168</v>
      </c>
      <c r="H36" s="37" t="s">
        <v>187</v>
      </c>
      <c r="I36" s="37" t="s">
        <v>369</v>
      </c>
      <c r="J36" s="37" t="s">
        <v>370</v>
      </c>
      <c r="K36" s="37">
        <v>8</v>
      </c>
      <c r="L36" s="37" t="s">
        <v>371</v>
      </c>
      <c r="M36" s="37" t="s">
        <v>219</v>
      </c>
      <c r="N36" s="37">
        <v>3</v>
      </c>
      <c r="O36" s="37" t="s">
        <v>181</v>
      </c>
      <c r="P36" s="37"/>
    </row>
    <row r="37" spans="1:16">
      <c r="A37" s="46" t="s">
        <v>372</v>
      </c>
      <c r="B37" s="46" t="s">
        <v>373</v>
      </c>
      <c r="C37" s="46" t="s">
        <v>374</v>
      </c>
      <c r="D37" s="46" t="s">
        <v>312</v>
      </c>
      <c r="E37" s="46" t="s">
        <v>147</v>
      </c>
      <c r="F37" s="46" t="s">
        <v>231</v>
      </c>
      <c r="G37" s="46" t="s">
        <v>51</v>
      </c>
      <c r="H37" s="46" t="s">
        <v>327</v>
      </c>
      <c r="I37" s="46" t="s">
        <v>375</v>
      </c>
      <c r="J37" s="46" t="s">
        <v>376</v>
      </c>
      <c r="K37" s="46">
        <v>6</v>
      </c>
      <c r="L37" s="46" t="s">
        <v>377</v>
      </c>
      <c r="M37" s="46" t="s">
        <v>163</v>
      </c>
      <c r="N37" s="46">
        <v>4</v>
      </c>
      <c r="O37" s="46" t="s">
        <v>152</v>
      </c>
      <c r="P37" s="46"/>
    </row>
    <row r="38" spans="1:16">
      <c r="A38" s="37" t="s">
        <v>378</v>
      </c>
      <c r="B38" s="37" t="s">
        <v>379</v>
      </c>
      <c r="C38" s="37" t="s">
        <v>282</v>
      </c>
      <c r="D38" s="37" t="s">
        <v>333</v>
      </c>
      <c r="E38" s="37" t="s">
        <v>244</v>
      </c>
      <c r="F38" s="37" t="s">
        <v>205</v>
      </c>
      <c r="G38" s="37" t="s">
        <v>380</v>
      </c>
      <c r="H38" s="37" t="s">
        <v>294</v>
      </c>
      <c r="I38" s="37" t="s">
        <v>381</v>
      </c>
      <c r="J38" s="37" t="s">
        <v>382</v>
      </c>
      <c r="K38" s="37">
        <v>4</v>
      </c>
      <c r="L38" s="37" t="s">
        <v>383</v>
      </c>
      <c r="M38" s="37" t="s">
        <v>163</v>
      </c>
      <c r="N38" s="37">
        <v>4</v>
      </c>
      <c r="O38" s="37" t="s">
        <v>286</v>
      </c>
      <c r="P38" s="37"/>
    </row>
    <row r="39" spans="1:16">
      <c r="A39" s="46" t="s">
        <v>384</v>
      </c>
      <c r="B39" s="46" t="s">
        <v>276</v>
      </c>
      <c r="C39" s="46" t="s">
        <v>121</v>
      </c>
      <c r="D39" s="46" t="s">
        <v>204</v>
      </c>
      <c r="E39" s="46" t="s">
        <v>195</v>
      </c>
      <c r="F39" s="46" t="s">
        <v>385</v>
      </c>
      <c r="G39" s="46" t="s">
        <v>92</v>
      </c>
      <c r="H39" s="46" t="s">
        <v>294</v>
      </c>
      <c r="I39" s="46" t="s">
        <v>386</v>
      </c>
      <c r="J39" s="46" t="s">
        <v>387</v>
      </c>
      <c r="K39" s="46">
        <v>8</v>
      </c>
      <c r="L39" s="46" t="s">
        <v>388</v>
      </c>
      <c r="M39" s="46" t="s">
        <v>163</v>
      </c>
      <c r="N39" s="46">
        <v>5</v>
      </c>
      <c r="O39" s="46" t="s">
        <v>286</v>
      </c>
      <c r="P39" s="46"/>
    </row>
    <row r="40" spans="1:16">
      <c r="A40" s="37" t="s">
        <v>389</v>
      </c>
      <c r="B40" s="37" t="s">
        <v>390</v>
      </c>
      <c r="C40" s="37" t="s">
        <v>97</v>
      </c>
      <c r="D40" s="37" t="s">
        <v>136</v>
      </c>
      <c r="E40" s="37" t="s">
        <v>224</v>
      </c>
      <c r="F40" s="37" t="s">
        <v>237</v>
      </c>
      <c r="G40" s="37" t="s">
        <v>334</v>
      </c>
      <c r="H40" s="37" t="s">
        <v>354</v>
      </c>
      <c r="I40" s="37" t="s">
        <v>391</v>
      </c>
      <c r="J40" s="37" t="s">
        <v>392</v>
      </c>
      <c r="K40" s="37">
        <v>4</v>
      </c>
      <c r="L40" s="37" t="s">
        <v>393</v>
      </c>
      <c r="M40" s="37" t="s">
        <v>200</v>
      </c>
      <c r="N40" s="37">
        <v>4</v>
      </c>
      <c r="O40" s="37" t="s">
        <v>152</v>
      </c>
      <c r="P40" s="37"/>
    </row>
    <row r="41" spans="1:16">
      <c r="A41" s="46" t="s">
        <v>394</v>
      </c>
      <c r="B41" s="46" t="s">
        <v>395</v>
      </c>
      <c r="C41" s="46" t="s">
        <v>109</v>
      </c>
      <c r="D41" s="46" t="s">
        <v>156</v>
      </c>
      <c r="E41" s="46" t="s">
        <v>325</v>
      </c>
      <c r="F41" s="46" t="s">
        <v>47</v>
      </c>
      <c r="G41" s="46" t="s">
        <v>380</v>
      </c>
      <c r="H41" s="46" t="s">
        <v>396</v>
      </c>
      <c r="I41" s="46" t="s">
        <v>272</v>
      </c>
      <c r="J41" s="46" t="s">
        <v>397</v>
      </c>
      <c r="K41" s="46">
        <v>4</v>
      </c>
      <c r="L41" s="46" t="s">
        <v>398</v>
      </c>
      <c r="M41" s="46" t="s">
        <v>219</v>
      </c>
      <c r="N41" s="46">
        <v>4</v>
      </c>
      <c r="O41" s="46" t="s">
        <v>191</v>
      </c>
      <c r="P41" s="46"/>
    </row>
    <row r="42" spans="1:16">
      <c r="A42" s="37" t="s">
        <v>399</v>
      </c>
      <c r="B42" s="37" t="s">
        <v>400</v>
      </c>
      <c r="C42" s="37" t="s">
        <v>251</v>
      </c>
      <c r="D42" s="37" t="s">
        <v>37</v>
      </c>
      <c r="E42" s="37" t="s">
        <v>195</v>
      </c>
      <c r="F42" s="37" t="s">
        <v>148</v>
      </c>
      <c r="G42" s="37" t="s">
        <v>401</v>
      </c>
      <c r="H42" s="37" t="s">
        <v>54</v>
      </c>
      <c r="I42" s="37" t="s">
        <v>402</v>
      </c>
      <c r="J42" s="37" t="s">
        <v>403</v>
      </c>
      <c r="K42" s="37">
        <v>8</v>
      </c>
      <c r="L42" s="37" t="s">
        <v>404</v>
      </c>
      <c r="M42" s="37" t="s">
        <v>200</v>
      </c>
      <c r="N42" s="37">
        <v>2</v>
      </c>
      <c r="O42" s="37" t="s">
        <v>131</v>
      </c>
      <c r="P42" s="37"/>
    </row>
    <row r="43" spans="1:16">
      <c r="A43" s="46" t="s">
        <v>405</v>
      </c>
      <c r="B43" s="46" t="s">
        <v>406</v>
      </c>
      <c r="C43" s="46" t="s">
        <v>407</v>
      </c>
      <c r="D43" s="46" t="s">
        <v>352</v>
      </c>
      <c r="E43" s="46" t="s">
        <v>325</v>
      </c>
      <c r="F43" s="46" t="s">
        <v>301</v>
      </c>
      <c r="G43" s="46" t="s">
        <v>380</v>
      </c>
      <c r="H43" s="46" t="s">
        <v>294</v>
      </c>
      <c r="I43" s="46" t="s">
        <v>408</v>
      </c>
      <c r="J43" s="46" t="s">
        <v>409</v>
      </c>
      <c r="K43" s="46">
        <v>2</v>
      </c>
      <c r="L43" s="46" t="s">
        <v>410</v>
      </c>
      <c r="M43" s="46" t="s">
        <v>117</v>
      </c>
      <c r="N43" s="46">
        <v>4</v>
      </c>
      <c r="O43" s="46" t="s">
        <v>131</v>
      </c>
      <c r="P43" s="46"/>
    </row>
    <row r="44" spans="1:16">
      <c r="A44" s="37" t="s">
        <v>411</v>
      </c>
      <c r="B44" s="37" t="s">
        <v>412</v>
      </c>
      <c r="C44" s="37" t="s">
        <v>166</v>
      </c>
      <c r="D44" s="37" t="s">
        <v>204</v>
      </c>
      <c r="E44" s="37" t="s">
        <v>147</v>
      </c>
      <c r="F44" s="37" t="s">
        <v>283</v>
      </c>
      <c r="G44" s="37" t="s">
        <v>159</v>
      </c>
      <c r="H44" s="37" t="s">
        <v>327</v>
      </c>
      <c r="I44" s="37" t="s">
        <v>413</v>
      </c>
      <c r="J44" s="37" t="s">
        <v>414</v>
      </c>
      <c r="K44" s="37">
        <v>8</v>
      </c>
      <c r="L44" s="37" t="s">
        <v>415</v>
      </c>
      <c r="M44" s="37" t="s">
        <v>117</v>
      </c>
      <c r="N44" s="37">
        <v>5</v>
      </c>
      <c r="O44" s="37" t="s">
        <v>181</v>
      </c>
      <c r="P44" s="37"/>
    </row>
    <row r="45" spans="1:16">
      <c r="A45" s="46" t="s">
        <v>416</v>
      </c>
      <c r="B45" s="46" t="s">
        <v>417</v>
      </c>
      <c r="C45" s="46" t="s">
        <v>109</v>
      </c>
      <c r="D45" s="46" t="s">
        <v>156</v>
      </c>
      <c r="E45" s="46" t="s">
        <v>123</v>
      </c>
      <c r="F45" s="46" t="s">
        <v>148</v>
      </c>
      <c r="G45" s="46" t="s">
        <v>418</v>
      </c>
      <c r="H45" s="46" t="s">
        <v>54</v>
      </c>
      <c r="I45" s="46" t="s">
        <v>419</v>
      </c>
      <c r="J45" s="46" t="s">
        <v>420</v>
      </c>
      <c r="K45" s="46">
        <v>4</v>
      </c>
      <c r="L45" s="46" t="s">
        <v>421</v>
      </c>
      <c r="M45" s="46" t="s">
        <v>172</v>
      </c>
      <c r="N45" s="46">
        <v>2</v>
      </c>
      <c r="O45" s="46" t="s">
        <v>181</v>
      </c>
      <c r="P45" s="46"/>
    </row>
    <row r="46" spans="1:16">
      <c r="A46" s="37" t="s">
        <v>422</v>
      </c>
      <c r="B46" s="37" t="s">
        <v>423</v>
      </c>
      <c r="C46" s="37" t="s">
        <v>424</v>
      </c>
      <c r="D46" s="37" t="s">
        <v>223</v>
      </c>
      <c r="E46" s="37" t="s">
        <v>244</v>
      </c>
      <c r="F46" s="37" t="s">
        <v>425</v>
      </c>
      <c r="G46" s="37" t="s">
        <v>302</v>
      </c>
      <c r="H46" s="37" t="s">
        <v>126</v>
      </c>
      <c r="I46" s="37" t="s">
        <v>426</v>
      </c>
      <c r="J46" s="37" t="s">
        <v>427</v>
      </c>
      <c r="K46" s="37">
        <v>4</v>
      </c>
      <c r="L46" s="37" t="s">
        <v>120</v>
      </c>
      <c r="M46" s="37" t="s">
        <v>219</v>
      </c>
      <c r="N46" s="37">
        <v>5</v>
      </c>
      <c r="O46" s="37" t="s">
        <v>118</v>
      </c>
      <c r="P46" s="37"/>
    </row>
    <row r="47" spans="1:16">
      <c r="A47" s="46" t="s">
        <v>428</v>
      </c>
      <c r="B47" s="46" t="s">
        <v>429</v>
      </c>
      <c r="C47" s="46" t="s">
        <v>32</v>
      </c>
      <c r="D47" s="46" t="s">
        <v>122</v>
      </c>
      <c r="E47" s="46" t="s">
        <v>195</v>
      </c>
      <c r="F47" s="46" t="s">
        <v>430</v>
      </c>
      <c r="G47" s="46" t="s">
        <v>334</v>
      </c>
      <c r="H47" s="46" t="s">
        <v>354</v>
      </c>
      <c r="I47" s="46" t="s">
        <v>431</v>
      </c>
      <c r="J47" s="46" t="s">
        <v>432</v>
      </c>
      <c r="K47" s="46">
        <v>6</v>
      </c>
      <c r="L47" s="46" t="s">
        <v>433</v>
      </c>
      <c r="M47" s="46" t="s">
        <v>219</v>
      </c>
      <c r="N47" s="46">
        <v>5</v>
      </c>
      <c r="O47" s="46" t="s">
        <v>131</v>
      </c>
      <c r="P47" s="46"/>
    </row>
    <row r="48" spans="1:16">
      <c r="A48" s="37" t="s">
        <v>434</v>
      </c>
      <c r="B48" s="37" t="s">
        <v>435</v>
      </c>
      <c r="C48" s="37" t="s">
        <v>212</v>
      </c>
      <c r="D48" s="37" t="s">
        <v>230</v>
      </c>
      <c r="E48" s="37" t="s">
        <v>110</v>
      </c>
      <c r="F48" s="37" t="s">
        <v>430</v>
      </c>
      <c r="G48" s="37" t="s">
        <v>87</v>
      </c>
      <c r="H48" s="37" t="s">
        <v>215</v>
      </c>
      <c r="I48" s="37" t="s">
        <v>436</v>
      </c>
      <c r="J48" s="37" t="s">
        <v>437</v>
      </c>
      <c r="K48" s="37">
        <v>6</v>
      </c>
      <c r="L48" s="37" t="s">
        <v>254</v>
      </c>
      <c r="M48" s="37" t="s">
        <v>117</v>
      </c>
      <c r="N48" s="37">
        <v>4</v>
      </c>
      <c r="O48" s="37" t="s">
        <v>106</v>
      </c>
      <c r="P48" s="37"/>
    </row>
    <row r="49" spans="1:16">
      <c r="A49" s="46" t="s">
        <v>438</v>
      </c>
      <c r="B49" s="46" t="s">
        <v>439</v>
      </c>
      <c r="C49" s="46" t="s">
        <v>97</v>
      </c>
      <c r="D49" s="46"/>
      <c r="E49" s="46" t="s">
        <v>440</v>
      </c>
      <c r="F49" s="46" t="s">
        <v>100</v>
      </c>
      <c r="G49" s="46" t="s">
        <v>257</v>
      </c>
      <c r="H49" s="46" t="s">
        <v>278</v>
      </c>
      <c r="I49" s="46" t="s">
        <v>441</v>
      </c>
      <c r="J49" s="46" t="s">
        <v>442</v>
      </c>
      <c r="K49" s="46">
        <v>8</v>
      </c>
      <c r="L49" s="46" t="s">
        <v>443</v>
      </c>
      <c r="M49" s="46" t="s">
        <v>172</v>
      </c>
      <c r="N49" s="46">
        <v>3</v>
      </c>
      <c r="O49" s="46" t="s">
        <v>131</v>
      </c>
      <c r="P49" s="46"/>
    </row>
    <row r="50" spans="1:16">
      <c r="A50" s="37" t="s">
        <v>444</v>
      </c>
      <c r="B50" s="37" t="s">
        <v>445</v>
      </c>
      <c r="C50" s="37" t="s">
        <v>135</v>
      </c>
      <c r="D50" s="37" t="s">
        <v>37</v>
      </c>
      <c r="E50" s="37" t="s">
        <v>123</v>
      </c>
      <c r="F50" s="37" t="s">
        <v>138</v>
      </c>
      <c r="G50" s="37" t="s">
        <v>197</v>
      </c>
      <c r="H50" s="37" t="s">
        <v>93</v>
      </c>
      <c r="I50" s="37" t="s">
        <v>446</v>
      </c>
      <c r="J50" s="37" t="s">
        <v>447</v>
      </c>
      <c r="K50" s="37">
        <v>4</v>
      </c>
      <c r="L50" s="37" t="s">
        <v>448</v>
      </c>
      <c r="M50" s="37" t="s">
        <v>143</v>
      </c>
      <c r="N50" s="37">
        <v>1</v>
      </c>
      <c r="O50" s="37" t="s">
        <v>286</v>
      </c>
      <c r="P50" s="37"/>
    </row>
    <row r="51" spans="1:16">
      <c r="A51" s="46" t="s">
        <v>449</v>
      </c>
      <c r="B51" s="46" t="s">
        <v>450</v>
      </c>
      <c r="C51" s="46" t="s">
        <v>451</v>
      </c>
      <c r="D51" s="46" t="s">
        <v>352</v>
      </c>
      <c r="E51" s="46" t="s">
        <v>244</v>
      </c>
      <c r="F51" s="46" t="s">
        <v>452</v>
      </c>
      <c r="G51" s="46" t="s">
        <v>159</v>
      </c>
      <c r="H51" s="46" t="s">
        <v>327</v>
      </c>
      <c r="I51" s="46" t="s">
        <v>453</v>
      </c>
      <c r="J51" s="46" t="s">
        <v>454</v>
      </c>
      <c r="K51" s="46">
        <v>4</v>
      </c>
      <c r="L51" s="46" t="s">
        <v>455</v>
      </c>
      <c r="M51" s="46" t="s">
        <v>200</v>
      </c>
      <c r="N51" s="46">
        <v>2</v>
      </c>
      <c r="O51" s="46" t="s">
        <v>152</v>
      </c>
      <c r="P51" s="46"/>
    </row>
    <row r="52" spans="1:16">
      <c r="A52" s="37" t="s">
        <v>456</v>
      </c>
      <c r="B52" s="37" t="s">
        <v>457</v>
      </c>
      <c r="C52" s="37" t="s">
        <v>407</v>
      </c>
      <c r="D52" s="37" t="s">
        <v>122</v>
      </c>
      <c r="E52" s="37" t="s">
        <v>224</v>
      </c>
      <c r="F52" s="37" t="s">
        <v>458</v>
      </c>
      <c r="G52" s="37" t="s">
        <v>87</v>
      </c>
      <c r="H52" s="37" t="s">
        <v>32</v>
      </c>
      <c r="I52" s="37" t="s">
        <v>459</v>
      </c>
      <c r="J52" s="37" t="s">
        <v>460</v>
      </c>
      <c r="K52" s="37">
        <v>4</v>
      </c>
      <c r="L52" s="37" t="s">
        <v>461</v>
      </c>
      <c r="M52" s="37" t="s">
        <v>163</v>
      </c>
      <c r="N52" s="37">
        <v>3</v>
      </c>
      <c r="O52" s="37" t="s">
        <v>131</v>
      </c>
      <c r="P52" s="37"/>
    </row>
    <row r="53" spans="1:16">
      <c r="A53" s="46" t="s">
        <v>462</v>
      </c>
      <c r="B53" s="46" t="s">
        <v>463</v>
      </c>
      <c r="C53" s="46" t="s">
        <v>155</v>
      </c>
      <c r="D53" s="46" t="s">
        <v>136</v>
      </c>
      <c r="E53" s="46" t="s">
        <v>42</v>
      </c>
      <c r="F53" s="46" t="s">
        <v>353</v>
      </c>
      <c r="G53" s="46" t="s">
        <v>346</v>
      </c>
      <c r="H53" s="46" t="s">
        <v>32</v>
      </c>
      <c r="I53" s="46" t="s">
        <v>464</v>
      </c>
      <c r="J53" s="46" t="s">
        <v>465</v>
      </c>
      <c r="K53" s="46">
        <v>6</v>
      </c>
      <c r="L53" s="46" t="s">
        <v>466</v>
      </c>
      <c r="M53" s="46" t="s">
        <v>172</v>
      </c>
      <c r="N53" s="46">
        <v>3</v>
      </c>
      <c r="O53" s="46" t="s">
        <v>152</v>
      </c>
      <c r="P53" s="46"/>
    </row>
    <row r="54" spans="1:16">
      <c r="A54" s="37" t="s">
        <v>467</v>
      </c>
      <c r="B54" s="37" t="s">
        <v>468</v>
      </c>
      <c r="C54" s="37" t="s">
        <v>469</v>
      </c>
      <c r="D54" s="37" t="s">
        <v>194</v>
      </c>
      <c r="E54" s="37" t="s">
        <v>224</v>
      </c>
      <c r="F54" s="37"/>
      <c r="G54" s="37" t="s">
        <v>470</v>
      </c>
      <c r="H54" s="37" t="s">
        <v>91</v>
      </c>
      <c r="I54" s="37" t="s">
        <v>471</v>
      </c>
      <c r="J54" s="37" t="s">
        <v>472</v>
      </c>
      <c r="K54" s="37">
        <v>2</v>
      </c>
      <c r="L54" s="37" t="s">
        <v>463</v>
      </c>
      <c r="M54" s="37" t="s">
        <v>143</v>
      </c>
      <c r="N54" s="37">
        <v>2</v>
      </c>
      <c r="O54" s="37" t="s">
        <v>286</v>
      </c>
      <c r="P54" s="37"/>
    </row>
    <row r="55" spans="1:16">
      <c r="A55" s="46" t="s">
        <v>473</v>
      </c>
      <c r="B55" s="46" t="s">
        <v>474</v>
      </c>
      <c r="C55" s="46" t="s">
        <v>32</v>
      </c>
      <c r="D55" s="46" t="s">
        <v>37</v>
      </c>
      <c r="E55" s="46" t="s">
        <v>325</v>
      </c>
      <c r="F55" s="46" t="s">
        <v>237</v>
      </c>
      <c r="G55" s="46" t="s">
        <v>159</v>
      </c>
      <c r="H55" s="46" t="s">
        <v>93</v>
      </c>
      <c r="I55" s="46" t="s">
        <v>475</v>
      </c>
      <c r="J55" s="46" t="s">
        <v>476</v>
      </c>
      <c r="K55" s="46">
        <v>4</v>
      </c>
      <c r="L55" s="46" t="s">
        <v>288</v>
      </c>
      <c r="M55" s="46" t="s">
        <v>105</v>
      </c>
      <c r="N55" s="46">
        <v>4</v>
      </c>
      <c r="O55" s="46" t="s">
        <v>191</v>
      </c>
      <c r="P55" s="46"/>
    </row>
    <row r="56" spans="1:16">
      <c r="A56" s="37" t="s">
        <v>477</v>
      </c>
      <c r="B56" s="37" t="s">
        <v>478</v>
      </c>
      <c r="C56" s="37" t="s">
        <v>407</v>
      </c>
      <c r="D56" s="37" t="s">
        <v>184</v>
      </c>
      <c r="E56" s="37" t="s">
        <v>110</v>
      </c>
      <c r="F56" s="37" t="s">
        <v>177</v>
      </c>
      <c r="G56" s="37" t="s">
        <v>257</v>
      </c>
      <c r="H56" s="37" t="s">
        <v>206</v>
      </c>
      <c r="I56" s="37" t="s">
        <v>479</v>
      </c>
      <c r="J56" s="37" t="s">
        <v>480</v>
      </c>
      <c r="K56" s="37">
        <v>6</v>
      </c>
      <c r="L56" s="37" t="s">
        <v>481</v>
      </c>
      <c r="M56" s="37" t="s">
        <v>72</v>
      </c>
      <c r="N56" s="37">
        <v>2</v>
      </c>
      <c r="O56" s="37" t="s">
        <v>118</v>
      </c>
      <c r="P56" s="37"/>
    </row>
    <row r="57" spans="1:16">
      <c r="A57" s="46" t="s">
        <v>482</v>
      </c>
      <c r="B57" s="46" t="s">
        <v>483</v>
      </c>
      <c r="C57" s="46" t="s">
        <v>109</v>
      </c>
      <c r="D57" s="46" t="s">
        <v>333</v>
      </c>
      <c r="E57" s="46" t="s">
        <v>440</v>
      </c>
      <c r="F57" s="46" t="s">
        <v>277</v>
      </c>
      <c r="G57" s="46" t="s">
        <v>257</v>
      </c>
      <c r="H57" s="46" t="s">
        <v>206</v>
      </c>
      <c r="I57" s="46" t="s">
        <v>484</v>
      </c>
      <c r="J57" s="46" t="s">
        <v>161</v>
      </c>
      <c r="K57" s="46">
        <v>6</v>
      </c>
      <c r="L57" s="46" t="s">
        <v>485</v>
      </c>
      <c r="M57" s="46" t="s">
        <v>143</v>
      </c>
      <c r="N57" s="46">
        <v>2</v>
      </c>
      <c r="O57" s="46" t="s">
        <v>131</v>
      </c>
      <c r="P57" s="46"/>
    </row>
    <row r="58" spans="1:16">
      <c r="A58" s="37" t="s">
        <v>486</v>
      </c>
      <c r="B58" s="37" t="s">
        <v>487</v>
      </c>
      <c r="C58" s="37" t="s">
        <v>135</v>
      </c>
      <c r="D58" s="37" t="s">
        <v>223</v>
      </c>
      <c r="E58" s="37" t="s">
        <v>137</v>
      </c>
      <c r="F58" s="37" t="s">
        <v>231</v>
      </c>
      <c r="G58" s="37" t="s">
        <v>401</v>
      </c>
      <c r="H58" s="37" t="s">
        <v>93</v>
      </c>
      <c r="I58" s="37" t="s">
        <v>488</v>
      </c>
      <c r="J58" s="37" t="s">
        <v>489</v>
      </c>
      <c r="K58" s="37">
        <v>8</v>
      </c>
      <c r="L58" s="37" t="s">
        <v>490</v>
      </c>
      <c r="M58" s="37" t="s">
        <v>105</v>
      </c>
      <c r="N58" s="37">
        <v>4</v>
      </c>
      <c r="O58" s="37" t="s">
        <v>286</v>
      </c>
      <c r="P58" s="37"/>
    </row>
    <row r="59" spans="1:16">
      <c r="A59" s="46" t="s">
        <v>491</v>
      </c>
      <c r="B59" s="46" t="s">
        <v>492</v>
      </c>
      <c r="C59" s="46" t="s">
        <v>212</v>
      </c>
      <c r="D59" s="46" t="s">
        <v>367</v>
      </c>
      <c r="E59" s="46" t="s">
        <v>185</v>
      </c>
      <c r="F59" s="46" t="s">
        <v>177</v>
      </c>
      <c r="G59" s="46" t="s">
        <v>51</v>
      </c>
      <c r="H59" s="46" t="s">
        <v>93</v>
      </c>
      <c r="I59" s="46" t="s">
        <v>493</v>
      </c>
      <c r="J59" s="46" t="s">
        <v>494</v>
      </c>
      <c r="K59" s="46">
        <v>6</v>
      </c>
      <c r="L59" s="46" t="s">
        <v>495</v>
      </c>
      <c r="M59" s="46" t="s">
        <v>200</v>
      </c>
      <c r="N59" s="46">
        <v>3</v>
      </c>
      <c r="O59" s="46" t="s">
        <v>106</v>
      </c>
      <c r="P59" s="46"/>
    </row>
    <row r="60" spans="1:16">
      <c r="A60" s="37" t="s">
        <v>496</v>
      </c>
      <c r="B60" s="37" t="s">
        <v>497</v>
      </c>
      <c r="C60" s="37" t="s">
        <v>135</v>
      </c>
      <c r="D60" s="37" t="s">
        <v>367</v>
      </c>
      <c r="E60" s="37" t="s">
        <v>440</v>
      </c>
      <c r="F60" s="37" t="s">
        <v>498</v>
      </c>
      <c r="G60" s="37" t="s">
        <v>401</v>
      </c>
      <c r="H60" s="37" t="s">
        <v>90</v>
      </c>
      <c r="I60" s="37" t="s">
        <v>499</v>
      </c>
      <c r="J60" s="37" t="s">
        <v>500</v>
      </c>
      <c r="K60" s="37">
        <v>8</v>
      </c>
      <c r="L60" s="37" t="s">
        <v>501</v>
      </c>
      <c r="M60" s="37" t="s">
        <v>72</v>
      </c>
      <c r="N60" s="37">
        <v>5</v>
      </c>
      <c r="O60" s="37" t="s">
        <v>181</v>
      </c>
      <c r="P60" s="37"/>
    </row>
    <row r="61" spans="1:16">
      <c r="A61" s="46" t="s">
        <v>502</v>
      </c>
      <c r="B61" s="46" t="s">
        <v>503</v>
      </c>
      <c r="C61" s="46" t="s">
        <v>135</v>
      </c>
      <c r="D61" s="46" t="s">
        <v>146</v>
      </c>
      <c r="E61" s="46" t="s">
        <v>345</v>
      </c>
      <c r="F61" s="46" t="s">
        <v>368</v>
      </c>
      <c r="G61" s="46" t="s">
        <v>159</v>
      </c>
      <c r="H61" s="46" t="s">
        <v>327</v>
      </c>
      <c r="I61" s="46" t="s">
        <v>504</v>
      </c>
      <c r="J61" s="46" t="s">
        <v>505</v>
      </c>
      <c r="K61" s="46">
        <v>6</v>
      </c>
      <c r="L61" s="46" t="s">
        <v>506</v>
      </c>
      <c r="M61" s="46" t="s">
        <v>117</v>
      </c>
      <c r="N61" s="46">
        <v>3</v>
      </c>
      <c r="O61" s="46" t="s">
        <v>191</v>
      </c>
      <c r="P61" s="46"/>
    </row>
    <row r="62" spans="1:16">
      <c r="A62" s="37" t="s">
        <v>507</v>
      </c>
      <c r="B62" s="37" t="s">
        <v>508</v>
      </c>
      <c r="C62" s="37" t="s">
        <v>424</v>
      </c>
      <c r="D62" s="37" t="s">
        <v>37</v>
      </c>
      <c r="E62" s="37" t="s">
        <v>157</v>
      </c>
      <c r="F62" s="37" t="s">
        <v>283</v>
      </c>
      <c r="G62" s="37" t="s">
        <v>302</v>
      </c>
      <c r="H62" s="37" t="s">
        <v>396</v>
      </c>
      <c r="I62" s="37" t="s">
        <v>509</v>
      </c>
      <c r="J62" s="37" t="s">
        <v>510</v>
      </c>
      <c r="K62" s="37">
        <v>6</v>
      </c>
      <c r="L62" s="37" t="s">
        <v>511</v>
      </c>
      <c r="M62" s="37" t="s">
        <v>143</v>
      </c>
      <c r="N62" s="37">
        <v>3</v>
      </c>
      <c r="O62" s="37" t="s">
        <v>79</v>
      </c>
      <c r="P62" s="37"/>
    </row>
    <row r="63" spans="1:16">
      <c r="A63" s="46" t="s">
        <v>512</v>
      </c>
      <c r="B63" s="46" t="s">
        <v>513</v>
      </c>
      <c r="C63" s="46" t="s">
        <v>109</v>
      </c>
      <c r="D63" s="46" t="s">
        <v>367</v>
      </c>
      <c r="E63" s="46" t="s">
        <v>157</v>
      </c>
      <c r="F63" s="46" t="s">
        <v>368</v>
      </c>
      <c r="G63" s="46" t="s">
        <v>159</v>
      </c>
      <c r="H63" s="46" t="s">
        <v>90</v>
      </c>
      <c r="I63" s="46" t="s">
        <v>514</v>
      </c>
      <c r="J63" s="46" t="s">
        <v>515</v>
      </c>
      <c r="K63" s="46">
        <v>6</v>
      </c>
      <c r="L63" s="46" t="s">
        <v>516</v>
      </c>
      <c r="M63" s="46" t="s">
        <v>143</v>
      </c>
      <c r="N63" s="46">
        <v>2</v>
      </c>
      <c r="O63" s="46" t="s">
        <v>191</v>
      </c>
      <c r="P63" s="46"/>
    </row>
    <row r="64" spans="1:16">
      <c r="A64" s="37" t="s">
        <v>517</v>
      </c>
      <c r="B64" s="37" t="s">
        <v>518</v>
      </c>
      <c r="C64" s="37" t="s">
        <v>166</v>
      </c>
      <c r="D64" s="37" t="s">
        <v>223</v>
      </c>
      <c r="E64" s="37" t="s">
        <v>137</v>
      </c>
      <c r="F64" s="37" t="s">
        <v>277</v>
      </c>
      <c r="G64" s="37" t="s">
        <v>168</v>
      </c>
      <c r="H64" s="37" t="s">
        <v>187</v>
      </c>
      <c r="I64" s="37" t="s">
        <v>519</v>
      </c>
      <c r="J64" s="37" t="s">
        <v>520</v>
      </c>
      <c r="K64" s="37">
        <v>8</v>
      </c>
      <c r="L64" s="37" t="s">
        <v>521</v>
      </c>
      <c r="M64" s="37" t="s">
        <v>105</v>
      </c>
      <c r="N64" s="37">
        <v>4</v>
      </c>
      <c r="O64" s="37" t="s">
        <v>118</v>
      </c>
      <c r="P64" s="37"/>
    </row>
    <row r="65" spans="1:16">
      <c r="A65" s="46" t="s">
        <v>522</v>
      </c>
      <c r="B65" s="46" t="s">
        <v>523</v>
      </c>
      <c r="C65" s="46" t="s">
        <v>424</v>
      </c>
      <c r="D65" s="46" t="s">
        <v>367</v>
      </c>
      <c r="E65" s="46" t="s">
        <v>224</v>
      </c>
      <c r="F65" s="46" t="s">
        <v>301</v>
      </c>
      <c r="G65" s="46" t="s">
        <v>264</v>
      </c>
      <c r="H65" s="46" t="s">
        <v>187</v>
      </c>
      <c r="I65" s="46" t="s">
        <v>524</v>
      </c>
      <c r="J65" s="46" t="s">
        <v>525</v>
      </c>
      <c r="K65" s="46">
        <v>4</v>
      </c>
      <c r="L65" s="46" t="s">
        <v>526</v>
      </c>
      <c r="M65" s="46" t="s">
        <v>143</v>
      </c>
      <c r="N65" s="46">
        <v>5</v>
      </c>
      <c r="O65" s="46" t="s">
        <v>191</v>
      </c>
      <c r="P65" s="46"/>
    </row>
    <row r="66" spans="1:16">
      <c r="A66" s="37" t="s">
        <v>527</v>
      </c>
      <c r="B66" s="37" t="s">
        <v>528</v>
      </c>
      <c r="C66" s="37" t="s">
        <v>203</v>
      </c>
      <c r="D66" s="37" t="s">
        <v>37</v>
      </c>
      <c r="E66" s="37" t="s">
        <v>99</v>
      </c>
      <c r="F66" s="37" t="s">
        <v>138</v>
      </c>
      <c r="G66" s="37" t="s">
        <v>89</v>
      </c>
      <c r="H66" s="37" t="s">
        <v>187</v>
      </c>
      <c r="I66" s="37" t="s">
        <v>529</v>
      </c>
      <c r="J66" s="37" t="s">
        <v>530</v>
      </c>
      <c r="K66" s="37">
        <v>2</v>
      </c>
      <c r="L66" s="37" t="s">
        <v>531</v>
      </c>
      <c r="M66" s="37" t="s">
        <v>163</v>
      </c>
      <c r="N66" s="37">
        <v>4</v>
      </c>
      <c r="O66" s="37" t="s">
        <v>131</v>
      </c>
      <c r="P66" s="37"/>
    </row>
    <row r="67" spans="1:16">
      <c r="A67" s="46" t="s">
        <v>532</v>
      </c>
      <c r="B67" s="46" t="s">
        <v>267</v>
      </c>
      <c r="C67" s="46" t="s">
        <v>222</v>
      </c>
      <c r="D67" s="46" t="s">
        <v>204</v>
      </c>
      <c r="E67" s="46" t="s">
        <v>224</v>
      </c>
      <c r="F67" s="46" t="s">
        <v>533</v>
      </c>
      <c r="G67" s="46" t="s">
        <v>334</v>
      </c>
      <c r="H67" s="46" t="s">
        <v>113</v>
      </c>
      <c r="I67" s="46" t="s">
        <v>534</v>
      </c>
      <c r="J67" s="46" t="s">
        <v>535</v>
      </c>
      <c r="K67" s="46">
        <v>4</v>
      </c>
      <c r="L67" s="46" t="s">
        <v>536</v>
      </c>
      <c r="M67" s="46" t="s">
        <v>105</v>
      </c>
      <c r="N67" s="46">
        <v>4</v>
      </c>
      <c r="O67" s="46" t="s">
        <v>118</v>
      </c>
      <c r="P67" s="46"/>
    </row>
    <row r="68" spans="1:16">
      <c r="A68" s="37" t="s">
        <v>537</v>
      </c>
      <c r="B68" s="37" t="s">
        <v>538</v>
      </c>
      <c r="C68" s="37" t="s">
        <v>97</v>
      </c>
      <c r="D68" s="37" t="s">
        <v>352</v>
      </c>
      <c r="E68" s="37" t="s">
        <v>176</v>
      </c>
      <c r="F68" s="37" t="s">
        <v>177</v>
      </c>
      <c r="G68" s="37" t="s">
        <v>401</v>
      </c>
      <c r="H68" s="37" t="s">
        <v>54</v>
      </c>
      <c r="I68" s="37" t="s">
        <v>539</v>
      </c>
      <c r="J68" s="37" t="s">
        <v>540</v>
      </c>
      <c r="K68" s="37">
        <v>6</v>
      </c>
      <c r="L68" s="37" t="s">
        <v>541</v>
      </c>
      <c r="M68" s="37" t="s">
        <v>163</v>
      </c>
      <c r="N68" s="37">
        <v>4</v>
      </c>
      <c r="O68" s="37" t="s">
        <v>152</v>
      </c>
      <c r="P68" s="37"/>
    </row>
    <row r="69" spans="1:16">
      <c r="A69" s="46" t="s">
        <v>542</v>
      </c>
      <c r="B69" s="46" t="s">
        <v>543</v>
      </c>
      <c r="C69" s="46" t="s">
        <v>451</v>
      </c>
      <c r="D69" s="46" t="s">
        <v>544</v>
      </c>
      <c r="E69" s="46" t="s">
        <v>123</v>
      </c>
      <c r="F69" s="46" t="s">
        <v>319</v>
      </c>
      <c r="G69" s="46" t="s">
        <v>101</v>
      </c>
      <c r="H69" s="46" t="s">
        <v>187</v>
      </c>
      <c r="I69" s="46" t="s">
        <v>545</v>
      </c>
      <c r="J69" s="46" t="s">
        <v>546</v>
      </c>
      <c r="K69" s="46">
        <v>4</v>
      </c>
      <c r="L69" s="46" t="s">
        <v>547</v>
      </c>
      <c r="M69" s="46" t="s">
        <v>172</v>
      </c>
      <c r="N69" s="46">
        <v>2</v>
      </c>
      <c r="O69" s="46" t="s">
        <v>118</v>
      </c>
      <c r="P69" s="46"/>
    </row>
    <row r="70" spans="1:16">
      <c r="A70" s="37" t="s">
        <v>548</v>
      </c>
      <c r="B70" s="37" t="s">
        <v>549</v>
      </c>
      <c r="C70" s="37" t="s">
        <v>340</v>
      </c>
      <c r="D70" s="37" t="s">
        <v>312</v>
      </c>
      <c r="E70" s="37" t="s">
        <v>185</v>
      </c>
      <c r="F70" s="37" t="s">
        <v>425</v>
      </c>
      <c r="G70" s="37" t="s">
        <v>139</v>
      </c>
      <c r="H70" s="37" t="s">
        <v>354</v>
      </c>
      <c r="I70" s="37" t="s">
        <v>550</v>
      </c>
      <c r="J70" s="37" t="s">
        <v>551</v>
      </c>
      <c r="K70" s="37">
        <v>4</v>
      </c>
      <c r="L70" s="37" t="s">
        <v>552</v>
      </c>
      <c r="M70" s="37" t="s">
        <v>105</v>
      </c>
      <c r="N70" s="37">
        <v>5</v>
      </c>
      <c r="O70" s="37" t="s">
        <v>181</v>
      </c>
      <c r="P70" s="37"/>
    </row>
    <row r="71" spans="1:16">
      <c r="A71" s="46" t="s">
        <v>553</v>
      </c>
      <c r="B71" s="46" t="s">
        <v>269</v>
      </c>
      <c r="C71" s="46" t="s">
        <v>424</v>
      </c>
      <c r="D71" s="46" t="s">
        <v>223</v>
      </c>
      <c r="E71" s="46" t="s">
        <v>244</v>
      </c>
      <c r="F71" s="46" t="s">
        <v>231</v>
      </c>
      <c r="G71" s="46" t="s">
        <v>92</v>
      </c>
      <c r="H71" s="46" t="s">
        <v>126</v>
      </c>
      <c r="I71" s="46" t="s">
        <v>554</v>
      </c>
      <c r="J71" s="46" t="s">
        <v>555</v>
      </c>
      <c r="K71" s="46">
        <v>4</v>
      </c>
      <c r="L71" s="46" t="s">
        <v>556</v>
      </c>
      <c r="M71" s="46" t="s">
        <v>72</v>
      </c>
      <c r="N71" s="46">
        <v>3</v>
      </c>
      <c r="O71" s="46" t="s">
        <v>118</v>
      </c>
      <c r="P71" s="46"/>
    </row>
    <row r="72" spans="1:16">
      <c r="A72" s="37" t="s">
        <v>557</v>
      </c>
      <c r="B72" s="37" t="s">
        <v>324</v>
      </c>
      <c r="C72" s="37" t="s">
        <v>88</v>
      </c>
      <c r="D72" s="37" t="s">
        <v>175</v>
      </c>
      <c r="E72" s="37" t="s">
        <v>137</v>
      </c>
      <c r="F72" s="37" t="s">
        <v>167</v>
      </c>
      <c r="G72" s="37" t="s">
        <v>302</v>
      </c>
      <c r="H72" s="37" t="s">
        <v>91</v>
      </c>
      <c r="I72" s="37" t="s">
        <v>558</v>
      </c>
      <c r="J72" s="37" t="s">
        <v>559</v>
      </c>
      <c r="K72" s="37">
        <v>8</v>
      </c>
      <c r="L72" s="37" t="s">
        <v>560</v>
      </c>
      <c r="M72" s="37" t="s">
        <v>117</v>
      </c>
      <c r="N72" s="37">
        <v>1</v>
      </c>
      <c r="O72" s="37" t="s">
        <v>106</v>
      </c>
      <c r="P72" s="37"/>
    </row>
    <row r="73" spans="1:16">
      <c r="A73" s="46" t="s">
        <v>561</v>
      </c>
      <c r="B73" s="46" t="s">
        <v>330</v>
      </c>
      <c r="C73" s="46" t="s">
        <v>32</v>
      </c>
      <c r="D73" s="46"/>
      <c r="E73" s="46" t="s">
        <v>345</v>
      </c>
      <c r="F73" s="46" t="s">
        <v>47</v>
      </c>
      <c r="G73" s="46" t="s">
        <v>139</v>
      </c>
      <c r="H73" s="46" t="s">
        <v>113</v>
      </c>
      <c r="I73" s="46" t="s">
        <v>562</v>
      </c>
      <c r="J73" s="46" t="s">
        <v>563</v>
      </c>
      <c r="K73" s="46">
        <v>4</v>
      </c>
      <c r="L73" s="46" t="s">
        <v>564</v>
      </c>
      <c r="M73" s="46" t="s">
        <v>105</v>
      </c>
      <c r="N73" s="46">
        <v>4</v>
      </c>
      <c r="O73" s="46" t="s">
        <v>181</v>
      </c>
      <c r="P73" s="46"/>
    </row>
    <row r="74" spans="1:16">
      <c r="A74" s="37" t="s">
        <v>565</v>
      </c>
      <c r="B74" s="37" t="s">
        <v>318</v>
      </c>
      <c r="C74" s="37" t="s">
        <v>566</v>
      </c>
      <c r="D74" s="37" t="s">
        <v>175</v>
      </c>
      <c r="E74" s="37" t="s">
        <v>244</v>
      </c>
      <c r="F74" s="37" t="s">
        <v>138</v>
      </c>
      <c r="G74" s="37" t="s">
        <v>470</v>
      </c>
      <c r="H74" s="37" t="s">
        <v>91</v>
      </c>
      <c r="I74" s="37" t="s">
        <v>567</v>
      </c>
      <c r="J74" s="37" t="s">
        <v>568</v>
      </c>
      <c r="K74" s="37">
        <v>4</v>
      </c>
      <c r="L74" s="37" t="s">
        <v>569</v>
      </c>
      <c r="M74" s="37" t="s">
        <v>143</v>
      </c>
      <c r="N74" s="37">
        <v>4</v>
      </c>
      <c r="O74" s="37" t="s">
        <v>152</v>
      </c>
      <c r="P74" s="37"/>
    </row>
    <row r="75" spans="1:16">
      <c r="A75" s="46" t="s">
        <v>570</v>
      </c>
      <c r="B75" s="46" t="s">
        <v>571</v>
      </c>
      <c r="C75" s="46" t="s">
        <v>407</v>
      </c>
      <c r="D75" s="46" t="s">
        <v>312</v>
      </c>
      <c r="E75" s="46" t="s">
        <v>147</v>
      </c>
      <c r="F75" s="46" t="s">
        <v>458</v>
      </c>
      <c r="G75" s="46" t="s">
        <v>101</v>
      </c>
      <c r="H75" s="46" t="s">
        <v>206</v>
      </c>
      <c r="I75" s="46" t="s">
        <v>572</v>
      </c>
      <c r="J75" s="46" t="s">
        <v>573</v>
      </c>
      <c r="K75" s="46">
        <v>8</v>
      </c>
      <c r="L75" s="46" t="s">
        <v>574</v>
      </c>
      <c r="M75" s="46" t="s">
        <v>172</v>
      </c>
      <c r="N75" s="46">
        <v>4</v>
      </c>
      <c r="O75" s="46" t="s">
        <v>286</v>
      </c>
      <c r="P75" s="46"/>
    </row>
    <row r="76" spans="1:16">
      <c r="A76" s="37" t="s">
        <v>575</v>
      </c>
      <c r="B76" s="37" t="s">
        <v>576</v>
      </c>
      <c r="C76" s="37" t="s">
        <v>90</v>
      </c>
      <c r="D76" s="37" t="s">
        <v>98</v>
      </c>
      <c r="E76" s="37" t="s">
        <v>440</v>
      </c>
      <c r="F76" s="37" t="s">
        <v>498</v>
      </c>
      <c r="G76" s="37" t="s">
        <v>125</v>
      </c>
      <c r="H76" s="37" t="s">
        <v>396</v>
      </c>
      <c r="I76" s="37" t="s">
        <v>577</v>
      </c>
      <c r="J76" s="37" t="s">
        <v>578</v>
      </c>
      <c r="K76" s="37">
        <v>8</v>
      </c>
      <c r="L76" s="37" t="s">
        <v>579</v>
      </c>
      <c r="M76" s="37" t="s">
        <v>72</v>
      </c>
      <c r="N76" s="37">
        <v>4</v>
      </c>
      <c r="O76" s="37" t="s">
        <v>131</v>
      </c>
      <c r="P76" s="37"/>
    </row>
    <row r="77" spans="1:16">
      <c r="A77" s="46" t="s">
        <v>580</v>
      </c>
      <c r="B77" s="46" t="s">
        <v>581</v>
      </c>
      <c r="C77" s="46" t="s">
        <v>251</v>
      </c>
      <c r="D77" s="46" t="s">
        <v>270</v>
      </c>
      <c r="E77" s="46" t="s">
        <v>110</v>
      </c>
      <c r="F77" s="46" t="s">
        <v>582</v>
      </c>
      <c r="G77" s="46" t="s">
        <v>139</v>
      </c>
      <c r="H77" s="46" t="s">
        <v>354</v>
      </c>
      <c r="I77" s="46" t="s">
        <v>583</v>
      </c>
      <c r="J77" s="46" t="s">
        <v>584</v>
      </c>
      <c r="K77" s="46">
        <v>4</v>
      </c>
      <c r="L77" s="46" t="s">
        <v>585</v>
      </c>
      <c r="M77" s="46" t="s">
        <v>219</v>
      </c>
      <c r="N77" s="46">
        <v>3</v>
      </c>
      <c r="O77" s="46" t="s">
        <v>191</v>
      </c>
      <c r="P77" s="46"/>
    </row>
    <row r="78" spans="1:16">
      <c r="A78" s="37" t="s">
        <v>586</v>
      </c>
      <c r="B78" s="37" t="s">
        <v>587</v>
      </c>
      <c r="C78" s="37" t="s">
        <v>174</v>
      </c>
      <c r="D78" s="37" t="s">
        <v>136</v>
      </c>
      <c r="E78" s="37" t="s">
        <v>244</v>
      </c>
      <c r="F78" s="37" t="s">
        <v>177</v>
      </c>
      <c r="G78" s="37" t="s">
        <v>470</v>
      </c>
      <c r="H78" s="37" t="s">
        <v>126</v>
      </c>
      <c r="I78" s="37" t="s">
        <v>436</v>
      </c>
      <c r="J78" s="37" t="s">
        <v>588</v>
      </c>
      <c r="K78" s="37">
        <v>4</v>
      </c>
      <c r="L78" s="37" t="s">
        <v>589</v>
      </c>
      <c r="M78" s="37" t="s">
        <v>117</v>
      </c>
      <c r="N78" s="37">
        <v>4</v>
      </c>
      <c r="O78" s="37" t="s">
        <v>131</v>
      </c>
      <c r="P78" s="37"/>
    </row>
    <row r="79" spans="1:16">
      <c r="A79" s="46" t="s">
        <v>590</v>
      </c>
      <c r="B79" s="46" t="s">
        <v>591</v>
      </c>
      <c r="C79" s="46" t="s">
        <v>54</v>
      </c>
      <c r="D79" s="46" t="s">
        <v>122</v>
      </c>
      <c r="E79" s="46" t="s">
        <v>147</v>
      </c>
      <c r="F79" s="46" t="s">
        <v>592</v>
      </c>
      <c r="G79" s="46" t="s">
        <v>51</v>
      </c>
      <c r="H79" s="46" t="s">
        <v>93</v>
      </c>
      <c r="I79" s="46" t="s">
        <v>593</v>
      </c>
      <c r="J79" s="46" t="s">
        <v>594</v>
      </c>
      <c r="K79" s="46">
        <v>6</v>
      </c>
      <c r="L79" s="46" t="s">
        <v>595</v>
      </c>
      <c r="M79" s="46" t="s">
        <v>117</v>
      </c>
      <c r="N79" s="46">
        <v>3</v>
      </c>
      <c r="O79" s="46" t="s">
        <v>131</v>
      </c>
      <c r="P79" s="46"/>
    </row>
    <row r="80" spans="1:16">
      <c r="A80" s="37" t="s">
        <v>596</v>
      </c>
      <c r="B80" s="37" t="s">
        <v>597</v>
      </c>
      <c r="C80" s="37" t="s">
        <v>300</v>
      </c>
      <c r="D80" s="37" t="s">
        <v>136</v>
      </c>
      <c r="E80" s="37" t="s">
        <v>345</v>
      </c>
      <c r="F80" s="37" t="s">
        <v>319</v>
      </c>
      <c r="G80" s="37" t="s">
        <v>92</v>
      </c>
      <c r="H80" s="37" t="s">
        <v>294</v>
      </c>
      <c r="I80" s="37" t="s">
        <v>598</v>
      </c>
      <c r="J80" s="37" t="s">
        <v>599</v>
      </c>
      <c r="K80" s="37">
        <v>6</v>
      </c>
      <c r="L80" s="37" t="s">
        <v>600</v>
      </c>
      <c r="M80" s="37" t="s">
        <v>172</v>
      </c>
      <c r="N80" s="37">
        <v>5</v>
      </c>
      <c r="O80" s="37" t="s">
        <v>191</v>
      </c>
      <c r="P80" s="37"/>
    </row>
    <row r="81" spans="1:16">
      <c r="A81" s="46" t="s">
        <v>601</v>
      </c>
      <c r="B81" s="46" t="s">
        <v>602</v>
      </c>
      <c r="C81" s="46" t="s">
        <v>90</v>
      </c>
      <c r="D81" s="46" t="s">
        <v>544</v>
      </c>
      <c r="E81" s="46" t="s">
        <v>224</v>
      </c>
      <c r="F81" s="46" t="s">
        <v>148</v>
      </c>
      <c r="G81" s="46" t="s">
        <v>87</v>
      </c>
      <c r="H81" s="46" t="s">
        <v>32</v>
      </c>
      <c r="I81" s="46" t="s">
        <v>402</v>
      </c>
      <c r="J81" s="46" t="s">
        <v>603</v>
      </c>
      <c r="K81" s="46">
        <v>4</v>
      </c>
      <c r="L81" s="46" t="s">
        <v>604</v>
      </c>
      <c r="M81" s="46" t="s">
        <v>117</v>
      </c>
      <c r="N81" s="46">
        <v>4</v>
      </c>
      <c r="O81" s="46" t="s">
        <v>106</v>
      </c>
      <c r="P81" s="46"/>
    </row>
    <row r="82" spans="1:16">
      <c r="A82" s="37" t="s">
        <v>605</v>
      </c>
      <c r="B82" s="37" t="s">
        <v>606</v>
      </c>
      <c r="C82" s="37" t="s">
        <v>166</v>
      </c>
      <c r="D82" s="37" t="s">
        <v>352</v>
      </c>
      <c r="E82" s="37" t="s">
        <v>440</v>
      </c>
      <c r="F82" s="37" t="s">
        <v>177</v>
      </c>
      <c r="G82" s="37" t="s">
        <v>89</v>
      </c>
      <c r="H82" s="37" t="s">
        <v>278</v>
      </c>
      <c r="I82" s="37" t="s">
        <v>607</v>
      </c>
      <c r="J82" s="37" t="s">
        <v>608</v>
      </c>
      <c r="K82" s="37">
        <v>8</v>
      </c>
      <c r="L82" s="37" t="s">
        <v>609</v>
      </c>
      <c r="M82" s="37" t="s">
        <v>200</v>
      </c>
      <c r="N82" s="37">
        <v>1</v>
      </c>
      <c r="O82" s="37" t="s">
        <v>286</v>
      </c>
      <c r="P82" s="37"/>
    </row>
    <row r="83" spans="1:16">
      <c r="A83" s="46" t="s">
        <v>610</v>
      </c>
      <c r="B83" s="46" t="s">
        <v>611</v>
      </c>
      <c r="C83" s="46" t="s">
        <v>32</v>
      </c>
      <c r="D83" s="46" t="s">
        <v>213</v>
      </c>
      <c r="E83" s="46" t="s">
        <v>244</v>
      </c>
      <c r="F83" s="46" t="s">
        <v>612</v>
      </c>
      <c r="G83" s="46" t="s">
        <v>334</v>
      </c>
      <c r="H83" s="46" t="s">
        <v>354</v>
      </c>
      <c r="I83" s="46" t="s">
        <v>613</v>
      </c>
      <c r="J83" s="46" t="s">
        <v>614</v>
      </c>
      <c r="K83" s="46">
        <v>2</v>
      </c>
      <c r="L83" s="46" t="s">
        <v>615</v>
      </c>
      <c r="M83" s="46" t="s">
        <v>105</v>
      </c>
      <c r="N83" s="46">
        <v>4</v>
      </c>
      <c r="O83" s="46" t="s">
        <v>79</v>
      </c>
      <c r="P83" s="46"/>
    </row>
    <row r="84" spans="1:16">
      <c r="A84" s="37" t="s">
        <v>616</v>
      </c>
      <c r="B84" s="37" t="s">
        <v>617</v>
      </c>
      <c r="C84" s="37" t="s">
        <v>135</v>
      </c>
      <c r="D84" s="37" t="s">
        <v>230</v>
      </c>
      <c r="E84" s="37" t="s">
        <v>224</v>
      </c>
      <c r="F84" s="37" t="s">
        <v>368</v>
      </c>
      <c r="G84" s="37" t="s">
        <v>101</v>
      </c>
      <c r="H84" s="37" t="s">
        <v>88</v>
      </c>
      <c r="I84" s="37" t="s">
        <v>618</v>
      </c>
      <c r="J84" s="37" t="s">
        <v>619</v>
      </c>
      <c r="K84" s="37">
        <v>2</v>
      </c>
      <c r="L84" s="37" t="s">
        <v>395</v>
      </c>
      <c r="M84" s="37" t="s">
        <v>219</v>
      </c>
      <c r="N84" s="37">
        <v>3</v>
      </c>
      <c r="O84" s="37" t="s">
        <v>286</v>
      </c>
      <c r="P84" s="37"/>
    </row>
    <row r="85" spans="1:16">
      <c r="A85" s="46" t="s">
        <v>620</v>
      </c>
      <c r="B85" s="46" t="s">
        <v>351</v>
      </c>
      <c r="C85" s="46" t="s">
        <v>407</v>
      </c>
      <c r="D85" s="46" t="s">
        <v>184</v>
      </c>
      <c r="E85" s="46" t="s">
        <v>440</v>
      </c>
      <c r="F85" s="46" t="s">
        <v>237</v>
      </c>
      <c r="G85" s="46" t="s">
        <v>139</v>
      </c>
      <c r="H85" s="46" t="s">
        <v>354</v>
      </c>
      <c r="I85" s="46" t="s">
        <v>621</v>
      </c>
      <c r="J85" s="46" t="s">
        <v>622</v>
      </c>
      <c r="K85" s="46">
        <v>8</v>
      </c>
      <c r="L85" s="46" t="s">
        <v>623</v>
      </c>
      <c r="M85" s="46" t="s">
        <v>624</v>
      </c>
      <c r="N85" s="46"/>
      <c r="O85" s="46" t="s">
        <v>191</v>
      </c>
      <c r="P85" s="46" t="s">
        <v>625</v>
      </c>
    </row>
    <row r="86" spans="1:16">
      <c r="A86" s="37" t="s">
        <v>626</v>
      </c>
      <c r="B86" s="37" t="s">
        <v>627</v>
      </c>
      <c r="C86" s="37" t="s">
        <v>300</v>
      </c>
      <c r="D86" s="37" t="s">
        <v>37</v>
      </c>
      <c r="E86" s="37" t="s">
        <v>110</v>
      </c>
      <c r="F86" s="37" t="s">
        <v>263</v>
      </c>
      <c r="G86" s="37" t="s">
        <v>302</v>
      </c>
      <c r="H86" s="37" t="s">
        <v>126</v>
      </c>
      <c r="I86" s="37" t="s">
        <v>628</v>
      </c>
      <c r="J86" s="37" t="s">
        <v>629</v>
      </c>
      <c r="K86" s="37">
        <v>6</v>
      </c>
      <c r="L86" s="37" t="s">
        <v>630</v>
      </c>
      <c r="M86" s="37" t="s">
        <v>143</v>
      </c>
      <c r="N86" s="37">
        <v>3</v>
      </c>
      <c r="O86" s="37" t="s">
        <v>106</v>
      </c>
      <c r="P86" s="37"/>
    </row>
    <row r="87" spans="1:16">
      <c r="A87" s="46" t="s">
        <v>631</v>
      </c>
      <c r="B87" s="46" t="s">
        <v>632</v>
      </c>
      <c r="C87" s="46" t="s">
        <v>633</v>
      </c>
      <c r="D87" s="46" t="s">
        <v>367</v>
      </c>
      <c r="E87" s="46" t="s">
        <v>244</v>
      </c>
      <c r="F87" s="46" t="s">
        <v>167</v>
      </c>
      <c r="G87" s="46" t="s">
        <v>112</v>
      </c>
      <c r="H87" s="46" t="s">
        <v>215</v>
      </c>
      <c r="I87" s="46" t="s">
        <v>634</v>
      </c>
      <c r="J87" s="46" t="s">
        <v>635</v>
      </c>
      <c r="K87" s="46">
        <v>4</v>
      </c>
      <c r="L87" s="46" t="s">
        <v>636</v>
      </c>
      <c r="M87" s="46" t="s">
        <v>143</v>
      </c>
      <c r="N87" s="46">
        <v>3</v>
      </c>
      <c r="O87" s="46" t="s">
        <v>106</v>
      </c>
      <c r="P87" s="46"/>
    </row>
    <row r="88" spans="1:16">
      <c r="A88" s="37" t="s">
        <v>637</v>
      </c>
      <c r="B88" s="37" t="s">
        <v>638</v>
      </c>
      <c r="C88" s="37" t="s">
        <v>93</v>
      </c>
      <c r="D88" s="37" t="s">
        <v>146</v>
      </c>
      <c r="E88" s="37" t="s">
        <v>147</v>
      </c>
      <c r="F88" s="37" t="s">
        <v>498</v>
      </c>
      <c r="G88" s="37" t="s">
        <v>418</v>
      </c>
      <c r="H88" s="37" t="s">
        <v>327</v>
      </c>
      <c r="I88" s="37" t="s">
        <v>639</v>
      </c>
      <c r="J88" s="37" t="s">
        <v>640</v>
      </c>
      <c r="K88" s="37">
        <v>8</v>
      </c>
      <c r="L88" s="37" t="s">
        <v>641</v>
      </c>
      <c r="M88" s="37" t="s">
        <v>72</v>
      </c>
      <c r="N88" s="37">
        <v>2</v>
      </c>
      <c r="O88" s="37" t="s">
        <v>286</v>
      </c>
      <c r="P88" s="37"/>
    </row>
    <row r="89" spans="1:16">
      <c r="A89" s="46" t="s">
        <v>642</v>
      </c>
      <c r="B89" s="46" t="s">
        <v>643</v>
      </c>
      <c r="C89" s="46" t="s">
        <v>32</v>
      </c>
      <c r="D89" s="46" t="s">
        <v>184</v>
      </c>
      <c r="E89" s="46" t="s">
        <v>110</v>
      </c>
      <c r="F89" s="46" t="s">
        <v>582</v>
      </c>
      <c r="G89" s="46" t="s">
        <v>89</v>
      </c>
      <c r="H89" s="46" t="s">
        <v>206</v>
      </c>
      <c r="I89" s="46" t="s">
        <v>644</v>
      </c>
      <c r="J89" s="46" t="s">
        <v>645</v>
      </c>
      <c r="K89" s="46">
        <v>6</v>
      </c>
      <c r="L89" s="46" t="s">
        <v>646</v>
      </c>
      <c r="M89" s="46" t="s">
        <v>163</v>
      </c>
      <c r="N89" s="46">
        <v>3</v>
      </c>
      <c r="O89" s="46" t="s">
        <v>118</v>
      </c>
      <c r="P89" s="46"/>
    </row>
    <row r="90" spans="1:16">
      <c r="A90" s="37" t="s">
        <v>647</v>
      </c>
      <c r="B90" s="37" t="s">
        <v>615</v>
      </c>
      <c r="C90" s="37" t="s">
        <v>222</v>
      </c>
      <c r="D90" s="37" t="s">
        <v>156</v>
      </c>
      <c r="E90" s="37" t="s">
        <v>110</v>
      </c>
      <c r="F90" s="37" t="s">
        <v>231</v>
      </c>
      <c r="G90" s="37" t="s">
        <v>101</v>
      </c>
      <c r="H90" s="37" t="s">
        <v>88</v>
      </c>
      <c r="I90" s="37" t="s">
        <v>648</v>
      </c>
      <c r="J90" s="37" t="s">
        <v>649</v>
      </c>
      <c r="K90" s="37">
        <v>4</v>
      </c>
      <c r="L90" s="37" t="s">
        <v>650</v>
      </c>
      <c r="M90" s="37" t="s">
        <v>172</v>
      </c>
      <c r="N90" s="37">
        <v>3</v>
      </c>
      <c r="O90" s="37" t="s">
        <v>118</v>
      </c>
      <c r="P90" s="37"/>
    </row>
    <row r="91" spans="1:16">
      <c r="A91" s="46" t="s">
        <v>651</v>
      </c>
      <c r="B91" s="46" t="s">
        <v>652</v>
      </c>
      <c r="C91" s="46" t="s">
        <v>166</v>
      </c>
      <c r="D91" s="46" t="s">
        <v>175</v>
      </c>
      <c r="E91" s="46" t="s">
        <v>195</v>
      </c>
      <c r="F91" s="46" t="s">
        <v>263</v>
      </c>
      <c r="G91" s="46" t="s">
        <v>470</v>
      </c>
      <c r="H91" s="46" t="s">
        <v>126</v>
      </c>
      <c r="I91" s="46" t="s">
        <v>114</v>
      </c>
      <c r="J91" s="46" t="s">
        <v>530</v>
      </c>
      <c r="K91" s="46">
        <v>6</v>
      </c>
      <c r="L91" s="46" t="s">
        <v>503</v>
      </c>
      <c r="M91" s="46" t="s">
        <v>219</v>
      </c>
      <c r="N91" s="46">
        <v>5</v>
      </c>
      <c r="O91" s="46" t="s">
        <v>152</v>
      </c>
      <c r="P91" s="46"/>
    </row>
    <row r="92" spans="1:16">
      <c r="A92" s="37" t="s">
        <v>653</v>
      </c>
      <c r="B92" s="37" t="s">
        <v>654</v>
      </c>
      <c r="C92" s="37" t="s">
        <v>469</v>
      </c>
      <c r="D92" s="37" t="s">
        <v>37</v>
      </c>
      <c r="E92" s="37" t="s">
        <v>185</v>
      </c>
      <c r="F92" s="37" t="s">
        <v>263</v>
      </c>
      <c r="G92" s="37" t="s">
        <v>302</v>
      </c>
      <c r="H92" s="37" t="s">
        <v>126</v>
      </c>
      <c r="I92" s="37" t="s">
        <v>258</v>
      </c>
      <c r="J92" s="37" t="s">
        <v>655</v>
      </c>
      <c r="K92" s="37">
        <v>4</v>
      </c>
      <c r="L92" s="37" t="s">
        <v>656</v>
      </c>
      <c r="M92" s="37" t="s">
        <v>163</v>
      </c>
      <c r="N92" s="37">
        <v>3</v>
      </c>
      <c r="O92" s="37" t="s">
        <v>106</v>
      </c>
      <c r="P92" s="37"/>
    </row>
    <row r="93" spans="1:16">
      <c r="A93" s="46" t="s">
        <v>657</v>
      </c>
      <c r="B93" s="46" t="s">
        <v>658</v>
      </c>
      <c r="C93" s="46" t="s">
        <v>307</v>
      </c>
      <c r="D93" s="46" t="s">
        <v>204</v>
      </c>
      <c r="E93" s="46" t="s">
        <v>137</v>
      </c>
      <c r="F93" s="46" t="s">
        <v>301</v>
      </c>
      <c r="G93" s="46" t="s">
        <v>139</v>
      </c>
      <c r="H93" s="46" t="s">
        <v>113</v>
      </c>
      <c r="I93" s="46" t="s">
        <v>659</v>
      </c>
      <c r="J93" s="46" t="s">
        <v>660</v>
      </c>
      <c r="K93" s="46">
        <v>8</v>
      </c>
      <c r="L93" s="46" t="s">
        <v>661</v>
      </c>
      <c r="M93" s="46" t="s">
        <v>117</v>
      </c>
      <c r="N93" s="46">
        <v>5</v>
      </c>
      <c r="O93" s="46" t="s">
        <v>106</v>
      </c>
      <c r="P93" s="46"/>
    </row>
    <row r="94" spans="1:16">
      <c r="A94" s="37" t="s">
        <v>662</v>
      </c>
      <c r="B94" s="37" t="s">
        <v>663</v>
      </c>
      <c r="C94" s="37" t="s">
        <v>366</v>
      </c>
      <c r="D94" s="37" t="s">
        <v>146</v>
      </c>
      <c r="E94" s="37" t="s">
        <v>110</v>
      </c>
      <c r="F94" s="37" t="s">
        <v>664</v>
      </c>
      <c r="G94" s="37" t="s">
        <v>302</v>
      </c>
      <c r="H94" s="37" t="s">
        <v>91</v>
      </c>
      <c r="I94" s="37" t="s">
        <v>665</v>
      </c>
      <c r="J94" s="37" t="s">
        <v>666</v>
      </c>
      <c r="K94" s="37">
        <v>4</v>
      </c>
      <c r="L94" s="37" t="s">
        <v>667</v>
      </c>
      <c r="M94" s="37" t="s">
        <v>219</v>
      </c>
      <c r="N94" s="37">
        <v>5</v>
      </c>
      <c r="O94" s="37" t="s">
        <v>79</v>
      </c>
      <c r="P94" s="37"/>
    </row>
    <row r="95" spans="1:16">
      <c r="A95" s="46" t="s">
        <v>668</v>
      </c>
      <c r="B95" s="46" t="s">
        <v>617</v>
      </c>
      <c r="C95" s="46" t="s">
        <v>212</v>
      </c>
      <c r="D95" s="46" t="s">
        <v>213</v>
      </c>
      <c r="E95" s="46" t="s">
        <v>440</v>
      </c>
      <c r="F95" s="46" t="s">
        <v>167</v>
      </c>
      <c r="G95" s="46" t="s">
        <v>380</v>
      </c>
      <c r="H95" s="46" t="s">
        <v>126</v>
      </c>
      <c r="I95" s="46" t="s">
        <v>669</v>
      </c>
      <c r="J95" s="46" t="s">
        <v>670</v>
      </c>
      <c r="K95" s="46">
        <v>8</v>
      </c>
      <c r="L95" s="46" t="s">
        <v>549</v>
      </c>
      <c r="M95" s="46" t="s">
        <v>200</v>
      </c>
      <c r="N95" s="46">
        <v>1</v>
      </c>
      <c r="O95" s="46" t="s">
        <v>191</v>
      </c>
      <c r="P95" s="46"/>
    </row>
    <row r="96" spans="1:16">
      <c r="A96" s="37" t="s">
        <v>671</v>
      </c>
      <c r="B96" s="37" t="s">
        <v>672</v>
      </c>
      <c r="C96" s="37" t="s">
        <v>174</v>
      </c>
      <c r="D96" s="37" t="s">
        <v>136</v>
      </c>
      <c r="E96" s="37" t="s">
        <v>195</v>
      </c>
      <c r="F96" s="37" t="s">
        <v>186</v>
      </c>
      <c r="G96" s="37" t="s">
        <v>380</v>
      </c>
      <c r="H96" s="37" t="s">
        <v>91</v>
      </c>
      <c r="I96" s="37" t="s">
        <v>673</v>
      </c>
      <c r="J96" s="37" t="s">
        <v>674</v>
      </c>
      <c r="K96" s="37">
        <v>8</v>
      </c>
      <c r="L96" s="37" t="s">
        <v>293</v>
      </c>
      <c r="M96" s="37" t="s">
        <v>219</v>
      </c>
      <c r="N96" s="37">
        <v>5</v>
      </c>
      <c r="O96" s="37" t="s">
        <v>118</v>
      </c>
      <c r="P96" s="37"/>
    </row>
    <row r="97" spans="1:16">
      <c r="A97" s="46" t="s">
        <v>675</v>
      </c>
      <c r="B97" s="46" t="s">
        <v>676</v>
      </c>
      <c r="C97" s="46" t="s">
        <v>251</v>
      </c>
      <c r="D97" s="46" t="s">
        <v>213</v>
      </c>
      <c r="E97" s="46" t="s">
        <v>345</v>
      </c>
      <c r="F97" s="46" t="s">
        <v>301</v>
      </c>
      <c r="G97" s="46" t="s">
        <v>470</v>
      </c>
      <c r="H97" s="46" t="s">
        <v>294</v>
      </c>
      <c r="I97" s="46" t="s">
        <v>677</v>
      </c>
      <c r="J97" s="46" t="s">
        <v>678</v>
      </c>
      <c r="K97" s="46">
        <v>6</v>
      </c>
      <c r="L97" s="46" t="s">
        <v>679</v>
      </c>
      <c r="M97" s="46" t="s">
        <v>163</v>
      </c>
      <c r="N97" s="46">
        <v>3</v>
      </c>
      <c r="O97" s="46" t="s">
        <v>79</v>
      </c>
      <c r="P97" s="46"/>
    </row>
    <row r="98" spans="1:16">
      <c r="A98" s="37" t="s">
        <v>680</v>
      </c>
      <c r="B98" s="37" t="s">
        <v>681</v>
      </c>
      <c r="C98" s="37" t="s">
        <v>212</v>
      </c>
      <c r="D98" s="37" t="s">
        <v>312</v>
      </c>
      <c r="E98" s="37" t="s">
        <v>137</v>
      </c>
      <c r="F98" s="37" t="s">
        <v>138</v>
      </c>
      <c r="G98" s="37" t="s">
        <v>346</v>
      </c>
      <c r="H98" s="37" t="s">
        <v>32</v>
      </c>
      <c r="I98" s="37" t="s">
        <v>682</v>
      </c>
      <c r="J98" s="37" t="s">
        <v>683</v>
      </c>
      <c r="K98" s="37">
        <v>8</v>
      </c>
      <c r="L98" s="37" t="s">
        <v>485</v>
      </c>
      <c r="M98" s="37" t="s">
        <v>163</v>
      </c>
      <c r="N98" s="37">
        <v>5</v>
      </c>
      <c r="O98" s="37" t="s">
        <v>152</v>
      </c>
      <c r="P98" s="37"/>
    </row>
    <row r="99" spans="1:16">
      <c r="A99" s="46" t="s">
        <v>684</v>
      </c>
      <c r="B99" s="46" t="s">
        <v>685</v>
      </c>
      <c r="C99" s="46" t="s">
        <v>407</v>
      </c>
      <c r="D99" s="46" t="s">
        <v>194</v>
      </c>
      <c r="E99" s="46" t="s">
        <v>137</v>
      </c>
      <c r="F99" s="46" t="s">
        <v>47</v>
      </c>
      <c r="G99" s="46" t="s">
        <v>334</v>
      </c>
      <c r="H99" s="46" t="s">
        <v>215</v>
      </c>
      <c r="I99" s="46" t="s">
        <v>686</v>
      </c>
      <c r="J99" s="46" t="s">
        <v>687</v>
      </c>
      <c r="K99" s="46">
        <v>8</v>
      </c>
      <c r="L99" s="46" t="s">
        <v>688</v>
      </c>
      <c r="M99" s="46" t="s">
        <v>163</v>
      </c>
      <c r="N99" s="46">
        <v>4</v>
      </c>
      <c r="O99" s="46" t="s">
        <v>286</v>
      </c>
      <c r="P99" s="46"/>
    </row>
    <row r="100" spans="1:16">
      <c r="A100" s="37" t="s">
        <v>689</v>
      </c>
      <c r="B100" s="37" t="s">
        <v>690</v>
      </c>
      <c r="C100" s="37" t="s">
        <v>469</v>
      </c>
      <c r="D100" s="37" t="s">
        <v>544</v>
      </c>
      <c r="E100" s="37" t="s">
        <v>185</v>
      </c>
      <c r="F100" s="37" t="s">
        <v>167</v>
      </c>
      <c r="G100" s="37" t="s">
        <v>380</v>
      </c>
      <c r="H100" s="37" t="s">
        <v>91</v>
      </c>
      <c r="I100" s="37" t="s">
        <v>691</v>
      </c>
      <c r="J100" s="37" t="s">
        <v>692</v>
      </c>
      <c r="K100" s="37">
        <v>4</v>
      </c>
      <c r="L100" s="37" t="s">
        <v>120</v>
      </c>
      <c r="M100" s="37" t="s">
        <v>143</v>
      </c>
      <c r="N100" s="37">
        <v>2</v>
      </c>
      <c r="O100" s="37" t="s">
        <v>79</v>
      </c>
      <c r="P100" s="37"/>
    </row>
    <row r="101" spans="1:16">
      <c r="A101" s="46" t="s">
        <v>693</v>
      </c>
      <c r="B101" s="46" t="s">
        <v>694</v>
      </c>
      <c r="C101" s="46" t="s">
        <v>366</v>
      </c>
      <c r="D101" s="46" t="s">
        <v>367</v>
      </c>
      <c r="E101" s="46" t="s">
        <v>123</v>
      </c>
      <c r="F101" s="46" t="s">
        <v>283</v>
      </c>
      <c r="G101" s="46" t="s">
        <v>302</v>
      </c>
      <c r="H101" s="46" t="s">
        <v>126</v>
      </c>
      <c r="I101" s="46" t="s">
        <v>695</v>
      </c>
      <c r="J101" s="46" t="s">
        <v>696</v>
      </c>
      <c r="K101" s="46">
        <v>2</v>
      </c>
      <c r="L101" s="46" t="s">
        <v>697</v>
      </c>
      <c r="M101" s="46" t="s">
        <v>105</v>
      </c>
      <c r="N101" s="46">
        <v>5</v>
      </c>
      <c r="O101" s="46" t="s">
        <v>131</v>
      </c>
      <c r="P101" s="46"/>
    </row>
    <row r="102" spans="1:16">
      <c r="A102" s="37" t="s">
        <v>698</v>
      </c>
      <c r="B102" s="37" t="s">
        <v>699</v>
      </c>
      <c r="C102" s="37" t="s">
        <v>93</v>
      </c>
      <c r="D102" s="37" t="s">
        <v>146</v>
      </c>
      <c r="E102" s="37" t="s">
        <v>147</v>
      </c>
      <c r="F102" s="37" t="s">
        <v>430</v>
      </c>
      <c r="G102" s="37" t="s">
        <v>380</v>
      </c>
      <c r="H102" s="37" t="s">
        <v>91</v>
      </c>
      <c r="I102" s="37" t="s">
        <v>700</v>
      </c>
      <c r="J102" s="37" t="s">
        <v>701</v>
      </c>
      <c r="K102" s="37">
        <v>8</v>
      </c>
      <c r="L102" s="37" t="s">
        <v>702</v>
      </c>
      <c r="M102" s="37" t="s">
        <v>117</v>
      </c>
      <c r="N102" s="37">
        <v>5</v>
      </c>
      <c r="O102" s="37" t="s">
        <v>118</v>
      </c>
      <c r="P102" s="37"/>
    </row>
    <row r="103" spans="1:16">
      <c r="A103" s="46" t="s">
        <v>703</v>
      </c>
      <c r="B103" s="46" t="s">
        <v>704</v>
      </c>
      <c r="C103" s="46" t="s">
        <v>469</v>
      </c>
      <c r="D103" s="46" t="s">
        <v>213</v>
      </c>
      <c r="E103" s="46" t="s">
        <v>440</v>
      </c>
      <c r="F103" s="46" t="s">
        <v>124</v>
      </c>
      <c r="G103" s="46" t="s">
        <v>51</v>
      </c>
      <c r="H103" s="46" t="s">
        <v>93</v>
      </c>
      <c r="I103" s="46" t="s">
        <v>705</v>
      </c>
      <c r="J103" s="46" t="s">
        <v>706</v>
      </c>
      <c r="K103" s="46">
        <v>8</v>
      </c>
      <c r="L103" s="46" t="s">
        <v>707</v>
      </c>
      <c r="M103" s="46" t="s">
        <v>72</v>
      </c>
      <c r="N103" s="46">
        <v>2</v>
      </c>
      <c r="O103" s="46" t="s">
        <v>79</v>
      </c>
      <c r="P103" s="46"/>
    </row>
    <row r="104" spans="1:16">
      <c r="A104" s="37" t="s">
        <v>708</v>
      </c>
      <c r="B104" s="37" t="s">
        <v>709</v>
      </c>
      <c r="C104" s="37" t="s">
        <v>451</v>
      </c>
      <c r="D104" s="37" t="s">
        <v>146</v>
      </c>
      <c r="E104" s="37" t="s">
        <v>157</v>
      </c>
      <c r="F104" s="37" t="s">
        <v>47</v>
      </c>
      <c r="G104" s="37" t="s">
        <v>346</v>
      </c>
      <c r="H104" s="37" t="s">
        <v>32</v>
      </c>
      <c r="I104" s="37" t="s">
        <v>710</v>
      </c>
      <c r="J104" s="37" t="s">
        <v>711</v>
      </c>
      <c r="K104" s="37">
        <v>4</v>
      </c>
      <c r="L104" s="37" t="s">
        <v>712</v>
      </c>
      <c r="M104" s="37" t="s">
        <v>72</v>
      </c>
      <c r="N104" s="37">
        <v>2</v>
      </c>
      <c r="O104" s="37" t="s">
        <v>286</v>
      </c>
      <c r="P104" s="37"/>
    </row>
    <row r="105" spans="1:16">
      <c r="A105" s="46" t="s">
        <v>713</v>
      </c>
      <c r="B105" s="46" t="s">
        <v>714</v>
      </c>
      <c r="C105" s="46" t="s">
        <v>282</v>
      </c>
      <c r="D105" s="46" t="s">
        <v>312</v>
      </c>
      <c r="E105" s="46" t="s">
        <v>42</v>
      </c>
      <c r="F105" s="46" t="s">
        <v>177</v>
      </c>
      <c r="G105" s="46" t="s">
        <v>139</v>
      </c>
      <c r="H105" s="46" t="s">
        <v>354</v>
      </c>
      <c r="I105" s="46" t="s">
        <v>715</v>
      </c>
      <c r="J105" s="46" t="s">
        <v>321</v>
      </c>
      <c r="K105" s="46">
        <v>6</v>
      </c>
      <c r="L105" s="46" t="s">
        <v>704</v>
      </c>
      <c r="M105" s="46" t="s">
        <v>219</v>
      </c>
      <c r="N105" s="46">
        <v>2</v>
      </c>
      <c r="O105" s="46" t="s">
        <v>79</v>
      </c>
      <c r="P105" s="46"/>
    </row>
    <row r="106" spans="1:16">
      <c r="A106" s="37" t="s">
        <v>716</v>
      </c>
      <c r="B106" s="37" t="s">
        <v>717</v>
      </c>
      <c r="C106" s="37" t="s">
        <v>340</v>
      </c>
      <c r="D106" s="37" t="s">
        <v>156</v>
      </c>
      <c r="E106" s="37" t="s">
        <v>176</v>
      </c>
      <c r="F106" s="37" t="s">
        <v>111</v>
      </c>
      <c r="G106" s="37" t="s">
        <v>418</v>
      </c>
      <c r="H106" s="37" t="s">
        <v>90</v>
      </c>
      <c r="I106" s="37" t="s">
        <v>718</v>
      </c>
      <c r="J106" s="37" t="s">
        <v>719</v>
      </c>
      <c r="K106" s="37">
        <v>8</v>
      </c>
      <c r="L106" s="37" t="s">
        <v>720</v>
      </c>
      <c r="M106" s="37" t="s">
        <v>105</v>
      </c>
      <c r="N106" s="37">
        <v>4</v>
      </c>
      <c r="O106" s="37" t="s">
        <v>191</v>
      </c>
      <c r="P106" s="37"/>
    </row>
    <row r="107" spans="1:16">
      <c r="A107" s="46" t="s">
        <v>721</v>
      </c>
      <c r="B107" s="46" t="s">
        <v>722</v>
      </c>
      <c r="C107" s="46" t="s">
        <v>424</v>
      </c>
      <c r="D107" s="46" t="s">
        <v>333</v>
      </c>
      <c r="E107" s="46" t="s">
        <v>137</v>
      </c>
      <c r="F107" s="46" t="s">
        <v>167</v>
      </c>
      <c r="G107" s="46" t="s">
        <v>89</v>
      </c>
      <c r="H107" s="46" t="s">
        <v>278</v>
      </c>
      <c r="I107" s="46" t="s">
        <v>723</v>
      </c>
      <c r="J107" s="46" t="s">
        <v>253</v>
      </c>
      <c r="K107" s="46">
        <v>8</v>
      </c>
      <c r="L107" s="46" t="s">
        <v>495</v>
      </c>
      <c r="M107" s="46" t="s">
        <v>219</v>
      </c>
      <c r="N107" s="46">
        <v>4</v>
      </c>
      <c r="O107" s="46" t="s">
        <v>181</v>
      </c>
      <c r="P107" s="46"/>
    </row>
    <row r="108" spans="1:16">
      <c r="A108" s="37" t="s">
        <v>724</v>
      </c>
      <c r="B108" s="37" t="s">
        <v>725</v>
      </c>
      <c r="C108" s="37" t="s">
        <v>93</v>
      </c>
      <c r="D108" s="37" t="s">
        <v>367</v>
      </c>
      <c r="E108" s="37" t="s">
        <v>99</v>
      </c>
      <c r="F108" s="37" t="s">
        <v>277</v>
      </c>
      <c r="G108" s="37" t="s">
        <v>51</v>
      </c>
      <c r="H108" s="37" t="s">
        <v>327</v>
      </c>
      <c r="I108" s="37" t="s">
        <v>160</v>
      </c>
      <c r="J108" s="37" t="s">
        <v>726</v>
      </c>
      <c r="K108" s="37">
        <v>4</v>
      </c>
      <c r="L108" s="37" t="s">
        <v>727</v>
      </c>
      <c r="M108" s="37" t="s">
        <v>143</v>
      </c>
      <c r="N108" s="37">
        <v>2</v>
      </c>
      <c r="O108" s="37" t="s">
        <v>181</v>
      </c>
      <c r="P108" s="37"/>
    </row>
    <row r="109" spans="1:16">
      <c r="A109" s="46" t="s">
        <v>728</v>
      </c>
      <c r="B109" s="46" t="s">
        <v>729</v>
      </c>
      <c r="C109" s="46" t="s">
        <v>212</v>
      </c>
      <c r="D109" s="46" t="s">
        <v>194</v>
      </c>
      <c r="E109" s="46" t="s">
        <v>99</v>
      </c>
      <c r="F109" s="46" t="s">
        <v>430</v>
      </c>
      <c r="G109" s="46" t="s">
        <v>197</v>
      </c>
      <c r="H109" s="46" t="s">
        <v>54</v>
      </c>
      <c r="I109" s="46" t="s">
        <v>730</v>
      </c>
      <c r="J109" s="46" t="s">
        <v>731</v>
      </c>
      <c r="K109" s="46">
        <v>4</v>
      </c>
      <c r="L109" s="46" t="s">
        <v>388</v>
      </c>
      <c r="M109" s="46" t="s">
        <v>172</v>
      </c>
      <c r="N109" s="46">
        <v>1</v>
      </c>
      <c r="O109" s="46" t="s">
        <v>152</v>
      </c>
      <c r="P109" s="46"/>
    </row>
    <row r="110" spans="1:16">
      <c r="A110" s="37" t="s">
        <v>732</v>
      </c>
      <c r="B110" s="37" t="s">
        <v>733</v>
      </c>
      <c r="C110" s="37" t="s">
        <v>307</v>
      </c>
      <c r="D110" s="37" t="s">
        <v>352</v>
      </c>
      <c r="E110" s="37" t="s">
        <v>185</v>
      </c>
      <c r="F110" s="37" t="s">
        <v>734</v>
      </c>
      <c r="G110" s="37" t="s">
        <v>101</v>
      </c>
      <c r="H110" s="37" t="s">
        <v>206</v>
      </c>
      <c r="I110" s="37" t="s">
        <v>735</v>
      </c>
      <c r="J110" s="37" t="s">
        <v>736</v>
      </c>
      <c r="K110" s="37">
        <v>4</v>
      </c>
      <c r="L110" s="37" t="s">
        <v>737</v>
      </c>
      <c r="M110" s="37" t="s">
        <v>219</v>
      </c>
      <c r="N110" s="37">
        <v>4</v>
      </c>
      <c r="O110" s="37" t="s">
        <v>118</v>
      </c>
      <c r="P110" s="37"/>
    </row>
    <row r="111" spans="1:16">
      <c r="A111" s="46" t="s">
        <v>738</v>
      </c>
      <c r="B111" s="46" t="s">
        <v>739</v>
      </c>
      <c r="C111" s="46" t="s">
        <v>300</v>
      </c>
      <c r="D111" s="46" t="s">
        <v>213</v>
      </c>
      <c r="E111" s="46" t="s">
        <v>325</v>
      </c>
      <c r="F111" s="46" t="s">
        <v>111</v>
      </c>
      <c r="G111" s="46" t="s">
        <v>87</v>
      </c>
      <c r="H111" s="46" t="s">
        <v>215</v>
      </c>
      <c r="I111" s="46" t="s">
        <v>740</v>
      </c>
      <c r="J111" s="46" t="s">
        <v>741</v>
      </c>
      <c r="K111" s="46">
        <v>4</v>
      </c>
      <c r="L111" s="46" t="s">
        <v>742</v>
      </c>
      <c r="M111" s="46" t="s">
        <v>72</v>
      </c>
      <c r="N111" s="46">
        <v>2</v>
      </c>
      <c r="O111" s="46" t="s">
        <v>152</v>
      </c>
      <c r="P111" s="46"/>
    </row>
    <row r="112" spans="1:16">
      <c r="A112" s="37" t="s">
        <v>743</v>
      </c>
      <c r="B112" s="37" t="s">
        <v>744</v>
      </c>
      <c r="C112" s="37" t="s">
        <v>243</v>
      </c>
      <c r="D112" s="37" t="s">
        <v>98</v>
      </c>
      <c r="E112" s="37" t="s">
        <v>325</v>
      </c>
      <c r="F112" s="37" t="s">
        <v>498</v>
      </c>
      <c r="G112" s="37" t="s">
        <v>401</v>
      </c>
      <c r="H112" s="37" t="s">
        <v>327</v>
      </c>
      <c r="I112" s="37" t="s">
        <v>745</v>
      </c>
      <c r="J112" s="37" t="s">
        <v>746</v>
      </c>
      <c r="K112" s="37">
        <v>2</v>
      </c>
      <c r="L112" s="37" t="s">
        <v>443</v>
      </c>
      <c r="M112" s="37" t="s">
        <v>105</v>
      </c>
      <c r="N112" s="37">
        <v>4</v>
      </c>
      <c r="O112" s="37" t="s">
        <v>152</v>
      </c>
      <c r="P112" s="37"/>
    </row>
    <row r="113" spans="1:16">
      <c r="A113" s="46" t="s">
        <v>747</v>
      </c>
      <c r="B113" s="46" t="s">
        <v>729</v>
      </c>
      <c r="C113" s="46" t="s">
        <v>212</v>
      </c>
      <c r="D113" s="46" t="s">
        <v>194</v>
      </c>
      <c r="E113" s="46" t="s">
        <v>345</v>
      </c>
      <c r="F113" s="46" t="s">
        <v>237</v>
      </c>
      <c r="G113" s="46" t="s">
        <v>346</v>
      </c>
      <c r="H113" s="46" t="s">
        <v>354</v>
      </c>
      <c r="I113" s="46" t="s">
        <v>748</v>
      </c>
      <c r="J113" s="46" t="s">
        <v>749</v>
      </c>
      <c r="K113" s="46">
        <v>6</v>
      </c>
      <c r="L113" s="46" t="s">
        <v>750</v>
      </c>
      <c r="M113" s="46" t="s">
        <v>200</v>
      </c>
      <c r="N113" s="46">
        <v>2</v>
      </c>
      <c r="O113" s="46" t="s">
        <v>79</v>
      </c>
      <c r="P113" s="46"/>
    </row>
    <row r="114" spans="1:16">
      <c r="A114" s="37" t="s">
        <v>751</v>
      </c>
      <c r="B114" s="37" t="s">
        <v>752</v>
      </c>
      <c r="C114" s="37" t="s">
        <v>97</v>
      </c>
      <c r="D114" s="37" t="s">
        <v>98</v>
      </c>
      <c r="E114" s="37" t="s">
        <v>176</v>
      </c>
      <c r="F114" s="37" t="s">
        <v>177</v>
      </c>
      <c r="G114" s="37" t="s">
        <v>264</v>
      </c>
      <c r="H114" s="37" t="s">
        <v>88</v>
      </c>
      <c r="I114" s="37" t="s">
        <v>308</v>
      </c>
      <c r="J114" s="37" t="s">
        <v>753</v>
      </c>
      <c r="K114" s="37">
        <v>8</v>
      </c>
      <c r="L114" s="37" t="s">
        <v>250</v>
      </c>
      <c r="M114" s="37" t="s">
        <v>143</v>
      </c>
      <c r="N114" s="37">
        <v>5</v>
      </c>
      <c r="O114" s="37" t="s">
        <v>118</v>
      </c>
      <c r="P114" s="37"/>
    </row>
    <row r="115" spans="1:16">
      <c r="A115" s="46" t="s">
        <v>754</v>
      </c>
      <c r="B115" s="46" t="s">
        <v>755</v>
      </c>
      <c r="C115" s="46" t="s">
        <v>366</v>
      </c>
      <c r="D115" s="46" t="s">
        <v>223</v>
      </c>
      <c r="E115" s="46" t="s">
        <v>157</v>
      </c>
      <c r="F115" s="46" t="s">
        <v>186</v>
      </c>
      <c r="G115" s="46" t="s">
        <v>380</v>
      </c>
      <c r="H115" s="46" t="s">
        <v>396</v>
      </c>
      <c r="I115" s="46" t="s">
        <v>756</v>
      </c>
      <c r="J115" s="46" t="s">
        <v>757</v>
      </c>
      <c r="K115" s="46">
        <v>4</v>
      </c>
      <c r="L115" s="46" t="s">
        <v>758</v>
      </c>
      <c r="M115" s="46" t="s">
        <v>130</v>
      </c>
      <c r="N115" s="46"/>
      <c r="O115" s="46" t="s">
        <v>118</v>
      </c>
      <c r="P115" s="46" t="s">
        <v>759</v>
      </c>
    </row>
    <row r="116" spans="1:16">
      <c r="A116" s="37" t="s">
        <v>760</v>
      </c>
      <c r="B116" s="37" t="s">
        <v>761</v>
      </c>
      <c r="C116" s="37" t="s">
        <v>97</v>
      </c>
      <c r="D116" s="37" t="s">
        <v>122</v>
      </c>
      <c r="E116" s="37" t="s">
        <v>157</v>
      </c>
      <c r="F116" s="37" t="s">
        <v>167</v>
      </c>
      <c r="G116" s="37" t="s">
        <v>51</v>
      </c>
      <c r="H116" s="37" t="s">
        <v>90</v>
      </c>
      <c r="I116" s="37" t="s">
        <v>762</v>
      </c>
      <c r="J116" s="37" t="s">
        <v>432</v>
      </c>
      <c r="K116" s="37">
        <v>4</v>
      </c>
      <c r="L116" s="37" t="s">
        <v>763</v>
      </c>
      <c r="M116" s="37" t="s">
        <v>143</v>
      </c>
      <c r="N116" s="37">
        <v>2</v>
      </c>
      <c r="O116" s="37" t="s">
        <v>118</v>
      </c>
      <c r="P116" s="37"/>
    </row>
    <row r="117" spans="1:16">
      <c r="A117" s="46" t="s">
        <v>764</v>
      </c>
      <c r="B117" s="46" t="s">
        <v>765</v>
      </c>
      <c r="C117" s="46" t="s">
        <v>251</v>
      </c>
      <c r="D117" s="46" t="s">
        <v>223</v>
      </c>
      <c r="E117" s="46" t="s">
        <v>176</v>
      </c>
      <c r="F117" s="46" t="s">
        <v>385</v>
      </c>
      <c r="G117" s="46" t="s">
        <v>334</v>
      </c>
      <c r="H117" s="46" t="s">
        <v>354</v>
      </c>
      <c r="I117" s="46" t="s">
        <v>766</v>
      </c>
      <c r="J117" s="46" t="s">
        <v>767</v>
      </c>
      <c r="K117" s="46">
        <v>6</v>
      </c>
      <c r="L117" s="46" t="s">
        <v>606</v>
      </c>
      <c r="M117" s="46" t="s">
        <v>143</v>
      </c>
      <c r="N117" s="46">
        <v>2</v>
      </c>
      <c r="O117" s="46" t="s">
        <v>286</v>
      </c>
      <c r="P117" s="46"/>
    </row>
    <row r="118" spans="1:16">
      <c r="A118" s="37" t="s">
        <v>768</v>
      </c>
      <c r="B118" s="37" t="s">
        <v>769</v>
      </c>
      <c r="C118" s="37" t="s">
        <v>243</v>
      </c>
      <c r="D118" s="37" t="s">
        <v>175</v>
      </c>
      <c r="E118" s="37" t="s">
        <v>224</v>
      </c>
      <c r="F118" s="37" t="s">
        <v>231</v>
      </c>
      <c r="G118" s="37" t="s">
        <v>168</v>
      </c>
      <c r="H118" s="37" t="s">
        <v>187</v>
      </c>
      <c r="I118" s="37" t="s">
        <v>770</v>
      </c>
      <c r="J118" s="37" t="s">
        <v>771</v>
      </c>
      <c r="K118" s="37">
        <v>4</v>
      </c>
      <c r="L118" s="37" t="s">
        <v>772</v>
      </c>
      <c r="M118" s="37" t="s">
        <v>143</v>
      </c>
      <c r="N118" s="37">
        <v>4</v>
      </c>
      <c r="O118" s="37" t="s">
        <v>191</v>
      </c>
      <c r="P118" s="37"/>
    </row>
    <row r="119" spans="1:16">
      <c r="A119" s="46" t="s">
        <v>773</v>
      </c>
      <c r="B119" s="46" t="s">
        <v>774</v>
      </c>
      <c r="C119" s="46" t="s">
        <v>451</v>
      </c>
      <c r="D119" s="46" t="s">
        <v>270</v>
      </c>
      <c r="E119" s="46" t="s">
        <v>440</v>
      </c>
      <c r="F119" s="46" t="s">
        <v>353</v>
      </c>
      <c r="G119" s="46" t="s">
        <v>89</v>
      </c>
      <c r="H119" s="46" t="s">
        <v>206</v>
      </c>
      <c r="I119" s="46" t="s">
        <v>775</v>
      </c>
      <c r="J119" s="46" t="s">
        <v>776</v>
      </c>
      <c r="K119" s="46">
        <v>8</v>
      </c>
      <c r="L119" s="46" t="s">
        <v>556</v>
      </c>
      <c r="M119" s="46" t="s">
        <v>105</v>
      </c>
      <c r="N119" s="46">
        <v>4</v>
      </c>
      <c r="O119" s="46" t="s">
        <v>118</v>
      </c>
      <c r="P119" s="46"/>
    </row>
    <row r="120" spans="1:16">
      <c r="A120" s="37" t="s">
        <v>777</v>
      </c>
      <c r="B120" s="37" t="s">
        <v>349</v>
      </c>
      <c r="C120" s="37" t="s">
        <v>54</v>
      </c>
      <c r="D120" s="37" t="s">
        <v>352</v>
      </c>
      <c r="E120" s="37" t="s">
        <v>157</v>
      </c>
      <c r="F120" s="37" t="s">
        <v>100</v>
      </c>
      <c r="G120" s="37" t="s">
        <v>51</v>
      </c>
      <c r="H120" s="37" t="s">
        <v>54</v>
      </c>
      <c r="I120" s="37" t="s">
        <v>778</v>
      </c>
      <c r="J120" s="37" t="s">
        <v>161</v>
      </c>
      <c r="K120" s="37">
        <v>4</v>
      </c>
      <c r="L120" s="37" t="s">
        <v>779</v>
      </c>
      <c r="M120" s="37" t="s">
        <v>117</v>
      </c>
      <c r="N120" s="37">
        <v>3</v>
      </c>
      <c r="O120" s="37" t="s">
        <v>152</v>
      </c>
      <c r="P120" s="37"/>
    </row>
    <row r="121" spans="1:16">
      <c r="A121" s="46" t="s">
        <v>780</v>
      </c>
      <c r="B121" s="46" t="s">
        <v>781</v>
      </c>
      <c r="C121" s="46" t="s">
        <v>469</v>
      </c>
      <c r="D121" s="46" t="s">
        <v>156</v>
      </c>
      <c r="E121" s="46" t="s">
        <v>42</v>
      </c>
      <c r="F121" s="46" t="s">
        <v>205</v>
      </c>
      <c r="G121" s="46" t="s">
        <v>51</v>
      </c>
      <c r="H121" s="46" t="s">
        <v>54</v>
      </c>
      <c r="I121" s="46" t="s">
        <v>782</v>
      </c>
      <c r="J121" s="46" t="s">
        <v>783</v>
      </c>
      <c r="K121" s="46">
        <v>6</v>
      </c>
      <c r="L121" s="46" t="s">
        <v>784</v>
      </c>
      <c r="M121" s="46" t="s">
        <v>172</v>
      </c>
      <c r="N121" s="46">
        <v>5</v>
      </c>
      <c r="O121" s="46" t="s">
        <v>118</v>
      </c>
      <c r="P121" s="46"/>
    </row>
    <row r="122" spans="1:16">
      <c r="A122" s="37" t="s">
        <v>785</v>
      </c>
      <c r="B122" s="37" t="s">
        <v>786</v>
      </c>
      <c r="C122" s="37" t="s">
        <v>32</v>
      </c>
      <c r="D122" s="37" t="s">
        <v>122</v>
      </c>
      <c r="E122" s="37" t="s">
        <v>137</v>
      </c>
      <c r="F122" s="37" t="s">
        <v>177</v>
      </c>
      <c r="G122" s="37" t="s">
        <v>264</v>
      </c>
      <c r="H122" s="37" t="s">
        <v>187</v>
      </c>
      <c r="I122" s="37" t="s">
        <v>787</v>
      </c>
      <c r="J122" s="37" t="s">
        <v>788</v>
      </c>
      <c r="K122" s="37">
        <v>8</v>
      </c>
      <c r="L122" s="37" t="s">
        <v>789</v>
      </c>
      <c r="M122" s="37" t="s">
        <v>163</v>
      </c>
      <c r="N122" s="37">
        <v>4</v>
      </c>
      <c r="O122" s="37" t="s">
        <v>131</v>
      </c>
      <c r="P122" s="37"/>
    </row>
    <row r="123" spans="1:16">
      <c r="A123" s="46" t="s">
        <v>790</v>
      </c>
      <c r="B123" s="46" t="s">
        <v>791</v>
      </c>
      <c r="C123" s="46" t="s">
        <v>91</v>
      </c>
      <c r="D123" s="46" t="s">
        <v>175</v>
      </c>
      <c r="E123" s="46" t="s">
        <v>440</v>
      </c>
      <c r="F123" s="46" t="s">
        <v>263</v>
      </c>
      <c r="G123" s="46" t="s">
        <v>470</v>
      </c>
      <c r="H123" s="46" t="s">
        <v>396</v>
      </c>
      <c r="I123" s="46" t="s">
        <v>792</v>
      </c>
      <c r="J123" s="46" t="s">
        <v>793</v>
      </c>
      <c r="K123" s="46">
        <v>6</v>
      </c>
      <c r="L123" s="46" t="s">
        <v>794</v>
      </c>
      <c r="M123" s="46" t="s">
        <v>117</v>
      </c>
      <c r="N123" s="46">
        <v>3</v>
      </c>
      <c r="O123" s="46" t="s">
        <v>181</v>
      </c>
      <c r="P123" s="46"/>
    </row>
    <row r="124" spans="1:16">
      <c r="A124" s="37" t="s">
        <v>795</v>
      </c>
      <c r="B124" s="37" t="s">
        <v>796</v>
      </c>
      <c r="C124" s="37" t="s">
        <v>174</v>
      </c>
      <c r="D124" s="37" t="s">
        <v>156</v>
      </c>
      <c r="E124" s="37" t="s">
        <v>244</v>
      </c>
      <c r="F124" s="37" t="s">
        <v>313</v>
      </c>
      <c r="G124" s="37" t="s">
        <v>89</v>
      </c>
      <c r="H124" s="37" t="s">
        <v>187</v>
      </c>
      <c r="I124" s="37" t="s">
        <v>797</v>
      </c>
      <c r="J124" s="37" t="s">
        <v>798</v>
      </c>
      <c r="K124" s="37">
        <v>2</v>
      </c>
      <c r="L124" s="37" t="s">
        <v>799</v>
      </c>
      <c r="M124" s="37" t="s">
        <v>200</v>
      </c>
      <c r="N124" s="37">
        <v>3</v>
      </c>
      <c r="O124" s="37" t="s">
        <v>181</v>
      </c>
      <c r="P124" s="37"/>
    </row>
    <row r="125" spans="1:16">
      <c r="A125" s="46" t="s">
        <v>800</v>
      </c>
      <c r="B125" s="46" t="s">
        <v>801</v>
      </c>
      <c r="C125" s="46" t="s">
        <v>121</v>
      </c>
      <c r="D125" s="46" t="s">
        <v>223</v>
      </c>
      <c r="E125" s="46" t="s">
        <v>440</v>
      </c>
      <c r="F125" s="46" t="s">
        <v>148</v>
      </c>
      <c r="G125" s="46" t="s">
        <v>125</v>
      </c>
      <c r="H125" s="46" t="s">
        <v>294</v>
      </c>
      <c r="I125" s="46" t="s">
        <v>802</v>
      </c>
      <c r="J125" s="46" t="s">
        <v>803</v>
      </c>
      <c r="K125" s="46">
        <v>8</v>
      </c>
      <c r="L125" s="46" t="s">
        <v>623</v>
      </c>
      <c r="M125" s="46" t="s">
        <v>105</v>
      </c>
      <c r="N125" s="46">
        <v>5</v>
      </c>
      <c r="O125" s="46" t="s">
        <v>286</v>
      </c>
      <c r="P125" s="46"/>
    </row>
    <row r="126" spans="1:16">
      <c r="A126" s="37" t="s">
        <v>804</v>
      </c>
      <c r="B126" s="37" t="s">
        <v>805</v>
      </c>
      <c r="C126" s="37" t="s">
        <v>135</v>
      </c>
      <c r="D126" s="37" t="s">
        <v>230</v>
      </c>
      <c r="E126" s="37" t="s">
        <v>244</v>
      </c>
      <c r="F126" s="37" t="s">
        <v>214</v>
      </c>
      <c r="G126" s="37" t="s">
        <v>51</v>
      </c>
      <c r="H126" s="37" t="s">
        <v>90</v>
      </c>
      <c r="I126" s="37" t="s">
        <v>806</v>
      </c>
      <c r="J126" s="37" t="s">
        <v>807</v>
      </c>
      <c r="K126" s="37">
        <v>4</v>
      </c>
      <c r="L126" s="37" t="s">
        <v>808</v>
      </c>
      <c r="M126" s="37" t="s">
        <v>72</v>
      </c>
      <c r="N126" s="37">
        <v>3</v>
      </c>
      <c r="O126" s="37" t="s">
        <v>131</v>
      </c>
      <c r="P126" s="37"/>
    </row>
    <row r="127" spans="1:16">
      <c r="A127" s="46" t="s">
        <v>809</v>
      </c>
      <c r="B127" s="46" t="s">
        <v>483</v>
      </c>
      <c r="C127" s="46" t="s">
        <v>424</v>
      </c>
      <c r="D127" s="46" t="s">
        <v>146</v>
      </c>
      <c r="E127" s="46" t="s">
        <v>244</v>
      </c>
      <c r="F127" s="46" t="s">
        <v>245</v>
      </c>
      <c r="G127" s="46" t="s">
        <v>401</v>
      </c>
      <c r="H127" s="46" t="s">
        <v>90</v>
      </c>
      <c r="I127" s="46" t="s">
        <v>810</v>
      </c>
      <c r="J127" s="46" t="s">
        <v>811</v>
      </c>
      <c r="K127" s="46">
        <v>2</v>
      </c>
      <c r="L127" s="46" t="s">
        <v>162</v>
      </c>
      <c r="M127" s="46" t="s">
        <v>200</v>
      </c>
      <c r="N127" s="46">
        <v>3</v>
      </c>
      <c r="O127" s="46" t="s">
        <v>286</v>
      </c>
      <c r="P127" s="46"/>
    </row>
    <row r="128" spans="1:16">
      <c r="A128" s="37" t="s">
        <v>812</v>
      </c>
      <c r="B128" s="37" t="s">
        <v>813</v>
      </c>
      <c r="C128" s="37" t="s">
        <v>340</v>
      </c>
      <c r="D128" s="37" t="s">
        <v>146</v>
      </c>
      <c r="E128" s="37" t="s">
        <v>137</v>
      </c>
      <c r="F128" s="37" t="s">
        <v>111</v>
      </c>
      <c r="G128" s="37" t="s">
        <v>92</v>
      </c>
      <c r="H128" s="37" t="s">
        <v>91</v>
      </c>
      <c r="I128" s="37" t="s">
        <v>814</v>
      </c>
      <c r="J128" s="37" t="s">
        <v>815</v>
      </c>
      <c r="K128" s="37">
        <v>8</v>
      </c>
      <c r="L128" s="37" t="s">
        <v>816</v>
      </c>
      <c r="M128" s="37" t="s">
        <v>817</v>
      </c>
      <c r="N128" s="37"/>
      <c r="O128" s="37" t="s">
        <v>152</v>
      </c>
      <c r="P128" s="37" t="s">
        <v>818</v>
      </c>
    </row>
    <row r="129" spans="1:16">
      <c r="A129" s="46" t="s">
        <v>819</v>
      </c>
      <c r="B129" s="46" t="s">
        <v>820</v>
      </c>
      <c r="C129" s="46" t="s">
        <v>633</v>
      </c>
      <c r="D129" s="46" t="s">
        <v>333</v>
      </c>
      <c r="E129" s="46" t="s">
        <v>42</v>
      </c>
      <c r="F129" s="46" t="s">
        <v>430</v>
      </c>
      <c r="G129" s="46" t="s">
        <v>470</v>
      </c>
      <c r="H129" s="46" t="s">
        <v>396</v>
      </c>
      <c r="I129" s="46" t="s">
        <v>479</v>
      </c>
      <c r="J129" s="46" t="s">
        <v>821</v>
      </c>
      <c r="K129" s="46">
        <v>6</v>
      </c>
      <c r="L129" s="46" t="s">
        <v>822</v>
      </c>
      <c r="M129" s="46" t="s">
        <v>72</v>
      </c>
      <c r="N129" s="46">
        <v>3</v>
      </c>
      <c r="O129" s="46" t="s">
        <v>106</v>
      </c>
      <c r="P129" s="46"/>
    </row>
    <row r="130" spans="1:16">
      <c r="A130" s="37" t="s">
        <v>823</v>
      </c>
      <c r="B130" s="37" t="s">
        <v>720</v>
      </c>
      <c r="C130" s="37" t="s">
        <v>282</v>
      </c>
      <c r="D130" s="37" t="s">
        <v>270</v>
      </c>
      <c r="E130" s="37" t="s">
        <v>345</v>
      </c>
      <c r="F130" s="37" t="s">
        <v>263</v>
      </c>
      <c r="G130" s="37" t="s">
        <v>401</v>
      </c>
      <c r="H130" s="37" t="s">
        <v>90</v>
      </c>
      <c r="I130" s="37" t="s">
        <v>824</v>
      </c>
      <c r="J130" s="37" t="s">
        <v>825</v>
      </c>
      <c r="K130" s="37">
        <v>6</v>
      </c>
      <c r="L130" s="37" t="s">
        <v>826</v>
      </c>
      <c r="M130" s="37" t="s">
        <v>117</v>
      </c>
      <c r="N130" s="37">
        <v>5</v>
      </c>
      <c r="O130" s="37" t="s">
        <v>118</v>
      </c>
      <c r="P130" s="37"/>
    </row>
    <row r="131" spans="1:16">
      <c r="A131" s="46" t="s">
        <v>827</v>
      </c>
      <c r="B131" s="46" t="s">
        <v>828</v>
      </c>
      <c r="C131" s="46" t="s">
        <v>174</v>
      </c>
      <c r="D131" s="46" t="s">
        <v>37</v>
      </c>
      <c r="E131" s="46" t="s">
        <v>42</v>
      </c>
      <c r="F131" s="46" t="s">
        <v>368</v>
      </c>
      <c r="G131" s="46" t="s">
        <v>257</v>
      </c>
      <c r="H131" s="46" t="s">
        <v>187</v>
      </c>
      <c r="I131" s="46" t="s">
        <v>829</v>
      </c>
      <c r="J131" s="46" t="s">
        <v>830</v>
      </c>
      <c r="K131" s="46">
        <v>4</v>
      </c>
      <c r="L131" s="46" t="s">
        <v>831</v>
      </c>
      <c r="M131" s="46" t="s">
        <v>219</v>
      </c>
      <c r="N131" s="46">
        <v>5</v>
      </c>
      <c r="O131" s="46" t="s">
        <v>191</v>
      </c>
      <c r="P131" s="46"/>
    </row>
    <row r="132" spans="1:16">
      <c r="A132" s="37" t="s">
        <v>832</v>
      </c>
      <c r="B132" s="37" t="s">
        <v>417</v>
      </c>
      <c r="C132" s="37" t="s">
        <v>97</v>
      </c>
      <c r="D132" s="37" t="s">
        <v>98</v>
      </c>
      <c r="E132" s="37" t="s">
        <v>195</v>
      </c>
      <c r="F132" s="37" t="s">
        <v>425</v>
      </c>
      <c r="G132" s="37" t="s">
        <v>51</v>
      </c>
      <c r="H132" s="37" t="s">
        <v>54</v>
      </c>
      <c r="I132" s="37" t="s">
        <v>833</v>
      </c>
      <c r="J132" s="37" t="s">
        <v>834</v>
      </c>
      <c r="K132" s="37">
        <v>6</v>
      </c>
      <c r="L132" s="37" t="s">
        <v>835</v>
      </c>
      <c r="M132" s="37" t="s">
        <v>200</v>
      </c>
      <c r="N132" s="37">
        <v>2</v>
      </c>
      <c r="O132" s="37" t="s">
        <v>79</v>
      </c>
      <c r="P132" s="37"/>
    </row>
    <row r="133" spans="1:16">
      <c r="A133" s="46" t="s">
        <v>836</v>
      </c>
      <c r="B133" s="46" t="s">
        <v>837</v>
      </c>
      <c r="C133" s="46" t="s">
        <v>366</v>
      </c>
      <c r="D133" s="46" t="s">
        <v>544</v>
      </c>
      <c r="E133" s="46" t="s">
        <v>244</v>
      </c>
      <c r="F133" s="46" t="s">
        <v>430</v>
      </c>
      <c r="G133" s="46" t="s">
        <v>346</v>
      </c>
      <c r="H133" s="46" t="s">
        <v>215</v>
      </c>
      <c r="I133" s="46" t="s">
        <v>838</v>
      </c>
      <c r="J133" s="46" t="s">
        <v>839</v>
      </c>
      <c r="K133" s="46">
        <v>4</v>
      </c>
      <c r="L133" s="46" t="s">
        <v>840</v>
      </c>
      <c r="M133" s="46" t="s">
        <v>143</v>
      </c>
      <c r="N133" s="46">
        <v>2</v>
      </c>
      <c r="O133" s="46" t="s">
        <v>152</v>
      </c>
      <c r="P133" s="46"/>
    </row>
    <row r="134" spans="1:16">
      <c r="A134" s="37" t="s">
        <v>841</v>
      </c>
      <c r="B134" s="37" t="s">
        <v>842</v>
      </c>
      <c r="C134" s="37" t="s">
        <v>366</v>
      </c>
      <c r="D134" s="37" t="s">
        <v>367</v>
      </c>
      <c r="E134" s="37" t="s">
        <v>137</v>
      </c>
      <c r="F134" s="37" t="s">
        <v>843</v>
      </c>
      <c r="G134" s="37" t="s">
        <v>168</v>
      </c>
      <c r="H134" s="37" t="s">
        <v>206</v>
      </c>
      <c r="I134" s="37" t="s">
        <v>844</v>
      </c>
      <c r="J134" s="37" t="s">
        <v>845</v>
      </c>
      <c r="K134" s="37">
        <v>8</v>
      </c>
      <c r="L134" s="37" t="s">
        <v>846</v>
      </c>
      <c r="M134" s="37" t="s">
        <v>72</v>
      </c>
      <c r="N134" s="37">
        <v>3</v>
      </c>
      <c r="O134" s="37" t="s">
        <v>152</v>
      </c>
      <c r="P134" s="37"/>
    </row>
    <row r="135" spans="1:16">
      <c r="A135" s="46" t="s">
        <v>847</v>
      </c>
      <c r="B135" s="46" t="s">
        <v>848</v>
      </c>
      <c r="C135" s="46" t="s">
        <v>566</v>
      </c>
      <c r="D135" s="46" t="s">
        <v>223</v>
      </c>
      <c r="E135" s="46" t="s">
        <v>185</v>
      </c>
      <c r="F135" s="46" t="s">
        <v>158</v>
      </c>
      <c r="G135" s="46" t="s">
        <v>125</v>
      </c>
      <c r="H135" s="46" t="s">
        <v>126</v>
      </c>
      <c r="I135" s="46" t="s">
        <v>849</v>
      </c>
      <c r="J135" s="46" t="s">
        <v>850</v>
      </c>
      <c r="K135" s="46">
        <v>6</v>
      </c>
      <c r="L135" s="46" t="s">
        <v>851</v>
      </c>
      <c r="M135" s="46" t="s">
        <v>163</v>
      </c>
      <c r="N135" s="46">
        <v>4</v>
      </c>
      <c r="O135" s="46" t="s">
        <v>118</v>
      </c>
      <c r="P135" s="46"/>
    </row>
    <row r="136" spans="1:16">
      <c r="A136" s="37" t="s">
        <v>852</v>
      </c>
      <c r="B136" s="37" t="s">
        <v>853</v>
      </c>
      <c r="C136" s="37" t="s">
        <v>91</v>
      </c>
      <c r="D136" s="37" t="s">
        <v>37</v>
      </c>
      <c r="E136" s="37" t="s">
        <v>137</v>
      </c>
      <c r="F136" s="37" t="s">
        <v>430</v>
      </c>
      <c r="G136" s="37" t="s">
        <v>257</v>
      </c>
      <c r="H136" s="37" t="s">
        <v>278</v>
      </c>
      <c r="I136" s="37" t="s">
        <v>289</v>
      </c>
      <c r="J136" s="37" t="s">
        <v>854</v>
      </c>
      <c r="K136" s="37">
        <v>8</v>
      </c>
      <c r="L136" s="37" t="s">
        <v>855</v>
      </c>
      <c r="M136" s="37" t="s">
        <v>105</v>
      </c>
      <c r="N136" s="37">
        <v>4</v>
      </c>
      <c r="O136" s="37" t="s">
        <v>79</v>
      </c>
      <c r="P136" s="37"/>
    </row>
    <row r="137" spans="1:16">
      <c r="A137" s="46" t="s">
        <v>856</v>
      </c>
      <c r="B137" s="46" t="s">
        <v>857</v>
      </c>
      <c r="C137" s="46" t="s">
        <v>407</v>
      </c>
      <c r="D137" s="46" t="s">
        <v>37</v>
      </c>
      <c r="E137" s="46" t="s">
        <v>147</v>
      </c>
      <c r="F137" s="46" t="s">
        <v>319</v>
      </c>
      <c r="G137" s="46" t="s">
        <v>346</v>
      </c>
      <c r="H137" s="46" t="s">
        <v>113</v>
      </c>
      <c r="I137" s="46" t="s">
        <v>858</v>
      </c>
      <c r="J137" s="46" t="s">
        <v>859</v>
      </c>
      <c r="K137" s="46">
        <v>8</v>
      </c>
      <c r="L137" s="46" t="s">
        <v>860</v>
      </c>
      <c r="M137" s="46" t="s">
        <v>219</v>
      </c>
      <c r="N137" s="46">
        <v>4</v>
      </c>
      <c r="O137" s="46" t="s">
        <v>191</v>
      </c>
      <c r="P137" s="46"/>
    </row>
    <row r="138" spans="1:16">
      <c r="A138" s="37" t="s">
        <v>861</v>
      </c>
      <c r="B138" s="37" t="s">
        <v>862</v>
      </c>
      <c r="C138" s="37" t="s">
        <v>121</v>
      </c>
      <c r="D138" s="37" t="s">
        <v>204</v>
      </c>
      <c r="E138" s="37" t="s">
        <v>157</v>
      </c>
      <c r="F138" s="37" t="s">
        <v>612</v>
      </c>
      <c r="G138" s="37" t="s">
        <v>257</v>
      </c>
      <c r="H138" s="37" t="s">
        <v>206</v>
      </c>
      <c r="I138" s="37" t="s">
        <v>863</v>
      </c>
      <c r="J138" s="37" t="s">
        <v>864</v>
      </c>
      <c r="K138" s="37">
        <v>6</v>
      </c>
      <c r="L138" s="37" t="s">
        <v>865</v>
      </c>
      <c r="M138" s="37" t="s">
        <v>163</v>
      </c>
      <c r="N138" s="37">
        <v>3</v>
      </c>
      <c r="O138" s="37" t="s">
        <v>131</v>
      </c>
      <c r="P138" s="37"/>
    </row>
    <row r="139" spans="1:16">
      <c r="A139" s="46" t="s">
        <v>866</v>
      </c>
      <c r="B139" s="46" t="s">
        <v>867</v>
      </c>
      <c r="C139" s="46" t="s">
        <v>109</v>
      </c>
      <c r="D139" s="46" t="s">
        <v>333</v>
      </c>
      <c r="E139" s="46" t="s">
        <v>325</v>
      </c>
      <c r="F139" s="46" t="s">
        <v>664</v>
      </c>
      <c r="G139" s="46" t="s">
        <v>92</v>
      </c>
      <c r="H139" s="46" t="s">
        <v>396</v>
      </c>
      <c r="I139" s="46" t="s">
        <v>868</v>
      </c>
      <c r="J139" s="46" t="s">
        <v>869</v>
      </c>
      <c r="K139" s="46">
        <v>4</v>
      </c>
      <c r="L139" s="46" t="s">
        <v>485</v>
      </c>
      <c r="M139" s="46" t="s">
        <v>200</v>
      </c>
      <c r="N139" s="46">
        <v>3</v>
      </c>
      <c r="O139" s="46" t="s">
        <v>191</v>
      </c>
      <c r="P139" s="46"/>
    </row>
    <row r="140" spans="1:16">
      <c r="A140" s="37" t="s">
        <v>870</v>
      </c>
      <c r="B140" s="37" t="s">
        <v>423</v>
      </c>
      <c r="C140" s="37" t="s">
        <v>407</v>
      </c>
      <c r="D140" s="37" t="s">
        <v>270</v>
      </c>
      <c r="E140" s="37" t="s">
        <v>42</v>
      </c>
      <c r="F140" s="37" t="s">
        <v>360</v>
      </c>
      <c r="G140" s="37" t="s">
        <v>418</v>
      </c>
      <c r="H140" s="37" t="s">
        <v>93</v>
      </c>
      <c r="I140" s="37" t="s">
        <v>871</v>
      </c>
      <c r="J140" s="37" t="s">
        <v>872</v>
      </c>
      <c r="K140" s="37">
        <v>6</v>
      </c>
      <c r="L140" s="37" t="s">
        <v>455</v>
      </c>
      <c r="M140" s="37" t="s">
        <v>172</v>
      </c>
      <c r="N140" s="37">
        <v>3</v>
      </c>
      <c r="O140" s="37" t="s">
        <v>152</v>
      </c>
      <c r="P140" s="37"/>
    </row>
    <row r="141" spans="1:16">
      <c r="A141" s="46" t="s">
        <v>873</v>
      </c>
      <c r="B141" s="46" t="s">
        <v>874</v>
      </c>
      <c r="C141" s="46" t="s">
        <v>121</v>
      </c>
      <c r="D141" s="46" t="s">
        <v>312</v>
      </c>
      <c r="E141" s="46" t="s">
        <v>195</v>
      </c>
      <c r="F141" s="46" t="s">
        <v>301</v>
      </c>
      <c r="G141" s="46" t="s">
        <v>89</v>
      </c>
      <c r="H141" s="46" t="s">
        <v>278</v>
      </c>
      <c r="I141" s="46" t="s">
        <v>875</v>
      </c>
      <c r="J141" s="46" t="s">
        <v>876</v>
      </c>
      <c r="K141" s="46">
        <v>8</v>
      </c>
      <c r="L141" s="46" t="s">
        <v>877</v>
      </c>
      <c r="M141" s="46" t="s">
        <v>72</v>
      </c>
      <c r="N141" s="46">
        <v>2</v>
      </c>
      <c r="O141" s="46" t="s">
        <v>181</v>
      </c>
      <c r="P141" s="46"/>
    </row>
    <row r="142" spans="1:16">
      <c r="A142" s="37" t="s">
        <v>878</v>
      </c>
      <c r="B142" s="37" t="s">
        <v>879</v>
      </c>
      <c r="C142" s="37" t="s">
        <v>109</v>
      </c>
      <c r="D142" s="37" t="s">
        <v>223</v>
      </c>
      <c r="E142" s="37" t="s">
        <v>99</v>
      </c>
      <c r="F142" s="37" t="s">
        <v>100</v>
      </c>
      <c r="G142" s="37" t="s">
        <v>168</v>
      </c>
      <c r="H142" s="37" t="s">
        <v>278</v>
      </c>
      <c r="I142" s="37" t="s">
        <v>572</v>
      </c>
      <c r="J142" s="37" t="s">
        <v>880</v>
      </c>
      <c r="K142" s="37">
        <v>2</v>
      </c>
      <c r="L142" s="37" t="s">
        <v>702</v>
      </c>
      <c r="M142" s="37" t="s">
        <v>163</v>
      </c>
      <c r="N142" s="37">
        <v>5</v>
      </c>
      <c r="O142" s="37" t="s">
        <v>118</v>
      </c>
      <c r="P142" s="37"/>
    </row>
    <row r="143" spans="1:16">
      <c r="A143" s="46" t="s">
        <v>881</v>
      </c>
      <c r="B143" s="46" t="s">
        <v>882</v>
      </c>
      <c r="C143" s="46" t="s">
        <v>97</v>
      </c>
      <c r="D143" s="46" t="s">
        <v>230</v>
      </c>
      <c r="E143" s="46" t="s">
        <v>110</v>
      </c>
      <c r="F143" s="46" t="s">
        <v>313</v>
      </c>
      <c r="G143" s="46" t="s">
        <v>197</v>
      </c>
      <c r="H143" s="46" t="s">
        <v>90</v>
      </c>
      <c r="I143" s="46" t="s">
        <v>883</v>
      </c>
      <c r="J143" s="46" t="s">
        <v>884</v>
      </c>
      <c r="K143" s="46">
        <v>4</v>
      </c>
      <c r="L143" s="46" t="s">
        <v>688</v>
      </c>
      <c r="M143" s="46" t="s">
        <v>72</v>
      </c>
      <c r="N143" s="46">
        <v>3</v>
      </c>
      <c r="O143" s="46" t="s">
        <v>191</v>
      </c>
      <c r="P143" s="46"/>
    </row>
    <row r="144" spans="1:16">
      <c r="A144" s="37" t="s">
        <v>885</v>
      </c>
      <c r="B144" s="37" t="s">
        <v>707</v>
      </c>
      <c r="C144" s="37" t="s">
        <v>633</v>
      </c>
      <c r="D144" s="37" t="s">
        <v>312</v>
      </c>
      <c r="E144" s="37" t="s">
        <v>195</v>
      </c>
      <c r="F144" s="37" t="s">
        <v>237</v>
      </c>
      <c r="G144" s="37" t="s">
        <v>302</v>
      </c>
      <c r="H144" s="37" t="s">
        <v>91</v>
      </c>
      <c r="I144" s="37" t="s">
        <v>886</v>
      </c>
      <c r="J144" s="37" t="s">
        <v>887</v>
      </c>
      <c r="K144" s="37">
        <v>8</v>
      </c>
      <c r="L144" s="37" t="s">
        <v>888</v>
      </c>
      <c r="M144" s="37" t="s">
        <v>172</v>
      </c>
      <c r="N144" s="37">
        <v>3</v>
      </c>
      <c r="O144" s="37" t="s">
        <v>191</v>
      </c>
      <c r="P144" s="37"/>
    </row>
    <row r="145" spans="1:16">
      <c r="A145" s="46" t="s">
        <v>889</v>
      </c>
      <c r="B145" s="46" t="s">
        <v>547</v>
      </c>
      <c r="C145" s="46" t="s">
        <v>251</v>
      </c>
      <c r="D145" s="46" t="s">
        <v>223</v>
      </c>
      <c r="E145" s="46" t="s">
        <v>345</v>
      </c>
      <c r="F145" s="46" t="s">
        <v>158</v>
      </c>
      <c r="G145" s="46" t="s">
        <v>197</v>
      </c>
      <c r="H145" s="46" t="s">
        <v>90</v>
      </c>
      <c r="I145" s="46" t="s">
        <v>778</v>
      </c>
      <c r="J145" s="46" t="s">
        <v>890</v>
      </c>
      <c r="K145" s="46">
        <v>6</v>
      </c>
      <c r="L145" s="46" t="s">
        <v>891</v>
      </c>
      <c r="M145" s="46" t="s">
        <v>200</v>
      </c>
      <c r="N145" s="46">
        <v>2</v>
      </c>
      <c r="O145" s="46" t="s">
        <v>131</v>
      </c>
      <c r="P145" s="46"/>
    </row>
    <row r="146" spans="1:16">
      <c r="A146" s="37" t="s">
        <v>892</v>
      </c>
      <c r="B146" s="37" t="s">
        <v>332</v>
      </c>
      <c r="C146" s="37" t="s">
        <v>282</v>
      </c>
      <c r="D146" s="37" t="s">
        <v>312</v>
      </c>
      <c r="E146" s="37" t="s">
        <v>147</v>
      </c>
      <c r="F146" s="37" t="s">
        <v>237</v>
      </c>
      <c r="G146" s="37" t="s">
        <v>264</v>
      </c>
      <c r="H146" s="37" t="s">
        <v>88</v>
      </c>
      <c r="I146" s="37" t="s">
        <v>893</v>
      </c>
      <c r="J146" s="37" t="s">
        <v>442</v>
      </c>
      <c r="K146" s="37">
        <v>6</v>
      </c>
      <c r="L146" s="37" t="s">
        <v>816</v>
      </c>
      <c r="M146" s="37" t="s">
        <v>219</v>
      </c>
      <c r="N146" s="37">
        <v>4</v>
      </c>
      <c r="O146" s="37" t="s">
        <v>152</v>
      </c>
      <c r="P146" s="37"/>
    </row>
    <row r="147" spans="1:16">
      <c r="A147" s="46" t="s">
        <v>894</v>
      </c>
      <c r="B147" s="46" t="s">
        <v>763</v>
      </c>
      <c r="C147" s="46" t="s">
        <v>174</v>
      </c>
      <c r="D147" s="46" t="s">
        <v>333</v>
      </c>
      <c r="E147" s="46" t="s">
        <v>195</v>
      </c>
      <c r="F147" s="46" t="s">
        <v>231</v>
      </c>
      <c r="G147" s="46" t="s">
        <v>264</v>
      </c>
      <c r="H147" s="46" t="s">
        <v>187</v>
      </c>
      <c r="I147" s="46" t="s">
        <v>895</v>
      </c>
      <c r="J147" s="46" t="s">
        <v>896</v>
      </c>
      <c r="K147" s="46">
        <v>6</v>
      </c>
      <c r="L147" s="46" t="s">
        <v>897</v>
      </c>
      <c r="M147" s="46" t="s">
        <v>105</v>
      </c>
      <c r="N147" s="46">
        <v>5</v>
      </c>
      <c r="O147" s="46" t="s">
        <v>191</v>
      </c>
      <c r="P147" s="46"/>
    </row>
    <row r="148" spans="1:16">
      <c r="A148" s="37" t="s">
        <v>898</v>
      </c>
      <c r="B148" s="37" t="s">
        <v>899</v>
      </c>
      <c r="C148" s="37" t="s">
        <v>212</v>
      </c>
      <c r="D148" s="37" t="s">
        <v>98</v>
      </c>
      <c r="E148" s="37" t="s">
        <v>224</v>
      </c>
      <c r="F148" s="37" t="s">
        <v>47</v>
      </c>
      <c r="G148" s="37" t="s">
        <v>139</v>
      </c>
      <c r="H148" s="37" t="s">
        <v>354</v>
      </c>
      <c r="I148" s="37" t="s">
        <v>900</v>
      </c>
      <c r="J148" s="37" t="s">
        <v>901</v>
      </c>
      <c r="K148" s="37">
        <v>4</v>
      </c>
      <c r="L148" s="37" t="s">
        <v>902</v>
      </c>
      <c r="M148" s="37" t="s">
        <v>200</v>
      </c>
      <c r="N148" s="37">
        <v>3</v>
      </c>
      <c r="O148" s="37" t="s">
        <v>152</v>
      </c>
      <c r="P148" s="37"/>
    </row>
    <row r="149" spans="1:16">
      <c r="A149" s="46" t="s">
        <v>903</v>
      </c>
      <c r="B149" s="46" t="s">
        <v>904</v>
      </c>
      <c r="C149" s="46" t="s">
        <v>174</v>
      </c>
      <c r="D149" s="46" t="s">
        <v>175</v>
      </c>
      <c r="E149" s="46" t="s">
        <v>42</v>
      </c>
      <c r="F149" s="46" t="s">
        <v>277</v>
      </c>
      <c r="G149" s="46" t="s">
        <v>168</v>
      </c>
      <c r="H149" s="46" t="s">
        <v>278</v>
      </c>
      <c r="I149" s="46" t="s">
        <v>905</v>
      </c>
      <c r="J149" s="46" t="s">
        <v>906</v>
      </c>
      <c r="K149" s="46">
        <v>4</v>
      </c>
      <c r="L149" s="46" t="s">
        <v>299</v>
      </c>
      <c r="M149" s="46" t="s">
        <v>200</v>
      </c>
      <c r="N149" s="46">
        <v>3</v>
      </c>
      <c r="O149" s="46" t="s">
        <v>131</v>
      </c>
      <c r="P149" s="46"/>
    </row>
    <row r="150" spans="1:16">
      <c r="A150" s="37" t="s">
        <v>907</v>
      </c>
      <c r="B150" s="37" t="s">
        <v>511</v>
      </c>
      <c r="C150" s="37" t="s">
        <v>135</v>
      </c>
      <c r="D150" s="37" t="s">
        <v>146</v>
      </c>
      <c r="E150" s="37" t="s">
        <v>224</v>
      </c>
      <c r="F150" s="37" t="s">
        <v>47</v>
      </c>
      <c r="G150" s="37" t="s">
        <v>334</v>
      </c>
      <c r="H150" s="37" t="s">
        <v>113</v>
      </c>
      <c r="I150" s="37" t="s">
        <v>529</v>
      </c>
      <c r="J150" s="37" t="s">
        <v>908</v>
      </c>
      <c r="K150" s="37">
        <v>4</v>
      </c>
      <c r="L150" s="37" t="s">
        <v>909</v>
      </c>
      <c r="M150" s="37" t="s">
        <v>200</v>
      </c>
      <c r="N150" s="37">
        <v>2</v>
      </c>
      <c r="O150" s="37" t="s">
        <v>152</v>
      </c>
      <c r="P150" s="37"/>
    </row>
    <row r="151" spans="1:16">
      <c r="A151" s="46" t="s">
        <v>910</v>
      </c>
      <c r="B151" s="46" t="s">
        <v>560</v>
      </c>
      <c r="C151" s="46" t="s">
        <v>340</v>
      </c>
      <c r="D151" s="46" t="s">
        <v>146</v>
      </c>
      <c r="E151" s="46" t="s">
        <v>110</v>
      </c>
      <c r="F151" s="46" t="s">
        <v>843</v>
      </c>
      <c r="G151" s="46" t="s">
        <v>168</v>
      </c>
      <c r="H151" s="46" t="s">
        <v>88</v>
      </c>
      <c r="I151" s="46" t="s">
        <v>911</v>
      </c>
      <c r="J151" s="46" t="s">
        <v>912</v>
      </c>
      <c r="K151" s="46">
        <v>6</v>
      </c>
      <c r="L151" s="46" t="s">
        <v>913</v>
      </c>
      <c r="M151" s="46" t="s">
        <v>105</v>
      </c>
      <c r="N151" s="46">
        <v>4</v>
      </c>
      <c r="O151" s="46" t="s">
        <v>131</v>
      </c>
      <c r="P151" s="46"/>
    </row>
    <row r="152" spans="1:16">
      <c r="A152" s="37" t="s">
        <v>914</v>
      </c>
      <c r="B152" s="37" t="s">
        <v>412</v>
      </c>
      <c r="C152" s="37" t="s">
        <v>32</v>
      </c>
      <c r="D152" s="37" t="s">
        <v>156</v>
      </c>
      <c r="E152" s="37" t="s">
        <v>157</v>
      </c>
      <c r="F152" s="37" t="s">
        <v>186</v>
      </c>
      <c r="G152" s="37" t="s">
        <v>87</v>
      </c>
      <c r="H152" s="37" t="s">
        <v>354</v>
      </c>
      <c r="I152" s="37" t="s">
        <v>915</v>
      </c>
      <c r="J152" s="37" t="s">
        <v>916</v>
      </c>
      <c r="K152" s="37">
        <v>4</v>
      </c>
      <c r="L152" s="37" t="s">
        <v>774</v>
      </c>
      <c r="M152" s="37" t="s">
        <v>72</v>
      </c>
      <c r="N152" s="37">
        <v>1</v>
      </c>
      <c r="O152" s="37" t="s">
        <v>79</v>
      </c>
      <c r="P152" s="37"/>
    </row>
    <row r="153" spans="1:16">
      <c r="A153" s="46" t="s">
        <v>917</v>
      </c>
      <c r="B153" s="46" t="s">
        <v>918</v>
      </c>
      <c r="C153" s="46" t="s">
        <v>251</v>
      </c>
      <c r="D153" s="46" t="s">
        <v>919</v>
      </c>
      <c r="E153" s="46" t="s">
        <v>345</v>
      </c>
      <c r="F153" s="46" t="s">
        <v>231</v>
      </c>
      <c r="G153" s="46" t="s">
        <v>470</v>
      </c>
      <c r="H153" s="46" t="s">
        <v>126</v>
      </c>
      <c r="I153" s="46" t="s">
        <v>920</v>
      </c>
      <c r="J153" s="46" t="s">
        <v>921</v>
      </c>
      <c r="K153" s="46">
        <v>6</v>
      </c>
      <c r="L153" s="46" t="s">
        <v>922</v>
      </c>
      <c r="M153" s="46" t="s">
        <v>200</v>
      </c>
      <c r="N153" s="46">
        <v>5</v>
      </c>
      <c r="O153" s="46" t="s">
        <v>131</v>
      </c>
      <c r="P153" s="46"/>
    </row>
    <row r="154" spans="1:16">
      <c r="A154" s="37" t="s">
        <v>923</v>
      </c>
      <c r="B154" s="37" t="s">
        <v>924</v>
      </c>
      <c r="C154" s="37" t="s">
        <v>90</v>
      </c>
      <c r="D154" s="37" t="s">
        <v>122</v>
      </c>
      <c r="E154" s="37" t="s">
        <v>137</v>
      </c>
      <c r="F154" s="37" t="s">
        <v>313</v>
      </c>
      <c r="G154" s="37" t="s">
        <v>401</v>
      </c>
      <c r="H154" s="37" t="s">
        <v>90</v>
      </c>
      <c r="I154" s="37" t="s">
        <v>925</v>
      </c>
      <c r="J154" s="37" t="s">
        <v>161</v>
      </c>
      <c r="K154" s="37">
        <v>6</v>
      </c>
      <c r="L154" s="37" t="s">
        <v>926</v>
      </c>
      <c r="M154" s="37" t="s">
        <v>117</v>
      </c>
      <c r="N154" s="37">
        <v>4</v>
      </c>
      <c r="O154" s="37" t="s">
        <v>152</v>
      </c>
      <c r="P154" s="37"/>
    </row>
    <row r="155" spans="1:16">
      <c r="A155" s="46" t="s">
        <v>927</v>
      </c>
      <c r="B155" s="46" t="s">
        <v>928</v>
      </c>
      <c r="C155" s="46" t="s">
        <v>340</v>
      </c>
      <c r="D155" s="46" t="s">
        <v>194</v>
      </c>
      <c r="E155" s="46" t="s">
        <v>224</v>
      </c>
      <c r="F155" s="46" t="s">
        <v>301</v>
      </c>
      <c r="G155" s="46" t="s">
        <v>125</v>
      </c>
      <c r="H155" s="46" t="s">
        <v>294</v>
      </c>
      <c r="I155" s="46" t="s">
        <v>929</v>
      </c>
      <c r="J155" s="46" t="s">
        <v>930</v>
      </c>
      <c r="K155" s="46">
        <v>4</v>
      </c>
      <c r="L155" s="46" t="s">
        <v>931</v>
      </c>
      <c r="M155" s="46" t="s">
        <v>200</v>
      </c>
      <c r="N155" s="46">
        <v>3</v>
      </c>
      <c r="O155" s="46" t="s">
        <v>118</v>
      </c>
      <c r="P155" s="46"/>
    </row>
    <row r="156" spans="1:16">
      <c r="A156" s="37" t="s">
        <v>932</v>
      </c>
      <c r="B156" s="37" t="s">
        <v>933</v>
      </c>
      <c r="C156" s="37" t="s">
        <v>91</v>
      </c>
      <c r="D156" s="37" t="s">
        <v>175</v>
      </c>
      <c r="E156" s="37" t="s">
        <v>176</v>
      </c>
      <c r="F156" s="37" t="s">
        <v>237</v>
      </c>
      <c r="G156" s="37" t="s">
        <v>159</v>
      </c>
      <c r="H156" s="37" t="s">
        <v>90</v>
      </c>
      <c r="I156" s="37" t="s">
        <v>934</v>
      </c>
      <c r="J156" s="37" t="s">
        <v>935</v>
      </c>
      <c r="K156" s="37">
        <v>8</v>
      </c>
      <c r="L156" s="37" t="s">
        <v>936</v>
      </c>
      <c r="M156" s="37" t="s">
        <v>72</v>
      </c>
      <c r="N156" s="37">
        <v>1</v>
      </c>
      <c r="O156" s="37" t="s">
        <v>79</v>
      </c>
      <c r="P156" s="37"/>
    </row>
    <row r="157" spans="1:16">
      <c r="A157" s="46" t="s">
        <v>937</v>
      </c>
      <c r="B157" s="46" t="s">
        <v>765</v>
      </c>
      <c r="C157" s="46" t="s">
        <v>243</v>
      </c>
      <c r="D157" s="46" t="s">
        <v>175</v>
      </c>
      <c r="E157" s="46" t="s">
        <v>99</v>
      </c>
      <c r="F157" s="46" t="s">
        <v>368</v>
      </c>
      <c r="G157" s="46" t="s">
        <v>257</v>
      </c>
      <c r="H157" s="46" t="s">
        <v>187</v>
      </c>
      <c r="I157" s="46" t="s">
        <v>938</v>
      </c>
      <c r="J157" s="46" t="s">
        <v>939</v>
      </c>
      <c r="K157" s="46">
        <v>4</v>
      </c>
      <c r="L157" s="46" t="s">
        <v>940</v>
      </c>
      <c r="M157" s="46" t="s">
        <v>200</v>
      </c>
      <c r="N157" s="46">
        <v>5</v>
      </c>
      <c r="O157" s="46" t="s">
        <v>286</v>
      </c>
      <c r="P157" s="46"/>
    </row>
    <row r="158" spans="1:16">
      <c r="A158" s="37" t="s">
        <v>941</v>
      </c>
      <c r="B158" s="37" t="s">
        <v>165</v>
      </c>
      <c r="C158" s="37" t="s">
        <v>243</v>
      </c>
      <c r="D158" s="37" t="s">
        <v>352</v>
      </c>
      <c r="E158" s="37" t="s">
        <v>137</v>
      </c>
      <c r="F158" s="37" t="s">
        <v>533</v>
      </c>
      <c r="G158" s="37" t="s">
        <v>380</v>
      </c>
      <c r="H158" s="37" t="s">
        <v>126</v>
      </c>
      <c r="I158" s="37" t="s">
        <v>905</v>
      </c>
      <c r="J158" s="37" t="s">
        <v>942</v>
      </c>
      <c r="K158" s="37">
        <v>8</v>
      </c>
      <c r="L158" s="37" t="s">
        <v>808</v>
      </c>
      <c r="M158" s="37" t="s">
        <v>163</v>
      </c>
      <c r="N158" s="37">
        <v>5</v>
      </c>
      <c r="O158" s="37" t="s">
        <v>118</v>
      </c>
      <c r="P158" s="37"/>
    </row>
    <row r="159" spans="1:16">
      <c r="A159" s="46" t="s">
        <v>943</v>
      </c>
      <c r="B159" s="46" t="s">
        <v>704</v>
      </c>
      <c r="C159" s="46" t="s">
        <v>566</v>
      </c>
      <c r="D159" s="46" t="s">
        <v>919</v>
      </c>
      <c r="E159" s="46" t="s">
        <v>147</v>
      </c>
      <c r="F159" s="46" t="s">
        <v>582</v>
      </c>
      <c r="G159" s="46" t="s">
        <v>401</v>
      </c>
      <c r="H159" s="46" t="s">
        <v>93</v>
      </c>
      <c r="I159" s="46" t="s">
        <v>944</v>
      </c>
      <c r="J159" s="46" t="s">
        <v>945</v>
      </c>
      <c r="K159" s="46">
        <v>6</v>
      </c>
      <c r="L159" s="46" t="s">
        <v>632</v>
      </c>
      <c r="M159" s="46" t="s">
        <v>72</v>
      </c>
      <c r="N159" s="46">
        <v>3</v>
      </c>
      <c r="O159" s="46" t="s">
        <v>131</v>
      </c>
      <c r="P159" s="46"/>
    </row>
    <row r="160" spans="1:16">
      <c r="A160" s="37" t="s">
        <v>946</v>
      </c>
      <c r="B160" s="37" t="s">
        <v>947</v>
      </c>
      <c r="C160" s="37" t="s">
        <v>54</v>
      </c>
      <c r="D160" s="37" t="s">
        <v>204</v>
      </c>
      <c r="E160" s="37" t="s">
        <v>244</v>
      </c>
      <c r="F160" s="37" t="s">
        <v>100</v>
      </c>
      <c r="G160" s="37" t="s">
        <v>346</v>
      </c>
      <c r="H160" s="37" t="s">
        <v>354</v>
      </c>
      <c r="I160" s="37" t="s">
        <v>948</v>
      </c>
      <c r="J160" s="37" t="s">
        <v>949</v>
      </c>
      <c r="K160" s="37">
        <v>4</v>
      </c>
      <c r="L160" s="37" t="s">
        <v>306</v>
      </c>
      <c r="M160" s="37" t="s">
        <v>72</v>
      </c>
      <c r="N160" s="37">
        <v>1</v>
      </c>
      <c r="O160" s="37" t="s">
        <v>191</v>
      </c>
      <c r="P160" s="37"/>
    </row>
    <row r="161" spans="1:16">
      <c r="A161" s="46" t="s">
        <v>950</v>
      </c>
      <c r="B161" s="46" t="s">
        <v>363</v>
      </c>
      <c r="C161" s="46" t="s">
        <v>155</v>
      </c>
      <c r="D161" s="46" t="s">
        <v>136</v>
      </c>
      <c r="E161" s="46" t="s">
        <v>224</v>
      </c>
      <c r="F161" s="46" t="s">
        <v>186</v>
      </c>
      <c r="G161" s="46" t="s">
        <v>159</v>
      </c>
      <c r="H161" s="46" t="s">
        <v>327</v>
      </c>
      <c r="I161" s="46" t="s">
        <v>951</v>
      </c>
      <c r="J161" s="46" t="s">
        <v>952</v>
      </c>
      <c r="K161" s="46">
        <v>2</v>
      </c>
      <c r="L161" s="46" t="s">
        <v>805</v>
      </c>
      <c r="M161" s="46" t="s">
        <v>172</v>
      </c>
      <c r="N161" s="46">
        <v>2</v>
      </c>
      <c r="O161" s="46" t="s">
        <v>152</v>
      </c>
      <c r="P161" s="46"/>
    </row>
    <row r="162" spans="1:16">
      <c r="A162" s="37" t="s">
        <v>953</v>
      </c>
      <c r="B162" s="37" t="s">
        <v>954</v>
      </c>
      <c r="C162" s="37" t="s">
        <v>300</v>
      </c>
      <c r="D162" s="37" t="s">
        <v>146</v>
      </c>
      <c r="E162" s="37" t="s">
        <v>42</v>
      </c>
      <c r="F162" s="37" t="s">
        <v>100</v>
      </c>
      <c r="G162" s="37" t="s">
        <v>346</v>
      </c>
      <c r="H162" s="37" t="s">
        <v>113</v>
      </c>
      <c r="I162" s="37" t="s">
        <v>955</v>
      </c>
      <c r="J162" s="37" t="s">
        <v>956</v>
      </c>
      <c r="K162" s="37">
        <v>6</v>
      </c>
      <c r="L162" s="37" t="s">
        <v>291</v>
      </c>
      <c r="M162" s="37" t="s">
        <v>105</v>
      </c>
      <c r="N162" s="37">
        <v>5</v>
      </c>
      <c r="O162" s="37" t="s">
        <v>131</v>
      </c>
      <c r="P162" s="37"/>
    </row>
    <row r="163" spans="1:16">
      <c r="A163" s="46" t="s">
        <v>957</v>
      </c>
      <c r="B163" s="46" t="s">
        <v>904</v>
      </c>
      <c r="C163" s="46" t="s">
        <v>54</v>
      </c>
      <c r="D163" s="46" t="s">
        <v>37</v>
      </c>
      <c r="E163" s="46" t="s">
        <v>176</v>
      </c>
      <c r="F163" s="46" t="s">
        <v>313</v>
      </c>
      <c r="G163" s="46" t="s">
        <v>101</v>
      </c>
      <c r="H163" s="46" t="s">
        <v>206</v>
      </c>
      <c r="I163" s="46" t="s">
        <v>775</v>
      </c>
      <c r="J163" s="46" t="s">
        <v>958</v>
      </c>
      <c r="K163" s="46">
        <v>8</v>
      </c>
      <c r="L163" s="46" t="s">
        <v>959</v>
      </c>
      <c r="M163" s="46" t="s">
        <v>117</v>
      </c>
      <c r="N163" s="46">
        <v>5</v>
      </c>
      <c r="O163" s="46" t="s">
        <v>191</v>
      </c>
      <c r="P163" s="46"/>
    </row>
    <row r="164" spans="1:16">
      <c r="A164" s="37" t="s">
        <v>960</v>
      </c>
      <c r="B164" s="37" t="s">
        <v>961</v>
      </c>
      <c r="C164" s="37" t="s">
        <v>366</v>
      </c>
      <c r="D164" s="37" t="s">
        <v>194</v>
      </c>
      <c r="E164" s="37" t="s">
        <v>195</v>
      </c>
      <c r="F164" s="37" t="s">
        <v>100</v>
      </c>
      <c r="G164" s="37" t="s">
        <v>87</v>
      </c>
      <c r="H164" s="37" t="s">
        <v>32</v>
      </c>
      <c r="I164" s="37" t="s">
        <v>962</v>
      </c>
      <c r="J164" s="37" t="s">
        <v>963</v>
      </c>
      <c r="K164" s="37">
        <v>8</v>
      </c>
      <c r="L164" s="37" t="s">
        <v>508</v>
      </c>
      <c r="M164" s="37" t="s">
        <v>172</v>
      </c>
      <c r="N164" s="37">
        <v>4</v>
      </c>
      <c r="O164" s="37" t="s">
        <v>118</v>
      </c>
      <c r="P164" s="37"/>
    </row>
    <row r="165" spans="1:16">
      <c r="A165" s="46" t="s">
        <v>964</v>
      </c>
      <c r="B165" s="46" t="s">
        <v>965</v>
      </c>
      <c r="C165" s="46" t="s">
        <v>88</v>
      </c>
      <c r="D165" s="46" t="s">
        <v>270</v>
      </c>
      <c r="E165" s="46" t="s">
        <v>42</v>
      </c>
      <c r="F165" s="46" t="s">
        <v>498</v>
      </c>
      <c r="G165" s="46" t="s">
        <v>346</v>
      </c>
      <c r="H165" s="46" t="s">
        <v>113</v>
      </c>
      <c r="I165" s="46" t="s">
        <v>127</v>
      </c>
      <c r="J165" s="46" t="s">
        <v>966</v>
      </c>
      <c r="K165" s="46">
        <v>6</v>
      </c>
      <c r="L165" s="46" t="s">
        <v>967</v>
      </c>
      <c r="M165" s="46" t="s">
        <v>219</v>
      </c>
      <c r="N165" s="46">
        <v>5</v>
      </c>
      <c r="O165" s="46" t="s">
        <v>191</v>
      </c>
      <c r="P165" s="46"/>
    </row>
    <row r="166" spans="1:16">
      <c r="A166" s="37" t="s">
        <v>968</v>
      </c>
      <c r="B166" s="37" t="s">
        <v>969</v>
      </c>
      <c r="C166" s="37" t="s">
        <v>135</v>
      </c>
      <c r="D166" s="37" t="s">
        <v>213</v>
      </c>
      <c r="E166" s="37" t="s">
        <v>110</v>
      </c>
      <c r="F166" s="37" t="s">
        <v>148</v>
      </c>
      <c r="G166" s="37" t="s">
        <v>418</v>
      </c>
      <c r="H166" s="37" t="s">
        <v>54</v>
      </c>
      <c r="I166" s="37" t="s">
        <v>970</v>
      </c>
      <c r="J166" s="37" t="s">
        <v>971</v>
      </c>
      <c r="K166" s="37">
        <v>6</v>
      </c>
      <c r="L166" s="37" t="s">
        <v>972</v>
      </c>
      <c r="M166" s="37" t="s">
        <v>219</v>
      </c>
      <c r="N166" s="37">
        <v>5</v>
      </c>
      <c r="O166" s="37" t="s">
        <v>131</v>
      </c>
      <c r="P166" s="37"/>
    </row>
    <row r="167" spans="1:16">
      <c r="A167" s="46" t="s">
        <v>973</v>
      </c>
      <c r="B167" s="46" t="s">
        <v>450</v>
      </c>
      <c r="C167" s="46" t="s">
        <v>32</v>
      </c>
      <c r="D167" s="46" t="s">
        <v>223</v>
      </c>
      <c r="E167" s="46" t="s">
        <v>137</v>
      </c>
      <c r="F167" s="46" t="s">
        <v>138</v>
      </c>
      <c r="G167" s="46" t="s">
        <v>112</v>
      </c>
      <c r="H167" s="46" t="s">
        <v>215</v>
      </c>
      <c r="I167" s="46" t="s">
        <v>974</v>
      </c>
      <c r="J167" s="46" t="s">
        <v>975</v>
      </c>
      <c r="K167" s="46">
        <v>6</v>
      </c>
      <c r="L167" s="46" t="s">
        <v>799</v>
      </c>
      <c r="M167" s="46" t="s">
        <v>117</v>
      </c>
      <c r="N167" s="46">
        <v>2</v>
      </c>
      <c r="O167" s="46" t="s">
        <v>152</v>
      </c>
      <c r="P167" s="46"/>
    </row>
    <row r="168" spans="1:16">
      <c r="A168" s="37" t="s">
        <v>976</v>
      </c>
      <c r="B168" s="37" t="s">
        <v>891</v>
      </c>
      <c r="C168" s="37" t="s">
        <v>243</v>
      </c>
      <c r="D168" s="37" t="s">
        <v>122</v>
      </c>
      <c r="E168" s="37" t="s">
        <v>123</v>
      </c>
      <c r="F168" s="37" t="s">
        <v>582</v>
      </c>
      <c r="G168" s="37" t="s">
        <v>264</v>
      </c>
      <c r="H168" s="37" t="s">
        <v>278</v>
      </c>
      <c r="I168" s="37" t="s">
        <v>977</v>
      </c>
      <c r="J168" s="37" t="s">
        <v>978</v>
      </c>
      <c r="K168" s="37">
        <v>4</v>
      </c>
      <c r="L168" s="37" t="s">
        <v>979</v>
      </c>
      <c r="M168" s="37" t="s">
        <v>105</v>
      </c>
      <c r="N168" s="37">
        <v>5</v>
      </c>
      <c r="O168" s="37" t="s">
        <v>118</v>
      </c>
      <c r="P168" s="37"/>
    </row>
    <row r="169" spans="1:16">
      <c r="A169" s="46" t="s">
        <v>980</v>
      </c>
      <c r="B169" s="46" t="s">
        <v>412</v>
      </c>
      <c r="C169" s="46" t="s">
        <v>300</v>
      </c>
      <c r="D169" s="46" t="s">
        <v>270</v>
      </c>
      <c r="E169" s="46" t="s">
        <v>42</v>
      </c>
      <c r="F169" s="46" t="s">
        <v>981</v>
      </c>
      <c r="G169" s="46" t="s">
        <v>197</v>
      </c>
      <c r="H169" s="46" t="s">
        <v>327</v>
      </c>
      <c r="I169" s="46" t="s">
        <v>982</v>
      </c>
      <c r="J169" s="46" t="s">
        <v>983</v>
      </c>
      <c r="K169" s="46">
        <v>4</v>
      </c>
      <c r="L169" s="46" t="s">
        <v>984</v>
      </c>
      <c r="M169" s="46" t="s">
        <v>200</v>
      </c>
      <c r="N169" s="46">
        <v>2</v>
      </c>
      <c r="O169" s="46" t="s">
        <v>79</v>
      </c>
      <c r="P169" s="46"/>
    </row>
    <row r="170" spans="1:16">
      <c r="A170" s="37" t="s">
        <v>985</v>
      </c>
      <c r="B170" s="37" t="s">
        <v>986</v>
      </c>
      <c r="C170" s="37" t="s">
        <v>340</v>
      </c>
      <c r="D170" s="37" t="s">
        <v>213</v>
      </c>
      <c r="E170" s="37" t="s">
        <v>147</v>
      </c>
      <c r="F170" s="37" t="s">
        <v>214</v>
      </c>
      <c r="G170" s="37" t="s">
        <v>380</v>
      </c>
      <c r="H170" s="37" t="s">
        <v>126</v>
      </c>
      <c r="I170" s="37" t="s">
        <v>987</v>
      </c>
      <c r="J170" s="37" t="s">
        <v>988</v>
      </c>
      <c r="K170" s="37">
        <v>8</v>
      </c>
      <c r="L170" s="37" t="s">
        <v>989</v>
      </c>
      <c r="M170" s="37" t="s">
        <v>219</v>
      </c>
      <c r="N170" s="37">
        <v>5</v>
      </c>
      <c r="O170" s="37" t="s">
        <v>152</v>
      </c>
      <c r="P170" s="37"/>
    </row>
    <row r="171" spans="1:16">
      <c r="A171" s="46" t="s">
        <v>990</v>
      </c>
      <c r="B171" s="46" t="s">
        <v>991</v>
      </c>
      <c r="C171" s="46" t="s">
        <v>374</v>
      </c>
      <c r="D171" s="46" t="s">
        <v>270</v>
      </c>
      <c r="E171" s="46" t="s">
        <v>345</v>
      </c>
      <c r="F171" s="46" t="s">
        <v>425</v>
      </c>
      <c r="G171" s="46" t="s">
        <v>139</v>
      </c>
      <c r="H171" s="46" t="s">
        <v>32</v>
      </c>
      <c r="I171" s="46" t="s">
        <v>992</v>
      </c>
      <c r="J171" s="46" t="s">
        <v>993</v>
      </c>
      <c r="K171" s="46">
        <v>6</v>
      </c>
      <c r="L171" s="46" t="s">
        <v>332</v>
      </c>
      <c r="M171" s="46" t="s">
        <v>72</v>
      </c>
      <c r="N171" s="46">
        <v>1</v>
      </c>
      <c r="O171" s="46" t="s">
        <v>131</v>
      </c>
      <c r="P171" s="46"/>
    </row>
    <row r="172" spans="1:16">
      <c r="A172" s="37" t="s">
        <v>994</v>
      </c>
      <c r="B172" s="37" t="s">
        <v>995</v>
      </c>
      <c r="C172" s="37" t="s">
        <v>282</v>
      </c>
      <c r="D172" s="37" t="s">
        <v>175</v>
      </c>
      <c r="E172" s="37" t="s">
        <v>42</v>
      </c>
      <c r="F172" s="37" t="s">
        <v>313</v>
      </c>
      <c r="G172" s="37" t="s">
        <v>418</v>
      </c>
      <c r="H172" s="37" t="s">
        <v>90</v>
      </c>
      <c r="I172" s="37" t="s">
        <v>996</v>
      </c>
      <c r="J172" s="37" t="s">
        <v>997</v>
      </c>
      <c r="K172" s="37">
        <v>6</v>
      </c>
      <c r="L172" s="37" t="s">
        <v>299</v>
      </c>
      <c r="M172" s="37" t="s">
        <v>72</v>
      </c>
      <c r="N172" s="37">
        <v>5</v>
      </c>
      <c r="O172" s="37" t="s">
        <v>191</v>
      </c>
      <c r="P172" s="37"/>
    </row>
    <row r="173" spans="1:16">
      <c r="A173" s="46" t="s">
        <v>998</v>
      </c>
      <c r="B173" s="46" t="s">
        <v>789</v>
      </c>
      <c r="C173" s="46" t="s">
        <v>374</v>
      </c>
      <c r="D173" s="46" t="s">
        <v>352</v>
      </c>
      <c r="E173" s="46" t="s">
        <v>99</v>
      </c>
      <c r="F173" s="46" t="s">
        <v>111</v>
      </c>
      <c r="G173" s="46" t="s">
        <v>101</v>
      </c>
      <c r="H173" s="46" t="s">
        <v>206</v>
      </c>
      <c r="I173" s="46" t="s">
        <v>999</v>
      </c>
      <c r="J173" s="46" t="s">
        <v>1000</v>
      </c>
      <c r="K173" s="46">
        <v>4</v>
      </c>
      <c r="L173" s="46" t="s">
        <v>1001</v>
      </c>
      <c r="M173" s="46" t="s">
        <v>143</v>
      </c>
      <c r="N173" s="46">
        <v>3</v>
      </c>
      <c r="O173" s="46" t="s">
        <v>118</v>
      </c>
      <c r="P173" s="46"/>
    </row>
    <row r="174" spans="1:16">
      <c r="A174" s="37" t="s">
        <v>1002</v>
      </c>
      <c r="B174" s="37" t="s">
        <v>1003</v>
      </c>
      <c r="C174" s="37" t="s">
        <v>282</v>
      </c>
      <c r="D174" s="37" t="s">
        <v>367</v>
      </c>
      <c r="E174" s="37" t="s">
        <v>137</v>
      </c>
      <c r="F174" s="37" t="s">
        <v>664</v>
      </c>
      <c r="G174" s="37" t="s">
        <v>380</v>
      </c>
      <c r="H174" s="37" t="s">
        <v>91</v>
      </c>
      <c r="I174" s="37" t="s">
        <v>114</v>
      </c>
      <c r="J174" s="37" t="s">
        <v>1004</v>
      </c>
      <c r="K174" s="37">
        <v>8</v>
      </c>
      <c r="L174" s="37" t="s">
        <v>1005</v>
      </c>
      <c r="M174" s="37" t="s">
        <v>72</v>
      </c>
      <c r="N174" s="37">
        <v>1</v>
      </c>
      <c r="O174" s="37" t="s">
        <v>286</v>
      </c>
      <c r="P174" s="37"/>
    </row>
    <row r="175" spans="1:16">
      <c r="A175" s="46" t="s">
        <v>1006</v>
      </c>
      <c r="B175" s="46" t="s">
        <v>363</v>
      </c>
      <c r="C175" s="46" t="s">
        <v>307</v>
      </c>
      <c r="D175" s="46" t="s">
        <v>230</v>
      </c>
      <c r="E175" s="46" t="s">
        <v>42</v>
      </c>
      <c r="F175" s="46" t="s">
        <v>271</v>
      </c>
      <c r="G175" s="46" t="s">
        <v>418</v>
      </c>
      <c r="H175" s="46" t="s">
        <v>93</v>
      </c>
      <c r="I175" s="46" t="s">
        <v>284</v>
      </c>
      <c r="J175" s="46" t="s">
        <v>1007</v>
      </c>
      <c r="K175" s="46">
        <v>6</v>
      </c>
      <c r="L175" s="46" t="s">
        <v>1008</v>
      </c>
      <c r="M175" s="46" t="s">
        <v>143</v>
      </c>
      <c r="N175" s="46">
        <v>4</v>
      </c>
      <c r="O175" s="46" t="s">
        <v>286</v>
      </c>
      <c r="P175" s="46"/>
    </row>
    <row r="176" spans="1:16">
      <c r="A176" s="37" t="s">
        <v>1009</v>
      </c>
      <c r="B176" s="37" t="s">
        <v>1010</v>
      </c>
      <c r="C176" s="37" t="s">
        <v>97</v>
      </c>
      <c r="D176" s="37" t="s">
        <v>136</v>
      </c>
      <c r="E176" s="37" t="s">
        <v>325</v>
      </c>
      <c r="F176" s="37" t="s">
        <v>138</v>
      </c>
      <c r="G176" s="37" t="s">
        <v>380</v>
      </c>
      <c r="H176" s="37" t="s">
        <v>396</v>
      </c>
      <c r="I176" s="37" t="s">
        <v>1011</v>
      </c>
      <c r="J176" s="37" t="s">
        <v>1012</v>
      </c>
      <c r="K176" s="37">
        <v>4</v>
      </c>
      <c r="L176" s="37" t="s">
        <v>363</v>
      </c>
      <c r="M176" s="37" t="s">
        <v>172</v>
      </c>
      <c r="N176" s="37">
        <v>2</v>
      </c>
      <c r="O176" s="37" t="s">
        <v>191</v>
      </c>
      <c r="P176" s="37"/>
    </row>
    <row r="177" spans="1:16">
      <c r="A177" s="46" t="s">
        <v>1013</v>
      </c>
      <c r="B177" s="46" t="s">
        <v>641</v>
      </c>
      <c r="C177" s="46" t="s">
        <v>374</v>
      </c>
      <c r="D177" s="46" t="s">
        <v>136</v>
      </c>
      <c r="E177" s="46" t="s">
        <v>157</v>
      </c>
      <c r="F177" s="46" t="s">
        <v>1014</v>
      </c>
      <c r="G177" s="46" t="s">
        <v>380</v>
      </c>
      <c r="H177" s="46" t="s">
        <v>126</v>
      </c>
      <c r="I177" s="46" t="s">
        <v>745</v>
      </c>
      <c r="J177" s="46" t="s">
        <v>884</v>
      </c>
      <c r="K177" s="46">
        <v>6</v>
      </c>
      <c r="L177" s="46" t="s">
        <v>1015</v>
      </c>
      <c r="M177" s="46" t="s">
        <v>72</v>
      </c>
      <c r="N177" s="46">
        <v>3</v>
      </c>
      <c r="O177" s="46" t="s">
        <v>191</v>
      </c>
      <c r="P177" s="46"/>
    </row>
    <row r="178" spans="1:16">
      <c r="A178" s="37" t="s">
        <v>1016</v>
      </c>
      <c r="B178" s="37" t="s">
        <v>1017</v>
      </c>
      <c r="C178" s="37" t="s">
        <v>91</v>
      </c>
      <c r="D178" s="37" t="s">
        <v>312</v>
      </c>
      <c r="E178" s="37" t="s">
        <v>147</v>
      </c>
      <c r="F178" s="37" t="s">
        <v>582</v>
      </c>
      <c r="G178" s="37" t="s">
        <v>418</v>
      </c>
      <c r="H178" s="37" t="s">
        <v>327</v>
      </c>
      <c r="I178" s="37" t="s">
        <v>1018</v>
      </c>
      <c r="J178" s="37" t="s">
        <v>1019</v>
      </c>
      <c r="K178" s="37">
        <v>8</v>
      </c>
      <c r="L178" s="37" t="s">
        <v>104</v>
      </c>
      <c r="M178" s="37" t="s">
        <v>163</v>
      </c>
      <c r="N178" s="37">
        <v>1</v>
      </c>
      <c r="O178" s="37" t="s">
        <v>131</v>
      </c>
      <c r="P178" s="37"/>
    </row>
    <row r="179" spans="1:16">
      <c r="A179" s="46" t="s">
        <v>1020</v>
      </c>
      <c r="B179" s="46" t="s">
        <v>1021</v>
      </c>
      <c r="C179" s="46" t="s">
        <v>407</v>
      </c>
      <c r="D179" s="46" t="s">
        <v>136</v>
      </c>
      <c r="E179" s="46" t="s">
        <v>176</v>
      </c>
      <c r="F179" s="46" t="s">
        <v>452</v>
      </c>
      <c r="G179" s="46" t="s">
        <v>418</v>
      </c>
      <c r="H179" s="46" t="s">
        <v>54</v>
      </c>
      <c r="I179" s="46" t="s">
        <v>1022</v>
      </c>
      <c r="J179" s="46" t="s">
        <v>1023</v>
      </c>
      <c r="K179" s="46">
        <v>8</v>
      </c>
      <c r="L179" s="46" t="s">
        <v>597</v>
      </c>
      <c r="M179" s="46" t="s">
        <v>105</v>
      </c>
      <c r="N179" s="46">
        <v>4</v>
      </c>
      <c r="O179" s="46" t="s">
        <v>191</v>
      </c>
      <c r="P179" s="46"/>
    </row>
    <row r="180" spans="1:16">
      <c r="A180" s="37" t="s">
        <v>1024</v>
      </c>
      <c r="B180" s="37" t="s">
        <v>1025</v>
      </c>
      <c r="C180" s="37" t="s">
        <v>155</v>
      </c>
      <c r="D180" s="37" t="s">
        <v>184</v>
      </c>
      <c r="E180" s="37" t="s">
        <v>224</v>
      </c>
      <c r="F180" s="37" t="s">
        <v>205</v>
      </c>
      <c r="G180" s="37" t="s">
        <v>159</v>
      </c>
      <c r="H180" s="37" t="s">
        <v>93</v>
      </c>
      <c r="I180" s="37" t="s">
        <v>1026</v>
      </c>
      <c r="J180" s="37" t="s">
        <v>1027</v>
      </c>
      <c r="K180" s="37">
        <v>2</v>
      </c>
      <c r="L180" s="37" t="s">
        <v>1028</v>
      </c>
      <c r="M180" s="37" t="s">
        <v>105</v>
      </c>
      <c r="N180" s="37">
        <v>4</v>
      </c>
      <c r="O180" s="37" t="s">
        <v>152</v>
      </c>
      <c r="P180" s="37"/>
    </row>
    <row r="181" spans="1:16">
      <c r="A181" s="46" t="s">
        <v>1029</v>
      </c>
      <c r="B181" s="46" t="s">
        <v>1030</v>
      </c>
      <c r="C181" s="46" t="s">
        <v>407</v>
      </c>
      <c r="D181" s="46" t="s">
        <v>122</v>
      </c>
      <c r="E181" s="46" t="s">
        <v>224</v>
      </c>
      <c r="F181" s="46" t="s">
        <v>592</v>
      </c>
      <c r="G181" s="46" t="s">
        <v>139</v>
      </c>
      <c r="H181" s="46" t="s">
        <v>215</v>
      </c>
      <c r="I181" s="46" t="s">
        <v>57</v>
      </c>
      <c r="J181" s="46" t="s">
        <v>1031</v>
      </c>
      <c r="K181" s="46">
        <v>4</v>
      </c>
      <c r="L181" s="46" t="s">
        <v>1032</v>
      </c>
      <c r="M181" s="46" t="s">
        <v>219</v>
      </c>
      <c r="N181" s="46">
        <v>5</v>
      </c>
      <c r="O181" s="46" t="s">
        <v>106</v>
      </c>
      <c r="P181" s="46"/>
    </row>
    <row r="182" spans="1:16">
      <c r="A182" s="37" t="s">
        <v>1033</v>
      </c>
      <c r="B182" s="37" t="s">
        <v>1034</v>
      </c>
      <c r="C182" s="37" t="s">
        <v>54</v>
      </c>
      <c r="D182" s="37" t="s">
        <v>175</v>
      </c>
      <c r="E182" s="37" t="s">
        <v>110</v>
      </c>
      <c r="F182" s="37" t="s">
        <v>368</v>
      </c>
      <c r="G182" s="37" t="s">
        <v>168</v>
      </c>
      <c r="H182" s="37" t="s">
        <v>88</v>
      </c>
      <c r="I182" s="37" t="s">
        <v>1035</v>
      </c>
      <c r="J182" s="37" t="s">
        <v>1036</v>
      </c>
      <c r="K182" s="37">
        <v>6</v>
      </c>
      <c r="L182" s="37" t="s">
        <v>1037</v>
      </c>
      <c r="M182" s="37" t="s">
        <v>72</v>
      </c>
      <c r="N182" s="37">
        <v>3</v>
      </c>
      <c r="O182" s="37" t="s">
        <v>286</v>
      </c>
      <c r="P182" s="37"/>
    </row>
    <row r="183" spans="1:16">
      <c r="A183" s="46" t="s">
        <v>1038</v>
      </c>
      <c r="B183" s="46" t="s">
        <v>1039</v>
      </c>
      <c r="C183" s="46" t="s">
        <v>88</v>
      </c>
      <c r="D183" s="46" t="s">
        <v>223</v>
      </c>
      <c r="E183" s="46" t="s">
        <v>345</v>
      </c>
      <c r="F183" s="46" t="s">
        <v>167</v>
      </c>
      <c r="G183" s="46" t="s">
        <v>334</v>
      </c>
      <c r="H183" s="46" t="s">
        <v>354</v>
      </c>
      <c r="I183" s="46" t="s">
        <v>265</v>
      </c>
      <c r="J183" s="46" t="s">
        <v>1040</v>
      </c>
      <c r="K183" s="46">
        <v>6</v>
      </c>
      <c r="L183" s="46" t="s">
        <v>707</v>
      </c>
      <c r="M183" s="46" t="s">
        <v>219</v>
      </c>
      <c r="N183" s="46">
        <v>5</v>
      </c>
      <c r="O183" s="46" t="s">
        <v>79</v>
      </c>
      <c r="P183" s="46"/>
    </row>
    <row r="184" spans="1:16">
      <c r="A184" s="37" t="s">
        <v>1041</v>
      </c>
      <c r="B184" s="37" t="s">
        <v>855</v>
      </c>
      <c r="C184" s="37" t="s">
        <v>222</v>
      </c>
      <c r="D184" s="37" t="s">
        <v>146</v>
      </c>
      <c r="E184" s="37" t="s">
        <v>42</v>
      </c>
      <c r="F184" s="37" t="s">
        <v>167</v>
      </c>
      <c r="G184" s="37" t="s">
        <v>101</v>
      </c>
      <c r="H184" s="37" t="s">
        <v>187</v>
      </c>
      <c r="I184" s="37" t="s">
        <v>1042</v>
      </c>
      <c r="J184" s="37" t="s">
        <v>1043</v>
      </c>
      <c r="K184" s="37">
        <v>4</v>
      </c>
      <c r="L184" s="37" t="s">
        <v>199</v>
      </c>
      <c r="M184" s="37" t="s">
        <v>163</v>
      </c>
      <c r="N184" s="37">
        <v>4</v>
      </c>
      <c r="O184" s="37" t="s">
        <v>79</v>
      </c>
      <c r="P184" s="37"/>
    </row>
    <row r="185" spans="1:16">
      <c r="A185" s="46" t="s">
        <v>1044</v>
      </c>
      <c r="B185" s="46" t="s">
        <v>1045</v>
      </c>
      <c r="C185" s="46" t="s">
        <v>203</v>
      </c>
      <c r="D185" s="46" t="s">
        <v>184</v>
      </c>
      <c r="E185" s="46" t="s">
        <v>325</v>
      </c>
      <c r="F185" s="46" t="s">
        <v>214</v>
      </c>
      <c r="G185" s="46" t="s">
        <v>302</v>
      </c>
      <c r="H185" s="46" t="s">
        <v>294</v>
      </c>
      <c r="I185" s="46" t="s">
        <v>1046</v>
      </c>
      <c r="J185" s="46" t="s">
        <v>1047</v>
      </c>
      <c r="K185" s="46">
        <v>4</v>
      </c>
      <c r="L185" s="46" t="s">
        <v>1048</v>
      </c>
      <c r="M185" s="46" t="s">
        <v>219</v>
      </c>
      <c r="N185" s="46">
        <v>4</v>
      </c>
      <c r="O185" s="46" t="s">
        <v>191</v>
      </c>
      <c r="P185" s="46"/>
    </row>
    <row r="186" spans="1:16">
      <c r="A186" s="37" t="s">
        <v>1049</v>
      </c>
      <c r="B186" s="37" t="s">
        <v>1050</v>
      </c>
      <c r="C186" s="37" t="s">
        <v>166</v>
      </c>
      <c r="D186" s="37" t="s">
        <v>122</v>
      </c>
      <c r="E186" s="37" t="s">
        <v>99</v>
      </c>
      <c r="F186" s="37" t="s">
        <v>368</v>
      </c>
      <c r="G186" s="37" t="s">
        <v>51</v>
      </c>
      <c r="H186" s="37" t="s">
        <v>93</v>
      </c>
      <c r="I186" s="37" t="s">
        <v>1051</v>
      </c>
      <c r="J186" s="37" t="s">
        <v>1052</v>
      </c>
      <c r="K186" s="37">
        <v>4</v>
      </c>
      <c r="L186" s="37" t="s">
        <v>410</v>
      </c>
      <c r="M186" s="37" t="s">
        <v>624</v>
      </c>
      <c r="N186" s="37"/>
      <c r="O186" s="37" t="s">
        <v>181</v>
      </c>
      <c r="P186" s="37" t="s">
        <v>83</v>
      </c>
    </row>
    <row r="187" spans="1:16">
      <c r="A187" s="46" t="s">
        <v>1053</v>
      </c>
      <c r="B187" s="46" t="s">
        <v>1054</v>
      </c>
      <c r="C187" s="46" t="s">
        <v>633</v>
      </c>
      <c r="D187" s="46" t="s">
        <v>175</v>
      </c>
      <c r="E187" s="46" t="s">
        <v>110</v>
      </c>
      <c r="F187" s="46" t="s">
        <v>326</v>
      </c>
      <c r="G187" s="46" t="s">
        <v>51</v>
      </c>
      <c r="H187" s="46" t="s">
        <v>93</v>
      </c>
      <c r="I187" s="46" t="s">
        <v>198</v>
      </c>
      <c r="J187" s="46" t="s">
        <v>530</v>
      </c>
      <c r="K187" s="46">
        <v>4</v>
      </c>
      <c r="L187" s="46" t="s">
        <v>729</v>
      </c>
      <c r="M187" s="46" t="s">
        <v>72</v>
      </c>
      <c r="N187" s="46">
        <v>1</v>
      </c>
      <c r="O187" s="46" t="s">
        <v>79</v>
      </c>
      <c r="P187" s="46"/>
    </row>
    <row r="188" spans="1:16">
      <c r="A188" s="37" t="s">
        <v>1055</v>
      </c>
      <c r="B188" s="37" t="s">
        <v>1056</v>
      </c>
      <c r="C188" s="37" t="s">
        <v>469</v>
      </c>
      <c r="D188" s="37" t="s">
        <v>122</v>
      </c>
      <c r="E188" s="37" t="s">
        <v>185</v>
      </c>
      <c r="F188" s="37" t="s">
        <v>138</v>
      </c>
      <c r="G188" s="37" t="s">
        <v>139</v>
      </c>
      <c r="H188" s="37" t="s">
        <v>215</v>
      </c>
      <c r="I188" s="37" t="s">
        <v>1057</v>
      </c>
      <c r="J188" s="37" t="s">
        <v>1058</v>
      </c>
      <c r="K188" s="37">
        <v>6</v>
      </c>
      <c r="L188" s="37" t="s">
        <v>1059</v>
      </c>
      <c r="M188" s="37" t="s">
        <v>105</v>
      </c>
      <c r="N188" s="37">
        <v>5</v>
      </c>
      <c r="O188" s="37" t="s">
        <v>191</v>
      </c>
      <c r="P188" s="37"/>
    </row>
    <row r="189" spans="1:16">
      <c r="A189" s="46" t="s">
        <v>1060</v>
      </c>
      <c r="B189" s="46" t="s">
        <v>1061</v>
      </c>
      <c r="C189" s="46" t="s">
        <v>212</v>
      </c>
      <c r="D189" s="46" t="s">
        <v>230</v>
      </c>
      <c r="E189" s="46" t="s">
        <v>224</v>
      </c>
      <c r="F189" s="46" t="s">
        <v>158</v>
      </c>
      <c r="G189" s="46" t="s">
        <v>125</v>
      </c>
      <c r="H189" s="46" t="s">
        <v>396</v>
      </c>
      <c r="I189" s="46" t="s">
        <v>1062</v>
      </c>
      <c r="J189" s="46" t="s">
        <v>1063</v>
      </c>
      <c r="K189" s="46">
        <v>4</v>
      </c>
      <c r="L189" s="46" t="s">
        <v>1064</v>
      </c>
      <c r="M189" s="46" t="s">
        <v>200</v>
      </c>
      <c r="N189" s="46">
        <v>2</v>
      </c>
      <c r="O189" s="46" t="s">
        <v>181</v>
      </c>
      <c r="P189" s="46"/>
    </row>
    <row r="190" spans="1:16">
      <c r="A190" s="37" t="s">
        <v>1065</v>
      </c>
      <c r="B190" s="37" t="s">
        <v>388</v>
      </c>
      <c r="C190" s="37" t="s">
        <v>222</v>
      </c>
      <c r="D190" s="37" t="s">
        <v>544</v>
      </c>
      <c r="E190" s="37" t="s">
        <v>224</v>
      </c>
      <c r="F190" s="37" t="s">
        <v>425</v>
      </c>
      <c r="G190" s="37" t="s">
        <v>168</v>
      </c>
      <c r="H190" s="37" t="s">
        <v>278</v>
      </c>
      <c r="I190" s="37" t="s">
        <v>1066</v>
      </c>
      <c r="J190" s="37" t="s">
        <v>1067</v>
      </c>
      <c r="K190" s="37">
        <v>2</v>
      </c>
      <c r="L190" s="37" t="s">
        <v>1068</v>
      </c>
      <c r="M190" s="37" t="s">
        <v>72</v>
      </c>
      <c r="N190" s="37">
        <v>3</v>
      </c>
      <c r="O190" s="37" t="s">
        <v>131</v>
      </c>
      <c r="P190" s="37"/>
    </row>
    <row r="191" spans="1:16">
      <c r="A191" s="46" t="s">
        <v>1069</v>
      </c>
      <c r="B191" s="46" t="s">
        <v>129</v>
      </c>
      <c r="C191" s="46" t="s">
        <v>340</v>
      </c>
      <c r="D191" s="46" t="s">
        <v>919</v>
      </c>
      <c r="E191" s="46" t="s">
        <v>185</v>
      </c>
      <c r="F191" s="46" t="s">
        <v>100</v>
      </c>
      <c r="G191" s="46" t="s">
        <v>139</v>
      </c>
      <c r="H191" s="46" t="s">
        <v>215</v>
      </c>
      <c r="I191" s="46" t="s">
        <v>1070</v>
      </c>
      <c r="J191" s="46" t="s">
        <v>1071</v>
      </c>
      <c r="K191" s="46">
        <v>4</v>
      </c>
      <c r="L191" s="46" t="s">
        <v>1072</v>
      </c>
      <c r="M191" s="46" t="s">
        <v>130</v>
      </c>
      <c r="N191" s="46"/>
      <c r="O191" s="46" t="s">
        <v>118</v>
      </c>
      <c r="P191" s="46" t="s">
        <v>132</v>
      </c>
    </row>
    <row r="192" spans="1:16">
      <c r="A192" s="37" t="s">
        <v>1073</v>
      </c>
      <c r="B192" s="37" t="s">
        <v>1074</v>
      </c>
      <c r="C192" s="37" t="s">
        <v>212</v>
      </c>
      <c r="D192" s="37" t="s">
        <v>122</v>
      </c>
      <c r="E192" s="37" t="s">
        <v>440</v>
      </c>
      <c r="F192" s="37" t="s">
        <v>430</v>
      </c>
      <c r="G192" s="37" t="s">
        <v>334</v>
      </c>
      <c r="H192" s="37" t="s">
        <v>113</v>
      </c>
      <c r="I192" s="37" t="s">
        <v>792</v>
      </c>
      <c r="J192" s="37" t="s">
        <v>1075</v>
      </c>
      <c r="K192" s="37">
        <v>8</v>
      </c>
      <c r="L192" s="37" t="s">
        <v>918</v>
      </c>
      <c r="M192" s="37" t="s">
        <v>143</v>
      </c>
      <c r="N192" s="37">
        <v>2</v>
      </c>
      <c r="O192" s="37" t="s">
        <v>131</v>
      </c>
      <c r="P192" s="37"/>
    </row>
    <row r="193" spans="1:16">
      <c r="A193" s="46" t="s">
        <v>1076</v>
      </c>
      <c r="B193" s="46" t="s">
        <v>466</v>
      </c>
      <c r="C193" s="46" t="s">
        <v>633</v>
      </c>
      <c r="D193" s="46" t="s">
        <v>352</v>
      </c>
      <c r="E193" s="46" t="s">
        <v>195</v>
      </c>
      <c r="F193" s="46" t="s">
        <v>313</v>
      </c>
      <c r="G193" s="46" t="s">
        <v>112</v>
      </c>
      <c r="H193" s="46" t="s">
        <v>113</v>
      </c>
      <c r="I193" s="46" t="s">
        <v>1077</v>
      </c>
      <c r="J193" s="46" t="s">
        <v>247</v>
      </c>
      <c r="K193" s="46">
        <v>8</v>
      </c>
      <c r="L193" s="46" t="s">
        <v>1078</v>
      </c>
      <c r="M193" s="46" t="s">
        <v>163</v>
      </c>
      <c r="N193" s="46">
        <v>5</v>
      </c>
      <c r="O193" s="46" t="s">
        <v>118</v>
      </c>
      <c r="P193" s="46"/>
    </row>
    <row r="194" spans="1:16">
      <c r="A194" s="37" t="s">
        <v>1079</v>
      </c>
      <c r="B194" s="37" t="s">
        <v>1080</v>
      </c>
      <c r="C194" s="37" t="s">
        <v>54</v>
      </c>
      <c r="D194" s="37" t="s">
        <v>312</v>
      </c>
      <c r="E194" s="37" t="s">
        <v>195</v>
      </c>
      <c r="F194" s="37" t="s">
        <v>148</v>
      </c>
      <c r="G194" s="37" t="s">
        <v>346</v>
      </c>
      <c r="H194" s="37" t="s">
        <v>354</v>
      </c>
      <c r="I194" s="37" t="s">
        <v>1081</v>
      </c>
      <c r="J194" s="37" t="s">
        <v>1082</v>
      </c>
      <c r="K194" s="37">
        <v>8</v>
      </c>
      <c r="L194" s="37" t="s">
        <v>1083</v>
      </c>
      <c r="M194" s="37" t="s">
        <v>143</v>
      </c>
      <c r="N194" s="37">
        <v>1</v>
      </c>
      <c r="O194" s="37" t="s">
        <v>286</v>
      </c>
      <c r="P194" s="37"/>
    </row>
    <row r="195" spans="1:16">
      <c r="A195" s="46" t="s">
        <v>1084</v>
      </c>
      <c r="B195" s="46" t="s">
        <v>1085</v>
      </c>
      <c r="C195" s="46" t="s">
        <v>374</v>
      </c>
      <c r="D195" s="46" t="s">
        <v>333</v>
      </c>
      <c r="E195" s="46" t="s">
        <v>176</v>
      </c>
      <c r="F195" s="46" t="s">
        <v>283</v>
      </c>
      <c r="G195" s="46" t="s">
        <v>125</v>
      </c>
      <c r="H195" s="46" t="s">
        <v>294</v>
      </c>
      <c r="I195" s="46" t="s">
        <v>1086</v>
      </c>
      <c r="J195" s="46" t="s">
        <v>701</v>
      </c>
      <c r="K195" s="46">
        <v>8</v>
      </c>
      <c r="L195" s="46" t="s">
        <v>1087</v>
      </c>
      <c r="M195" s="46" t="s">
        <v>143</v>
      </c>
      <c r="N195" s="46">
        <v>2</v>
      </c>
      <c r="O195" s="46" t="s">
        <v>286</v>
      </c>
      <c r="P195" s="46"/>
    </row>
    <row r="196" spans="1:16">
      <c r="A196" s="37" t="s">
        <v>1088</v>
      </c>
      <c r="B196" s="37" t="s">
        <v>1089</v>
      </c>
      <c r="C196" s="37" t="s">
        <v>212</v>
      </c>
      <c r="D196" s="37" t="s">
        <v>156</v>
      </c>
      <c r="E196" s="37" t="s">
        <v>325</v>
      </c>
      <c r="F196" s="37" t="s">
        <v>430</v>
      </c>
      <c r="G196" s="37" t="s">
        <v>197</v>
      </c>
      <c r="H196" s="37" t="s">
        <v>90</v>
      </c>
      <c r="I196" s="37" t="s">
        <v>1090</v>
      </c>
      <c r="J196" s="37" t="s">
        <v>1091</v>
      </c>
      <c r="K196" s="37">
        <v>4</v>
      </c>
      <c r="L196" s="37" t="s">
        <v>1092</v>
      </c>
      <c r="M196" s="37" t="s">
        <v>163</v>
      </c>
      <c r="N196" s="37">
        <v>2</v>
      </c>
      <c r="O196" s="37" t="s">
        <v>286</v>
      </c>
      <c r="P196" s="37"/>
    </row>
    <row r="197" spans="1:16">
      <c r="A197" s="46" t="s">
        <v>1093</v>
      </c>
      <c r="B197" s="46" t="s">
        <v>574</v>
      </c>
      <c r="C197" s="46" t="s">
        <v>340</v>
      </c>
      <c r="D197" s="46" t="s">
        <v>544</v>
      </c>
      <c r="E197" s="46" t="s">
        <v>123</v>
      </c>
      <c r="F197" s="46" t="s">
        <v>138</v>
      </c>
      <c r="G197" s="46" t="s">
        <v>168</v>
      </c>
      <c r="H197" s="46" t="s">
        <v>187</v>
      </c>
      <c r="I197" s="46" t="s">
        <v>1094</v>
      </c>
      <c r="J197" s="46" t="s">
        <v>1095</v>
      </c>
      <c r="K197" s="46">
        <v>4</v>
      </c>
      <c r="L197" s="46" t="s">
        <v>1096</v>
      </c>
      <c r="M197" s="46" t="s">
        <v>219</v>
      </c>
      <c r="N197" s="46">
        <v>4</v>
      </c>
      <c r="O197" s="46" t="s">
        <v>181</v>
      </c>
      <c r="P197" s="46"/>
    </row>
    <row r="198" spans="1:16">
      <c r="A198" s="37" t="s">
        <v>1097</v>
      </c>
      <c r="B198" s="37" t="s">
        <v>969</v>
      </c>
      <c r="C198" s="37" t="s">
        <v>121</v>
      </c>
      <c r="D198" s="37" t="s">
        <v>367</v>
      </c>
      <c r="E198" s="37" t="s">
        <v>147</v>
      </c>
      <c r="F198" s="37" t="s">
        <v>47</v>
      </c>
      <c r="G198" s="37" t="s">
        <v>168</v>
      </c>
      <c r="H198" s="37" t="s">
        <v>187</v>
      </c>
      <c r="I198" s="37" t="s">
        <v>1098</v>
      </c>
      <c r="J198" s="37" t="s">
        <v>1099</v>
      </c>
      <c r="K198" s="37">
        <v>8</v>
      </c>
      <c r="L198" s="37" t="s">
        <v>1100</v>
      </c>
      <c r="M198" s="37" t="s">
        <v>72</v>
      </c>
      <c r="N198" s="37">
        <v>3</v>
      </c>
      <c r="O198" s="37" t="s">
        <v>131</v>
      </c>
      <c r="P198" s="37"/>
    </row>
    <row r="199" spans="1:16">
      <c r="A199" s="46" t="s">
        <v>1101</v>
      </c>
      <c r="B199" s="46" t="s">
        <v>1102</v>
      </c>
      <c r="C199" s="46" t="s">
        <v>97</v>
      </c>
      <c r="D199" s="46" t="s">
        <v>156</v>
      </c>
      <c r="E199" s="46" t="s">
        <v>123</v>
      </c>
      <c r="F199" s="46" t="s">
        <v>385</v>
      </c>
      <c r="G199" s="46" t="s">
        <v>470</v>
      </c>
      <c r="H199" s="46" t="s">
        <v>126</v>
      </c>
      <c r="I199" s="46" t="s">
        <v>1103</v>
      </c>
      <c r="J199" s="46" t="s">
        <v>1104</v>
      </c>
      <c r="K199" s="46">
        <v>4</v>
      </c>
      <c r="L199" s="46" t="s">
        <v>1105</v>
      </c>
      <c r="M199" s="46" t="s">
        <v>117</v>
      </c>
      <c r="N199" s="46">
        <v>5</v>
      </c>
      <c r="O199" s="46" t="s">
        <v>181</v>
      </c>
      <c r="P199" s="46"/>
    </row>
    <row r="200" spans="1:16">
      <c r="A200" s="37" t="s">
        <v>1106</v>
      </c>
      <c r="B200" s="37" t="s">
        <v>1107</v>
      </c>
      <c r="C200" s="37" t="s">
        <v>203</v>
      </c>
      <c r="D200" s="37" t="s">
        <v>544</v>
      </c>
      <c r="E200" s="37" t="s">
        <v>42</v>
      </c>
      <c r="F200" s="37" t="s">
        <v>582</v>
      </c>
      <c r="G200" s="37" t="s">
        <v>334</v>
      </c>
      <c r="H200" s="37" t="s">
        <v>32</v>
      </c>
      <c r="I200" s="37" t="s">
        <v>1108</v>
      </c>
      <c r="J200" s="37" t="s">
        <v>1109</v>
      </c>
      <c r="K200" s="37">
        <v>6</v>
      </c>
      <c r="L200" s="37" t="s">
        <v>421</v>
      </c>
      <c r="M200" s="37" t="s">
        <v>219</v>
      </c>
      <c r="N200" s="37">
        <v>5</v>
      </c>
      <c r="O200" s="37" t="s">
        <v>79</v>
      </c>
      <c r="P200" s="37"/>
    </row>
    <row r="201" spans="1:16">
      <c r="A201" s="46" t="s">
        <v>1110</v>
      </c>
      <c r="B201" s="46" t="s">
        <v>1111</v>
      </c>
      <c r="C201" s="46" t="s">
        <v>469</v>
      </c>
      <c r="D201" s="46" t="s">
        <v>333</v>
      </c>
      <c r="E201" s="46" t="s">
        <v>224</v>
      </c>
      <c r="F201" s="46" t="s">
        <v>1112</v>
      </c>
      <c r="G201" s="46" t="s">
        <v>159</v>
      </c>
      <c r="H201" s="46" t="s">
        <v>93</v>
      </c>
      <c r="I201" s="46" t="s">
        <v>1113</v>
      </c>
      <c r="J201" s="46" t="s">
        <v>1114</v>
      </c>
      <c r="K201" s="46">
        <v>4</v>
      </c>
      <c r="L201" s="46" t="s">
        <v>1115</v>
      </c>
      <c r="M201" s="46" t="s">
        <v>72</v>
      </c>
      <c r="N201" s="46">
        <v>3</v>
      </c>
      <c r="O201" s="46" t="s">
        <v>79</v>
      </c>
      <c r="P201" s="46"/>
    </row>
    <row r="202" spans="1:16">
      <c r="A202" s="37" t="s">
        <v>1116</v>
      </c>
      <c r="B202" s="37" t="s">
        <v>1117</v>
      </c>
      <c r="C202" s="37" t="s">
        <v>88</v>
      </c>
      <c r="D202" s="37" t="s">
        <v>194</v>
      </c>
      <c r="E202" s="37" t="s">
        <v>440</v>
      </c>
      <c r="F202" s="37" t="s">
        <v>425</v>
      </c>
      <c r="G202" s="37" t="s">
        <v>139</v>
      </c>
      <c r="H202" s="37" t="s">
        <v>215</v>
      </c>
      <c r="I202" s="37" t="s">
        <v>1118</v>
      </c>
      <c r="J202" s="37" t="s">
        <v>1119</v>
      </c>
      <c r="K202" s="37">
        <v>8</v>
      </c>
      <c r="L202" s="37" t="s">
        <v>1120</v>
      </c>
      <c r="M202" s="37" t="s">
        <v>72</v>
      </c>
      <c r="N202" s="37">
        <v>2</v>
      </c>
      <c r="O202" s="37" t="s">
        <v>118</v>
      </c>
      <c r="P202" s="37"/>
    </row>
    <row r="203" spans="1:16">
      <c r="A203" s="46" t="s">
        <v>1121</v>
      </c>
      <c r="B203" s="46" t="s">
        <v>1122</v>
      </c>
      <c r="C203" s="46" t="s">
        <v>135</v>
      </c>
      <c r="D203" s="46" t="s">
        <v>333</v>
      </c>
      <c r="E203" s="46" t="s">
        <v>157</v>
      </c>
      <c r="F203" s="46" t="s">
        <v>664</v>
      </c>
      <c r="G203" s="46" t="s">
        <v>401</v>
      </c>
      <c r="H203" s="46" t="s">
        <v>327</v>
      </c>
      <c r="I203" s="46" t="s">
        <v>1123</v>
      </c>
      <c r="J203" s="46" t="s">
        <v>1124</v>
      </c>
      <c r="K203" s="46">
        <v>6</v>
      </c>
      <c r="L203" s="46" t="s">
        <v>1125</v>
      </c>
      <c r="M203" s="46" t="s">
        <v>163</v>
      </c>
      <c r="N203" s="46">
        <v>3</v>
      </c>
      <c r="O203" s="46" t="s">
        <v>181</v>
      </c>
      <c r="P203" s="46"/>
    </row>
    <row r="204" spans="1:16">
      <c r="A204" s="37" t="s">
        <v>1126</v>
      </c>
      <c r="B204" s="37" t="s">
        <v>1127</v>
      </c>
      <c r="C204" s="37" t="s">
        <v>566</v>
      </c>
      <c r="D204" s="37" t="s">
        <v>156</v>
      </c>
      <c r="E204" s="37" t="s">
        <v>224</v>
      </c>
      <c r="F204" s="37" t="s">
        <v>612</v>
      </c>
      <c r="G204" s="37" t="s">
        <v>125</v>
      </c>
      <c r="H204" s="37" t="s">
        <v>396</v>
      </c>
      <c r="I204" s="37" t="s">
        <v>1128</v>
      </c>
      <c r="J204" s="37" t="s">
        <v>1129</v>
      </c>
      <c r="K204" s="37">
        <v>4</v>
      </c>
      <c r="L204" s="37" t="s">
        <v>989</v>
      </c>
      <c r="M204" s="37" t="s">
        <v>143</v>
      </c>
      <c r="N204" s="37">
        <v>2</v>
      </c>
      <c r="O204" s="37" t="s">
        <v>286</v>
      </c>
      <c r="P204" s="37"/>
    </row>
    <row r="205" spans="1:16">
      <c r="A205" s="46" t="s">
        <v>1130</v>
      </c>
      <c r="B205" s="46" t="s">
        <v>1131</v>
      </c>
      <c r="C205" s="46" t="s">
        <v>282</v>
      </c>
      <c r="D205" s="46" t="s">
        <v>270</v>
      </c>
      <c r="E205" s="46" t="s">
        <v>325</v>
      </c>
      <c r="F205" s="46" t="s">
        <v>186</v>
      </c>
      <c r="G205" s="46" t="s">
        <v>139</v>
      </c>
      <c r="H205" s="46" t="s">
        <v>32</v>
      </c>
      <c r="I205" s="46" t="s">
        <v>1132</v>
      </c>
      <c r="J205" s="46" t="s">
        <v>1133</v>
      </c>
      <c r="K205" s="46">
        <v>4</v>
      </c>
      <c r="L205" s="46" t="s">
        <v>1134</v>
      </c>
      <c r="M205" s="46" t="s">
        <v>72</v>
      </c>
      <c r="N205" s="46">
        <v>1</v>
      </c>
      <c r="O205" s="46" t="s">
        <v>181</v>
      </c>
      <c r="P205" s="46"/>
    </row>
    <row r="206" spans="1:16">
      <c r="A206" s="37" t="s">
        <v>1135</v>
      </c>
      <c r="B206" s="37" t="s">
        <v>758</v>
      </c>
      <c r="C206" s="37" t="s">
        <v>424</v>
      </c>
      <c r="D206" s="37" t="s">
        <v>37</v>
      </c>
      <c r="E206" s="37" t="s">
        <v>244</v>
      </c>
      <c r="F206" s="37" t="s">
        <v>111</v>
      </c>
      <c r="G206" s="37" t="s">
        <v>125</v>
      </c>
      <c r="H206" s="37" t="s">
        <v>91</v>
      </c>
      <c r="I206" s="37" t="s">
        <v>1136</v>
      </c>
      <c r="J206" s="37" t="s">
        <v>1137</v>
      </c>
      <c r="K206" s="37">
        <v>4</v>
      </c>
      <c r="L206" s="37" t="s">
        <v>1138</v>
      </c>
      <c r="M206" s="37" t="s">
        <v>200</v>
      </c>
      <c r="N206" s="37">
        <v>1</v>
      </c>
      <c r="O206" s="37" t="s">
        <v>191</v>
      </c>
      <c r="P206" s="37"/>
    </row>
    <row r="207" spans="1:16">
      <c r="A207" s="46" t="s">
        <v>1139</v>
      </c>
      <c r="B207" s="46" t="s">
        <v>739</v>
      </c>
      <c r="C207" s="46" t="s">
        <v>174</v>
      </c>
      <c r="D207" s="46" t="s">
        <v>352</v>
      </c>
      <c r="E207" s="46" t="s">
        <v>325</v>
      </c>
      <c r="F207" s="46" t="s">
        <v>47</v>
      </c>
      <c r="G207" s="46" t="s">
        <v>89</v>
      </c>
      <c r="H207" s="46" t="s">
        <v>187</v>
      </c>
      <c r="I207" s="46" t="s">
        <v>1140</v>
      </c>
      <c r="J207" s="46" t="s">
        <v>1141</v>
      </c>
      <c r="K207" s="46">
        <v>2</v>
      </c>
      <c r="L207" s="46" t="s">
        <v>1142</v>
      </c>
      <c r="M207" s="46" t="s">
        <v>105</v>
      </c>
      <c r="N207" s="46">
        <v>5</v>
      </c>
      <c r="O207" s="46" t="s">
        <v>181</v>
      </c>
      <c r="P207" s="46"/>
    </row>
    <row r="208" spans="1:16">
      <c r="A208" s="37" t="s">
        <v>1143</v>
      </c>
      <c r="B208" s="37" t="s">
        <v>1144</v>
      </c>
      <c r="C208" s="37" t="s">
        <v>109</v>
      </c>
      <c r="D208" s="37" t="s">
        <v>175</v>
      </c>
      <c r="E208" s="37" t="s">
        <v>176</v>
      </c>
      <c r="F208" s="37" t="s">
        <v>1145</v>
      </c>
      <c r="G208" s="37" t="s">
        <v>139</v>
      </c>
      <c r="H208" s="37" t="s">
        <v>32</v>
      </c>
      <c r="I208" s="37" t="s">
        <v>1146</v>
      </c>
      <c r="J208" s="37" t="s">
        <v>115</v>
      </c>
      <c r="K208" s="37">
        <v>8</v>
      </c>
      <c r="L208" s="37" t="s">
        <v>1147</v>
      </c>
      <c r="M208" s="37" t="s">
        <v>172</v>
      </c>
      <c r="N208" s="37">
        <v>1</v>
      </c>
      <c r="O208" s="37" t="s">
        <v>152</v>
      </c>
      <c r="P208" s="37"/>
    </row>
    <row r="209" spans="1:16">
      <c r="A209" s="46" t="s">
        <v>1148</v>
      </c>
      <c r="B209" s="46" t="s">
        <v>1149</v>
      </c>
      <c r="C209" s="46" t="s">
        <v>135</v>
      </c>
      <c r="D209" s="46" t="s">
        <v>122</v>
      </c>
      <c r="E209" s="46" t="s">
        <v>224</v>
      </c>
      <c r="F209" s="46" t="s">
        <v>196</v>
      </c>
      <c r="G209" s="46" t="s">
        <v>125</v>
      </c>
      <c r="H209" s="46" t="s">
        <v>294</v>
      </c>
      <c r="I209" s="46" t="s">
        <v>1150</v>
      </c>
      <c r="J209" s="46" t="s">
        <v>1151</v>
      </c>
      <c r="K209" s="46">
        <v>4</v>
      </c>
      <c r="L209" s="46" t="s">
        <v>1152</v>
      </c>
      <c r="M209" s="46" t="s">
        <v>72</v>
      </c>
      <c r="N209" s="46">
        <v>1</v>
      </c>
      <c r="O209" s="46" t="s">
        <v>181</v>
      </c>
      <c r="P209" s="46"/>
    </row>
    <row r="210" spans="1:16">
      <c r="A210" s="37" t="s">
        <v>1153</v>
      </c>
      <c r="B210" s="37" t="s">
        <v>574</v>
      </c>
      <c r="C210" s="37" t="s">
        <v>88</v>
      </c>
      <c r="D210" s="37" t="s">
        <v>213</v>
      </c>
      <c r="E210" s="37" t="s">
        <v>440</v>
      </c>
      <c r="F210" s="37" t="s">
        <v>214</v>
      </c>
      <c r="G210" s="37" t="s">
        <v>380</v>
      </c>
      <c r="H210" s="37" t="s">
        <v>294</v>
      </c>
      <c r="I210" s="37" t="s">
        <v>1154</v>
      </c>
      <c r="J210" s="37" t="s">
        <v>1155</v>
      </c>
      <c r="K210" s="37">
        <v>8</v>
      </c>
      <c r="L210" s="37"/>
      <c r="M210" s="37" t="s">
        <v>1156</v>
      </c>
      <c r="N210" s="37"/>
      <c r="O210" s="37" t="s">
        <v>106</v>
      </c>
      <c r="P210" s="37"/>
    </row>
    <row r="211" spans="1:16">
      <c r="A211" s="46" t="s">
        <v>1157</v>
      </c>
      <c r="B211" s="46" t="s">
        <v>1158</v>
      </c>
      <c r="C211" s="46" t="s">
        <v>340</v>
      </c>
      <c r="D211" s="46" t="s">
        <v>352</v>
      </c>
      <c r="E211" s="46" t="s">
        <v>244</v>
      </c>
      <c r="F211" s="46" t="s">
        <v>214</v>
      </c>
      <c r="G211" s="46" t="s">
        <v>139</v>
      </c>
      <c r="H211" s="46" t="s">
        <v>215</v>
      </c>
      <c r="I211" s="46" t="s">
        <v>289</v>
      </c>
      <c r="J211" s="46" t="s">
        <v>1159</v>
      </c>
      <c r="K211" s="46">
        <v>2</v>
      </c>
      <c r="L211" s="46" t="s">
        <v>1160</v>
      </c>
      <c r="M211" s="46" t="s">
        <v>143</v>
      </c>
      <c r="N211" s="46">
        <v>2</v>
      </c>
      <c r="O211" s="46" t="s">
        <v>118</v>
      </c>
      <c r="P211" s="46"/>
    </row>
    <row r="212" spans="1:16">
      <c r="A212" s="37" t="s">
        <v>1161</v>
      </c>
      <c r="B212" s="37" t="s">
        <v>663</v>
      </c>
      <c r="C212" s="37" t="s">
        <v>340</v>
      </c>
      <c r="D212" s="37" t="s">
        <v>156</v>
      </c>
      <c r="E212" s="37" t="s">
        <v>224</v>
      </c>
      <c r="F212" s="37" t="s">
        <v>612</v>
      </c>
      <c r="G212" s="37" t="s">
        <v>302</v>
      </c>
      <c r="H212" s="37" t="s">
        <v>294</v>
      </c>
      <c r="I212" s="37" t="s">
        <v>1162</v>
      </c>
      <c r="J212" s="37" t="s">
        <v>1163</v>
      </c>
      <c r="K212" s="37">
        <v>4</v>
      </c>
      <c r="L212" s="37" t="s">
        <v>1164</v>
      </c>
      <c r="M212" s="37" t="s">
        <v>72</v>
      </c>
      <c r="N212" s="37">
        <v>3</v>
      </c>
      <c r="O212" s="37" t="s">
        <v>106</v>
      </c>
      <c r="P212" s="37"/>
    </row>
    <row r="213" spans="1:16">
      <c r="A213" s="46" t="s">
        <v>1165</v>
      </c>
      <c r="B213" s="46" t="s">
        <v>1166</v>
      </c>
      <c r="C213" s="46" t="s">
        <v>166</v>
      </c>
      <c r="D213" s="46" t="s">
        <v>919</v>
      </c>
      <c r="E213" s="46" t="s">
        <v>157</v>
      </c>
      <c r="F213" s="46" t="s">
        <v>100</v>
      </c>
      <c r="G213" s="46" t="s">
        <v>264</v>
      </c>
      <c r="H213" s="46" t="s">
        <v>206</v>
      </c>
      <c r="I213" s="46" t="s">
        <v>1167</v>
      </c>
      <c r="J213" s="46" t="s">
        <v>1168</v>
      </c>
      <c r="K213" s="46">
        <v>6</v>
      </c>
      <c r="L213" s="46" t="s">
        <v>1169</v>
      </c>
      <c r="M213" s="46" t="s">
        <v>105</v>
      </c>
      <c r="N213" s="46">
        <v>3</v>
      </c>
      <c r="O213" s="46" t="s">
        <v>79</v>
      </c>
      <c r="P213" s="46"/>
    </row>
    <row r="214" spans="1:16">
      <c r="A214" s="37" t="s">
        <v>1170</v>
      </c>
      <c r="B214" s="37" t="s">
        <v>1171</v>
      </c>
      <c r="C214" s="37" t="s">
        <v>155</v>
      </c>
      <c r="D214" s="37" t="s">
        <v>352</v>
      </c>
      <c r="E214" s="37" t="s">
        <v>325</v>
      </c>
      <c r="F214" s="37" t="s">
        <v>425</v>
      </c>
      <c r="G214" s="37" t="s">
        <v>92</v>
      </c>
      <c r="H214" s="37" t="s">
        <v>91</v>
      </c>
      <c r="I214" s="37" t="s">
        <v>628</v>
      </c>
      <c r="J214" s="37" t="s">
        <v>1172</v>
      </c>
      <c r="K214" s="37">
        <v>4</v>
      </c>
      <c r="L214" s="37" t="s">
        <v>1173</v>
      </c>
      <c r="M214" s="37" t="s">
        <v>172</v>
      </c>
      <c r="N214" s="37">
        <v>5</v>
      </c>
      <c r="O214" s="37" t="s">
        <v>106</v>
      </c>
      <c r="P214" s="37"/>
    </row>
    <row r="215" spans="1:16">
      <c r="A215" s="46" t="s">
        <v>1174</v>
      </c>
      <c r="B215" s="46" t="s">
        <v>1175</v>
      </c>
      <c r="C215" s="46" t="s">
        <v>374</v>
      </c>
      <c r="D215" s="46" t="s">
        <v>122</v>
      </c>
      <c r="E215" s="46" t="s">
        <v>440</v>
      </c>
      <c r="F215" s="46" t="s">
        <v>353</v>
      </c>
      <c r="G215" s="46" t="s">
        <v>92</v>
      </c>
      <c r="H215" s="46" t="s">
        <v>126</v>
      </c>
      <c r="I215" s="46" t="s">
        <v>1176</v>
      </c>
      <c r="J215" s="46" t="s">
        <v>1177</v>
      </c>
      <c r="K215" s="46">
        <v>8</v>
      </c>
      <c r="L215" s="46" t="s">
        <v>1166</v>
      </c>
      <c r="M215" s="46" t="s">
        <v>143</v>
      </c>
      <c r="N215" s="46">
        <v>4</v>
      </c>
      <c r="O215" s="46" t="s">
        <v>79</v>
      </c>
      <c r="P215" s="46"/>
    </row>
    <row r="216" spans="1:16">
      <c r="A216" s="37" t="s">
        <v>1178</v>
      </c>
      <c r="B216" s="37" t="s">
        <v>1179</v>
      </c>
      <c r="C216" s="37" t="s">
        <v>90</v>
      </c>
      <c r="D216" s="37" t="s">
        <v>204</v>
      </c>
      <c r="E216" s="37" t="s">
        <v>110</v>
      </c>
      <c r="F216" s="37" t="s">
        <v>385</v>
      </c>
      <c r="G216" s="37" t="s">
        <v>112</v>
      </c>
      <c r="H216" s="37" t="s">
        <v>32</v>
      </c>
      <c r="I216" s="37" t="s">
        <v>1180</v>
      </c>
      <c r="J216" s="37" t="s">
        <v>1181</v>
      </c>
      <c r="K216" s="37">
        <v>6</v>
      </c>
      <c r="L216" s="37" t="s">
        <v>1182</v>
      </c>
      <c r="M216" s="37" t="s">
        <v>200</v>
      </c>
      <c r="N216" s="37">
        <v>3</v>
      </c>
      <c r="O216" s="37" t="s">
        <v>286</v>
      </c>
      <c r="P216" s="37"/>
    </row>
    <row r="217" spans="1:16">
      <c r="A217" s="46" t="s">
        <v>1183</v>
      </c>
      <c r="B217" s="46" t="s">
        <v>835</v>
      </c>
      <c r="C217" s="46" t="s">
        <v>282</v>
      </c>
      <c r="D217" s="46" t="s">
        <v>175</v>
      </c>
      <c r="E217" s="46" t="s">
        <v>157</v>
      </c>
      <c r="F217" s="46" t="s">
        <v>368</v>
      </c>
      <c r="G217" s="46" t="s">
        <v>92</v>
      </c>
      <c r="H217" s="46" t="s">
        <v>126</v>
      </c>
      <c r="I217" s="46" t="s">
        <v>1184</v>
      </c>
      <c r="J217" s="46" t="s">
        <v>1185</v>
      </c>
      <c r="K217" s="46">
        <v>6</v>
      </c>
      <c r="L217" s="46" t="s">
        <v>697</v>
      </c>
      <c r="M217" s="46" t="s">
        <v>200</v>
      </c>
      <c r="N217" s="46">
        <v>2</v>
      </c>
      <c r="O217" s="46" t="s">
        <v>152</v>
      </c>
      <c r="P217" s="46"/>
    </row>
    <row r="218" spans="1:16">
      <c r="A218" s="37" t="s">
        <v>1186</v>
      </c>
      <c r="B218" s="37" t="s">
        <v>609</v>
      </c>
      <c r="C218" s="37" t="s">
        <v>166</v>
      </c>
      <c r="D218" s="37" t="s">
        <v>333</v>
      </c>
      <c r="E218" s="37" t="s">
        <v>224</v>
      </c>
      <c r="F218" s="37" t="s">
        <v>1145</v>
      </c>
      <c r="G218" s="37" t="s">
        <v>380</v>
      </c>
      <c r="H218" s="37" t="s">
        <v>396</v>
      </c>
      <c r="I218" s="37" t="s">
        <v>1187</v>
      </c>
      <c r="J218" s="37" t="s">
        <v>1188</v>
      </c>
      <c r="K218" s="37">
        <v>2</v>
      </c>
      <c r="L218" s="37" t="s">
        <v>697</v>
      </c>
      <c r="M218" s="37" t="s">
        <v>105</v>
      </c>
      <c r="N218" s="37">
        <v>4</v>
      </c>
      <c r="O218" s="37" t="s">
        <v>286</v>
      </c>
      <c r="P218" s="37"/>
    </row>
    <row r="219" spans="1:16">
      <c r="A219" s="46" t="s">
        <v>1189</v>
      </c>
      <c r="B219" s="46" t="s">
        <v>1190</v>
      </c>
      <c r="C219" s="46" t="s">
        <v>374</v>
      </c>
      <c r="D219" s="46" t="s">
        <v>333</v>
      </c>
      <c r="E219" s="46" t="s">
        <v>345</v>
      </c>
      <c r="F219" s="46" t="s">
        <v>148</v>
      </c>
      <c r="G219" s="46" t="s">
        <v>401</v>
      </c>
      <c r="H219" s="46" t="s">
        <v>90</v>
      </c>
      <c r="I219" s="46" t="s">
        <v>1191</v>
      </c>
      <c r="J219" s="46" t="s">
        <v>1192</v>
      </c>
      <c r="K219" s="46">
        <v>4</v>
      </c>
      <c r="L219" s="46" t="s">
        <v>1193</v>
      </c>
      <c r="M219" s="46" t="s">
        <v>117</v>
      </c>
      <c r="N219" s="46">
        <v>3</v>
      </c>
      <c r="O219" s="46" t="s">
        <v>106</v>
      </c>
      <c r="P219" s="46"/>
    </row>
    <row r="220" spans="1:16">
      <c r="A220" s="37" t="s">
        <v>1194</v>
      </c>
      <c r="B220" s="37" t="s">
        <v>1195</v>
      </c>
      <c r="C220" s="37" t="s">
        <v>633</v>
      </c>
      <c r="D220" s="37" t="s">
        <v>213</v>
      </c>
      <c r="E220" s="37" t="s">
        <v>345</v>
      </c>
      <c r="F220" s="37" t="s">
        <v>612</v>
      </c>
      <c r="G220" s="37" t="s">
        <v>89</v>
      </c>
      <c r="H220" s="37" t="s">
        <v>187</v>
      </c>
      <c r="I220" s="37" t="s">
        <v>1196</v>
      </c>
      <c r="J220" s="37" t="s">
        <v>1197</v>
      </c>
      <c r="K220" s="37">
        <v>6</v>
      </c>
      <c r="L220" s="37" t="s">
        <v>262</v>
      </c>
      <c r="M220" s="37" t="s">
        <v>219</v>
      </c>
      <c r="N220" s="37">
        <v>5</v>
      </c>
      <c r="O220" s="37" t="s">
        <v>118</v>
      </c>
      <c r="P220" s="37"/>
    </row>
    <row r="221" spans="1:16">
      <c r="A221" s="46" t="s">
        <v>1198</v>
      </c>
      <c r="B221" s="46" t="s">
        <v>926</v>
      </c>
      <c r="C221" s="46" t="s">
        <v>32</v>
      </c>
      <c r="D221" s="46" t="s">
        <v>194</v>
      </c>
      <c r="E221" s="46" t="s">
        <v>137</v>
      </c>
      <c r="F221" s="46" t="s">
        <v>498</v>
      </c>
      <c r="G221" s="46" t="s">
        <v>125</v>
      </c>
      <c r="H221" s="46" t="s">
        <v>91</v>
      </c>
      <c r="I221" s="46" t="s">
        <v>1199</v>
      </c>
      <c r="J221" s="46" t="s">
        <v>1040</v>
      </c>
      <c r="K221" s="46">
        <v>8</v>
      </c>
      <c r="L221" s="46" t="s">
        <v>742</v>
      </c>
      <c r="M221" s="46" t="s">
        <v>72</v>
      </c>
      <c r="N221" s="46">
        <v>2</v>
      </c>
      <c r="O221" s="46" t="s">
        <v>131</v>
      </c>
      <c r="P221" s="46"/>
    </row>
    <row r="222" spans="1:16">
      <c r="A222" s="37" t="s">
        <v>1200</v>
      </c>
      <c r="B222" s="37" t="s">
        <v>1010</v>
      </c>
      <c r="C222" s="37" t="s">
        <v>222</v>
      </c>
      <c r="D222" s="37" t="s">
        <v>270</v>
      </c>
      <c r="E222" s="37" t="s">
        <v>137</v>
      </c>
      <c r="F222" s="37" t="s">
        <v>353</v>
      </c>
      <c r="G222" s="37" t="s">
        <v>197</v>
      </c>
      <c r="H222" s="37" t="s">
        <v>327</v>
      </c>
      <c r="I222" s="37" t="s">
        <v>1201</v>
      </c>
      <c r="J222" s="37" t="s">
        <v>1202</v>
      </c>
      <c r="K222" s="37">
        <v>8</v>
      </c>
      <c r="L222" s="37" t="s">
        <v>1107</v>
      </c>
      <c r="M222" s="37" t="s">
        <v>219</v>
      </c>
      <c r="N222" s="37">
        <v>4</v>
      </c>
      <c r="O222" s="37" t="s">
        <v>106</v>
      </c>
      <c r="P222" s="37"/>
    </row>
    <row r="223" spans="1:16">
      <c r="A223" s="46" t="s">
        <v>1203</v>
      </c>
      <c r="B223" s="46" t="s">
        <v>134</v>
      </c>
      <c r="C223" s="46" t="s">
        <v>222</v>
      </c>
      <c r="D223" s="46" t="s">
        <v>352</v>
      </c>
      <c r="E223" s="46" t="s">
        <v>157</v>
      </c>
      <c r="F223" s="46" t="s">
        <v>664</v>
      </c>
      <c r="G223" s="46" t="s">
        <v>334</v>
      </c>
      <c r="H223" s="46" t="s">
        <v>32</v>
      </c>
      <c r="I223" s="46" t="s">
        <v>1204</v>
      </c>
      <c r="J223" s="46" t="s">
        <v>1205</v>
      </c>
      <c r="K223" s="46">
        <v>6</v>
      </c>
      <c r="L223" s="46" t="s">
        <v>506</v>
      </c>
      <c r="M223" s="46" t="s">
        <v>219</v>
      </c>
      <c r="N223" s="46">
        <v>4</v>
      </c>
      <c r="O223" s="46" t="s">
        <v>118</v>
      </c>
      <c r="P223" s="46"/>
    </row>
    <row r="224" spans="1:16">
      <c r="A224" s="37" t="s">
        <v>1206</v>
      </c>
      <c r="B224" s="37" t="s">
        <v>1207</v>
      </c>
      <c r="C224" s="37" t="s">
        <v>155</v>
      </c>
      <c r="D224" s="37" t="s">
        <v>156</v>
      </c>
      <c r="E224" s="37" t="s">
        <v>99</v>
      </c>
      <c r="F224" s="37" t="s">
        <v>301</v>
      </c>
      <c r="G224" s="37" t="s">
        <v>401</v>
      </c>
      <c r="H224" s="37" t="s">
        <v>327</v>
      </c>
      <c r="I224" s="37" t="s">
        <v>1208</v>
      </c>
      <c r="J224" s="37" t="s">
        <v>1209</v>
      </c>
      <c r="K224" s="37">
        <v>2</v>
      </c>
      <c r="L224" s="37" t="s">
        <v>1092</v>
      </c>
      <c r="M224" s="37" t="s">
        <v>117</v>
      </c>
      <c r="N224" s="37">
        <v>1</v>
      </c>
      <c r="O224" s="37" t="s">
        <v>118</v>
      </c>
      <c r="P224" s="37"/>
    </row>
    <row r="225" spans="1:16">
      <c r="A225" s="46" t="s">
        <v>1210</v>
      </c>
      <c r="B225" s="46" t="s">
        <v>1211</v>
      </c>
      <c r="C225" s="46" t="s">
        <v>155</v>
      </c>
      <c r="D225" s="46" t="s">
        <v>544</v>
      </c>
      <c r="E225" s="46" t="s">
        <v>244</v>
      </c>
      <c r="F225" s="46" t="s">
        <v>498</v>
      </c>
      <c r="G225" s="46" t="s">
        <v>197</v>
      </c>
      <c r="H225" s="46" t="s">
        <v>93</v>
      </c>
      <c r="I225" s="46" t="s">
        <v>1212</v>
      </c>
      <c r="J225" s="46" t="s">
        <v>1213</v>
      </c>
      <c r="K225" s="46">
        <v>2</v>
      </c>
      <c r="L225" s="46" t="s">
        <v>288</v>
      </c>
      <c r="M225" s="46" t="s">
        <v>105</v>
      </c>
      <c r="N225" s="46">
        <v>4</v>
      </c>
      <c r="O225" s="46" t="s">
        <v>106</v>
      </c>
      <c r="P225" s="46"/>
    </row>
    <row r="226" spans="1:16">
      <c r="A226" s="37" t="s">
        <v>1214</v>
      </c>
      <c r="B226" s="37" t="s">
        <v>595</v>
      </c>
      <c r="C226" s="37" t="s">
        <v>633</v>
      </c>
      <c r="D226" s="37" t="s">
        <v>146</v>
      </c>
      <c r="E226" s="37" t="s">
        <v>345</v>
      </c>
      <c r="F226" s="37" t="s">
        <v>100</v>
      </c>
      <c r="G226" s="37" t="s">
        <v>101</v>
      </c>
      <c r="H226" s="37" t="s">
        <v>88</v>
      </c>
      <c r="I226" s="37" t="s">
        <v>1215</v>
      </c>
      <c r="J226" s="37" t="s">
        <v>1216</v>
      </c>
      <c r="K226" s="37">
        <v>6</v>
      </c>
      <c r="L226" s="37" t="s">
        <v>1064</v>
      </c>
      <c r="M226" s="37" t="s">
        <v>200</v>
      </c>
      <c r="N226" s="37">
        <v>1</v>
      </c>
      <c r="O226" s="37" t="s">
        <v>191</v>
      </c>
      <c r="P226" s="37"/>
    </row>
    <row r="227" spans="1:16">
      <c r="A227" s="46" t="s">
        <v>1217</v>
      </c>
      <c r="B227" s="46" t="s">
        <v>781</v>
      </c>
      <c r="C227" s="46" t="s">
        <v>374</v>
      </c>
      <c r="D227" s="46" t="s">
        <v>122</v>
      </c>
      <c r="E227" s="46" t="s">
        <v>244</v>
      </c>
      <c r="F227" s="46" t="s">
        <v>425</v>
      </c>
      <c r="G227" s="46" t="s">
        <v>92</v>
      </c>
      <c r="H227" s="46" t="s">
        <v>126</v>
      </c>
      <c r="I227" s="46" t="s">
        <v>1218</v>
      </c>
      <c r="J227" s="46" t="s">
        <v>1219</v>
      </c>
      <c r="K227" s="46">
        <v>4</v>
      </c>
      <c r="L227" s="46" t="s">
        <v>1220</v>
      </c>
      <c r="M227" s="46" t="s">
        <v>219</v>
      </c>
      <c r="N227" s="46">
        <v>4</v>
      </c>
      <c r="O227" s="46" t="s">
        <v>181</v>
      </c>
      <c r="P227" s="46"/>
    </row>
    <row r="228" spans="1:16">
      <c r="A228" s="37" t="s">
        <v>1221</v>
      </c>
      <c r="B228" s="37" t="s">
        <v>1222</v>
      </c>
      <c r="C228" s="37" t="s">
        <v>307</v>
      </c>
      <c r="D228" s="37" t="s">
        <v>98</v>
      </c>
      <c r="E228" s="37" t="s">
        <v>110</v>
      </c>
      <c r="F228" s="37" t="s">
        <v>498</v>
      </c>
      <c r="G228" s="37" t="s">
        <v>101</v>
      </c>
      <c r="H228" s="37" t="s">
        <v>88</v>
      </c>
      <c r="I228" s="37" t="s">
        <v>252</v>
      </c>
      <c r="J228" s="37" t="s">
        <v>1223</v>
      </c>
      <c r="K228" s="37">
        <v>4</v>
      </c>
      <c r="L228" s="37" t="s">
        <v>1224</v>
      </c>
      <c r="M228" s="37" t="s">
        <v>163</v>
      </c>
      <c r="N228" s="37">
        <v>4</v>
      </c>
      <c r="O228" s="37" t="s">
        <v>106</v>
      </c>
      <c r="P228" s="37"/>
    </row>
    <row r="229" spans="1:16">
      <c r="A229" s="46" t="s">
        <v>1225</v>
      </c>
      <c r="B229" s="46" t="s">
        <v>862</v>
      </c>
      <c r="C229" s="46" t="s">
        <v>174</v>
      </c>
      <c r="D229" s="46" t="s">
        <v>367</v>
      </c>
      <c r="E229" s="46" t="s">
        <v>110</v>
      </c>
      <c r="F229" s="46" t="s">
        <v>981</v>
      </c>
      <c r="G229" s="46" t="s">
        <v>418</v>
      </c>
      <c r="H229" s="46" t="s">
        <v>54</v>
      </c>
      <c r="I229" s="46" t="s">
        <v>1226</v>
      </c>
      <c r="J229" s="46" t="s">
        <v>1227</v>
      </c>
      <c r="K229" s="46">
        <v>6</v>
      </c>
      <c r="L229" s="46" t="s">
        <v>1228</v>
      </c>
      <c r="M229" s="46" t="s">
        <v>200</v>
      </c>
      <c r="N229" s="46">
        <v>3</v>
      </c>
      <c r="O229" s="46" t="s">
        <v>118</v>
      </c>
      <c r="P229" s="46"/>
    </row>
    <row r="230" spans="1:16">
      <c r="A230" s="37" t="s">
        <v>1229</v>
      </c>
      <c r="B230" s="37" t="s">
        <v>1230</v>
      </c>
      <c r="C230" s="37" t="s">
        <v>54</v>
      </c>
      <c r="D230" s="37" t="s">
        <v>156</v>
      </c>
      <c r="E230" s="37" t="s">
        <v>440</v>
      </c>
      <c r="F230" s="37" t="s">
        <v>231</v>
      </c>
      <c r="G230" s="37" t="s">
        <v>418</v>
      </c>
      <c r="H230" s="37" t="s">
        <v>93</v>
      </c>
      <c r="I230" s="37" t="s">
        <v>1231</v>
      </c>
      <c r="J230" s="37" t="s">
        <v>666</v>
      </c>
      <c r="K230" s="37">
        <v>6</v>
      </c>
      <c r="L230" s="37" t="s">
        <v>842</v>
      </c>
      <c r="M230" s="37" t="s">
        <v>200</v>
      </c>
      <c r="N230" s="37">
        <v>4</v>
      </c>
      <c r="O230" s="37" t="s">
        <v>152</v>
      </c>
      <c r="P230" s="37"/>
    </row>
    <row r="231" spans="1:16">
      <c r="A231" s="46" t="s">
        <v>1232</v>
      </c>
      <c r="B231" s="46" t="s">
        <v>1233</v>
      </c>
      <c r="C231" s="46" t="s">
        <v>155</v>
      </c>
      <c r="D231" s="46" t="s">
        <v>352</v>
      </c>
      <c r="E231" s="46" t="s">
        <v>123</v>
      </c>
      <c r="F231" s="46" t="s">
        <v>319</v>
      </c>
      <c r="G231" s="46" t="s">
        <v>112</v>
      </c>
      <c r="H231" s="46" t="s">
        <v>215</v>
      </c>
      <c r="I231" s="46" t="s">
        <v>1234</v>
      </c>
      <c r="J231" s="46" t="s">
        <v>1235</v>
      </c>
      <c r="K231" s="46">
        <v>4</v>
      </c>
      <c r="L231" s="46" t="s">
        <v>1236</v>
      </c>
      <c r="M231" s="46" t="s">
        <v>117</v>
      </c>
      <c r="N231" s="46">
        <v>4</v>
      </c>
      <c r="O231" s="46" t="s">
        <v>286</v>
      </c>
      <c r="P231" s="46"/>
    </row>
    <row r="232" spans="1:16">
      <c r="A232" s="37" t="s">
        <v>1237</v>
      </c>
      <c r="B232" s="37" t="s">
        <v>547</v>
      </c>
      <c r="C232" s="37" t="s">
        <v>91</v>
      </c>
      <c r="D232" s="37" t="s">
        <v>175</v>
      </c>
      <c r="E232" s="37" t="s">
        <v>224</v>
      </c>
      <c r="F232" s="37" t="s">
        <v>843</v>
      </c>
      <c r="G232" s="37" t="s">
        <v>89</v>
      </c>
      <c r="H232" s="37" t="s">
        <v>206</v>
      </c>
      <c r="I232" s="37" t="s">
        <v>1238</v>
      </c>
      <c r="J232" s="37" t="s">
        <v>1239</v>
      </c>
      <c r="K232" s="37">
        <v>4</v>
      </c>
      <c r="L232" s="37" t="s">
        <v>1240</v>
      </c>
      <c r="M232" s="37" t="s">
        <v>72</v>
      </c>
      <c r="N232" s="37">
        <v>3</v>
      </c>
      <c r="O232" s="37" t="s">
        <v>286</v>
      </c>
      <c r="P232" s="37"/>
    </row>
    <row r="233" spans="1:16">
      <c r="A233" s="46" t="s">
        <v>1241</v>
      </c>
      <c r="B233" s="46" t="s">
        <v>1164</v>
      </c>
      <c r="C233" s="46" t="s">
        <v>300</v>
      </c>
      <c r="D233" s="46" t="s">
        <v>223</v>
      </c>
      <c r="E233" s="46" t="s">
        <v>195</v>
      </c>
      <c r="F233" s="46" t="s">
        <v>283</v>
      </c>
      <c r="G233" s="46" t="s">
        <v>418</v>
      </c>
      <c r="H233" s="46" t="s">
        <v>90</v>
      </c>
      <c r="I233" s="46" t="s">
        <v>178</v>
      </c>
      <c r="J233" s="46" t="s">
        <v>1242</v>
      </c>
      <c r="K233" s="46">
        <v>6</v>
      </c>
      <c r="L233" s="46" t="s">
        <v>1243</v>
      </c>
      <c r="M233" s="46" t="s">
        <v>219</v>
      </c>
      <c r="N233" s="46">
        <v>5</v>
      </c>
      <c r="O233" s="46" t="s">
        <v>152</v>
      </c>
      <c r="P233" s="46"/>
    </row>
    <row r="234" spans="1:16">
      <c r="A234" s="37" t="s">
        <v>1244</v>
      </c>
      <c r="B234" s="37" t="s">
        <v>1171</v>
      </c>
      <c r="C234" s="37" t="s">
        <v>90</v>
      </c>
      <c r="D234" s="37" t="s">
        <v>122</v>
      </c>
      <c r="E234" s="37" t="s">
        <v>123</v>
      </c>
      <c r="F234" s="37" t="s">
        <v>237</v>
      </c>
      <c r="G234" s="37" t="s">
        <v>159</v>
      </c>
      <c r="H234" s="37" t="s">
        <v>93</v>
      </c>
      <c r="I234" s="37" t="s">
        <v>1245</v>
      </c>
      <c r="J234" s="37" t="s">
        <v>1246</v>
      </c>
      <c r="K234" s="37">
        <v>2</v>
      </c>
      <c r="L234" s="37" t="s">
        <v>623</v>
      </c>
      <c r="M234" s="37" t="s">
        <v>72</v>
      </c>
      <c r="N234" s="37">
        <v>3</v>
      </c>
      <c r="O234" s="37" t="s">
        <v>286</v>
      </c>
      <c r="P234" s="37"/>
    </row>
    <row r="235" spans="1:16">
      <c r="A235" s="46" t="s">
        <v>1247</v>
      </c>
      <c r="B235" s="46" t="s">
        <v>1248</v>
      </c>
      <c r="C235" s="46" t="s">
        <v>566</v>
      </c>
      <c r="D235" s="46" t="s">
        <v>136</v>
      </c>
      <c r="E235" s="46" t="s">
        <v>157</v>
      </c>
      <c r="F235" s="46" t="s">
        <v>231</v>
      </c>
      <c r="G235" s="46" t="s">
        <v>168</v>
      </c>
      <c r="H235" s="46" t="s">
        <v>278</v>
      </c>
      <c r="I235" s="46" t="s">
        <v>1249</v>
      </c>
      <c r="J235" s="46" t="s">
        <v>1250</v>
      </c>
      <c r="K235" s="46">
        <v>6</v>
      </c>
      <c r="L235" s="46" t="s">
        <v>712</v>
      </c>
      <c r="M235" s="46" t="s">
        <v>337</v>
      </c>
      <c r="N235" s="46"/>
      <c r="O235" s="46" t="s">
        <v>191</v>
      </c>
      <c r="P235" s="46" t="s">
        <v>132</v>
      </c>
    </row>
    <row r="236" spans="1:16">
      <c r="A236" s="37" t="s">
        <v>1251</v>
      </c>
      <c r="B236" s="37" t="s">
        <v>1252</v>
      </c>
      <c r="C236" s="37" t="s">
        <v>566</v>
      </c>
      <c r="D236" s="37" t="s">
        <v>37</v>
      </c>
      <c r="E236" s="37" t="s">
        <v>137</v>
      </c>
      <c r="F236" s="37" t="s">
        <v>237</v>
      </c>
      <c r="G236" s="37" t="s">
        <v>197</v>
      </c>
      <c r="H236" s="37" t="s">
        <v>93</v>
      </c>
      <c r="I236" s="37" t="s">
        <v>1253</v>
      </c>
      <c r="J236" s="37" t="s">
        <v>1254</v>
      </c>
      <c r="K236" s="37">
        <v>6</v>
      </c>
      <c r="L236" s="37" t="s">
        <v>280</v>
      </c>
      <c r="M236" s="37" t="s">
        <v>143</v>
      </c>
      <c r="N236" s="37">
        <v>3</v>
      </c>
      <c r="O236" s="37" t="s">
        <v>191</v>
      </c>
      <c r="P236" s="37"/>
    </row>
    <row r="237" spans="1:16">
      <c r="A237" s="46" t="s">
        <v>1255</v>
      </c>
      <c r="B237" s="46" t="s">
        <v>1256</v>
      </c>
      <c r="C237" s="46" t="s">
        <v>174</v>
      </c>
      <c r="D237" s="46" t="s">
        <v>312</v>
      </c>
      <c r="E237" s="46" t="s">
        <v>244</v>
      </c>
      <c r="F237" s="46" t="s">
        <v>582</v>
      </c>
      <c r="G237" s="46" t="s">
        <v>197</v>
      </c>
      <c r="H237" s="46" t="s">
        <v>93</v>
      </c>
      <c r="I237" s="46" t="s">
        <v>1257</v>
      </c>
      <c r="J237" s="46" t="s">
        <v>1258</v>
      </c>
      <c r="K237" s="46">
        <v>4</v>
      </c>
      <c r="L237" s="46" t="s">
        <v>1259</v>
      </c>
      <c r="M237" s="46" t="s">
        <v>163</v>
      </c>
      <c r="N237" s="46">
        <v>5</v>
      </c>
      <c r="O237" s="46" t="s">
        <v>79</v>
      </c>
      <c r="P237" s="46"/>
    </row>
    <row r="238" spans="1:16">
      <c r="A238" s="37" t="s">
        <v>1260</v>
      </c>
      <c r="B238" s="37" t="s">
        <v>1261</v>
      </c>
      <c r="C238" s="37" t="s">
        <v>251</v>
      </c>
      <c r="D238" s="37" t="s">
        <v>37</v>
      </c>
      <c r="E238" s="37" t="s">
        <v>195</v>
      </c>
      <c r="F238" s="37" t="s">
        <v>301</v>
      </c>
      <c r="G238" s="37" t="s">
        <v>470</v>
      </c>
      <c r="H238" s="37" t="s">
        <v>294</v>
      </c>
      <c r="I238" s="37" t="s">
        <v>1262</v>
      </c>
      <c r="J238" s="37" t="s">
        <v>1263</v>
      </c>
      <c r="K238" s="37">
        <v>8</v>
      </c>
      <c r="L238" s="37" t="s">
        <v>1264</v>
      </c>
      <c r="M238" s="37" t="s">
        <v>117</v>
      </c>
      <c r="N238" s="37">
        <v>3</v>
      </c>
      <c r="O238" s="37" t="s">
        <v>131</v>
      </c>
      <c r="P238" s="37"/>
    </row>
    <row r="239" spans="1:16">
      <c r="A239" s="46" t="s">
        <v>1265</v>
      </c>
      <c r="B239" s="46" t="s">
        <v>330</v>
      </c>
      <c r="C239" s="46" t="s">
        <v>155</v>
      </c>
      <c r="D239" s="46" t="s">
        <v>175</v>
      </c>
      <c r="E239" s="46" t="s">
        <v>123</v>
      </c>
      <c r="F239" s="46" t="s">
        <v>111</v>
      </c>
      <c r="G239" s="46" t="s">
        <v>89</v>
      </c>
      <c r="H239" s="46" t="s">
        <v>88</v>
      </c>
      <c r="I239" s="46" t="s">
        <v>1266</v>
      </c>
      <c r="J239" s="46" t="s">
        <v>1267</v>
      </c>
      <c r="K239" s="46">
        <v>4</v>
      </c>
      <c r="L239" s="46" t="s">
        <v>560</v>
      </c>
      <c r="M239" s="46" t="s">
        <v>219</v>
      </c>
      <c r="N239" s="46">
        <v>4</v>
      </c>
      <c r="O239" s="46" t="s">
        <v>286</v>
      </c>
      <c r="P239" s="46"/>
    </row>
    <row r="240" spans="1:16">
      <c r="A240" s="37" t="s">
        <v>1268</v>
      </c>
      <c r="B240" s="37" t="s">
        <v>1269</v>
      </c>
      <c r="C240" s="37" t="s">
        <v>340</v>
      </c>
      <c r="D240" s="37" t="s">
        <v>204</v>
      </c>
      <c r="E240" s="37" t="s">
        <v>176</v>
      </c>
      <c r="F240" s="37" t="s">
        <v>360</v>
      </c>
      <c r="G240" s="37" t="s">
        <v>89</v>
      </c>
      <c r="H240" s="37" t="s">
        <v>206</v>
      </c>
      <c r="I240" s="37" t="s">
        <v>1270</v>
      </c>
      <c r="J240" s="37" t="s">
        <v>1271</v>
      </c>
      <c r="K240" s="37">
        <v>8</v>
      </c>
      <c r="L240" s="37" t="s">
        <v>1248</v>
      </c>
      <c r="M240" s="37" t="s">
        <v>163</v>
      </c>
      <c r="N240" s="37">
        <v>4</v>
      </c>
      <c r="O240" s="37" t="s">
        <v>191</v>
      </c>
      <c r="P240" s="37"/>
    </row>
    <row r="241" spans="1:16">
      <c r="A241" s="46" t="s">
        <v>1272</v>
      </c>
      <c r="B241" s="46" t="s">
        <v>1134</v>
      </c>
      <c r="C241" s="46" t="s">
        <v>32</v>
      </c>
      <c r="D241" s="46" t="s">
        <v>367</v>
      </c>
      <c r="E241" s="46" t="s">
        <v>195</v>
      </c>
      <c r="F241" s="46" t="s">
        <v>167</v>
      </c>
      <c r="G241" s="46" t="s">
        <v>380</v>
      </c>
      <c r="H241" s="46" t="s">
        <v>91</v>
      </c>
      <c r="I241" s="46" t="s">
        <v>695</v>
      </c>
      <c r="J241" s="46" t="s">
        <v>1273</v>
      </c>
      <c r="K241" s="46">
        <v>8</v>
      </c>
      <c r="L241" s="46" t="s">
        <v>490</v>
      </c>
      <c r="M241" s="46" t="s">
        <v>143</v>
      </c>
      <c r="N241" s="46">
        <v>1</v>
      </c>
      <c r="O241" s="46" t="s">
        <v>118</v>
      </c>
      <c r="P241" s="46"/>
    </row>
    <row r="242" spans="1:16">
      <c r="A242" s="37" t="s">
        <v>1274</v>
      </c>
      <c r="B242" s="37" t="s">
        <v>1275</v>
      </c>
      <c r="C242" s="37" t="s">
        <v>374</v>
      </c>
      <c r="D242" s="37" t="s">
        <v>184</v>
      </c>
      <c r="E242" s="37" t="s">
        <v>195</v>
      </c>
      <c r="F242" s="37" t="s">
        <v>582</v>
      </c>
      <c r="G242" s="37" t="s">
        <v>470</v>
      </c>
      <c r="H242" s="37" t="s">
        <v>294</v>
      </c>
      <c r="I242" s="37" t="s">
        <v>1276</v>
      </c>
      <c r="J242" s="37" t="s">
        <v>1277</v>
      </c>
      <c r="K242" s="37">
        <v>8</v>
      </c>
      <c r="L242" s="37" t="s">
        <v>928</v>
      </c>
      <c r="M242" s="37" t="s">
        <v>200</v>
      </c>
      <c r="N242" s="37">
        <v>1</v>
      </c>
      <c r="O242" s="37" t="s">
        <v>286</v>
      </c>
      <c r="P242" s="37"/>
    </row>
    <row r="243" spans="1:16">
      <c r="A243" s="46" t="s">
        <v>1278</v>
      </c>
      <c r="B243" s="46" t="s">
        <v>311</v>
      </c>
      <c r="C243" s="46" t="s">
        <v>88</v>
      </c>
      <c r="D243" s="46" t="s">
        <v>98</v>
      </c>
      <c r="E243" s="46" t="s">
        <v>440</v>
      </c>
      <c r="F243" s="46" t="s">
        <v>385</v>
      </c>
      <c r="G243" s="46" t="s">
        <v>159</v>
      </c>
      <c r="H243" s="46" t="s">
        <v>54</v>
      </c>
      <c r="I243" s="46" t="s">
        <v>1279</v>
      </c>
      <c r="J243" s="46" t="s">
        <v>1280</v>
      </c>
      <c r="K243" s="46">
        <v>8</v>
      </c>
      <c r="L243" s="46" t="s">
        <v>316</v>
      </c>
      <c r="M243" s="46" t="s">
        <v>117</v>
      </c>
      <c r="N243" s="46">
        <v>5</v>
      </c>
      <c r="O243" s="46" t="s">
        <v>286</v>
      </c>
      <c r="P243" s="46"/>
    </row>
    <row r="244" spans="1:16">
      <c r="A244" s="37" t="s">
        <v>1281</v>
      </c>
      <c r="B244" s="37" t="s">
        <v>1282</v>
      </c>
      <c r="C244" s="37" t="s">
        <v>54</v>
      </c>
      <c r="D244" s="37" t="s">
        <v>194</v>
      </c>
      <c r="E244" s="37" t="s">
        <v>110</v>
      </c>
      <c r="F244" s="37" t="s">
        <v>271</v>
      </c>
      <c r="G244" s="37" t="s">
        <v>197</v>
      </c>
      <c r="H244" s="37" t="s">
        <v>90</v>
      </c>
      <c r="I244" s="37" t="s">
        <v>1283</v>
      </c>
      <c r="J244" s="37" t="s">
        <v>1284</v>
      </c>
      <c r="K244" s="37">
        <v>4</v>
      </c>
      <c r="L244" s="37" t="s">
        <v>1285</v>
      </c>
      <c r="M244" s="37" t="s">
        <v>117</v>
      </c>
      <c r="N244" s="37">
        <v>5</v>
      </c>
      <c r="O244" s="37" t="s">
        <v>118</v>
      </c>
      <c r="P244" s="37"/>
    </row>
    <row r="245" spans="1:16">
      <c r="A245" s="46" t="s">
        <v>1286</v>
      </c>
      <c r="B245" s="46" t="s">
        <v>1287</v>
      </c>
      <c r="C245" s="46" t="s">
        <v>109</v>
      </c>
      <c r="D245" s="46" t="s">
        <v>156</v>
      </c>
      <c r="E245" s="46" t="s">
        <v>42</v>
      </c>
      <c r="F245" s="46" t="s">
        <v>498</v>
      </c>
      <c r="G245" s="46" t="s">
        <v>125</v>
      </c>
      <c r="H245" s="46" t="s">
        <v>126</v>
      </c>
      <c r="I245" s="46" t="s">
        <v>1288</v>
      </c>
      <c r="J245" s="46" t="s">
        <v>1235</v>
      </c>
      <c r="K245" s="46">
        <v>6</v>
      </c>
      <c r="L245" s="46" t="s">
        <v>1289</v>
      </c>
      <c r="M245" s="46" t="s">
        <v>172</v>
      </c>
      <c r="N245" s="46">
        <v>3</v>
      </c>
      <c r="O245" s="46" t="s">
        <v>286</v>
      </c>
      <c r="P245" s="46"/>
    </row>
    <row r="246" spans="1:16">
      <c r="A246" s="37" t="s">
        <v>1290</v>
      </c>
      <c r="B246" s="37" t="s">
        <v>763</v>
      </c>
      <c r="C246" s="37" t="s">
        <v>374</v>
      </c>
      <c r="D246" s="37" t="s">
        <v>37</v>
      </c>
      <c r="E246" s="37" t="s">
        <v>147</v>
      </c>
      <c r="F246" s="37" t="s">
        <v>592</v>
      </c>
      <c r="G246" s="37" t="s">
        <v>401</v>
      </c>
      <c r="H246" s="37" t="s">
        <v>93</v>
      </c>
      <c r="I246" s="37" t="s">
        <v>1291</v>
      </c>
      <c r="J246" s="37" t="s">
        <v>432</v>
      </c>
      <c r="K246" s="37">
        <v>6</v>
      </c>
      <c r="L246" s="37" t="s">
        <v>1292</v>
      </c>
      <c r="M246" s="37" t="s">
        <v>163</v>
      </c>
      <c r="N246" s="37">
        <v>2</v>
      </c>
      <c r="O246" s="37" t="s">
        <v>118</v>
      </c>
      <c r="P246" s="37"/>
    </row>
    <row r="247" spans="1:16">
      <c r="A247" s="46" t="s">
        <v>1293</v>
      </c>
      <c r="B247" s="46" t="s">
        <v>1294</v>
      </c>
      <c r="C247" s="46" t="s">
        <v>109</v>
      </c>
      <c r="D247" s="46" t="s">
        <v>194</v>
      </c>
      <c r="E247" s="46" t="s">
        <v>123</v>
      </c>
      <c r="F247" s="46" t="s">
        <v>263</v>
      </c>
      <c r="G247" s="46" t="s">
        <v>159</v>
      </c>
      <c r="H247" s="46" t="s">
        <v>93</v>
      </c>
      <c r="I247" s="46" t="s">
        <v>519</v>
      </c>
      <c r="J247" s="46" t="s">
        <v>1295</v>
      </c>
      <c r="K247" s="46">
        <v>4</v>
      </c>
      <c r="L247" s="46" t="s">
        <v>165</v>
      </c>
      <c r="M247" s="46" t="s">
        <v>624</v>
      </c>
      <c r="N247" s="46"/>
      <c r="O247" s="46" t="s">
        <v>286</v>
      </c>
      <c r="P247" s="46" t="s">
        <v>625</v>
      </c>
    </row>
    <row r="248" spans="1:16">
      <c r="A248" s="37" t="s">
        <v>1296</v>
      </c>
      <c r="B248" s="37" t="s">
        <v>1297</v>
      </c>
      <c r="C248" s="37" t="s">
        <v>91</v>
      </c>
      <c r="D248" s="37" t="s">
        <v>146</v>
      </c>
      <c r="E248" s="37" t="s">
        <v>99</v>
      </c>
      <c r="F248" s="37" t="s">
        <v>430</v>
      </c>
      <c r="G248" s="37" t="s">
        <v>264</v>
      </c>
      <c r="H248" s="37" t="s">
        <v>88</v>
      </c>
      <c r="I248" s="37" t="s">
        <v>1298</v>
      </c>
      <c r="J248" s="37" t="s">
        <v>1299</v>
      </c>
      <c r="K248" s="37">
        <v>4</v>
      </c>
      <c r="L248" s="37" t="s">
        <v>931</v>
      </c>
      <c r="M248" s="37" t="s">
        <v>117</v>
      </c>
      <c r="N248" s="37">
        <v>4</v>
      </c>
      <c r="O248" s="37" t="s">
        <v>118</v>
      </c>
      <c r="P248" s="37"/>
    </row>
    <row r="249" spans="1:16">
      <c r="A249" s="46" t="s">
        <v>1300</v>
      </c>
      <c r="B249" s="46" t="s">
        <v>1301</v>
      </c>
      <c r="C249" s="46" t="s">
        <v>166</v>
      </c>
      <c r="D249" s="46" t="s">
        <v>184</v>
      </c>
      <c r="E249" s="46" t="s">
        <v>440</v>
      </c>
      <c r="F249" s="46" t="s">
        <v>237</v>
      </c>
      <c r="G249" s="46" t="s">
        <v>112</v>
      </c>
      <c r="H249" s="46" t="s">
        <v>113</v>
      </c>
      <c r="I249" s="46" t="s">
        <v>1302</v>
      </c>
      <c r="J249" s="46" t="s">
        <v>1303</v>
      </c>
      <c r="K249" s="46">
        <v>8</v>
      </c>
      <c r="L249" s="46" t="s">
        <v>1304</v>
      </c>
      <c r="M249" s="46" t="s">
        <v>163</v>
      </c>
      <c r="N249" s="46">
        <v>4</v>
      </c>
      <c r="O249" s="46" t="s">
        <v>106</v>
      </c>
      <c r="P249" s="46"/>
    </row>
    <row r="250" spans="1:16">
      <c r="A250" s="37" t="s">
        <v>1305</v>
      </c>
      <c r="B250" s="37" t="s">
        <v>1306</v>
      </c>
      <c r="C250" s="37" t="s">
        <v>203</v>
      </c>
      <c r="D250" s="37" t="s">
        <v>204</v>
      </c>
      <c r="E250" s="37" t="s">
        <v>224</v>
      </c>
      <c r="F250" s="37" t="s">
        <v>353</v>
      </c>
      <c r="G250" s="37" t="s">
        <v>401</v>
      </c>
      <c r="H250" s="37" t="s">
        <v>90</v>
      </c>
      <c r="I250" s="37" t="s">
        <v>1307</v>
      </c>
      <c r="J250" s="37" t="s">
        <v>1308</v>
      </c>
      <c r="K250" s="37">
        <v>4</v>
      </c>
      <c r="L250" s="37" t="s">
        <v>1309</v>
      </c>
      <c r="M250" s="37" t="s">
        <v>105</v>
      </c>
      <c r="N250" s="37">
        <v>4</v>
      </c>
      <c r="O250" s="37" t="s">
        <v>118</v>
      </c>
      <c r="P250" s="37"/>
    </row>
    <row r="251" spans="1:16">
      <c r="A251" s="46" t="s">
        <v>1310</v>
      </c>
      <c r="B251" s="46" t="s">
        <v>1311</v>
      </c>
      <c r="C251" s="46" t="s">
        <v>203</v>
      </c>
      <c r="D251" s="46" t="s">
        <v>544</v>
      </c>
      <c r="E251" s="46" t="s">
        <v>123</v>
      </c>
      <c r="F251" s="46" t="s">
        <v>148</v>
      </c>
      <c r="G251" s="46" t="s">
        <v>401</v>
      </c>
      <c r="H251" s="46" t="s">
        <v>54</v>
      </c>
      <c r="I251" s="46" t="s">
        <v>1312</v>
      </c>
      <c r="J251" s="46" t="s">
        <v>1313</v>
      </c>
      <c r="K251" s="46">
        <v>4</v>
      </c>
      <c r="L251" s="46" t="s">
        <v>947</v>
      </c>
      <c r="M251" s="46" t="s">
        <v>163</v>
      </c>
      <c r="N251" s="46">
        <v>5</v>
      </c>
      <c r="O251" s="46" t="s">
        <v>106</v>
      </c>
      <c r="P251" s="46"/>
    </row>
    <row r="252" spans="1:16">
      <c r="A252" s="37" t="s">
        <v>1314</v>
      </c>
      <c r="B252" s="37" t="s">
        <v>108</v>
      </c>
      <c r="C252" s="37" t="s">
        <v>155</v>
      </c>
      <c r="D252" s="37" t="s">
        <v>333</v>
      </c>
      <c r="E252" s="37" t="s">
        <v>185</v>
      </c>
      <c r="F252" s="37" t="s">
        <v>167</v>
      </c>
      <c r="G252" s="37" t="s">
        <v>101</v>
      </c>
      <c r="H252" s="37" t="s">
        <v>187</v>
      </c>
      <c r="I252" s="37" t="s">
        <v>1315</v>
      </c>
      <c r="J252" s="37" t="s">
        <v>559</v>
      </c>
      <c r="K252" s="37">
        <v>6</v>
      </c>
      <c r="L252" s="37" t="s">
        <v>433</v>
      </c>
      <c r="M252" s="37" t="s">
        <v>117</v>
      </c>
      <c r="N252" s="37">
        <v>4</v>
      </c>
      <c r="O252" s="37" t="s">
        <v>152</v>
      </c>
      <c r="P252" s="37"/>
    </row>
    <row r="253" spans="1:16">
      <c r="A253" s="46" t="s">
        <v>1316</v>
      </c>
      <c r="B253" s="46" t="s">
        <v>1317</v>
      </c>
      <c r="C253" s="46" t="s">
        <v>300</v>
      </c>
      <c r="D253" s="46" t="s">
        <v>544</v>
      </c>
      <c r="E253" s="46" t="s">
        <v>99</v>
      </c>
      <c r="F253" s="46" t="s">
        <v>205</v>
      </c>
      <c r="G253" s="46" t="s">
        <v>87</v>
      </c>
      <c r="H253" s="46" t="s">
        <v>113</v>
      </c>
      <c r="I253" s="46" t="s">
        <v>1318</v>
      </c>
      <c r="J253" s="46" t="s">
        <v>1319</v>
      </c>
      <c r="K253" s="46">
        <v>4</v>
      </c>
      <c r="L253" s="46" t="s">
        <v>1320</v>
      </c>
      <c r="M253" s="46" t="s">
        <v>117</v>
      </c>
      <c r="N253" s="46">
        <v>4</v>
      </c>
      <c r="O253" s="46" t="s">
        <v>191</v>
      </c>
      <c r="P253" s="46"/>
    </row>
    <row r="254" spans="1:16">
      <c r="A254" s="37" t="s">
        <v>1321</v>
      </c>
      <c r="B254" s="37" t="s">
        <v>1322</v>
      </c>
      <c r="C254" s="37" t="s">
        <v>300</v>
      </c>
      <c r="D254" s="37" t="s">
        <v>204</v>
      </c>
      <c r="E254" s="37" t="s">
        <v>110</v>
      </c>
      <c r="F254" s="37" t="s">
        <v>277</v>
      </c>
      <c r="G254" s="37" t="s">
        <v>101</v>
      </c>
      <c r="H254" s="37" t="s">
        <v>206</v>
      </c>
      <c r="I254" s="37" t="s">
        <v>607</v>
      </c>
      <c r="J254" s="37" t="s">
        <v>1323</v>
      </c>
      <c r="K254" s="37">
        <v>6</v>
      </c>
      <c r="L254" s="37" t="s">
        <v>1287</v>
      </c>
      <c r="M254" s="37" t="s">
        <v>72</v>
      </c>
      <c r="N254" s="37">
        <v>3</v>
      </c>
      <c r="O254" s="37" t="s">
        <v>118</v>
      </c>
      <c r="P254" s="37"/>
    </row>
    <row r="255" spans="1:16">
      <c r="A255" s="37" t="s">
        <v>1324</v>
      </c>
      <c r="B255" s="37" t="s">
        <v>1325</v>
      </c>
      <c r="C255" s="37" t="s">
        <v>366</v>
      </c>
      <c r="D255" s="37" t="s">
        <v>544</v>
      </c>
      <c r="E255" s="37" t="s">
        <v>176</v>
      </c>
      <c r="F255" s="37" t="s">
        <v>100</v>
      </c>
      <c r="G255" s="37" t="s">
        <v>87</v>
      </c>
      <c r="H255" s="37" t="s">
        <v>354</v>
      </c>
      <c r="I255" s="37" t="s">
        <v>1326</v>
      </c>
      <c r="J255" s="37" t="s">
        <v>1327</v>
      </c>
      <c r="K255" s="37">
        <v>8</v>
      </c>
      <c r="L255" s="37" t="s">
        <v>1328</v>
      </c>
      <c r="M255" s="37" t="s">
        <v>105</v>
      </c>
      <c r="N255" s="37">
        <v>3</v>
      </c>
      <c r="O255" s="37" t="s">
        <v>181</v>
      </c>
      <c r="P255" s="37"/>
    </row>
    <row r="256" spans="1:16">
      <c r="A256" s="46" t="s">
        <v>1329</v>
      </c>
      <c r="B256" s="46" t="s">
        <v>299</v>
      </c>
      <c r="C256" s="46" t="s">
        <v>32</v>
      </c>
      <c r="D256" s="46" t="s">
        <v>184</v>
      </c>
      <c r="E256" s="46" t="s">
        <v>244</v>
      </c>
      <c r="F256" s="46" t="s">
        <v>353</v>
      </c>
      <c r="G256" s="46" t="s">
        <v>125</v>
      </c>
      <c r="H256" s="46" t="s">
        <v>294</v>
      </c>
      <c r="I256" s="46" t="s">
        <v>1330</v>
      </c>
      <c r="J256" s="46" t="s">
        <v>1331</v>
      </c>
      <c r="K256" s="46">
        <v>4</v>
      </c>
      <c r="L256" s="46" t="s">
        <v>862</v>
      </c>
      <c r="M256" s="46" t="s">
        <v>143</v>
      </c>
      <c r="N256" s="46">
        <v>3</v>
      </c>
      <c r="O256" s="46" t="s">
        <v>118</v>
      </c>
      <c r="P256" s="46"/>
    </row>
    <row r="257" spans="1:16">
      <c r="A257" s="37" t="s">
        <v>1332</v>
      </c>
      <c r="B257" s="37" t="s">
        <v>1333</v>
      </c>
      <c r="C257" s="37" t="s">
        <v>109</v>
      </c>
      <c r="D257" s="37" t="s">
        <v>213</v>
      </c>
      <c r="E257" s="37" t="s">
        <v>195</v>
      </c>
      <c r="F257" s="37" t="s">
        <v>186</v>
      </c>
      <c r="G257" s="37" t="s">
        <v>418</v>
      </c>
      <c r="H257" s="37" t="s">
        <v>327</v>
      </c>
      <c r="I257" s="37" t="s">
        <v>770</v>
      </c>
      <c r="J257" s="37" t="s">
        <v>1334</v>
      </c>
      <c r="K257" s="37">
        <v>8</v>
      </c>
      <c r="L257" s="37" t="s">
        <v>1335</v>
      </c>
      <c r="M257" s="37" t="s">
        <v>172</v>
      </c>
      <c r="N257" s="37">
        <v>1</v>
      </c>
      <c r="O257" s="37" t="s">
        <v>79</v>
      </c>
      <c r="P257" s="37"/>
    </row>
    <row r="258" spans="1:16">
      <c r="A258" s="46" t="s">
        <v>1336</v>
      </c>
      <c r="B258" s="46" t="s">
        <v>1337</v>
      </c>
      <c r="C258" s="46" t="s">
        <v>91</v>
      </c>
      <c r="D258" s="46" t="s">
        <v>136</v>
      </c>
      <c r="E258" s="46" t="s">
        <v>185</v>
      </c>
      <c r="F258" s="46" t="s">
        <v>245</v>
      </c>
      <c r="G258" s="46" t="s">
        <v>125</v>
      </c>
      <c r="H258" s="46" t="s">
        <v>294</v>
      </c>
      <c r="I258" s="46" t="s">
        <v>1338</v>
      </c>
      <c r="J258" s="46" t="s">
        <v>432</v>
      </c>
      <c r="K258" s="46">
        <v>4</v>
      </c>
      <c r="L258" s="46" t="s">
        <v>1339</v>
      </c>
      <c r="M258" s="46" t="s">
        <v>117</v>
      </c>
      <c r="N258" s="46">
        <v>5</v>
      </c>
      <c r="O258" s="46" t="s">
        <v>131</v>
      </c>
      <c r="P258" s="46"/>
    </row>
    <row r="259" spans="1:16">
      <c r="A259" s="37" t="s">
        <v>1340</v>
      </c>
      <c r="B259" s="37" t="s">
        <v>1015</v>
      </c>
      <c r="C259" s="37" t="s">
        <v>212</v>
      </c>
      <c r="D259" s="37" t="s">
        <v>175</v>
      </c>
      <c r="E259" s="37" t="s">
        <v>185</v>
      </c>
      <c r="F259" s="37" t="s">
        <v>186</v>
      </c>
      <c r="G259" s="37" t="s">
        <v>112</v>
      </c>
      <c r="H259" s="37" t="s">
        <v>354</v>
      </c>
      <c r="I259" s="37" t="s">
        <v>1341</v>
      </c>
      <c r="J259" s="37" t="s">
        <v>1342</v>
      </c>
      <c r="K259" s="37">
        <v>6</v>
      </c>
      <c r="L259" s="37" t="s">
        <v>1343</v>
      </c>
      <c r="M259" s="37" t="s">
        <v>200</v>
      </c>
      <c r="N259" s="37">
        <v>3</v>
      </c>
      <c r="O259" s="37" t="s">
        <v>181</v>
      </c>
      <c r="P259" s="37"/>
    </row>
    <row r="260" spans="1:16">
      <c r="A260" s="46" t="s">
        <v>1344</v>
      </c>
      <c r="B260" s="46" t="s">
        <v>1061</v>
      </c>
      <c r="C260" s="46" t="s">
        <v>109</v>
      </c>
      <c r="D260" s="46" t="s">
        <v>136</v>
      </c>
      <c r="E260" s="46" t="s">
        <v>195</v>
      </c>
      <c r="F260" s="46" t="s">
        <v>167</v>
      </c>
      <c r="G260" s="46" t="s">
        <v>51</v>
      </c>
      <c r="H260" s="46" t="s">
        <v>327</v>
      </c>
      <c r="I260" s="46" t="s">
        <v>1345</v>
      </c>
      <c r="J260" s="46" t="s">
        <v>1346</v>
      </c>
      <c r="K260" s="46">
        <v>8</v>
      </c>
      <c r="L260" s="46" t="s">
        <v>1347</v>
      </c>
      <c r="M260" s="46" t="s">
        <v>117</v>
      </c>
      <c r="N260" s="46">
        <v>4</v>
      </c>
      <c r="O260" s="46" t="s">
        <v>191</v>
      </c>
      <c r="P260" s="46"/>
    </row>
    <row r="261" spans="1:16">
      <c r="A261" s="37" t="s">
        <v>1348</v>
      </c>
      <c r="B261" s="37" t="s">
        <v>1349</v>
      </c>
      <c r="C261" s="37" t="s">
        <v>366</v>
      </c>
      <c r="D261" s="37" t="s">
        <v>919</v>
      </c>
      <c r="E261" s="37" t="s">
        <v>137</v>
      </c>
      <c r="F261" s="37" t="s">
        <v>100</v>
      </c>
      <c r="G261" s="37" t="s">
        <v>92</v>
      </c>
      <c r="H261" s="37" t="s">
        <v>396</v>
      </c>
      <c r="I261" s="37" t="s">
        <v>1350</v>
      </c>
      <c r="J261" s="37" t="s">
        <v>321</v>
      </c>
      <c r="K261" s="37">
        <v>6</v>
      </c>
      <c r="L261" s="37" t="s">
        <v>1351</v>
      </c>
      <c r="M261" s="37" t="s">
        <v>105</v>
      </c>
      <c r="N261" s="37">
        <v>4</v>
      </c>
      <c r="O261" s="37" t="s">
        <v>181</v>
      </c>
      <c r="P261" s="37"/>
    </row>
    <row r="262" spans="1:16">
      <c r="A262" s="46" t="s">
        <v>1352</v>
      </c>
      <c r="B262" s="46" t="s">
        <v>1353</v>
      </c>
      <c r="C262" s="46" t="s">
        <v>366</v>
      </c>
      <c r="D262" s="46" t="s">
        <v>175</v>
      </c>
      <c r="E262" s="46" t="s">
        <v>325</v>
      </c>
      <c r="F262" s="46" t="s">
        <v>263</v>
      </c>
      <c r="G262" s="46" t="s">
        <v>89</v>
      </c>
      <c r="H262" s="46" t="s">
        <v>278</v>
      </c>
      <c r="I262" s="46" t="s">
        <v>1354</v>
      </c>
      <c r="J262" s="46" t="s">
        <v>1355</v>
      </c>
      <c r="K262" s="46">
        <v>4</v>
      </c>
      <c r="L262" s="46" t="s">
        <v>828</v>
      </c>
      <c r="M262" s="46" t="s">
        <v>172</v>
      </c>
      <c r="N262" s="46">
        <v>2</v>
      </c>
      <c r="O262" s="46" t="s">
        <v>286</v>
      </c>
      <c r="P262" s="46"/>
    </row>
    <row r="263" spans="1:16">
      <c r="A263" s="37" t="s">
        <v>1356</v>
      </c>
      <c r="B263" s="37" t="s">
        <v>926</v>
      </c>
      <c r="C263" s="37" t="s">
        <v>97</v>
      </c>
      <c r="D263" s="37" t="s">
        <v>919</v>
      </c>
      <c r="E263" s="37" t="s">
        <v>147</v>
      </c>
      <c r="F263" s="37" t="s">
        <v>319</v>
      </c>
      <c r="G263" s="37" t="s">
        <v>112</v>
      </c>
      <c r="H263" s="37" t="s">
        <v>354</v>
      </c>
      <c r="I263" s="37" t="s">
        <v>1357</v>
      </c>
      <c r="J263" s="37" t="s">
        <v>594</v>
      </c>
      <c r="K263" s="37">
        <v>8</v>
      </c>
      <c r="L263" s="37" t="s">
        <v>1358</v>
      </c>
      <c r="M263" s="37" t="s">
        <v>105</v>
      </c>
      <c r="N263" s="37">
        <v>5</v>
      </c>
      <c r="O263" s="37" t="s">
        <v>286</v>
      </c>
      <c r="P263" s="37"/>
    </row>
    <row r="264" spans="1:16">
      <c r="A264" s="46" t="s">
        <v>1359</v>
      </c>
      <c r="B264" s="46" t="s">
        <v>1102</v>
      </c>
      <c r="C264" s="46" t="s">
        <v>155</v>
      </c>
      <c r="D264" s="46" t="s">
        <v>184</v>
      </c>
      <c r="E264" s="46" t="s">
        <v>185</v>
      </c>
      <c r="F264" s="46" t="s">
        <v>430</v>
      </c>
      <c r="G264" s="46" t="s">
        <v>346</v>
      </c>
      <c r="H264" s="46" t="s">
        <v>113</v>
      </c>
      <c r="I264" s="46" t="s">
        <v>1360</v>
      </c>
      <c r="J264" s="46" t="s">
        <v>170</v>
      </c>
      <c r="K264" s="46">
        <v>6</v>
      </c>
      <c r="L264" s="46" t="s">
        <v>1361</v>
      </c>
      <c r="M264" s="46" t="s">
        <v>163</v>
      </c>
      <c r="N264" s="46">
        <v>5</v>
      </c>
      <c r="O264" s="46" t="s">
        <v>152</v>
      </c>
      <c r="P264" s="46"/>
    </row>
    <row r="265" spans="1:16">
      <c r="A265" s="37" t="s">
        <v>1362</v>
      </c>
      <c r="B265" s="37" t="s">
        <v>1333</v>
      </c>
      <c r="C265" s="37" t="s">
        <v>633</v>
      </c>
      <c r="D265" s="37" t="s">
        <v>223</v>
      </c>
      <c r="E265" s="37" t="s">
        <v>244</v>
      </c>
      <c r="F265" s="37" t="s">
        <v>582</v>
      </c>
      <c r="G265" s="37" t="s">
        <v>380</v>
      </c>
      <c r="H265" s="37" t="s">
        <v>126</v>
      </c>
      <c r="I265" s="37" t="s">
        <v>1363</v>
      </c>
      <c r="J265" s="37" t="s">
        <v>1364</v>
      </c>
      <c r="K265" s="37">
        <v>4</v>
      </c>
      <c r="L265" s="37" t="s">
        <v>468</v>
      </c>
      <c r="M265" s="37" t="s">
        <v>143</v>
      </c>
      <c r="N265" s="37">
        <v>2</v>
      </c>
      <c r="O265" s="37" t="s">
        <v>181</v>
      </c>
      <c r="P265" s="37"/>
    </row>
    <row r="266" spans="1:16">
      <c r="A266" s="46" t="s">
        <v>1365</v>
      </c>
      <c r="B266" s="46" t="s">
        <v>1366</v>
      </c>
      <c r="C266" s="46" t="s">
        <v>282</v>
      </c>
      <c r="D266" s="46" t="s">
        <v>213</v>
      </c>
      <c r="E266" s="46" t="s">
        <v>147</v>
      </c>
      <c r="F266" s="46" t="s">
        <v>148</v>
      </c>
      <c r="G266" s="46" t="s">
        <v>101</v>
      </c>
      <c r="H266" s="46" t="s">
        <v>187</v>
      </c>
      <c r="I266" s="46" t="s">
        <v>1367</v>
      </c>
      <c r="J266" s="46" t="s">
        <v>1368</v>
      </c>
      <c r="K266" s="46">
        <v>6</v>
      </c>
      <c r="L266" s="46" t="s">
        <v>297</v>
      </c>
      <c r="M266" s="46" t="s">
        <v>105</v>
      </c>
      <c r="N266" s="46">
        <v>4</v>
      </c>
      <c r="O266" s="46" t="s">
        <v>79</v>
      </c>
      <c r="P266" s="46"/>
    </row>
    <row r="267" spans="1:16">
      <c r="A267" s="37" t="s">
        <v>1369</v>
      </c>
      <c r="B267" s="37" t="s">
        <v>1370</v>
      </c>
      <c r="C267" s="37" t="s">
        <v>366</v>
      </c>
      <c r="D267" s="37" t="s">
        <v>204</v>
      </c>
      <c r="E267" s="37" t="s">
        <v>110</v>
      </c>
      <c r="F267" s="37" t="s">
        <v>177</v>
      </c>
      <c r="G267" s="37" t="s">
        <v>334</v>
      </c>
      <c r="H267" s="37" t="s">
        <v>215</v>
      </c>
      <c r="I267" s="37" t="s">
        <v>700</v>
      </c>
      <c r="J267" s="37" t="s">
        <v>1371</v>
      </c>
      <c r="K267" s="37">
        <v>6</v>
      </c>
      <c r="L267" s="37" t="s">
        <v>1372</v>
      </c>
      <c r="M267" s="37" t="s">
        <v>163</v>
      </c>
      <c r="N267" s="37">
        <v>5</v>
      </c>
      <c r="O267" s="37" t="s">
        <v>191</v>
      </c>
      <c r="P267" s="37"/>
    </row>
    <row r="268" spans="1:16">
      <c r="A268" s="46" t="s">
        <v>1373</v>
      </c>
      <c r="B268" s="46" t="s">
        <v>913</v>
      </c>
      <c r="C268" s="46" t="s">
        <v>174</v>
      </c>
      <c r="D268" s="46" t="s">
        <v>270</v>
      </c>
      <c r="E268" s="46" t="s">
        <v>244</v>
      </c>
      <c r="F268" s="46" t="s">
        <v>186</v>
      </c>
      <c r="G268" s="46" t="s">
        <v>51</v>
      </c>
      <c r="H268" s="46" t="s">
        <v>327</v>
      </c>
      <c r="I268" s="46" t="s">
        <v>1374</v>
      </c>
      <c r="J268" s="46" t="s">
        <v>1375</v>
      </c>
      <c r="K268" s="46">
        <v>4</v>
      </c>
      <c r="L268" s="46" t="s">
        <v>808</v>
      </c>
      <c r="M268" s="46" t="s">
        <v>337</v>
      </c>
      <c r="N268" s="46"/>
      <c r="O268" s="46" t="s">
        <v>191</v>
      </c>
      <c r="P268" s="46" t="s">
        <v>132</v>
      </c>
    </row>
    <row r="269" spans="1:16">
      <c r="A269" s="37" t="s">
        <v>1376</v>
      </c>
      <c r="B269" s="37" t="s">
        <v>1377</v>
      </c>
      <c r="C269" s="37" t="s">
        <v>32</v>
      </c>
      <c r="D269" s="37" t="s">
        <v>156</v>
      </c>
      <c r="E269" s="37" t="s">
        <v>244</v>
      </c>
      <c r="F269" s="37" t="s">
        <v>196</v>
      </c>
      <c r="G269" s="37" t="s">
        <v>89</v>
      </c>
      <c r="H269" s="37" t="s">
        <v>206</v>
      </c>
      <c r="I269" s="37" t="s">
        <v>1378</v>
      </c>
      <c r="J269" s="37" t="s">
        <v>1379</v>
      </c>
      <c r="K269" s="37">
        <v>4</v>
      </c>
      <c r="L269" s="37" t="s">
        <v>1380</v>
      </c>
      <c r="M269" s="37" t="s">
        <v>219</v>
      </c>
      <c r="N269" s="37">
        <v>5</v>
      </c>
      <c r="O269" s="37" t="s">
        <v>181</v>
      </c>
      <c r="P269" s="37"/>
    </row>
    <row r="270" spans="1:16">
      <c r="A270" s="46" t="s">
        <v>1381</v>
      </c>
      <c r="B270" s="46" t="s">
        <v>116</v>
      </c>
      <c r="C270" s="46" t="s">
        <v>407</v>
      </c>
      <c r="D270" s="46" t="s">
        <v>37</v>
      </c>
      <c r="E270" s="46" t="s">
        <v>137</v>
      </c>
      <c r="F270" s="46" t="s">
        <v>271</v>
      </c>
      <c r="G270" s="46" t="s">
        <v>470</v>
      </c>
      <c r="H270" s="46" t="s">
        <v>126</v>
      </c>
      <c r="I270" s="46" t="s">
        <v>1382</v>
      </c>
      <c r="J270" s="46" t="s">
        <v>1223</v>
      </c>
      <c r="K270" s="46">
        <v>6</v>
      </c>
      <c r="L270" s="46" t="s">
        <v>487</v>
      </c>
      <c r="M270" s="46" t="s">
        <v>163</v>
      </c>
      <c r="N270" s="46">
        <v>4</v>
      </c>
      <c r="O270" s="46" t="s">
        <v>118</v>
      </c>
      <c r="P270" s="46"/>
    </row>
    <row r="271" spans="1:16">
      <c r="A271" s="37" t="s">
        <v>1383</v>
      </c>
      <c r="B271" s="37" t="s">
        <v>822</v>
      </c>
      <c r="C271" s="37" t="s">
        <v>222</v>
      </c>
      <c r="D271" s="37" t="s">
        <v>204</v>
      </c>
      <c r="E271" s="37" t="s">
        <v>42</v>
      </c>
      <c r="F271" s="37" t="s">
        <v>1112</v>
      </c>
      <c r="G271" s="37" t="s">
        <v>197</v>
      </c>
      <c r="H271" s="37" t="s">
        <v>90</v>
      </c>
      <c r="I271" s="37" t="s">
        <v>1384</v>
      </c>
      <c r="J271" s="37" t="s">
        <v>1385</v>
      </c>
      <c r="K271" s="37">
        <v>6</v>
      </c>
      <c r="L271" s="37" t="s">
        <v>1386</v>
      </c>
      <c r="M271" s="37" t="s">
        <v>117</v>
      </c>
      <c r="N271" s="37">
        <v>5</v>
      </c>
      <c r="O271" s="37" t="s">
        <v>152</v>
      </c>
      <c r="P271" s="37"/>
    </row>
    <row r="272" spans="1:16">
      <c r="A272" s="46" t="s">
        <v>1387</v>
      </c>
      <c r="B272" s="46" t="s">
        <v>589</v>
      </c>
      <c r="C272" s="46" t="s">
        <v>633</v>
      </c>
      <c r="D272" s="46" t="s">
        <v>136</v>
      </c>
      <c r="E272" s="46" t="s">
        <v>99</v>
      </c>
      <c r="F272" s="46" t="s">
        <v>452</v>
      </c>
      <c r="G272" s="46" t="s">
        <v>125</v>
      </c>
      <c r="H272" s="46" t="s">
        <v>396</v>
      </c>
      <c r="I272" s="46" t="s">
        <v>1234</v>
      </c>
      <c r="J272" s="46" t="s">
        <v>1388</v>
      </c>
      <c r="K272" s="46">
        <v>4</v>
      </c>
      <c r="L272" s="46" t="s">
        <v>1389</v>
      </c>
      <c r="M272" s="46" t="s">
        <v>117</v>
      </c>
      <c r="N272" s="46">
        <v>4</v>
      </c>
      <c r="O272" s="46" t="s">
        <v>152</v>
      </c>
      <c r="P272" s="46"/>
    </row>
    <row r="273" spans="1:16">
      <c r="A273" s="37" t="s">
        <v>1390</v>
      </c>
      <c r="B273" s="37" t="s">
        <v>1391</v>
      </c>
      <c r="C273" s="37" t="s">
        <v>212</v>
      </c>
      <c r="D273" s="37" t="s">
        <v>312</v>
      </c>
      <c r="E273" s="37" t="s">
        <v>185</v>
      </c>
      <c r="F273" s="37" t="s">
        <v>277</v>
      </c>
      <c r="G273" s="37" t="s">
        <v>264</v>
      </c>
      <c r="H273" s="37" t="s">
        <v>187</v>
      </c>
      <c r="I273" s="37" t="s">
        <v>1392</v>
      </c>
      <c r="J273" s="37" t="s">
        <v>161</v>
      </c>
      <c r="K273" s="37">
        <v>4</v>
      </c>
      <c r="L273" s="37" t="s">
        <v>585</v>
      </c>
      <c r="M273" s="37" t="s">
        <v>105</v>
      </c>
      <c r="N273" s="37">
        <v>4</v>
      </c>
      <c r="O273" s="37" t="s">
        <v>191</v>
      </c>
      <c r="P273" s="37"/>
    </row>
    <row r="274" spans="1:16">
      <c r="A274" s="46" t="s">
        <v>1393</v>
      </c>
      <c r="B274" s="46" t="s">
        <v>1085</v>
      </c>
      <c r="C274" s="46" t="s">
        <v>566</v>
      </c>
      <c r="D274" s="46" t="s">
        <v>270</v>
      </c>
      <c r="E274" s="46" t="s">
        <v>224</v>
      </c>
      <c r="F274" s="46" t="s">
        <v>186</v>
      </c>
      <c r="G274" s="46" t="s">
        <v>257</v>
      </c>
      <c r="H274" s="46" t="s">
        <v>88</v>
      </c>
      <c r="I274" s="46" t="s">
        <v>1394</v>
      </c>
      <c r="J274" s="46" t="s">
        <v>1395</v>
      </c>
      <c r="K274" s="46">
        <v>4</v>
      </c>
      <c r="L274" s="46" t="s">
        <v>503</v>
      </c>
      <c r="M274" s="46" t="s">
        <v>105</v>
      </c>
      <c r="N274" s="46">
        <v>4</v>
      </c>
      <c r="O274" s="46" t="s">
        <v>286</v>
      </c>
      <c r="P274" s="46"/>
    </row>
    <row r="275" spans="1:16">
      <c r="A275" s="37" t="s">
        <v>1396</v>
      </c>
      <c r="B275" s="37" t="s">
        <v>1397</v>
      </c>
      <c r="C275" s="37" t="s">
        <v>424</v>
      </c>
      <c r="D275" s="37" t="s">
        <v>230</v>
      </c>
      <c r="E275" s="37" t="s">
        <v>99</v>
      </c>
      <c r="F275" s="37" t="s">
        <v>214</v>
      </c>
      <c r="G275" s="37" t="s">
        <v>197</v>
      </c>
      <c r="H275" s="37" t="s">
        <v>54</v>
      </c>
      <c r="I275" s="37" t="s">
        <v>1398</v>
      </c>
      <c r="J275" s="37" t="s">
        <v>1399</v>
      </c>
      <c r="K275" s="37">
        <v>2</v>
      </c>
      <c r="L275" s="37" t="s">
        <v>796</v>
      </c>
      <c r="M275" s="37" t="s">
        <v>219</v>
      </c>
      <c r="N275" s="37">
        <v>3</v>
      </c>
      <c r="O275" s="37" t="s">
        <v>131</v>
      </c>
      <c r="P275" s="37"/>
    </row>
    <row r="276" spans="1:16">
      <c r="A276" s="46" t="s">
        <v>1400</v>
      </c>
      <c r="B276" s="46" t="s">
        <v>1401</v>
      </c>
      <c r="C276" s="46" t="s">
        <v>212</v>
      </c>
      <c r="D276" s="46" t="s">
        <v>156</v>
      </c>
      <c r="E276" s="46" t="s">
        <v>325</v>
      </c>
      <c r="F276" s="46" t="s">
        <v>148</v>
      </c>
      <c r="G276" s="46" t="s">
        <v>302</v>
      </c>
      <c r="H276" s="46" t="s">
        <v>396</v>
      </c>
      <c r="I276" s="46" t="s">
        <v>1402</v>
      </c>
      <c r="J276" s="46" t="s">
        <v>1403</v>
      </c>
      <c r="K276" s="46">
        <v>4</v>
      </c>
      <c r="L276" s="46" t="s">
        <v>415</v>
      </c>
      <c r="M276" s="46" t="s">
        <v>117</v>
      </c>
      <c r="N276" s="46">
        <v>4</v>
      </c>
      <c r="O276" s="46" t="s">
        <v>118</v>
      </c>
      <c r="P276" s="46"/>
    </row>
    <row r="277" spans="1:16">
      <c r="A277" s="37" t="s">
        <v>1404</v>
      </c>
      <c r="B277" s="37" t="s">
        <v>1405</v>
      </c>
      <c r="C277" s="37" t="s">
        <v>32</v>
      </c>
      <c r="D277" s="37" t="s">
        <v>175</v>
      </c>
      <c r="E277" s="37" t="s">
        <v>42</v>
      </c>
      <c r="F277" s="37" t="s">
        <v>368</v>
      </c>
      <c r="G277" s="37" t="s">
        <v>159</v>
      </c>
      <c r="H277" s="37" t="s">
        <v>93</v>
      </c>
      <c r="I277" s="37" t="s">
        <v>1406</v>
      </c>
      <c r="J277" s="37" t="s">
        <v>1407</v>
      </c>
      <c r="K277" s="37">
        <v>6</v>
      </c>
      <c r="L277" s="37" t="s">
        <v>791</v>
      </c>
      <c r="M277" s="37" t="s">
        <v>200</v>
      </c>
      <c r="N277" s="37">
        <v>5</v>
      </c>
      <c r="O277" s="37" t="s">
        <v>191</v>
      </c>
      <c r="P277" s="37"/>
    </row>
    <row r="278" spans="1:16">
      <c r="A278" s="46" t="s">
        <v>1408</v>
      </c>
      <c r="B278" s="46" t="s">
        <v>1409</v>
      </c>
      <c r="C278" s="46" t="s">
        <v>90</v>
      </c>
      <c r="D278" s="46" t="s">
        <v>333</v>
      </c>
      <c r="E278" s="46" t="s">
        <v>110</v>
      </c>
      <c r="F278" s="46" t="s">
        <v>277</v>
      </c>
      <c r="G278" s="46" t="s">
        <v>346</v>
      </c>
      <c r="H278" s="46" t="s">
        <v>113</v>
      </c>
      <c r="I278" s="46" t="s">
        <v>1410</v>
      </c>
      <c r="J278" s="46" t="s">
        <v>1411</v>
      </c>
      <c r="K278" s="46">
        <v>6</v>
      </c>
      <c r="L278" s="46" t="s">
        <v>202</v>
      </c>
      <c r="M278" s="46" t="s">
        <v>163</v>
      </c>
      <c r="N278" s="46">
        <v>5</v>
      </c>
      <c r="O278" s="46" t="s">
        <v>118</v>
      </c>
      <c r="P278" s="46"/>
    </row>
    <row r="279" spans="1:16">
      <c r="A279" s="37" t="s">
        <v>1412</v>
      </c>
      <c r="B279" s="37" t="s">
        <v>285</v>
      </c>
      <c r="C279" s="37" t="s">
        <v>135</v>
      </c>
      <c r="D279" s="37" t="s">
        <v>204</v>
      </c>
      <c r="E279" s="37" t="s">
        <v>345</v>
      </c>
      <c r="F279" s="37" t="s">
        <v>47</v>
      </c>
      <c r="G279" s="37" t="s">
        <v>302</v>
      </c>
      <c r="H279" s="37" t="s">
        <v>126</v>
      </c>
      <c r="I279" s="37" t="s">
        <v>1413</v>
      </c>
      <c r="J279" s="37" t="s">
        <v>1414</v>
      </c>
      <c r="K279" s="37">
        <v>6</v>
      </c>
      <c r="L279" s="37" t="s">
        <v>1415</v>
      </c>
      <c r="M279" s="37" t="s">
        <v>105</v>
      </c>
      <c r="N279" s="37">
        <v>5</v>
      </c>
      <c r="O279" s="37" t="s">
        <v>118</v>
      </c>
      <c r="P279" s="37"/>
    </row>
    <row r="280" spans="1:16">
      <c r="A280" s="46" t="s">
        <v>1416</v>
      </c>
      <c r="B280" s="46" t="s">
        <v>1417</v>
      </c>
      <c r="C280" s="46" t="s">
        <v>424</v>
      </c>
      <c r="D280" s="46" t="s">
        <v>312</v>
      </c>
      <c r="E280" s="46" t="s">
        <v>176</v>
      </c>
      <c r="F280" s="46" t="s">
        <v>148</v>
      </c>
      <c r="G280" s="46" t="s">
        <v>168</v>
      </c>
      <c r="H280" s="46" t="s">
        <v>187</v>
      </c>
      <c r="I280" s="46" t="s">
        <v>519</v>
      </c>
      <c r="J280" s="46" t="s">
        <v>1418</v>
      </c>
      <c r="K280" s="46">
        <v>8</v>
      </c>
      <c r="L280" s="46" t="s">
        <v>1105</v>
      </c>
      <c r="M280" s="46" t="s">
        <v>143</v>
      </c>
      <c r="N280" s="46">
        <v>2</v>
      </c>
      <c r="O280" s="46" t="s">
        <v>152</v>
      </c>
      <c r="P280" s="46"/>
    </row>
    <row r="281" spans="1:16">
      <c r="A281" s="37" t="s">
        <v>1419</v>
      </c>
      <c r="B281" s="37" t="s">
        <v>1420</v>
      </c>
      <c r="C281" s="37" t="s">
        <v>212</v>
      </c>
      <c r="D281" s="37" t="s">
        <v>919</v>
      </c>
      <c r="E281" s="37" t="s">
        <v>440</v>
      </c>
      <c r="F281" s="37" t="s">
        <v>498</v>
      </c>
      <c r="G281" s="37" t="s">
        <v>401</v>
      </c>
      <c r="H281" s="37" t="s">
        <v>54</v>
      </c>
      <c r="I281" s="37" t="s">
        <v>1378</v>
      </c>
      <c r="J281" s="37" t="s">
        <v>1023</v>
      </c>
      <c r="K281" s="37">
        <v>8</v>
      </c>
      <c r="L281" s="37" t="s">
        <v>285</v>
      </c>
      <c r="M281" s="37" t="s">
        <v>105</v>
      </c>
      <c r="N281" s="37">
        <v>5</v>
      </c>
      <c r="O281" s="37" t="s">
        <v>152</v>
      </c>
      <c r="P281" s="37"/>
    </row>
    <row r="282" spans="1:16">
      <c r="A282" s="46" t="s">
        <v>1421</v>
      </c>
      <c r="B282" s="46" t="s">
        <v>1422</v>
      </c>
      <c r="C282" s="46" t="s">
        <v>121</v>
      </c>
      <c r="D282" s="46" t="s">
        <v>156</v>
      </c>
      <c r="E282" s="46" t="s">
        <v>110</v>
      </c>
      <c r="F282" s="46" t="s">
        <v>214</v>
      </c>
      <c r="G282" s="46" t="s">
        <v>401</v>
      </c>
      <c r="H282" s="46" t="s">
        <v>327</v>
      </c>
      <c r="I282" s="46" t="s">
        <v>1086</v>
      </c>
      <c r="J282" s="46" t="s">
        <v>1423</v>
      </c>
      <c r="K282" s="46">
        <v>6</v>
      </c>
      <c r="L282" s="46" t="s">
        <v>1424</v>
      </c>
      <c r="M282" s="46" t="s">
        <v>72</v>
      </c>
      <c r="N282" s="46">
        <v>2</v>
      </c>
      <c r="O282" s="46" t="s">
        <v>131</v>
      </c>
      <c r="P282" s="46"/>
    </row>
    <row r="283" spans="1:16">
      <c r="A283" s="37" t="s">
        <v>1425</v>
      </c>
      <c r="B283" s="37" t="s">
        <v>1134</v>
      </c>
      <c r="C283" s="37" t="s">
        <v>32</v>
      </c>
      <c r="D283" s="37" t="s">
        <v>230</v>
      </c>
      <c r="E283" s="37" t="s">
        <v>244</v>
      </c>
      <c r="F283" s="37" t="s">
        <v>385</v>
      </c>
      <c r="G283" s="37" t="s">
        <v>334</v>
      </c>
      <c r="H283" s="37" t="s">
        <v>354</v>
      </c>
      <c r="I283" s="37" t="s">
        <v>1426</v>
      </c>
      <c r="J283" s="37" t="s">
        <v>1427</v>
      </c>
      <c r="K283" s="37">
        <v>2</v>
      </c>
      <c r="L283" s="37" t="s">
        <v>779</v>
      </c>
      <c r="M283" s="37" t="s">
        <v>130</v>
      </c>
      <c r="N283" s="37"/>
      <c r="O283" s="37" t="s">
        <v>286</v>
      </c>
      <c r="P283" s="37" t="s">
        <v>759</v>
      </c>
    </row>
    <row r="284" spans="1:16">
      <c r="A284" s="46" t="s">
        <v>1428</v>
      </c>
      <c r="B284" s="46" t="s">
        <v>1275</v>
      </c>
      <c r="C284" s="46" t="s">
        <v>97</v>
      </c>
      <c r="D284" s="46" t="s">
        <v>919</v>
      </c>
      <c r="E284" s="46" t="s">
        <v>99</v>
      </c>
      <c r="F284" s="46" t="s">
        <v>368</v>
      </c>
      <c r="G284" s="46" t="s">
        <v>168</v>
      </c>
      <c r="H284" s="46" t="s">
        <v>187</v>
      </c>
      <c r="I284" s="46" t="s">
        <v>1429</v>
      </c>
      <c r="J284" s="46" t="s">
        <v>1430</v>
      </c>
      <c r="K284" s="46">
        <v>4</v>
      </c>
      <c r="L284" s="46" t="s">
        <v>752</v>
      </c>
      <c r="M284" s="46" t="s">
        <v>172</v>
      </c>
      <c r="N284" s="46">
        <v>2</v>
      </c>
      <c r="O284" s="46" t="s">
        <v>106</v>
      </c>
      <c r="P284" s="46"/>
    </row>
    <row r="285" spans="1:16">
      <c r="A285" s="37" t="s">
        <v>1431</v>
      </c>
      <c r="B285" s="37" t="s">
        <v>931</v>
      </c>
      <c r="C285" s="37" t="s">
        <v>222</v>
      </c>
      <c r="D285" s="37" t="s">
        <v>544</v>
      </c>
      <c r="E285" s="37" t="s">
        <v>157</v>
      </c>
      <c r="F285" s="37" t="s">
        <v>205</v>
      </c>
      <c r="G285" s="37" t="s">
        <v>418</v>
      </c>
      <c r="H285" s="37" t="s">
        <v>54</v>
      </c>
      <c r="I285" s="37" t="s">
        <v>1432</v>
      </c>
      <c r="J285" s="37" t="s">
        <v>1433</v>
      </c>
      <c r="K285" s="37">
        <v>6</v>
      </c>
      <c r="L285" s="37" t="s">
        <v>1434</v>
      </c>
      <c r="M285" s="37" t="s">
        <v>105</v>
      </c>
      <c r="N285" s="37">
        <v>3</v>
      </c>
      <c r="O285" s="37" t="s">
        <v>131</v>
      </c>
      <c r="P285" s="37"/>
    </row>
    <row r="286" spans="1:16">
      <c r="A286" s="46" t="s">
        <v>1435</v>
      </c>
      <c r="B286" s="46" t="s">
        <v>694</v>
      </c>
      <c r="C286" s="46" t="s">
        <v>407</v>
      </c>
      <c r="D286" s="46" t="s">
        <v>223</v>
      </c>
      <c r="E286" s="46" t="s">
        <v>99</v>
      </c>
      <c r="F286" s="46" t="s">
        <v>313</v>
      </c>
      <c r="G286" s="46" t="s">
        <v>125</v>
      </c>
      <c r="H286" s="46" t="s">
        <v>91</v>
      </c>
      <c r="I286" s="46" t="s">
        <v>1436</v>
      </c>
      <c r="J286" s="46" t="s">
        <v>1437</v>
      </c>
      <c r="K286" s="46">
        <v>2</v>
      </c>
      <c r="L286" s="46" t="s">
        <v>1100</v>
      </c>
      <c r="M286" s="46" t="s">
        <v>72</v>
      </c>
      <c r="N286" s="46">
        <v>5</v>
      </c>
      <c r="O286" s="46" t="s">
        <v>286</v>
      </c>
      <c r="P286" s="46"/>
    </row>
    <row r="287" spans="1:16">
      <c r="A287" s="37" t="s">
        <v>1438</v>
      </c>
      <c r="B287" s="37" t="s">
        <v>1207</v>
      </c>
      <c r="C287" s="37" t="s">
        <v>366</v>
      </c>
      <c r="D287" s="37" t="s">
        <v>270</v>
      </c>
      <c r="E287" s="37" t="s">
        <v>440</v>
      </c>
      <c r="F287" s="37" t="s">
        <v>214</v>
      </c>
      <c r="G287" s="37" t="s">
        <v>125</v>
      </c>
      <c r="H287" s="37" t="s">
        <v>396</v>
      </c>
      <c r="I287" s="37" t="s">
        <v>567</v>
      </c>
      <c r="J287" s="37" t="s">
        <v>161</v>
      </c>
      <c r="K287" s="37">
        <v>6</v>
      </c>
      <c r="L287" s="37"/>
      <c r="M287" s="37" t="s">
        <v>1439</v>
      </c>
      <c r="N287" s="37"/>
      <c r="O287" s="37" t="s">
        <v>131</v>
      </c>
      <c r="P287" s="37"/>
    </row>
    <row r="288" spans="1:16">
      <c r="A288" s="46" t="s">
        <v>1440</v>
      </c>
      <c r="B288" s="46" t="s">
        <v>835</v>
      </c>
      <c r="C288" s="46" t="s">
        <v>121</v>
      </c>
      <c r="D288" s="46" t="s">
        <v>204</v>
      </c>
      <c r="E288" s="46" t="s">
        <v>176</v>
      </c>
      <c r="F288" s="46" t="s">
        <v>283</v>
      </c>
      <c r="G288" s="46" t="s">
        <v>418</v>
      </c>
      <c r="H288" s="46" t="s">
        <v>327</v>
      </c>
      <c r="I288" s="46" t="s">
        <v>1441</v>
      </c>
      <c r="J288" s="46" t="s">
        <v>1442</v>
      </c>
      <c r="K288" s="46">
        <v>8</v>
      </c>
      <c r="L288" s="46" t="s">
        <v>1443</v>
      </c>
      <c r="M288" s="46" t="s">
        <v>200</v>
      </c>
      <c r="N288" s="46">
        <v>4</v>
      </c>
      <c r="O288" s="46" t="s">
        <v>79</v>
      </c>
      <c r="P288" s="46"/>
    </row>
    <row r="289" spans="1:16">
      <c r="A289" s="37" t="s">
        <v>1444</v>
      </c>
      <c r="B289" s="37" t="s">
        <v>250</v>
      </c>
      <c r="C289" s="37" t="s">
        <v>109</v>
      </c>
      <c r="D289" s="37" t="s">
        <v>270</v>
      </c>
      <c r="E289" s="37" t="s">
        <v>147</v>
      </c>
      <c r="F289" s="37" t="s">
        <v>231</v>
      </c>
      <c r="G289" s="37" t="s">
        <v>92</v>
      </c>
      <c r="H289" s="37" t="s">
        <v>126</v>
      </c>
      <c r="I289" s="37" t="s">
        <v>1445</v>
      </c>
      <c r="J289" s="37" t="s">
        <v>1446</v>
      </c>
      <c r="K289" s="37">
        <v>8</v>
      </c>
      <c r="L289" s="37" t="s">
        <v>280</v>
      </c>
      <c r="M289" s="37" t="s">
        <v>337</v>
      </c>
      <c r="N289" s="37"/>
      <c r="O289" s="37" t="s">
        <v>191</v>
      </c>
      <c r="P289" s="37" t="s">
        <v>132</v>
      </c>
    </row>
    <row r="290" spans="1:16">
      <c r="A290" s="46" t="s">
        <v>1447</v>
      </c>
      <c r="B290" s="46" t="s">
        <v>511</v>
      </c>
      <c r="C290" s="46" t="s">
        <v>174</v>
      </c>
      <c r="D290" s="46" t="s">
        <v>312</v>
      </c>
      <c r="E290" s="46" t="s">
        <v>440</v>
      </c>
      <c r="F290" s="46" t="s">
        <v>100</v>
      </c>
      <c r="G290" s="46" t="s">
        <v>87</v>
      </c>
      <c r="H290" s="46" t="s">
        <v>32</v>
      </c>
      <c r="I290" s="46" t="s">
        <v>1448</v>
      </c>
      <c r="J290" s="46" t="s">
        <v>1449</v>
      </c>
      <c r="K290" s="46">
        <v>8</v>
      </c>
      <c r="L290" s="46" t="s">
        <v>1450</v>
      </c>
      <c r="M290" s="46" t="s">
        <v>200</v>
      </c>
      <c r="N290" s="46">
        <v>3</v>
      </c>
      <c r="O290" s="46" t="s">
        <v>286</v>
      </c>
      <c r="P290" s="46"/>
    </row>
    <row r="291" spans="1:16">
      <c r="A291" s="37" t="s">
        <v>1451</v>
      </c>
      <c r="B291" s="37" t="s">
        <v>1301</v>
      </c>
      <c r="C291" s="37" t="s">
        <v>121</v>
      </c>
      <c r="D291" s="37" t="s">
        <v>194</v>
      </c>
      <c r="E291" s="37" t="s">
        <v>110</v>
      </c>
      <c r="F291" s="37" t="s">
        <v>319</v>
      </c>
      <c r="G291" s="37" t="s">
        <v>264</v>
      </c>
      <c r="H291" s="37" t="s">
        <v>278</v>
      </c>
      <c r="I291" s="37" t="s">
        <v>1452</v>
      </c>
      <c r="J291" s="37" t="s">
        <v>1453</v>
      </c>
      <c r="K291" s="37">
        <v>6</v>
      </c>
      <c r="L291" s="37" t="s">
        <v>1454</v>
      </c>
      <c r="M291" s="37" t="s">
        <v>105</v>
      </c>
      <c r="N291" s="37">
        <v>5</v>
      </c>
      <c r="O291" s="37" t="s">
        <v>131</v>
      </c>
      <c r="P291" s="37"/>
    </row>
    <row r="292" spans="1:16">
      <c r="A292" s="46" t="s">
        <v>1455</v>
      </c>
      <c r="B292" s="46" t="s">
        <v>1456</v>
      </c>
      <c r="C292" s="46" t="s">
        <v>340</v>
      </c>
      <c r="D292" s="46" t="s">
        <v>184</v>
      </c>
      <c r="E292" s="46" t="s">
        <v>176</v>
      </c>
      <c r="F292" s="46" t="s">
        <v>301</v>
      </c>
      <c r="G292" s="46" t="s">
        <v>334</v>
      </c>
      <c r="H292" s="46" t="s">
        <v>113</v>
      </c>
      <c r="I292" s="46" t="s">
        <v>1457</v>
      </c>
      <c r="J292" s="46" t="s">
        <v>1458</v>
      </c>
      <c r="K292" s="46">
        <v>6</v>
      </c>
      <c r="L292" s="46" t="s">
        <v>1459</v>
      </c>
      <c r="M292" s="46" t="s">
        <v>172</v>
      </c>
      <c r="N292" s="46">
        <v>5</v>
      </c>
      <c r="O292" s="46" t="s">
        <v>191</v>
      </c>
      <c r="P292" s="46"/>
    </row>
    <row r="293" spans="1:16">
      <c r="A293" s="37" t="s">
        <v>1460</v>
      </c>
      <c r="B293" s="37" t="s">
        <v>954</v>
      </c>
      <c r="C293" s="37" t="s">
        <v>93</v>
      </c>
      <c r="D293" s="37" t="s">
        <v>352</v>
      </c>
      <c r="E293" s="37" t="s">
        <v>176</v>
      </c>
      <c r="F293" s="37" t="s">
        <v>313</v>
      </c>
      <c r="G293" s="37" t="s">
        <v>125</v>
      </c>
      <c r="H293" s="37" t="s">
        <v>396</v>
      </c>
      <c r="I293" s="37" t="s">
        <v>1461</v>
      </c>
      <c r="J293" s="37" t="s">
        <v>1462</v>
      </c>
      <c r="K293" s="37">
        <v>8</v>
      </c>
      <c r="L293" s="37" t="s">
        <v>579</v>
      </c>
      <c r="M293" s="37" t="s">
        <v>817</v>
      </c>
      <c r="N293" s="37"/>
      <c r="O293" s="37" t="s">
        <v>181</v>
      </c>
      <c r="P293" s="37" t="s">
        <v>83</v>
      </c>
    </row>
    <row r="294" spans="1:16">
      <c r="A294" s="46" t="s">
        <v>1463</v>
      </c>
      <c r="B294" s="46" t="s">
        <v>571</v>
      </c>
      <c r="C294" s="46" t="s">
        <v>282</v>
      </c>
      <c r="D294" s="46" t="s">
        <v>204</v>
      </c>
      <c r="E294" s="46" t="s">
        <v>157</v>
      </c>
      <c r="F294" s="46" t="s">
        <v>186</v>
      </c>
      <c r="G294" s="46" t="s">
        <v>302</v>
      </c>
      <c r="H294" s="46" t="s">
        <v>91</v>
      </c>
      <c r="I294" s="46" t="s">
        <v>426</v>
      </c>
      <c r="J294" s="46" t="s">
        <v>1464</v>
      </c>
      <c r="K294" s="46">
        <v>6</v>
      </c>
      <c r="L294" s="46" t="s">
        <v>1117</v>
      </c>
      <c r="M294" s="46" t="s">
        <v>105</v>
      </c>
      <c r="N294" s="46">
        <v>4</v>
      </c>
      <c r="O294" s="46" t="s">
        <v>131</v>
      </c>
      <c r="P294" s="46"/>
    </row>
    <row r="295" spans="1:16">
      <c r="A295" s="37" t="s">
        <v>1465</v>
      </c>
      <c r="B295" s="37" t="s">
        <v>595</v>
      </c>
      <c r="C295" s="37" t="s">
        <v>32</v>
      </c>
      <c r="D295" s="37" t="s">
        <v>919</v>
      </c>
      <c r="E295" s="37" t="s">
        <v>147</v>
      </c>
      <c r="F295" s="37" t="s">
        <v>231</v>
      </c>
      <c r="G295" s="37" t="s">
        <v>334</v>
      </c>
      <c r="H295" s="37" t="s">
        <v>32</v>
      </c>
      <c r="I295" s="37" t="s">
        <v>1466</v>
      </c>
      <c r="J295" s="37" t="s">
        <v>1467</v>
      </c>
      <c r="K295" s="37">
        <v>6</v>
      </c>
      <c r="L295" s="37" t="s">
        <v>1468</v>
      </c>
      <c r="M295" s="37" t="s">
        <v>200</v>
      </c>
      <c r="N295" s="37">
        <v>2</v>
      </c>
      <c r="O295" s="37" t="s">
        <v>191</v>
      </c>
      <c r="P295" s="37"/>
    </row>
    <row r="296" spans="1:16">
      <c r="A296" s="46" t="s">
        <v>1469</v>
      </c>
      <c r="B296" s="46" t="s">
        <v>151</v>
      </c>
      <c r="C296" s="46" t="s">
        <v>282</v>
      </c>
      <c r="D296" s="46" t="s">
        <v>175</v>
      </c>
      <c r="E296" s="46" t="s">
        <v>185</v>
      </c>
      <c r="F296" s="46" t="s">
        <v>319</v>
      </c>
      <c r="G296" s="46" t="s">
        <v>346</v>
      </c>
      <c r="H296" s="46" t="s">
        <v>113</v>
      </c>
      <c r="I296" s="46" t="s">
        <v>1212</v>
      </c>
      <c r="J296" s="46" t="s">
        <v>1470</v>
      </c>
      <c r="K296" s="46">
        <v>6</v>
      </c>
      <c r="L296" s="46" t="s">
        <v>461</v>
      </c>
      <c r="M296" s="46" t="s">
        <v>105</v>
      </c>
      <c r="N296" s="46">
        <v>5</v>
      </c>
      <c r="O296" s="46" t="s">
        <v>118</v>
      </c>
      <c r="P296" s="46"/>
    </row>
    <row r="297" spans="1:16">
      <c r="A297" s="37" t="s">
        <v>1471</v>
      </c>
      <c r="B297" s="37" t="s">
        <v>439</v>
      </c>
      <c r="C297" s="37" t="s">
        <v>97</v>
      </c>
      <c r="D297" s="37" t="s">
        <v>146</v>
      </c>
      <c r="E297" s="37" t="s">
        <v>325</v>
      </c>
      <c r="F297" s="37" t="s">
        <v>612</v>
      </c>
      <c r="G297" s="37" t="s">
        <v>418</v>
      </c>
      <c r="H297" s="37" t="s">
        <v>327</v>
      </c>
      <c r="I297" s="37" t="s">
        <v>1472</v>
      </c>
      <c r="J297" s="37" t="s">
        <v>1473</v>
      </c>
      <c r="K297" s="37">
        <v>2</v>
      </c>
      <c r="L297" s="37" t="s">
        <v>848</v>
      </c>
      <c r="M297" s="37" t="s">
        <v>72</v>
      </c>
      <c r="N297" s="37">
        <v>1</v>
      </c>
      <c r="O297" s="37" t="s">
        <v>79</v>
      </c>
      <c r="P297" s="37"/>
    </row>
    <row r="298" spans="1:16">
      <c r="A298" s="46" t="s">
        <v>1474</v>
      </c>
      <c r="B298" s="46" t="s">
        <v>1475</v>
      </c>
      <c r="C298" s="46" t="s">
        <v>424</v>
      </c>
      <c r="D298" s="46" t="s">
        <v>352</v>
      </c>
      <c r="E298" s="46" t="s">
        <v>440</v>
      </c>
      <c r="F298" s="46" t="s">
        <v>47</v>
      </c>
      <c r="G298" s="46" t="s">
        <v>257</v>
      </c>
      <c r="H298" s="46" t="s">
        <v>187</v>
      </c>
      <c r="I298" s="46" t="s">
        <v>1476</v>
      </c>
      <c r="J298" s="46" t="s">
        <v>1477</v>
      </c>
      <c r="K298" s="46">
        <v>8</v>
      </c>
      <c r="L298" s="46" t="s">
        <v>415</v>
      </c>
      <c r="M298" s="46" t="s">
        <v>624</v>
      </c>
      <c r="N298" s="46"/>
      <c r="O298" s="46" t="s">
        <v>286</v>
      </c>
      <c r="P298" s="46" t="s">
        <v>1478</v>
      </c>
    </row>
    <row r="299" spans="1:16">
      <c r="A299" s="37" t="s">
        <v>1479</v>
      </c>
      <c r="B299" s="37" t="s">
        <v>1480</v>
      </c>
      <c r="C299" s="37" t="s">
        <v>212</v>
      </c>
      <c r="D299" s="37" t="s">
        <v>146</v>
      </c>
      <c r="E299" s="37" t="s">
        <v>147</v>
      </c>
      <c r="F299" s="37" t="s">
        <v>47</v>
      </c>
      <c r="G299" s="37" t="s">
        <v>139</v>
      </c>
      <c r="H299" s="37" t="s">
        <v>32</v>
      </c>
      <c r="I299" s="37" t="s">
        <v>102</v>
      </c>
      <c r="J299" s="37" t="s">
        <v>588</v>
      </c>
      <c r="K299" s="37">
        <v>8</v>
      </c>
      <c r="L299" s="37" t="s">
        <v>1481</v>
      </c>
      <c r="M299" s="37" t="s">
        <v>200</v>
      </c>
      <c r="N299" s="37">
        <v>4</v>
      </c>
      <c r="O299" s="37" t="s">
        <v>191</v>
      </c>
      <c r="P299" s="37"/>
    </row>
    <row r="300" spans="1:16">
      <c r="A300" s="46" t="s">
        <v>1482</v>
      </c>
      <c r="B300" s="46" t="s">
        <v>1483</v>
      </c>
      <c r="C300" s="46" t="s">
        <v>212</v>
      </c>
      <c r="D300" s="46" t="s">
        <v>213</v>
      </c>
      <c r="E300" s="46" t="s">
        <v>176</v>
      </c>
      <c r="F300" s="46" t="s">
        <v>237</v>
      </c>
      <c r="G300" s="46" t="s">
        <v>470</v>
      </c>
      <c r="H300" s="46" t="s">
        <v>126</v>
      </c>
      <c r="I300" s="46" t="s">
        <v>1484</v>
      </c>
      <c r="J300" s="46" t="s">
        <v>966</v>
      </c>
      <c r="K300" s="46">
        <v>8</v>
      </c>
      <c r="L300" s="46" t="s">
        <v>1485</v>
      </c>
      <c r="M300" s="46" t="s">
        <v>143</v>
      </c>
      <c r="N300" s="46">
        <v>1</v>
      </c>
      <c r="O300" s="46" t="s">
        <v>106</v>
      </c>
      <c r="P300" s="46"/>
    </row>
    <row r="301" spans="1:16">
      <c r="A301" s="37" t="s">
        <v>1486</v>
      </c>
      <c r="B301" s="37" t="s">
        <v>221</v>
      </c>
      <c r="C301" s="37" t="s">
        <v>424</v>
      </c>
      <c r="D301" s="37" t="s">
        <v>194</v>
      </c>
      <c r="E301" s="37" t="s">
        <v>244</v>
      </c>
      <c r="F301" s="37" t="s">
        <v>271</v>
      </c>
      <c r="G301" s="37" t="s">
        <v>264</v>
      </c>
      <c r="H301" s="37" t="s">
        <v>187</v>
      </c>
      <c r="I301" s="37" t="s">
        <v>1487</v>
      </c>
      <c r="J301" s="37" t="s">
        <v>1488</v>
      </c>
      <c r="K301" s="37">
        <v>4</v>
      </c>
      <c r="L301" s="37" t="s">
        <v>1489</v>
      </c>
      <c r="M301" s="37" t="s">
        <v>130</v>
      </c>
      <c r="N301" s="37"/>
      <c r="O301" s="37" t="s">
        <v>191</v>
      </c>
      <c r="P301" s="37" t="s">
        <v>759</v>
      </c>
    </row>
    <row r="302" spans="1:16">
      <c r="A302" s="46" t="s">
        <v>1490</v>
      </c>
      <c r="B302" s="46" t="s">
        <v>1491</v>
      </c>
      <c r="C302" s="46" t="s">
        <v>90</v>
      </c>
      <c r="D302" s="46" t="s">
        <v>175</v>
      </c>
      <c r="E302" s="46" t="s">
        <v>345</v>
      </c>
      <c r="F302" s="46" t="s">
        <v>368</v>
      </c>
      <c r="G302" s="46" t="s">
        <v>380</v>
      </c>
      <c r="H302" s="46" t="s">
        <v>126</v>
      </c>
      <c r="I302" s="46" t="s">
        <v>1492</v>
      </c>
      <c r="J302" s="46" t="s">
        <v>1493</v>
      </c>
      <c r="K302" s="46">
        <v>6</v>
      </c>
      <c r="L302" s="46" t="s">
        <v>679</v>
      </c>
      <c r="M302" s="46" t="s">
        <v>105</v>
      </c>
      <c r="N302" s="46">
        <v>3</v>
      </c>
      <c r="O302" s="46" t="s">
        <v>286</v>
      </c>
      <c r="P302" s="46"/>
    </row>
    <row r="303" spans="1:16">
      <c r="A303" s="37" t="s">
        <v>1494</v>
      </c>
      <c r="B303" s="37" t="s">
        <v>288</v>
      </c>
      <c r="C303" s="37" t="s">
        <v>300</v>
      </c>
      <c r="D303" s="37" t="s">
        <v>204</v>
      </c>
      <c r="E303" s="37" t="s">
        <v>137</v>
      </c>
      <c r="F303" s="37" t="s">
        <v>138</v>
      </c>
      <c r="G303" s="37" t="s">
        <v>139</v>
      </c>
      <c r="H303" s="37" t="s">
        <v>32</v>
      </c>
      <c r="I303" s="37" t="s">
        <v>868</v>
      </c>
      <c r="J303" s="37" t="s">
        <v>1495</v>
      </c>
      <c r="K303" s="37">
        <v>8</v>
      </c>
      <c r="L303" s="37" t="s">
        <v>1496</v>
      </c>
      <c r="M303" s="37" t="s">
        <v>624</v>
      </c>
      <c r="N303" s="37"/>
      <c r="O303" s="37" t="s">
        <v>79</v>
      </c>
      <c r="P303" s="37" t="s">
        <v>83</v>
      </c>
    </row>
    <row r="304" spans="1:16">
      <c r="A304" s="46" t="s">
        <v>1497</v>
      </c>
      <c r="B304" s="46" t="s">
        <v>1498</v>
      </c>
      <c r="C304" s="46" t="s">
        <v>135</v>
      </c>
      <c r="D304" s="46" t="s">
        <v>213</v>
      </c>
      <c r="E304" s="46" t="s">
        <v>110</v>
      </c>
      <c r="F304" s="46" t="s">
        <v>47</v>
      </c>
      <c r="G304" s="46" t="s">
        <v>197</v>
      </c>
      <c r="H304" s="46" t="s">
        <v>90</v>
      </c>
      <c r="I304" s="46" t="s">
        <v>572</v>
      </c>
      <c r="J304" s="46" t="s">
        <v>1499</v>
      </c>
      <c r="K304" s="46">
        <v>6</v>
      </c>
      <c r="L304" s="46" t="s">
        <v>483</v>
      </c>
      <c r="M304" s="46" t="s">
        <v>163</v>
      </c>
      <c r="N304" s="46">
        <v>5</v>
      </c>
      <c r="O304" s="46" t="s">
        <v>106</v>
      </c>
      <c r="P304" s="46"/>
    </row>
    <row r="305" spans="1:16">
      <c r="A305" s="37" t="s">
        <v>1500</v>
      </c>
      <c r="B305" s="37" t="s">
        <v>1501</v>
      </c>
      <c r="C305" s="37" t="s">
        <v>407</v>
      </c>
      <c r="D305" s="37" t="s">
        <v>223</v>
      </c>
      <c r="E305" s="37" t="s">
        <v>244</v>
      </c>
      <c r="F305" s="37" t="s">
        <v>612</v>
      </c>
      <c r="G305" s="37" t="s">
        <v>401</v>
      </c>
      <c r="H305" s="37" t="s">
        <v>54</v>
      </c>
      <c r="I305" s="37" t="s">
        <v>1502</v>
      </c>
      <c r="J305" s="37" t="s">
        <v>1503</v>
      </c>
      <c r="K305" s="37">
        <v>4</v>
      </c>
      <c r="L305" s="37" t="s">
        <v>1207</v>
      </c>
      <c r="M305" s="37" t="s">
        <v>72</v>
      </c>
      <c r="N305" s="37">
        <v>5</v>
      </c>
      <c r="O305" s="37" t="s">
        <v>106</v>
      </c>
      <c r="P305" s="37"/>
    </row>
    <row r="306" spans="1:16">
      <c r="A306" s="46" t="s">
        <v>1504</v>
      </c>
      <c r="B306" s="46" t="s">
        <v>1397</v>
      </c>
      <c r="C306" s="46" t="s">
        <v>566</v>
      </c>
      <c r="D306" s="46" t="s">
        <v>230</v>
      </c>
      <c r="E306" s="46" t="s">
        <v>176</v>
      </c>
      <c r="F306" s="46" t="s">
        <v>196</v>
      </c>
      <c r="G306" s="46" t="s">
        <v>418</v>
      </c>
      <c r="H306" s="46" t="s">
        <v>93</v>
      </c>
      <c r="I306" s="46" t="s">
        <v>534</v>
      </c>
      <c r="J306" s="46" t="s">
        <v>530</v>
      </c>
      <c r="K306" s="46">
        <v>6</v>
      </c>
      <c r="L306" s="46" t="s">
        <v>528</v>
      </c>
      <c r="M306" s="46" t="s">
        <v>72</v>
      </c>
      <c r="N306" s="46">
        <v>1</v>
      </c>
      <c r="O306" s="46" t="s">
        <v>152</v>
      </c>
      <c r="P306" s="46"/>
    </row>
    <row r="307" spans="1:16">
      <c r="A307" s="37" t="s">
        <v>1505</v>
      </c>
      <c r="B307" s="37" t="s">
        <v>1506</v>
      </c>
      <c r="C307" s="37" t="s">
        <v>121</v>
      </c>
      <c r="D307" s="37" t="s">
        <v>223</v>
      </c>
      <c r="E307" s="37" t="s">
        <v>244</v>
      </c>
      <c r="F307" s="37" t="s">
        <v>326</v>
      </c>
      <c r="G307" s="37" t="s">
        <v>257</v>
      </c>
      <c r="H307" s="37" t="s">
        <v>187</v>
      </c>
      <c r="I307" s="37" t="s">
        <v>1507</v>
      </c>
      <c r="J307" s="37" t="s">
        <v>1508</v>
      </c>
      <c r="K307" s="37">
        <v>4</v>
      </c>
      <c r="L307" s="37" t="s">
        <v>1509</v>
      </c>
      <c r="M307" s="37" t="s">
        <v>72</v>
      </c>
      <c r="N307" s="37">
        <v>3</v>
      </c>
      <c r="O307" s="37" t="s">
        <v>131</v>
      </c>
      <c r="P307" s="37"/>
    </row>
    <row r="308" spans="1:16">
      <c r="A308" s="46" t="s">
        <v>1510</v>
      </c>
      <c r="B308" s="46" t="s">
        <v>1301</v>
      </c>
      <c r="C308" s="46" t="s">
        <v>91</v>
      </c>
      <c r="D308" s="46" t="s">
        <v>146</v>
      </c>
      <c r="E308" s="46" t="s">
        <v>244</v>
      </c>
      <c r="F308" s="46" t="s">
        <v>368</v>
      </c>
      <c r="G308" s="46" t="s">
        <v>264</v>
      </c>
      <c r="H308" s="46" t="s">
        <v>187</v>
      </c>
      <c r="I308" s="46" t="s">
        <v>1511</v>
      </c>
      <c r="J308" s="46" t="s">
        <v>1512</v>
      </c>
      <c r="K308" s="46">
        <v>4</v>
      </c>
      <c r="L308" s="46" t="s">
        <v>1275</v>
      </c>
      <c r="M308" s="46" t="s">
        <v>1513</v>
      </c>
      <c r="N308" s="46"/>
      <c r="O308" s="46" t="s">
        <v>152</v>
      </c>
      <c r="P308" s="46" t="s">
        <v>759</v>
      </c>
    </row>
    <row r="309" spans="1:16">
      <c r="A309" s="37" t="s">
        <v>1514</v>
      </c>
      <c r="B309" s="37" t="s">
        <v>1456</v>
      </c>
      <c r="C309" s="37" t="s">
        <v>366</v>
      </c>
      <c r="D309" s="37" t="s">
        <v>230</v>
      </c>
      <c r="E309" s="37" t="s">
        <v>345</v>
      </c>
      <c r="F309" s="37" t="s">
        <v>277</v>
      </c>
      <c r="G309" s="37" t="s">
        <v>89</v>
      </c>
      <c r="H309" s="37" t="s">
        <v>206</v>
      </c>
      <c r="I309" s="37" t="s">
        <v>252</v>
      </c>
      <c r="J309" s="37" t="s">
        <v>1515</v>
      </c>
      <c r="K309" s="37">
        <v>6</v>
      </c>
      <c r="L309" s="37" t="s">
        <v>371</v>
      </c>
      <c r="M309" s="37" t="s">
        <v>163</v>
      </c>
      <c r="N309" s="37">
        <v>5</v>
      </c>
      <c r="O309" s="37" t="s">
        <v>152</v>
      </c>
      <c r="P309" s="37"/>
    </row>
    <row r="310" spans="1:16">
      <c r="A310" s="46" t="s">
        <v>1516</v>
      </c>
      <c r="B310" s="46" t="s">
        <v>1517</v>
      </c>
      <c r="C310" s="46" t="s">
        <v>32</v>
      </c>
      <c r="D310" s="46" t="s">
        <v>146</v>
      </c>
      <c r="E310" s="46" t="s">
        <v>123</v>
      </c>
      <c r="F310" s="46" t="s">
        <v>177</v>
      </c>
      <c r="G310" s="46" t="s">
        <v>302</v>
      </c>
      <c r="H310" s="46" t="s">
        <v>294</v>
      </c>
      <c r="I310" s="46" t="s">
        <v>1518</v>
      </c>
      <c r="J310" s="46" t="s">
        <v>1519</v>
      </c>
      <c r="K310" s="46">
        <v>4</v>
      </c>
      <c r="L310" s="46" t="s">
        <v>316</v>
      </c>
      <c r="M310" s="46" t="s">
        <v>72</v>
      </c>
      <c r="N310" s="46">
        <v>4</v>
      </c>
      <c r="O310" s="46" t="s">
        <v>181</v>
      </c>
      <c r="P310" s="46"/>
    </row>
    <row r="311" spans="1:16">
      <c r="A311" s="37" t="s">
        <v>1520</v>
      </c>
      <c r="B311" s="37" t="s">
        <v>1521</v>
      </c>
      <c r="C311" s="37" t="s">
        <v>203</v>
      </c>
      <c r="D311" s="37" t="s">
        <v>352</v>
      </c>
      <c r="E311" s="37" t="s">
        <v>195</v>
      </c>
      <c r="F311" s="37" t="s">
        <v>664</v>
      </c>
      <c r="G311" s="37" t="s">
        <v>197</v>
      </c>
      <c r="H311" s="37" t="s">
        <v>90</v>
      </c>
      <c r="I311" s="37" t="s">
        <v>1522</v>
      </c>
      <c r="J311" s="37" t="s">
        <v>1523</v>
      </c>
      <c r="K311" s="37">
        <v>8</v>
      </c>
      <c r="L311" s="37" t="s">
        <v>1468</v>
      </c>
      <c r="M311" s="37" t="s">
        <v>117</v>
      </c>
      <c r="N311" s="37">
        <v>3</v>
      </c>
      <c r="O311" s="37" t="s">
        <v>191</v>
      </c>
      <c r="P311" s="37"/>
    </row>
    <row r="312" spans="1:16">
      <c r="A312" s="46" t="s">
        <v>1524</v>
      </c>
      <c r="B312" s="46" t="s">
        <v>1525</v>
      </c>
      <c r="C312" s="46" t="s">
        <v>155</v>
      </c>
      <c r="D312" s="46" t="s">
        <v>333</v>
      </c>
      <c r="E312" s="46" t="s">
        <v>325</v>
      </c>
      <c r="F312" s="46"/>
      <c r="G312" s="46" t="s">
        <v>380</v>
      </c>
      <c r="H312" s="46" t="s">
        <v>126</v>
      </c>
      <c r="I312" s="46" t="s">
        <v>1526</v>
      </c>
      <c r="J312" s="46" t="s">
        <v>1527</v>
      </c>
      <c r="K312" s="46">
        <v>4</v>
      </c>
      <c r="L312" s="46" t="s">
        <v>1528</v>
      </c>
      <c r="M312" s="46" t="s">
        <v>143</v>
      </c>
      <c r="N312" s="46">
        <v>1</v>
      </c>
      <c r="O312" s="46" t="s">
        <v>79</v>
      </c>
      <c r="P312" s="46"/>
    </row>
    <row r="313" spans="1:16">
      <c r="A313" s="37" t="s">
        <v>1529</v>
      </c>
      <c r="B313" s="37" t="s">
        <v>690</v>
      </c>
      <c r="C313" s="37" t="s">
        <v>243</v>
      </c>
      <c r="D313" s="37" t="s">
        <v>919</v>
      </c>
      <c r="E313" s="37" t="s">
        <v>147</v>
      </c>
      <c r="F313" s="37" t="s">
        <v>498</v>
      </c>
      <c r="G313" s="37" t="s">
        <v>125</v>
      </c>
      <c r="H313" s="37" t="s">
        <v>396</v>
      </c>
      <c r="I313" s="37" t="s">
        <v>723</v>
      </c>
      <c r="J313" s="37" t="s">
        <v>1530</v>
      </c>
      <c r="K313" s="37">
        <v>8</v>
      </c>
      <c r="L313" s="37" t="s">
        <v>1325</v>
      </c>
      <c r="M313" s="37" t="s">
        <v>143</v>
      </c>
      <c r="N313" s="37">
        <v>5</v>
      </c>
      <c r="O313" s="37" t="s">
        <v>191</v>
      </c>
      <c r="P313" s="37"/>
    </row>
    <row r="314" spans="1:16">
      <c r="A314" s="46" t="s">
        <v>1531</v>
      </c>
      <c r="B314" s="46" t="s">
        <v>487</v>
      </c>
      <c r="C314" s="46" t="s">
        <v>90</v>
      </c>
      <c r="D314" s="46" t="s">
        <v>194</v>
      </c>
      <c r="E314" s="46" t="s">
        <v>185</v>
      </c>
      <c r="F314" s="46" t="s">
        <v>138</v>
      </c>
      <c r="G314" s="46" t="s">
        <v>264</v>
      </c>
      <c r="H314" s="46" t="s">
        <v>88</v>
      </c>
      <c r="I314" s="46" t="s">
        <v>1532</v>
      </c>
      <c r="J314" s="46" t="s">
        <v>1058</v>
      </c>
      <c r="K314" s="46">
        <v>6</v>
      </c>
      <c r="L314" s="46" t="s">
        <v>769</v>
      </c>
      <c r="M314" s="46" t="s">
        <v>117</v>
      </c>
      <c r="N314" s="46">
        <v>5</v>
      </c>
      <c r="O314" s="46" t="s">
        <v>118</v>
      </c>
      <c r="P314" s="46"/>
    </row>
    <row r="315" spans="1:16">
      <c r="A315" s="37" t="s">
        <v>1533</v>
      </c>
      <c r="B315" s="37" t="s">
        <v>733</v>
      </c>
      <c r="C315" s="37" t="s">
        <v>251</v>
      </c>
      <c r="D315" s="37" t="s">
        <v>352</v>
      </c>
      <c r="E315" s="37" t="s">
        <v>176</v>
      </c>
      <c r="F315" s="37" t="s">
        <v>100</v>
      </c>
      <c r="G315" s="37" t="s">
        <v>168</v>
      </c>
      <c r="H315" s="37" t="s">
        <v>278</v>
      </c>
      <c r="I315" s="37" t="s">
        <v>413</v>
      </c>
      <c r="J315" s="37" t="s">
        <v>1534</v>
      </c>
      <c r="K315" s="37">
        <v>8</v>
      </c>
      <c r="L315" s="37" t="s">
        <v>604</v>
      </c>
      <c r="M315" s="37" t="s">
        <v>163</v>
      </c>
      <c r="N315" s="37">
        <v>4</v>
      </c>
      <c r="O315" s="37" t="s">
        <v>152</v>
      </c>
      <c r="P315" s="37"/>
    </row>
    <row r="316" spans="1:16">
      <c r="A316" s="46" t="s">
        <v>1535</v>
      </c>
      <c r="B316" s="46" t="s">
        <v>1353</v>
      </c>
      <c r="C316" s="46" t="s">
        <v>97</v>
      </c>
      <c r="D316" s="46" t="s">
        <v>122</v>
      </c>
      <c r="E316" s="46" t="s">
        <v>110</v>
      </c>
      <c r="F316" s="46" t="s">
        <v>843</v>
      </c>
      <c r="G316" s="46" t="s">
        <v>380</v>
      </c>
      <c r="H316" s="46" t="s">
        <v>91</v>
      </c>
      <c r="I316" s="46" t="s">
        <v>1536</v>
      </c>
      <c r="J316" s="46" t="s">
        <v>1537</v>
      </c>
      <c r="K316" s="46">
        <v>6</v>
      </c>
      <c r="L316" s="46" t="s">
        <v>1538</v>
      </c>
      <c r="M316" s="46" t="s">
        <v>200</v>
      </c>
      <c r="N316" s="46">
        <v>4</v>
      </c>
      <c r="O316" s="46" t="s">
        <v>152</v>
      </c>
      <c r="P316" s="46"/>
    </row>
    <row r="317" spans="1:16">
      <c r="A317" s="37" t="s">
        <v>1539</v>
      </c>
      <c r="B317" s="37" t="s">
        <v>1540</v>
      </c>
      <c r="C317" s="37" t="s">
        <v>374</v>
      </c>
      <c r="D317" s="37" t="s">
        <v>204</v>
      </c>
      <c r="E317" s="37" t="s">
        <v>195</v>
      </c>
      <c r="F317" s="37" t="s">
        <v>498</v>
      </c>
      <c r="G317" s="37" t="s">
        <v>89</v>
      </c>
      <c r="H317" s="37" t="s">
        <v>187</v>
      </c>
      <c r="I317" s="37" t="s">
        <v>1541</v>
      </c>
      <c r="J317" s="37" t="s">
        <v>1542</v>
      </c>
      <c r="K317" s="37">
        <v>8</v>
      </c>
      <c r="L317" s="37" t="s">
        <v>984</v>
      </c>
      <c r="M317" s="37" t="s">
        <v>117</v>
      </c>
      <c r="N317" s="37">
        <v>3</v>
      </c>
      <c r="O317" s="37" t="s">
        <v>118</v>
      </c>
      <c r="P317" s="37"/>
    </row>
    <row r="318" spans="1:16">
      <c r="A318" s="46" t="s">
        <v>1543</v>
      </c>
      <c r="B318" s="46" t="s">
        <v>1544</v>
      </c>
      <c r="C318" s="46" t="s">
        <v>91</v>
      </c>
      <c r="D318" s="46" t="s">
        <v>213</v>
      </c>
      <c r="E318" s="46" t="s">
        <v>195</v>
      </c>
      <c r="F318" s="46" t="s">
        <v>231</v>
      </c>
      <c r="G318" s="46" t="s">
        <v>257</v>
      </c>
      <c r="H318" s="46" t="s">
        <v>187</v>
      </c>
      <c r="I318" s="46" t="s">
        <v>1545</v>
      </c>
      <c r="J318" s="46" t="s">
        <v>1546</v>
      </c>
      <c r="K318" s="46">
        <v>8</v>
      </c>
      <c r="L318" s="46" t="s">
        <v>1259</v>
      </c>
      <c r="M318" s="46" t="s">
        <v>72</v>
      </c>
      <c r="N318" s="46">
        <v>3</v>
      </c>
      <c r="O318" s="46" t="s">
        <v>191</v>
      </c>
      <c r="P318" s="46"/>
    </row>
    <row r="319" spans="1:16">
      <c r="A319" s="37" t="s">
        <v>1547</v>
      </c>
      <c r="B319" s="37" t="s">
        <v>1131</v>
      </c>
      <c r="C319" s="37" t="s">
        <v>374</v>
      </c>
      <c r="D319" s="37" t="s">
        <v>367</v>
      </c>
      <c r="E319" s="37" t="s">
        <v>195</v>
      </c>
      <c r="F319" s="37" t="s">
        <v>498</v>
      </c>
      <c r="G319" s="37" t="s">
        <v>101</v>
      </c>
      <c r="H319" s="37" t="s">
        <v>88</v>
      </c>
      <c r="I319" s="37" t="s">
        <v>1548</v>
      </c>
      <c r="J319" s="37" t="s">
        <v>1549</v>
      </c>
      <c r="K319" s="37">
        <v>8</v>
      </c>
      <c r="L319" s="37" t="s">
        <v>1550</v>
      </c>
      <c r="M319" s="37" t="s">
        <v>163</v>
      </c>
      <c r="N319" s="37">
        <v>4</v>
      </c>
      <c r="O319" s="37" t="s">
        <v>152</v>
      </c>
      <c r="P319" s="37"/>
    </row>
    <row r="320" spans="1:16">
      <c r="A320" s="46" t="s">
        <v>1551</v>
      </c>
      <c r="B320" s="46" t="s">
        <v>1552</v>
      </c>
      <c r="C320" s="46" t="s">
        <v>424</v>
      </c>
      <c r="D320" s="46" t="s">
        <v>312</v>
      </c>
      <c r="E320" s="46" t="s">
        <v>147</v>
      </c>
      <c r="F320" s="46" t="s">
        <v>385</v>
      </c>
      <c r="G320" s="46" t="s">
        <v>197</v>
      </c>
      <c r="H320" s="46" t="s">
        <v>327</v>
      </c>
      <c r="I320" s="46" t="s">
        <v>1553</v>
      </c>
      <c r="J320" s="46" t="s">
        <v>1554</v>
      </c>
      <c r="K320" s="46">
        <v>6</v>
      </c>
      <c r="L320" s="46"/>
      <c r="M320" s="46" t="s">
        <v>1555</v>
      </c>
      <c r="N320" s="46"/>
      <c r="O320" s="46" t="s">
        <v>191</v>
      </c>
      <c r="P320" s="46"/>
    </row>
    <row r="321" spans="1:16">
      <c r="A321" s="37" t="s">
        <v>1556</v>
      </c>
      <c r="B321" s="37" t="s">
        <v>685</v>
      </c>
      <c r="C321" s="37" t="s">
        <v>469</v>
      </c>
      <c r="D321" s="37" t="s">
        <v>312</v>
      </c>
      <c r="E321" s="37" t="s">
        <v>99</v>
      </c>
      <c r="F321" s="37" t="s">
        <v>158</v>
      </c>
      <c r="G321" s="37" t="s">
        <v>112</v>
      </c>
      <c r="H321" s="37" t="s">
        <v>113</v>
      </c>
      <c r="I321" s="37" t="s">
        <v>1557</v>
      </c>
      <c r="J321" s="37" t="s">
        <v>1558</v>
      </c>
      <c r="K321" s="37">
        <v>4</v>
      </c>
      <c r="L321" s="37" t="s">
        <v>1559</v>
      </c>
      <c r="M321" s="37" t="s">
        <v>219</v>
      </c>
      <c r="N321" s="37">
        <v>5</v>
      </c>
      <c r="O321" s="37" t="s">
        <v>191</v>
      </c>
      <c r="P321" s="37"/>
    </row>
    <row r="322" spans="1:16">
      <c r="A322" s="46" t="s">
        <v>1560</v>
      </c>
      <c r="B322" s="46" t="s">
        <v>324</v>
      </c>
      <c r="C322" s="46" t="s">
        <v>97</v>
      </c>
      <c r="D322" s="46" t="s">
        <v>37</v>
      </c>
      <c r="E322" s="46" t="s">
        <v>147</v>
      </c>
      <c r="F322" s="46" t="s">
        <v>385</v>
      </c>
      <c r="G322" s="46" t="s">
        <v>139</v>
      </c>
      <c r="H322" s="46" t="s">
        <v>113</v>
      </c>
      <c r="I322" s="46" t="s">
        <v>1561</v>
      </c>
      <c r="J322" s="46" t="s">
        <v>1562</v>
      </c>
      <c r="K322" s="46">
        <v>8</v>
      </c>
      <c r="L322" s="46" t="s">
        <v>359</v>
      </c>
      <c r="M322" s="46" t="s">
        <v>219</v>
      </c>
      <c r="N322" s="46">
        <v>4</v>
      </c>
      <c r="O322" s="46" t="s">
        <v>118</v>
      </c>
      <c r="P322" s="46"/>
    </row>
    <row r="323" spans="1:16">
      <c r="A323" s="37" t="s">
        <v>1563</v>
      </c>
      <c r="B323" s="37" t="s">
        <v>1564</v>
      </c>
      <c r="C323" s="37" t="s">
        <v>424</v>
      </c>
      <c r="D323" s="37" t="s">
        <v>270</v>
      </c>
      <c r="E323" s="37" t="s">
        <v>99</v>
      </c>
      <c r="F323" s="37" t="s">
        <v>100</v>
      </c>
      <c r="G323" s="37" t="s">
        <v>380</v>
      </c>
      <c r="H323" s="37" t="s">
        <v>126</v>
      </c>
      <c r="I323" s="37" t="s">
        <v>1565</v>
      </c>
      <c r="J323" s="37" t="s">
        <v>1566</v>
      </c>
      <c r="K323" s="37">
        <v>4</v>
      </c>
      <c r="L323" s="37" t="s">
        <v>661</v>
      </c>
      <c r="M323" s="37" t="s">
        <v>172</v>
      </c>
      <c r="N323" s="37">
        <v>2</v>
      </c>
      <c r="O323" s="37" t="s">
        <v>152</v>
      </c>
      <c r="P323" s="37"/>
    </row>
    <row r="324" spans="1:16">
      <c r="A324" s="46" t="s">
        <v>1567</v>
      </c>
      <c r="B324" s="46" t="s">
        <v>922</v>
      </c>
      <c r="C324" s="46" t="s">
        <v>109</v>
      </c>
      <c r="D324" s="46" t="s">
        <v>230</v>
      </c>
      <c r="E324" s="46" t="s">
        <v>195</v>
      </c>
      <c r="F324" s="46" t="s">
        <v>47</v>
      </c>
      <c r="G324" s="46" t="s">
        <v>89</v>
      </c>
      <c r="H324" s="46" t="s">
        <v>88</v>
      </c>
      <c r="I324" s="46" t="s">
        <v>1568</v>
      </c>
      <c r="J324" s="46" t="s">
        <v>530</v>
      </c>
      <c r="K324" s="46">
        <v>6</v>
      </c>
      <c r="L324" s="46" t="s">
        <v>720</v>
      </c>
      <c r="M324" s="46" t="s">
        <v>1513</v>
      </c>
      <c r="N324" s="46"/>
      <c r="O324" s="46" t="s">
        <v>79</v>
      </c>
      <c r="P324" s="46" t="s">
        <v>132</v>
      </c>
    </row>
    <row r="325" spans="1:16">
      <c r="A325" s="37" t="s">
        <v>1569</v>
      </c>
      <c r="B325" s="37" t="s">
        <v>1335</v>
      </c>
      <c r="C325" s="37" t="s">
        <v>366</v>
      </c>
      <c r="D325" s="37" t="s">
        <v>544</v>
      </c>
      <c r="E325" s="37" t="s">
        <v>110</v>
      </c>
      <c r="F325" s="37" t="s">
        <v>430</v>
      </c>
      <c r="G325" s="37" t="s">
        <v>346</v>
      </c>
      <c r="H325" s="37" t="s">
        <v>32</v>
      </c>
      <c r="I325" s="37" t="s">
        <v>529</v>
      </c>
      <c r="J325" s="37" t="s">
        <v>1570</v>
      </c>
      <c r="K325" s="37">
        <v>6</v>
      </c>
      <c r="L325" s="37" t="s">
        <v>1571</v>
      </c>
      <c r="M325" s="37" t="s">
        <v>72</v>
      </c>
      <c r="N325" s="37">
        <v>1</v>
      </c>
      <c r="O325" s="37" t="s">
        <v>152</v>
      </c>
      <c r="P325" s="37"/>
    </row>
    <row r="326" spans="1:16">
      <c r="A326" s="46" t="s">
        <v>1572</v>
      </c>
      <c r="B326" s="46" t="s">
        <v>1573</v>
      </c>
      <c r="C326" s="46" t="s">
        <v>91</v>
      </c>
      <c r="D326" s="46" t="s">
        <v>312</v>
      </c>
      <c r="E326" s="46" t="s">
        <v>440</v>
      </c>
      <c r="F326" s="46" t="s">
        <v>353</v>
      </c>
      <c r="G326" s="46" t="s">
        <v>197</v>
      </c>
      <c r="H326" s="46" t="s">
        <v>93</v>
      </c>
      <c r="I326" s="46" t="s">
        <v>1574</v>
      </c>
      <c r="J326" s="46" t="s">
        <v>304</v>
      </c>
      <c r="K326" s="46">
        <v>8</v>
      </c>
      <c r="L326" s="46" t="s">
        <v>851</v>
      </c>
      <c r="M326" s="46" t="s">
        <v>163</v>
      </c>
      <c r="N326" s="46">
        <v>5</v>
      </c>
      <c r="O326" s="46" t="s">
        <v>131</v>
      </c>
      <c r="P326" s="46"/>
    </row>
    <row r="327" spans="1:16">
      <c r="A327" s="37" t="s">
        <v>1575</v>
      </c>
      <c r="B327" s="37" t="s">
        <v>193</v>
      </c>
      <c r="C327" s="37" t="s">
        <v>633</v>
      </c>
      <c r="D327" s="37" t="s">
        <v>156</v>
      </c>
      <c r="E327" s="37" t="s">
        <v>99</v>
      </c>
      <c r="F327" s="37" t="s">
        <v>313</v>
      </c>
      <c r="G327" s="37" t="s">
        <v>380</v>
      </c>
      <c r="H327" s="37" t="s">
        <v>294</v>
      </c>
      <c r="I327" s="37" t="s">
        <v>1576</v>
      </c>
      <c r="J327" s="37" t="s">
        <v>1577</v>
      </c>
      <c r="K327" s="37">
        <v>4</v>
      </c>
      <c r="L327" s="37" t="s">
        <v>116</v>
      </c>
      <c r="M327" s="37" t="s">
        <v>143</v>
      </c>
      <c r="N327" s="37">
        <v>4</v>
      </c>
      <c r="O327" s="37" t="s">
        <v>286</v>
      </c>
      <c r="P327" s="37"/>
    </row>
    <row r="328" spans="1:16">
      <c r="A328" s="46" t="s">
        <v>1578</v>
      </c>
      <c r="B328" s="46" t="s">
        <v>1579</v>
      </c>
      <c r="C328" s="46" t="s">
        <v>109</v>
      </c>
      <c r="D328" s="46" t="s">
        <v>544</v>
      </c>
      <c r="E328" s="46" t="s">
        <v>42</v>
      </c>
      <c r="F328" s="46" t="s">
        <v>664</v>
      </c>
      <c r="G328" s="46" t="s">
        <v>346</v>
      </c>
      <c r="H328" s="46" t="s">
        <v>32</v>
      </c>
      <c r="I328" s="46" t="s">
        <v>509</v>
      </c>
      <c r="J328" s="46" t="s">
        <v>1580</v>
      </c>
      <c r="K328" s="46">
        <v>6</v>
      </c>
      <c r="L328" s="46" t="s">
        <v>831</v>
      </c>
      <c r="M328" s="46" t="s">
        <v>219</v>
      </c>
      <c r="N328" s="46">
        <v>5</v>
      </c>
      <c r="O328" s="46" t="s">
        <v>118</v>
      </c>
      <c r="P328" s="46"/>
    </row>
    <row r="329" spans="1:16">
      <c r="A329" s="37" t="s">
        <v>1581</v>
      </c>
      <c r="B329" s="37" t="s">
        <v>1582</v>
      </c>
      <c r="C329" s="37" t="s">
        <v>282</v>
      </c>
      <c r="D329" s="37" t="s">
        <v>352</v>
      </c>
      <c r="E329" s="37" t="s">
        <v>224</v>
      </c>
      <c r="F329" s="37" t="s">
        <v>313</v>
      </c>
      <c r="G329" s="37" t="s">
        <v>257</v>
      </c>
      <c r="H329" s="37" t="s">
        <v>278</v>
      </c>
      <c r="I329" s="37" t="s">
        <v>1583</v>
      </c>
      <c r="J329" s="37" t="s">
        <v>1584</v>
      </c>
      <c r="K329" s="37">
        <v>2</v>
      </c>
      <c r="L329" s="37" t="s">
        <v>1131</v>
      </c>
      <c r="M329" s="37" t="s">
        <v>105</v>
      </c>
      <c r="N329" s="37">
        <v>4</v>
      </c>
      <c r="O329" s="37" t="s">
        <v>286</v>
      </c>
      <c r="P329" s="37"/>
    </row>
    <row r="330" spans="1:16">
      <c r="A330" s="46" t="s">
        <v>1585</v>
      </c>
      <c r="B330" s="46" t="s">
        <v>1586</v>
      </c>
      <c r="C330" s="46" t="s">
        <v>174</v>
      </c>
      <c r="D330" s="46" t="s">
        <v>156</v>
      </c>
      <c r="E330" s="46" t="s">
        <v>185</v>
      </c>
      <c r="F330" s="46" t="s">
        <v>167</v>
      </c>
      <c r="G330" s="46" t="s">
        <v>87</v>
      </c>
      <c r="H330" s="46" t="s">
        <v>32</v>
      </c>
      <c r="I330" s="46" t="s">
        <v>1587</v>
      </c>
      <c r="J330" s="46" t="s">
        <v>1159</v>
      </c>
      <c r="K330" s="46">
        <v>6</v>
      </c>
      <c r="L330" s="46" t="s">
        <v>1588</v>
      </c>
      <c r="M330" s="46" t="s">
        <v>143</v>
      </c>
      <c r="N330" s="46">
        <v>1</v>
      </c>
      <c r="O330" s="46" t="s">
        <v>118</v>
      </c>
      <c r="P330" s="46"/>
    </row>
    <row r="331" spans="1:16">
      <c r="A331" s="37" t="s">
        <v>1589</v>
      </c>
      <c r="B331" s="37" t="s">
        <v>1169</v>
      </c>
      <c r="C331" s="37" t="s">
        <v>93</v>
      </c>
      <c r="D331" s="37" t="s">
        <v>146</v>
      </c>
      <c r="E331" s="37" t="s">
        <v>345</v>
      </c>
      <c r="F331" s="37" t="s">
        <v>353</v>
      </c>
      <c r="G331" s="37" t="s">
        <v>112</v>
      </c>
      <c r="H331" s="37" t="s">
        <v>32</v>
      </c>
      <c r="I331" s="37" t="s">
        <v>1590</v>
      </c>
      <c r="J331" s="37" t="s">
        <v>1591</v>
      </c>
      <c r="K331" s="37">
        <v>6</v>
      </c>
      <c r="L331" s="37" t="s">
        <v>1592</v>
      </c>
      <c r="M331" s="37" t="s">
        <v>143</v>
      </c>
      <c r="N331" s="37">
        <v>2</v>
      </c>
      <c r="O331" s="37" t="s">
        <v>286</v>
      </c>
      <c r="P331" s="37"/>
    </row>
    <row r="332" spans="1:16">
      <c r="A332" s="46" t="s">
        <v>1593</v>
      </c>
      <c r="B332" s="46" t="s">
        <v>1301</v>
      </c>
      <c r="C332" s="46" t="s">
        <v>212</v>
      </c>
      <c r="D332" s="46" t="s">
        <v>333</v>
      </c>
      <c r="E332" s="46" t="s">
        <v>345</v>
      </c>
      <c r="F332" s="46" t="s">
        <v>214</v>
      </c>
      <c r="G332" s="46" t="s">
        <v>380</v>
      </c>
      <c r="H332" s="46" t="s">
        <v>396</v>
      </c>
      <c r="I332" s="46" t="s">
        <v>265</v>
      </c>
      <c r="J332" s="46" t="s">
        <v>1594</v>
      </c>
      <c r="K332" s="46">
        <v>6</v>
      </c>
      <c r="L332" s="46" t="s">
        <v>1595</v>
      </c>
      <c r="M332" s="46" t="s">
        <v>172</v>
      </c>
      <c r="N332" s="46">
        <v>1</v>
      </c>
      <c r="O332" s="46" t="s">
        <v>118</v>
      </c>
      <c r="P332" s="46"/>
    </row>
    <row r="333" spans="1:16">
      <c r="A333" s="37" t="s">
        <v>1596</v>
      </c>
      <c r="B333" s="37" t="s">
        <v>1597</v>
      </c>
      <c r="C333" s="37" t="s">
        <v>174</v>
      </c>
      <c r="D333" s="37" t="s">
        <v>213</v>
      </c>
      <c r="E333" s="37" t="s">
        <v>137</v>
      </c>
      <c r="F333" s="37" t="s">
        <v>360</v>
      </c>
      <c r="G333" s="37" t="s">
        <v>89</v>
      </c>
      <c r="H333" s="37" t="s">
        <v>278</v>
      </c>
      <c r="I333" s="37" t="s">
        <v>1598</v>
      </c>
      <c r="J333" s="37" t="s">
        <v>1599</v>
      </c>
      <c r="K333" s="37">
        <v>6</v>
      </c>
      <c r="L333" s="37" t="s">
        <v>1424</v>
      </c>
      <c r="M333" s="37" t="s">
        <v>200</v>
      </c>
      <c r="N333" s="37">
        <v>2</v>
      </c>
      <c r="O333" s="37" t="s">
        <v>191</v>
      </c>
      <c r="P333" s="37"/>
    </row>
    <row r="334" spans="1:16">
      <c r="A334" s="46" t="s">
        <v>1600</v>
      </c>
      <c r="B334" s="46" t="s">
        <v>650</v>
      </c>
      <c r="C334" s="46" t="s">
        <v>307</v>
      </c>
      <c r="D334" s="46" t="s">
        <v>367</v>
      </c>
      <c r="E334" s="46" t="s">
        <v>244</v>
      </c>
      <c r="F334" s="46" t="s">
        <v>158</v>
      </c>
      <c r="G334" s="46" t="s">
        <v>418</v>
      </c>
      <c r="H334" s="46" t="s">
        <v>90</v>
      </c>
      <c r="I334" s="46" t="s">
        <v>289</v>
      </c>
      <c r="J334" s="46" t="s">
        <v>1601</v>
      </c>
      <c r="K334" s="46">
        <v>4</v>
      </c>
      <c r="L334" s="46" t="s">
        <v>1602</v>
      </c>
      <c r="M334" s="46" t="s">
        <v>143</v>
      </c>
      <c r="N334" s="46">
        <v>2</v>
      </c>
      <c r="O334" s="46" t="s">
        <v>191</v>
      </c>
      <c r="P334" s="46"/>
    </row>
    <row r="335" spans="1:16">
      <c r="A335" s="37" t="s">
        <v>1603</v>
      </c>
      <c r="B335" s="37" t="s">
        <v>134</v>
      </c>
      <c r="C335" s="37" t="s">
        <v>97</v>
      </c>
      <c r="D335" s="37" t="s">
        <v>230</v>
      </c>
      <c r="E335" s="37" t="s">
        <v>42</v>
      </c>
      <c r="F335" s="37" t="s">
        <v>353</v>
      </c>
      <c r="G335" s="37" t="s">
        <v>139</v>
      </c>
      <c r="H335" s="37" t="s">
        <v>354</v>
      </c>
      <c r="I335" s="37" t="s">
        <v>1604</v>
      </c>
      <c r="J335" s="37" t="s">
        <v>1605</v>
      </c>
      <c r="K335" s="37">
        <v>6</v>
      </c>
      <c r="L335" s="37" t="s">
        <v>1606</v>
      </c>
      <c r="M335" s="37" t="s">
        <v>219</v>
      </c>
      <c r="N335" s="37">
        <v>4</v>
      </c>
      <c r="O335" s="37" t="s">
        <v>131</v>
      </c>
      <c r="P335" s="37"/>
    </row>
    <row r="336" spans="1:16">
      <c r="A336" s="46" t="s">
        <v>1607</v>
      </c>
      <c r="B336" s="46" t="s">
        <v>417</v>
      </c>
      <c r="C336" s="46" t="s">
        <v>633</v>
      </c>
      <c r="D336" s="46" t="s">
        <v>230</v>
      </c>
      <c r="E336" s="46" t="s">
        <v>195</v>
      </c>
      <c r="F336" s="46" t="s">
        <v>167</v>
      </c>
      <c r="G336" s="46" t="s">
        <v>264</v>
      </c>
      <c r="H336" s="46" t="s">
        <v>206</v>
      </c>
      <c r="I336" s="46" t="s">
        <v>1608</v>
      </c>
      <c r="J336" s="46" t="s">
        <v>1609</v>
      </c>
      <c r="K336" s="46">
        <v>8</v>
      </c>
      <c r="L336" s="46" t="s">
        <v>1610</v>
      </c>
      <c r="M336" s="46" t="s">
        <v>200</v>
      </c>
      <c r="N336" s="46">
        <v>1</v>
      </c>
      <c r="O336" s="46" t="s">
        <v>131</v>
      </c>
      <c r="P336" s="46"/>
    </row>
    <row r="337" spans="1:16">
      <c r="A337" s="37" t="s">
        <v>1611</v>
      </c>
      <c r="B337" s="37" t="s">
        <v>492</v>
      </c>
      <c r="C337" s="37" t="s">
        <v>32</v>
      </c>
      <c r="D337" s="37" t="s">
        <v>204</v>
      </c>
      <c r="E337" s="37" t="s">
        <v>42</v>
      </c>
      <c r="F337" s="37" t="s">
        <v>263</v>
      </c>
      <c r="G337" s="37" t="s">
        <v>257</v>
      </c>
      <c r="H337" s="37" t="s">
        <v>88</v>
      </c>
      <c r="I337" s="37" t="s">
        <v>1612</v>
      </c>
      <c r="J337" s="37" t="s">
        <v>1613</v>
      </c>
      <c r="K337" s="37">
        <v>6</v>
      </c>
      <c r="L337" s="37" t="s">
        <v>1614</v>
      </c>
      <c r="M337" s="37" t="s">
        <v>624</v>
      </c>
      <c r="N337" s="37"/>
      <c r="O337" s="37" t="s">
        <v>191</v>
      </c>
      <c r="P337" s="37" t="s">
        <v>625</v>
      </c>
    </row>
    <row r="338" spans="1:16">
      <c r="A338" s="46" t="s">
        <v>1615</v>
      </c>
      <c r="B338" s="46" t="s">
        <v>1304</v>
      </c>
      <c r="C338" s="46" t="s">
        <v>282</v>
      </c>
      <c r="D338" s="46" t="s">
        <v>156</v>
      </c>
      <c r="E338" s="46" t="s">
        <v>42</v>
      </c>
      <c r="F338" s="46" t="s">
        <v>231</v>
      </c>
      <c r="G338" s="46" t="s">
        <v>334</v>
      </c>
      <c r="H338" s="46" t="s">
        <v>113</v>
      </c>
      <c r="I338" s="46" t="s">
        <v>1616</v>
      </c>
      <c r="J338" s="46" t="s">
        <v>1617</v>
      </c>
      <c r="K338" s="46">
        <v>6</v>
      </c>
      <c r="L338" s="46" t="s">
        <v>1595</v>
      </c>
      <c r="M338" s="46" t="s">
        <v>72</v>
      </c>
      <c r="N338" s="46">
        <v>1</v>
      </c>
      <c r="O338" s="46" t="s">
        <v>191</v>
      </c>
      <c r="P338" s="46"/>
    </row>
    <row r="339" spans="1:16">
      <c r="A339" s="37" t="s">
        <v>1618</v>
      </c>
      <c r="B339" s="37" t="s">
        <v>1619</v>
      </c>
      <c r="C339" s="37" t="s">
        <v>212</v>
      </c>
      <c r="D339" s="37" t="s">
        <v>333</v>
      </c>
      <c r="E339" s="37" t="s">
        <v>42</v>
      </c>
      <c r="F339" s="37" t="s">
        <v>111</v>
      </c>
      <c r="G339" s="37" t="s">
        <v>125</v>
      </c>
      <c r="H339" s="37" t="s">
        <v>396</v>
      </c>
      <c r="I339" s="37" t="s">
        <v>1620</v>
      </c>
      <c r="J339" s="37" t="s">
        <v>1621</v>
      </c>
      <c r="K339" s="37">
        <v>6</v>
      </c>
      <c r="L339" s="37" t="s">
        <v>1622</v>
      </c>
      <c r="M339" s="37" t="s">
        <v>72</v>
      </c>
      <c r="N339" s="37">
        <v>3</v>
      </c>
      <c r="O339" s="37" t="s">
        <v>118</v>
      </c>
      <c r="P339" s="37"/>
    </row>
    <row r="340" spans="1:16">
      <c r="A340" s="46" t="s">
        <v>1623</v>
      </c>
      <c r="B340" s="46" t="s">
        <v>1173</v>
      </c>
      <c r="C340" s="46" t="s">
        <v>135</v>
      </c>
      <c r="D340" s="46" t="s">
        <v>37</v>
      </c>
      <c r="E340" s="46" t="s">
        <v>176</v>
      </c>
      <c r="F340" s="46" t="s">
        <v>664</v>
      </c>
      <c r="G340" s="46" t="s">
        <v>257</v>
      </c>
      <c r="H340" s="46" t="s">
        <v>187</v>
      </c>
      <c r="I340" s="46" t="s">
        <v>1624</v>
      </c>
      <c r="J340" s="46" t="s">
        <v>1299</v>
      </c>
      <c r="K340" s="46">
        <v>6</v>
      </c>
      <c r="L340" s="46" t="s">
        <v>1220</v>
      </c>
      <c r="M340" s="46" t="s">
        <v>105</v>
      </c>
      <c r="N340" s="46">
        <v>3</v>
      </c>
      <c r="O340" s="46" t="s">
        <v>152</v>
      </c>
      <c r="P340" s="46"/>
    </row>
    <row r="341" spans="1:16">
      <c r="A341" s="37" t="s">
        <v>1625</v>
      </c>
      <c r="B341" s="37" t="s">
        <v>1626</v>
      </c>
      <c r="C341" s="37" t="s">
        <v>93</v>
      </c>
      <c r="D341" s="37" t="s">
        <v>194</v>
      </c>
      <c r="E341" s="37" t="s">
        <v>224</v>
      </c>
      <c r="F341" s="37" t="s">
        <v>231</v>
      </c>
      <c r="G341" s="37" t="s">
        <v>159</v>
      </c>
      <c r="H341" s="37" t="s">
        <v>90</v>
      </c>
      <c r="I341" s="37" t="s">
        <v>1627</v>
      </c>
      <c r="J341" s="37" t="s">
        <v>1628</v>
      </c>
      <c r="K341" s="37">
        <v>4</v>
      </c>
      <c r="L341" s="37" t="s">
        <v>448</v>
      </c>
      <c r="M341" s="37" t="s">
        <v>200</v>
      </c>
      <c r="N341" s="37">
        <v>2</v>
      </c>
      <c r="O341" s="37" t="s">
        <v>106</v>
      </c>
      <c r="P341" s="37"/>
    </row>
    <row r="342" spans="1:16">
      <c r="A342" s="46" t="s">
        <v>1629</v>
      </c>
      <c r="B342" s="46" t="s">
        <v>547</v>
      </c>
      <c r="C342" s="46" t="s">
        <v>88</v>
      </c>
      <c r="D342" s="46"/>
      <c r="E342" s="46" t="s">
        <v>137</v>
      </c>
      <c r="F342" s="46" t="s">
        <v>47</v>
      </c>
      <c r="G342" s="46" t="s">
        <v>302</v>
      </c>
      <c r="H342" s="46" t="s">
        <v>126</v>
      </c>
      <c r="I342" s="46" t="s">
        <v>1630</v>
      </c>
      <c r="J342" s="46" t="s">
        <v>1631</v>
      </c>
      <c r="K342" s="46">
        <v>8</v>
      </c>
      <c r="L342" s="46" t="s">
        <v>1282</v>
      </c>
      <c r="M342" s="46" t="s">
        <v>1513</v>
      </c>
      <c r="N342" s="46"/>
      <c r="O342" s="46" t="s">
        <v>152</v>
      </c>
      <c r="P342" s="46" t="s">
        <v>759</v>
      </c>
    </row>
    <row r="343" spans="1:16">
      <c r="A343" s="37" t="s">
        <v>1632</v>
      </c>
      <c r="B343" s="37" t="s">
        <v>1528</v>
      </c>
      <c r="C343" s="37" t="s">
        <v>282</v>
      </c>
      <c r="D343" s="37" t="s">
        <v>146</v>
      </c>
      <c r="E343" s="37" t="s">
        <v>185</v>
      </c>
      <c r="F343" s="37" t="s">
        <v>138</v>
      </c>
      <c r="G343" s="37" t="s">
        <v>346</v>
      </c>
      <c r="H343" s="37" t="s">
        <v>113</v>
      </c>
      <c r="I343" s="37" t="s">
        <v>1633</v>
      </c>
      <c r="J343" s="37" t="s">
        <v>1542</v>
      </c>
      <c r="K343" s="37">
        <v>6</v>
      </c>
      <c r="L343" s="37" t="s">
        <v>928</v>
      </c>
      <c r="M343" s="37" t="s">
        <v>172</v>
      </c>
      <c r="N343" s="37">
        <v>1</v>
      </c>
      <c r="O343" s="37" t="s">
        <v>131</v>
      </c>
      <c r="P343" s="37"/>
    </row>
    <row r="344" spans="1:16">
      <c r="A344" s="46" t="s">
        <v>1634</v>
      </c>
      <c r="B344" s="46" t="s">
        <v>1635</v>
      </c>
      <c r="C344" s="46" t="s">
        <v>121</v>
      </c>
      <c r="D344" s="46" t="s">
        <v>230</v>
      </c>
      <c r="E344" s="46" t="s">
        <v>157</v>
      </c>
      <c r="F344" s="46" t="s">
        <v>319</v>
      </c>
      <c r="G344" s="46" t="s">
        <v>334</v>
      </c>
      <c r="H344" s="46" t="s">
        <v>354</v>
      </c>
      <c r="I344" s="46" t="s">
        <v>1636</v>
      </c>
      <c r="J344" s="46" t="s">
        <v>1637</v>
      </c>
      <c r="K344" s="46">
        <v>4</v>
      </c>
      <c r="L344" s="46" t="s">
        <v>1638</v>
      </c>
      <c r="M344" s="46" t="s">
        <v>337</v>
      </c>
      <c r="N344" s="46"/>
      <c r="O344" s="46" t="s">
        <v>118</v>
      </c>
      <c r="P344" s="46" t="s">
        <v>132</v>
      </c>
    </row>
    <row r="345" spans="1:16">
      <c r="A345" s="37" t="s">
        <v>1639</v>
      </c>
      <c r="B345" s="37" t="s">
        <v>685</v>
      </c>
      <c r="C345" s="37" t="s">
        <v>451</v>
      </c>
      <c r="D345" s="37" t="s">
        <v>352</v>
      </c>
      <c r="E345" s="37" t="s">
        <v>224</v>
      </c>
      <c r="F345" s="37" t="s">
        <v>452</v>
      </c>
      <c r="G345" s="37" t="s">
        <v>125</v>
      </c>
      <c r="H345" s="37" t="s">
        <v>126</v>
      </c>
      <c r="I345" s="37" t="s">
        <v>1640</v>
      </c>
      <c r="J345" s="37" t="s">
        <v>1641</v>
      </c>
      <c r="K345" s="37">
        <v>4</v>
      </c>
      <c r="L345" s="37" t="s">
        <v>1642</v>
      </c>
      <c r="M345" s="37" t="s">
        <v>117</v>
      </c>
      <c r="N345" s="37">
        <v>4</v>
      </c>
      <c r="O345" s="37" t="s">
        <v>118</v>
      </c>
      <c r="P345" s="37"/>
    </row>
    <row r="346" spans="1:16">
      <c r="A346" s="46" t="s">
        <v>1643</v>
      </c>
      <c r="B346" s="46" t="s">
        <v>104</v>
      </c>
      <c r="C346" s="46" t="s">
        <v>424</v>
      </c>
      <c r="D346" s="46" t="s">
        <v>919</v>
      </c>
      <c r="E346" s="46" t="s">
        <v>147</v>
      </c>
      <c r="F346" s="46" t="s">
        <v>458</v>
      </c>
      <c r="G346" s="46" t="s">
        <v>346</v>
      </c>
      <c r="H346" s="46" t="s">
        <v>354</v>
      </c>
      <c r="I346" s="46" t="s">
        <v>1644</v>
      </c>
      <c r="J346" s="46" t="s">
        <v>1645</v>
      </c>
      <c r="K346" s="46">
        <v>8</v>
      </c>
      <c r="L346" s="46" t="s">
        <v>318</v>
      </c>
      <c r="M346" s="46" t="s">
        <v>163</v>
      </c>
      <c r="N346" s="46">
        <v>5</v>
      </c>
      <c r="O346" s="46" t="s">
        <v>152</v>
      </c>
      <c r="P346" s="46"/>
    </row>
    <row r="347" spans="1:16">
      <c r="A347" s="37" t="s">
        <v>1646</v>
      </c>
      <c r="B347" s="37" t="s">
        <v>842</v>
      </c>
      <c r="C347" s="37" t="s">
        <v>212</v>
      </c>
      <c r="D347" s="37" t="s">
        <v>175</v>
      </c>
      <c r="E347" s="37" t="s">
        <v>137</v>
      </c>
      <c r="F347" s="37" t="s">
        <v>582</v>
      </c>
      <c r="G347" s="37" t="s">
        <v>302</v>
      </c>
      <c r="H347" s="37" t="s">
        <v>126</v>
      </c>
      <c r="I347" s="37" t="s">
        <v>1647</v>
      </c>
      <c r="J347" s="37" t="s">
        <v>1648</v>
      </c>
      <c r="K347" s="37">
        <v>8</v>
      </c>
      <c r="L347" s="37" t="s">
        <v>1649</v>
      </c>
      <c r="M347" s="37" t="s">
        <v>117</v>
      </c>
      <c r="N347" s="37">
        <v>3</v>
      </c>
      <c r="O347" s="37" t="s">
        <v>286</v>
      </c>
      <c r="P347" s="37"/>
    </row>
    <row r="348" spans="1:16">
      <c r="A348" s="46" t="s">
        <v>1650</v>
      </c>
      <c r="B348" s="46" t="s">
        <v>926</v>
      </c>
      <c r="C348" s="46" t="s">
        <v>243</v>
      </c>
      <c r="D348" s="46" t="s">
        <v>122</v>
      </c>
      <c r="E348" s="46" t="s">
        <v>137</v>
      </c>
      <c r="F348" s="46" t="s">
        <v>158</v>
      </c>
      <c r="G348" s="46" t="s">
        <v>302</v>
      </c>
      <c r="H348" s="46" t="s">
        <v>126</v>
      </c>
      <c r="I348" s="46" t="s">
        <v>436</v>
      </c>
      <c r="J348" s="46" t="s">
        <v>1651</v>
      </c>
      <c r="K348" s="46">
        <v>8</v>
      </c>
      <c r="L348" s="46" t="s">
        <v>478</v>
      </c>
      <c r="M348" s="46" t="s">
        <v>117</v>
      </c>
      <c r="N348" s="46">
        <v>5</v>
      </c>
      <c r="O348" s="46" t="s">
        <v>191</v>
      </c>
      <c r="P348" s="46"/>
    </row>
    <row r="349" spans="1:16">
      <c r="A349" s="37" t="s">
        <v>1652</v>
      </c>
      <c r="B349" s="37" t="s">
        <v>165</v>
      </c>
      <c r="C349" s="37" t="s">
        <v>90</v>
      </c>
      <c r="D349" s="37" t="s">
        <v>367</v>
      </c>
      <c r="E349" s="37" t="s">
        <v>110</v>
      </c>
      <c r="F349" s="37" t="s">
        <v>271</v>
      </c>
      <c r="G349" s="37" t="s">
        <v>264</v>
      </c>
      <c r="H349" s="37" t="s">
        <v>187</v>
      </c>
      <c r="I349" s="37" t="s">
        <v>127</v>
      </c>
      <c r="J349" s="37" t="s">
        <v>1155</v>
      </c>
      <c r="K349" s="37">
        <v>6</v>
      </c>
      <c r="L349" s="37" t="s">
        <v>1653</v>
      </c>
      <c r="M349" s="37" t="s">
        <v>163</v>
      </c>
      <c r="N349" s="37">
        <v>4</v>
      </c>
      <c r="O349" s="37" t="s">
        <v>191</v>
      </c>
      <c r="P349" s="37"/>
    </row>
    <row r="350" spans="1:16">
      <c r="A350" s="46" t="s">
        <v>1654</v>
      </c>
      <c r="B350" s="46" t="s">
        <v>774</v>
      </c>
      <c r="C350" s="46" t="s">
        <v>300</v>
      </c>
      <c r="D350" s="46" t="s">
        <v>352</v>
      </c>
      <c r="E350" s="46" t="s">
        <v>345</v>
      </c>
      <c r="F350" s="46" t="s">
        <v>138</v>
      </c>
      <c r="G350" s="46" t="s">
        <v>418</v>
      </c>
      <c r="H350" s="46" t="s">
        <v>90</v>
      </c>
      <c r="I350" s="46" t="s">
        <v>1655</v>
      </c>
      <c r="J350" s="46" t="s">
        <v>179</v>
      </c>
      <c r="K350" s="46">
        <v>4</v>
      </c>
      <c r="L350" s="46" t="s">
        <v>820</v>
      </c>
      <c r="M350" s="46" t="s">
        <v>200</v>
      </c>
      <c r="N350" s="46">
        <v>4</v>
      </c>
      <c r="O350" s="46" t="s">
        <v>79</v>
      </c>
      <c r="P350" s="46"/>
    </row>
    <row r="351" spans="1:16">
      <c r="A351" s="37" t="s">
        <v>1656</v>
      </c>
      <c r="B351" s="37" t="s">
        <v>855</v>
      </c>
      <c r="C351" s="37" t="s">
        <v>212</v>
      </c>
      <c r="D351" s="37" t="s">
        <v>98</v>
      </c>
      <c r="E351" s="37" t="s">
        <v>147</v>
      </c>
      <c r="F351" s="37" t="s">
        <v>283</v>
      </c>
      <c r="G351" s="37" t="s">
        <v>380</v>
      </c>
      <c r="H351" s="37" t="s">
        <v>396</v>
      </c>
      <c r="I351" s="37" t="s">
        <v>1657</v>
      </c>
      <c r="J351" s="37" t="s">
        <v>1658</v>
      </c>
      <c r="K351" s="37">
        <v>8</v>
      </c>
      <c r="L351" s="37" t="s">
        <v>1659</v>
      </c>
      <c r="M351" s="37" t="s">
        <v>219</v>
      </c>
      <c r="N351" s="37">
        <v>4</v>
      </c>
      <c r="O351" s="37" t="s">
        <v>181</v>
      </c>
      <c r="P351" s="37"/>
    </row>
    <row r="352" spans="1:16">
      <c r="A352" s="46" t="s">
        <v>1660</v>
      </c>
      <c r="B352" s="46" t="s">
        <v>1358</v>
      </c>
      <c r="C352" s="46" t="s">
        <v>54</v>
      </c>
      <c r="D352" s="46" t="s">
        <v>919</v>
      </c>
      <c r="E352" s="46" t="s">
        <v>147</v>
      </c>
      <c r="F352" s="46" t="s">
        <v>100</v>
      </c>
      <c r="G352" s="46" t="s">
        <v>334</v>
      </c>
      <c r="H352" s="46" t="s">
        <v>354</v>
      </c>
      <c r="I352" s="46" t="s">
        <v>1661</v>
      </c>
      <c r="J352" s="46" t="s">
        <v>1662</v>
      </c>
      <c r="K352" s="46">
        <v>8</v>
      </c>
      <c r="L352" s="46" t="s">
        <v>617</v>
      </c>
      <c r="M352" s="46" t="s">
        <v>163</v>
      </c>
      <c r="N352" s="46">
        <v>5</v>
      </c>
      <c r="O352" s="46" t="s">
        <v>191</v>
      </c>
      <c r="P352" s="46"/>
    </row>
    <row r="353" spans="1:16">
      <c r="A353" s="37" t="s">
        <v>1663</v>
      </c>
      <c r="B353" s="37" t="s">
        <v>581</v>
      </c>
      <c r="C353" s="37" t="s">
        <v>155</v>
      </c>
      <c r="D353" s="37" t="s">
        <v>333</v>
      </c>
      <c r="E353" s="37" t="s">
        <v>110</v>
      </c>
      <c r="F353" s="37" t="s">
        <v>167</v>
      </c>
      <c r="G353" s="37" t="s">
        <v>168</v>
      </c>
      <c r="H353" s="37" t="s">
        <v>278</v>
      </c>
      <c r="I353" s="37" t="s">
        <v>1042</v>
      </c>
      <c r="J353" s="37" t="s">
        <v>1664</v>
      </c>
      <c r="K353" s="37">
        <v>6</v>
      </c>
      <c r="L353" s="37" t="s">
        <v>772</v>
      </c>
      <c r="M353" s="37" t="s">
        <v>163</v>
      </c>
      <c r="N353" s="37">
        <v>4</v>
      </c>
      <c r="O353" s="37" t="s">
        <v>152</v>
      </c>
      <c r="P353" s="37"/>
    </row>
    <row r="354" spans="1:16">
      <c r="A354" s="46" t="s">
        <v>1665</v>
      </c>
      <c r="B354" s="46" t="s">
        <v>398</v>
      </c>
      <c r="C354" s="46" t="s">
        <v>282</v>
      </c>
      <c r="D354" s="46" t="s">
        <v>204</v>
      </c>
      <c r="E354" s="46" t="s">
        <v>176</v>
      </c>
      <c r="F354" s="46" t="s">
        <v>186</v>
      </c>
      <c r="G354" s="46" t="s">
        <v>470</v>
      </c>
      <c r="H354" s="46" t="s">
        <v>294</v>
      </c>
      <c r="I354" s="46" t="s">
        <v>149</v>
      </c>
      <c r="J354" s="46" t="s">
        <v>1666</v>
      </c>
      <c r="K354" s="46">
        <v>8</v>
      </c>
      <c r="L354" s="46" t="s">
        <v>720</v>
      </c>
      <c r="M354" s="46" t="s">
        <v>219</v>
      </c>
      <c r="N354" s="46">
        <v>4</v>
      </c>
      <c r="O354" s="46" t="s">
        <v>286</v>
      </c>
      <c r="P354" s="46"/>
    </row>
    <row r="355" spans="1:16">
      <c r="A355" s="37" t="s">
        <v>1667</v>
      </c>
      <c r="B355" s="37" t="s">
        <v>1261</v>
      </c>
      <c r="C355" s="37" t="s">
        <v>469</v>
      </c>
      <c r="D355" s="37" t="s">
        <v>230</v>
      </c>
      <c r="E355" s="37" t="s">
        <v>110</v>
      </c>
      <c r="F355" s="37" t="s">
        <v>425</v>
      </c>
      <c r="G355" s="37" t="s">
        <v>112</v>
      </c>
      <c r="H355" s="37" t="s">
        <v>32</v>
      </c>
      <c r="I355" s="37" t="s">
        <v>1668</v>
      </c>
      <c r="J355" s="37" t="s">
        <v>1669</v>
      </c>
      <c r="K355" s="37">
        <v>6</v>
      </c>
      <c r="L355" s="37" t="s">
        <v>1670</v>
      </c>
      <c r="M355" s="37" t="s">
        <v>172</v>
      </c>
      <c r="N355" s="37">
        <v>4</v>
      </c>
      <c r="O355" s="37" t="s">
        <v>181</v>
      </c>
      <c r="P355" s="37"/>
    </row>
    <row r="356" spans="1:16">
      <c r="A356" s="46" t="s">
        <v>1671</v>
      </c>
      <c r="B356" s="46" t="s">
        <v>801</v>
      </c>
      <c r="C356" s="46" t="s">
        <v>54</v>
      </c>
      <c r="D356" s="46" t="s">
        <v>367</v>
      </c>
      <c r="E356" s="46" t="s">
        <v>185</v>
      </c>
      <c r="F356" s="46" t="s">
        <v>498</v>
      </c>
      <c r="G356" s="46" t="s">
        <v>139</v>
      </c>
      <c r="H356" s="46" t="s">
        <v>354</v>
      </c>
      <c r="I356" s="46" t="s">
        <v>1672</v>
      </c>
      <c r="J356" s="46" t="s">
        <v>1673</v>
      </c>
      <c r="K356" s="46">
        <v>6</v>
      </c>
      <c r="L356" s="46" t="s">
        <v>646</v>
      </c>
      <c r="M356" s="46" t="s">
        <v>172</v>
      </c>
      <c r="N356" s="46">
        <v>2</v>
      </c>
      <c r="O356" s="46" t="s">
        <v>286</v>
      </c>
      <c r="P356" s="46"/>
    </row>
    <row r="357" spans="1:16">
      <c r="A357" s="37" t="s">
        <v>1674</v>
      </c>
      <c r="B357" s="37" t="s">
        <v>1409</v>
      </c>
      <c r="C357" s="37" t="s">
        <v>374</v>
      </c>
      <c r="D357" s="37" t="s">
        <v>919</v>
      </c>
      <c r="E357" s="37" t="s">
        <v>224</v>
      </c>
      <c r="F357" s="37" t="s">
        <v>283</v>
      </c>
      <c r="G357" s="37" t="s">
        <v>197</v>
      </c>
      <c r="H357" s="37" t="s">
        <v>54</v>
      </c>
      <c r="I357" s="37" t="s">
        <v>1640</v>
      </c>
      <c r="J357" s="37" t="s">
        <v>1675</v>
      </c>
      <c r="K357" s="37">
        <v>2</v>
      </c>
      <c r="L357" s="37" t="s">
        <v>986</v>
      </c>
      <c r="M357" s="37" t="s">
        <v>72</v>
      </c>
      <c r="N357" s="37">
        <v>2</v>
      </c>
      <c r="O357" s="37" t="s">
        <v>106</v>
      </c>
      <c r="P357" s="37"/>
    </row>
    <row r="358" spans="1:16">
      <c r="A358" s="46" t="s">
        <v>1676</v>
      </c>
      <c r="B358" s="46" t="s">
        <v>1677</v>
      </c>
      <c r="C358" s="46" t="s">
        <v>469</v>
      </c>
      <c r="D358" s="46" t="s">
        <v>230</v>
      </c>
      <c r="E358" s="46" t="s">
        <v>195</v>
      </c>
      <c r="F358" s="46" t="s">
        <v>237</v>
      </c>
      <c r="G358" s="46" t="s">
        <v>197</v>
      </c>
      <c r="H358" s="46" t="s">
        <v>327</v>
      </c>
      <c r="I358" s="46" t="s">
        <v>1678</v>
      </c>
      <c r="J358" s="46" t="s">
        <v>1679</v>
      </c>
      <c r="K358" s="46">
        <v>8</v>
      </c>
      <c r="L358" s="46" t="s">
        <v>725</v>
      </c>
      <c r="M358" s="46" t="s">
        <v>219</v>
      </c>
      <c r="N358" s="46">
        <v>2</v>
      </c>
      <c r="O358" s="46" t="s">
        <v>79</v>
      </c>
      <c r="P358" s="46"/>
    </row>
    <row r="359" spans="1:16">
      <c r="A359" s="37" t="s">
        <v>1680</v>
      </c>
      <c r="B359" s="37" t="s">
        <v>1681</v>
      </c>
      <c r="C359" s="37" t="s">
        <v>366</v>
      </c>
      <c r="D359" s="37" t="s">
        <v>312</v>
      </c>
      <c r="E359" s="37" t="s">
        <v>110</v>
      </c>
      <c r="F359" s="37" t="s">
        <v>1682</v>
      </c>
      <c r="G359" s="37" t="s">
        <v>334</v>
      </c>
      <c r="H359" s="37" t="s">
        <v>215</v>
      </c>
      <c r="I359" s="37" t="s">
        <v>1683</v>
      </c>
      <c r="J359" s="37" t="s">
        <v>1684</v>
      </c>
      <c r="K359" s="37">
        <v>6</v>
      </c>
      <c r="L359" s="37" t="s">
        <v>1685</v>
      </c>
      <c r="M359" s="37" t="s">
        <v>105</v>
      </c>
      <c r="N359" s="37">
        <v>4</v>
      </c>
      <c r="O359" s="37" t="s">
        <v>191</v>
      </c>
      <c r="P359" s="37"/>
    </row>
    <row r="360" spans="1:16">
      <c r="A360" s="46" t="s">
        <v>1686</v>
      </c>
      <c r="B360" s="46" t="s">
        <v>1080</v>
      </c>
      <c r="C360" s="46" t="s">
        <v>54</v>
      </c>
      <c r="D360" s="46" t="s">
        <v>213</v>
      </c>
      <c r="E360" s="46" t="s">
        <v>137</v>
      </c>
      <c r="F360" s="46" t="s">
        <v>111</v>
      </c>
      <c r="G360" s="46" t="s">
        <v>92</v>
      </c>
      <c r="H360" s="46" t="s">
        <v>396</v>
      </c>
      <c r="I360" s="46" t="s">
        <v>598</v>
      </c>
      <c r="J360" s="46" t="s">
        <v>1687</v>
      </c>
      <c r="K360" s="46">
        <v>8</v>
      </c>
      <c r="L360" s="46" t="s">
        <v>1083</v>
      </c>
      <c r="M360" s="46" t="s">
        <v>200</v>
      </c>
      <c r="N360" s="46">
        <v>3</v>
      </c>
      <c r="O360" s="46" t="s">
        <v>191</v>
      </c>
      <c r="P360" s="46"/>
    </row>
    <row r="361" spans="1:16">
      <c r="A361" s="37" t="s">
        <v>1688</v>
      </c>
      <c r="B361" s="37" t="s">
        <v>1689</v>
      </c>
      <c r="C361" s="37" t="s">
        <v>212</v>
      </c>
      <c r="D361" s="37" t="s">
        <v>919</v>
      </c>
      <c r="E361" s="37" t="s">
        <v>345</v>
      </c>
      <c r="F361" s="37" t="s">
        <v>313</v>
      </c>
      <c r="G361" s="37" t="s">
        <v>125</v>
      </c>
      <c r="H361" s="37" t="s">
        <v>126</v>
      </c>
      <c r="I361" s="37" t="s">
        <v>1410</v>
      </c>
      <c r="J361" s="37" t="s">
        <v>1690</v>
      </c>
      <c r="K361" s="37">
        <v>6</v>
      </c>
      <c r="L361" s="37" t="s">
        <v>410</v>
      </c>
      <c r="M361" s="37" t="s">
        <v>105</v>
      </c>
      <c r="N361" s="37">
        <v>4</v>
      </c>
      <c r="O361" s="37" t="s">
        <v>191</v>
      </c>
      <c r="P361" s="37"/>
    </row>
    <row r="362" spans="1:16">
      <c r="A362" s="46" t="s">
        <v>1691</v>
      </c>
      <c r="B362" s="46" t="s">
        <v>481</v>
      </c>
      <c r="C362" s="46" t="s">
        <v>212</v>
      </c>
      <c r="D362" s="46" t="s">
        <v>184</v>
      </c>
      <c r="E362" s="46" t="s">
        <v>244</v>
      </c>
      <c r="F362" s="46" t="s">
        <v>452</v>
      </c>
      <c r="G362" s="46" t="s">
        <v>51</v>
      </c>
      <c r="H362" s="46" t="s">
        <v>54</v>
      </c>
      <c r="I362" s="46" t="s">
        <v>1692</v>
      </c>
      <c r="J362" s="46" t="s">
        <v>1693</v>
      </c>
      <c r="K362" s="46">
        <v>4</v>
      </c>
      <c r="L362" s="46" t="s">
        <v>729</v>
      </c>
      <c r="M362" s="46" t="s">
        <v>163</v>
      </c>
      <c r="N362" s="46">
        <v>4</v>
      </c>
      <c r="O362" s="46" t="s">
        <v>79</v>
      </c>
      <c r="P362" s="46"/>
    </row>
    <row r="363" spans="1:16">
      <c r="A363" s="37" t="s">
        <v>1694</v>
      </c>
      <c r="B363" s="37" t="s">
        <v>991</v>
      </c>
      <c r="C363" s="37" t="s">
        <v>469</v>
      </c>
      <c r="D363" s="37" t="s">
        <v>146</v>
      </c>
      <c r="E363" s="37" t="s">
        <v>123</v>
      </c>
      <c r="F363" s="37" t="s">
        <v>138</v>
      </c>
      <c r="G363" s="37" t="s">
        <v>112</v>
      </c>
      <c r="H363" s="37" t="s">
        <v>113</v>
      </c>
      <c r="I363" s="37" t="s">
        <v>1695</v>
      </c>
      <c r="J363" s="37" t="s">
        <v>1696</v>
      </c>
      <c r="K363" s="37">
        <v>4</v>
      </c>
      <c r="L363" s="37" t="s">
        <v>763</v>
      </c>
      <c r="M363" s="37" t="s">
        <v>117</v>
      </c>
      <c r="N363" s="37">
        <v>5</v>
      </c>
      <c r="O363" s="37" t="s">
        <v>131</v>
      </c>
      <c r="P363" s="37"/>
    </row>
    <row r="364" spans="1:16">
      <c r="A364" s="46" t="s">
        <v>1697</v>
      </c>
      <c r="B364" s="46" t="s">
        <v>891</v>
      </c>
      <c r="C364" s="46" t="s">
        <v>135</v>
      </c>
      <c r="D364" s="46" t="s">
        <v>194</v>
      </c>
      <c r="E364" s="46" t="s">
        <v>185</v>
      </c>
      <c r="F364" s="46" t="s">
        <v>111</v>
      </c>
      <c r="G364" s="46" t="s">
        <v>139</v>
      </c>
      <c r="H364" s="46" t="s">
        <v>215</v>
      </c>
      <c r="I364" s="46" t="s">
        <v>1698</v>
      </c>
      <c r="J364" s="46" t="s">
        <v>1699</v>
      </c>
      <c r="K364" s="46">
        <v>6</v>
      </c>
      <c r="L364" s="46" t="s">
        <v>457</v>
      </c>
      <c r="M364" s="46" t="s">
        <v>163</v>
      </c>
      <c r="N364" s="46">
        <v>5</v>
      </c>
      <c r="O364" s="46" t="s">
        <v>79</v>
      </c>
      <c r="P364" s="46"/>
    </row>
    <row r="365" spans="1:16">
      <c r="A365" s="37" t="s">
        <v>1700</v>
      </c>
      <c r="B365" s="37" t="s">
        <v>415</v>
      </c>
      <c r="C365" s="37" t="s">
        <v>469</v>
      </c>
      <c r="D365" s="37" t="s">
        <v>184</v>
      </c>
      <c r="E365" s="37" t="s">
        <v>185</v>
      </c>
      <c r="F365" s="37" t="s">
        <v>1701</v>
      </c>
      <c r="G365" s="37" t="s">
        <v>418</v>
      </c>
      <c r="H365" s="37" t="s">
        <v>90</v>
      </c>
      <c r="I365" s="37" t="s">
        <v>1123</v>
      </c>
      <c r="J365" s="37" t="s">
        <v>1702</v>
      </c>
      <c r="K365" s="37">
        <v>6</v>
      </c>
      <c r="L365" s="37" t="s">
        <v>1703</v>
      </c>
      <c r="M365" s="37" t="s">
        <v>117</v>
      </c>
      <c r="N365" s="37">
        <v>4</v>
      </c>
      <c r="O365" s="37" t="s">
        <v>131</v>
      </c>
      <c r="P365" s="37"/>
    </row>
    <row r="366" spans="1:16">
      <c r="A366" s="46" t="s">
        <v>1704</v>
      </c>
      <c r="B366" s="46" t="s">
        <v>229</v>
      </c>
      <c r="C366" s="46" t="s">
        <v>97</v>
      </c>
      <c r="D366" s="46" t="s">
        <v>175</v>
      </c>
      <c r="E366" s="46" t="s">
        <v>185</v>
      </c>
      <c r="F366" s="46" t="s">
        <v>1145</v>
      </c>
      <c r="G366" s="46" t="s">
        <v>101</v>
      </c>
      <c r="H366" s="46" t="s">
        <v>88</v>
      </c>
      <c r="I366" s="46" t="s">
        <v>1705</v>
      </c>
      <c r="J366" s="46" t="s">
        <v>1706</v>
      </c>
      <c r="K366" s="46">
        <v>6</v>
      </c>
      <c r="L366" s="46" t="s">
        <v>1707</v>
      </c>
      <c r="M366" s="46" t="s">
        <v>143</v>
      </c>
      <c r="N366" s="46">
        <v>2</v>
      </c>
      <c r="O366" s="46" t="s">
        <v>118</v>
      </c>
      <c r="P366" s="46"/>
    </row>
    <row r="367" spans="1:16">
      <c r="A367" s="37" t="s">
        <v>1708</v>
      </c>
      <c r="B367" s="37" t="s">
        <v>1709</v>
      </c>
      <c r="C367" s="37" t="s">
        <v>424</v>
      </c>
      <c r="D367" s="37" t="s">
        <v>146</v>
      </c>
      <c r="E367" s="37" t="s">
        <v>325</v>
      </c>
      <c r="F367" s="37" t="s">
        <v>1112</v>
      </c>
      <c r="G367" s="37" t="s">
        <v>125</v>
      </c>
      <c r="H367" s="37" t="s">
        <v>396</v>
      </c>
      <c r="I367" s="37" t="s">
        <v>1710</v>
      </c>
      <c r="J367" s="37" t="s">
        <v>1711</v>
      </c>
      <c r="K367" s="37">
        <v>4</v>
      </c>
      <c r="L367" s="37" t="s">
        <v>761</v>
      </c>
      <c r="M367" s="37" t="s">
        <v>72</v>
      </c>
      <c r="N367" s="37">
        <v>2</v>
      </c>
      <c r="O367" s="37" t="s">
        <v>131</v>
      </c>
      <c r="P367" s="37"/>
    </row>
    <row r="368" spans="1:16">
      <c r="A368" s="46" t="s">
        <v>1712</v>
      </c>
      <c r="B368" s="46" t="s">
        <v>922</v>
      </c>
      <c r="C368" s="46" t="s">
        <v>155</v>
      </c>
      <c r="D368" s="46" t="s">
        <v>312</v>
      </c>
      <c r="E368" s="46" t="s">
        <v>99</v>
      </c>
      <c r="F368" s="46" t="s">
        <v>353</v>
      </c>
      <c r="G368" s="46" t="s">
        <v>92</v>
      </c>
      <c r="H368" s="46" t="s">
        <v>126</v>
      </c>
      <c r="I368" s="46" t="s">
        <v>1713</v>
      </c>
      <c r="J368" s="46" t="s">
        <v>1714</v>
      </c>
      <c r="K368" s="46">
        <v>4</v>
      </c>
      <c r="L368" s="46" t="s">
        <v>717</v>
      </c>
      <c r="M368" s="46" t="s">
        <v>163</v>
      </c>
      <c r="N368" s="46">
        <v>4</v>
      </c>
      <c r="O368" s="46" t="s">
        <v>286</v>
      </c>
      <c r="P368" s="46"/>
    </row>
    <row r="369" spans="1:16">
      <c r="A369" s="37" t="s">
        <v>1715</v>
      </c>
      <c r="B369" s="37" t="s">
        <v>1716</v>
      </c>
      <c r="C369" s="37" t="s">
        <v>135</v>
      </c>
      <c r="D369" s="37" t="s">
        <v>223</v>
      </c>
      <c r="E369" s="37" t="s">
        <v>110</v>
      </c>
      <c r="F369" s="37" t="s">
        <v>313</v>
      </c>
      <c r="G369" s="37" t="s">
        <v>401</v>
      </c>
      <c r="H369" s="37" t="s">
        <v>90</v>
      </c>
      <c r="I369" s="37" t="s">
        <v>1717</v>
      </c>
      <c r="J369" s="37" t="s">
        <v>1718</v>
      </c>
      <c r="K369" s="37">
        <v>6</v>
      </c>
      <c r="L369" s="37" t="s">
        <v>410</v>
      </c>
      <c r="M369" s="37" t="s">
        <v>200</v>
      </c>
      <c r="N369" s="37">
        <v>3</v>
      </c>
      <c r="O369" s="37" t="s">
        <v>106</v>
      </c>
      <c r="P369" s="37"/>
    </row>
    <row r="370" spans="1:16">
      <c r="A370" s="46" t="s">
        <v>1719</v>
      </c>
      <c r="B370" s="46" t="s">
        <v>1709</v>
      </c>
      <c r="C370" s="46" t="s">
        <v>174</v>
      </c>
      <c r="D370" s="46" t="s">
        <v>333</v>
      </c>
      <c r="E370" s="46" t="s">
        <v>345</v>
      </c>
      <c r="F370" s="46" t="s">
        <v>313</v>
      </c>
      <c r="G370" s="46" t="s">
        <v>264</v>
      </c>
      <c r="H370" s="46" t="s">
        <v>278</v>
      </c>
      <c r="I370" s="46" t="s">
        <v>1720</v>
      </c>
      <c r="J370" s="46" t="s">
        <v>1721</v>
      </c>
      <c r="K370" s="46">
        <v>4</v>
      </c>
      <c r="L370" s="46" t="s">
        <v>134</v>
      </c>
      <c r="M370" s="46" t="s">
        <v>219</v>
      </c>
      <c r="N370" s="46">
        <v>5</v>
      </c>
      <c r="O370" s="46" t="s">
        <v>191</v>
      </c>
      <c r="P370" s="46"/>
    </row>
    <row r="371" spans="1:16">
      <c r="A371" s="37" t="s">
        <v>1722</v>
      </c>
      <c r="B371" s="37" t="s">
        <v>359</v>
      </c>
      <c r="C371" s="37" t="s">
        <v>109</v>
      </c>
      <c r="D371" s="37" t="s">
        <v>544</v>
      </c>
      <c r="E371" s="37" t="s">
        <v>440</v>
      </c>
      <c r="F371" s="37" t="s">
        <v>319</v>
      </c>
      <c r="G371" s="37" t="s">
        <v>112</v>
      </c>
      <c r="H371" s="37" t="s">
        <v>113</v>
      </c>
      <c r="I371" s="37" t="s">
        <v>1723</v>
      </c>
      <c r="J371" s="37" t="s">
        <v>1724</v>
      </c>
      <c r="K371" s="37">
        <v>8</v>
      </c>
      <c r="L371" s="37" t="s">
        <v>667</v>
      </c>
      <c r="M371" s="37" t="s">
        <v>172</v>
      </c>
      <c r="N371" s="37">
        <v>2</v>
      </c>
      <c r="O371" s="37" t="s">
        <v>181</v>
      </c>
      <c r="P371" s="37"/>
    </row>
    <row r="372" spans="1:16">
      <c r="A372" s="46" t="s">
        <v>1725</v>
      </c>
      <c r="B372" s="46" t="s">
        <v>549</v>
      </c>
      <c r="C372" s="46" t="s">
        <v>633</v>
      </c>
      <c r="D372" s="46" t="s">
        <v>122</v>
      </c>
      <c r="E372" s="46" t="s">
        <v>244</v>
      </c>
      <c r="F372" s="46" t="s">
        <v>368</v>
      </c>
      <c r="G372" s="46" t="s">
        <v>101</v>
      </c>
      <c r="H372" s="46" t="s">
        <v>206</v>
      </c>
      <c r="I372" s="46" t="s">
        <v>1726</v>
      </c>
      <c r="J372" s="46" t="s">
        <v>1727</v>
      </c>
      <c r="K372" s="46">
        <v>4</v>
      </c>
      <c r="L372" s="46" t="s">
        <v>799</v>
      </c>
      <c r="M372" s="46" t="s">
        <v>143</v>
      </c>
      <c r="N372" s="46">
        <v>3</v>
      </c>
      <c r="O372" s="46" t="s">
        <v>131</v>
      </c>
      <c r="P372" s="46"/>
    </row>
    <row r="373" spans="1:16">
      <c r="A373" s="37" t="s">
        <v>1728</v>
      </c>
      <c r="B373" s="37" t="s">
        <v>1729</v>
      </c>
      <c r="C373" s="37" t="s">
        <v>93</v>
      </c>
      <c r="D373" s="37" t="s">
        <v>367</v>
      </c>
      <c r="E373" s="37" t="s">
        <v>185</v>
      </c>
      <c r="F373" s="37" t="s">
        <v>158</v>
      </c>
      <c r="G373" s="37" t="s">
        <v>346</v>
      </c>
      <c r="H373" s="37" t="s">
        <v>215</v>
      </c>
      <c r="I373" s="37" t="s">
        <v>1730</v>
      </c>
      <c r="J373" s="37" t="s">
        <v>1731</v>
      </c>
      <c r="K373" s="37">
        <v>6</v>
      </c>
      <c r="L373" s="37" t="s">
        <v>1732</v>
      </c>
      <c r="M373" s="37" t="s">
        <v>172</v>
      </c>
      <c r="N373" s="37">
        <v>2</v>
      </c>
      <c r="O373" s="37" t="s">
        <v>181</v>
      </c>
      <c r="P373" s="37"/>
    </row>
    <row r="374" spans="1:16">
      <c r="A374" s="46" t="s">
        <v>1733</v>
      </c>
      <c r="B374" s="46" t="s">
        <v>1498</v>
      </c>
      <c r="C374" s="46" t="s">
        <v>155</v>
      </c>
      <c r="D374" s="46" t="s">
        <v>367</v>
      </c>
      <c r="E374" s="46" t="s">
        <v>195</v>
      </c>
      <c r="F374" s="46" t="s">
        <v>1734</v>
      </c>
      <c r="G374" s="46" t="s">
        <v>257</v>
      </c>
      <c r="H374" s="46" t="s">
        <v>278</v>
      </c>
      <c r="I374" s="46" t="s">
        <v>1735</v>
      </c>
      <c r="J374" s="46" t="s">
        <v>966</v>
      </c>
      <c r="K374" s="46">
        <v>8</v>
      </c>
      <c r="L374" s="46" t="s">
        <v>468</v>
      </c>
      <c r="M374" s="46" t="s">
        <v>143</v>
      </c>
      <c r="N374" s="46">
        <v>3</v>
      </c>
      <c r="O374" s="46" t="s">
        <v>191</v>
      </c>
      <c r="P374" s="46"/>
    </row>
    <row r="375" spans="1:16">
      <c r="A375" s="37" t="s">
        <v>1736</v>
      </c>
      <c r="B375" s="37" t="s">
        <v>1171</v>
      </c>
      <c r="C375" s="37" t="s">
        <v>91</v>
      </c>
      <c r="D375" s="37" t="s">
        <v>223</v>
      </c>
      <c r="E375" s="37" t="s">
        <v>123</v>
      </c>
      <c r="F375" s="37" t="s">
        <v>301</v>
      </c>
      <c r="G375" s="37" t="s">
        <v>257</v>
      </c>
      <c r="H375" s="37" t="s">
        <v>206</v>
      </c>
      <c r="I375" s="37" t="s">
        <v>1737</v>
      </c>
      <c r="J375" s="37" t="s">
        <v>1738</v>
      </c>
      <c r="K375" s="37">
        <v>4</v>
      </c>
      <c r="L375" s="37" t="s">
        <v>1739</v>
      </c>
      <c r="M375" s="37" t="s">
        <v>163</v>
      </c>
      <c r="N375" s="37">
        <v>5</v>
      </c>
      <c r="O375" s="37" t="s">
        <v>191</v>
      </c>
      <c r="P375" s="37"/>
    </row>
    <row r="376" spans="1:16">
      <c r="A376" s="46" t="s">
        <v>1740</v>
      </c>
      <c r="B376" s="46" t="s">
        <v>1380</v>
      </c>
      <c r="C376" s="46" t="s">
        <v>109</v>
      </c>
      <c r="D376" s="46" t="s">
        <v>352</v>
      </c>
      <c r="E376" s="46" t="s">
        <v>244</v>
      </c>
      <c r="F376" s="46" t="s">
        <v>430</v>
      </c>
      <c r="G376" s="46" t="s">
        <v>87</v>
      </c>
      <c r="H376" s="46" t="s">
        <v>113</v>
      </c>
      <c r="I376" s="46" t="s">
        <v>1741</v>
      </c>
      <c r="J376" s="46" t="s">
        <v>1742</v>
      </c>
      <c r="K376" s="46">
        <v>4</v>
      </c>
      <c r="L376" s="46" t="s">
        <v>694</v>
      </c>
      <c r="M376" s="46" t="s">
        <v>172</v>
      </c>
      <c r="N376" s="46">
        <v>2</v>
      </c>
      <c r="O376" s="46" t="s">
        <v>152</v>
      </c>
      <c r="P376" s="46"/>
    </row>
    <row r="377" spans="1:16">
      <c r="A377" s="37" t="s">
        <v>1743</v>
      </c>
      <c r="B377" s="37" t="s">
        <v>837</v>
      </c>
      <c r="C377" s="37" t="s">
        <v>633</v>
      </c>
      <c r="D377" s="37" t="s">
        <v>270</v>
      </c>
      <c r="E377" s="37" t="s">
        <v>110</v>
      </c>
      <c r="F377" s="37" t="s">
        <v>186</v>
      </c>
      <c r="G377" s="37" t="s">
        <v>380</v>
      </c>
      <c r="H377" s="37" t="s">
        <v>396</v>
      </c>
      <c r="I377" s="37" t="s">
        <v>347</v>
      </c>
      <c r="J377" s="37" t="s">
        <v>1744</v>
      </c>
      <c r="K377" s="37">
        <v>6</v>
      </c>
      <c r="L377" s="37" t="s">
        <v>1745</v>
      </c>
      <c r="M377" s="37" t="s">
        <v>143</v>
      </c>
      <c r="N377" s="37">
        <v>1</v>
      </c>
      <c r="O377" s="37" t="s">
        <v>181</v>
      </c>
      <c r="P377" s="37"/>
    </row>
    <row r="378" spans="1:16">
      <c r="A378" s="46" t="s">
        <v>1746</v>
      </c>
      <c r="B378" s="46" t="s">
        <v>556</v>
      </c>
      <c r="C378" s="46" t="s">
        <v>366</v>
      </c>
      <c r="D378" s="46" t="s">
        <v>122</v>
      </c>
      <c r="E378" s="46" t="s">
        <v>147</v>
      </c>
      <c r="F378" s="46" t="s">
        <v>981</v>
      </c>
      <c r="G378" s="46" t="s">
        <v>159</v>
      </c>
      <c r="H378" s="46" t="s">
        <v>90</v>
      </c>
      <c r="I378" s="46" t="s">
        <v>1747</v>
      </c>
      <c r="J378" s="46" t="s">
        <v>1748</v>
      </c>
      <c r="K378" s="46">
        <v>8</v>
      </c>
      <c r="L378" s="46" t="s">
        <v>1749</v>
      </c>
      <c r="M378" s="46" t="s">
        <v>117</v>
      </c>
      <c r="N378" s="46">
        <v>3</v>
      </c>
      <c r="O378" s="46" t="s">
        <v>131</v>
      </c>
      <c r="P378" s="46"/>
    </row>
    <row r="379" spans="1:16">
      <c r="A379" s="37" t="s">
        <v>1750</v>
      </c>
      <c r="B379" s="37" t="s">
        <v>1751</v>
      </c>
      <c r="C379" s="37" t="s">
        <v>340</v>
      </c>
      <c r="D379" s="37" t="s">
        <v>156</v>
      </c>
      <c r="E379" s="37" t="s">
        <v>244</v>
      </c>
      <c r="F379" s="37" t="s">
        <v>582</v>
      </c>
      <c r="G379" s="37" t="s">
        <v>197</v>
      </c>
      <c r="H379" s="37" t="s">
        <v>327</v>
      </c>
      <c r="I379" s="37" t="s">
        <v>1752</v>
      </c>
      <c r="J379" s="37" t="s">
        <v>1753</v>
      </c>
      <c r="K379" s="37">
        <v>4</v>
      </c>
      <c r="L379" s="37" t="s">
        <v>922</v>
      </c>
      <c r="M379" s="37" t="s">
        <v>143</v>
      </c>
      <c r="N379" s="37">
        <v>2</v>
      </c>
      <c r="O379" s="37" t="s">
        <v>131</v>
      </c>
      <c r="P379" s="37"/>
    </row>
    <row r="380" spans="1:16">
      <c r="A380" s="46" t="s">
        <v>1754</v>
      </c>
      <c r="B380" s="46" t="s">
        <v>1755</v>
      </c>
      <c r="C380" s="46" t="s">
        <v>91</v>
      </c>
      <c r="D380" s="46" t="s">
        <v>544</v>
      </c>
      <c r="E380" s="46" t="s">
        <v>137</v>
      </c>
      <c r="F380" s="46" t="s">
        <v>353</v>
      </c>
      <c r="G380" s="46" t="s">
        <v>401</v>
      </c>
      <c r="H380" s="46" t="s">
        <v>327</v>
      </c>
      <c r="I380" s="46" t="s">
        <v>1756</v>
      </c>
      <c r="J380" s="46" t="s">
        <v>189</v>
      </c>
      <c r="K380" s="46">
        <v>8</v>
      </c>
      <c r="L380" s="46" t="s">
        <v>1517</v>
      </c>
      <c r="M380" s="46" t="s">
        <v>172</v>
      </c>
      <c r="N380" s="46">
        <v>3</v>
      </c>
      <c r="O380" s="46" t="s">
        <v>118</v>
      </c>
      <c r="P380" s="46"/>
    </row>
    <row r="381" spans="1:16">
      <c r="A381" s="37" t="s">
        <v>1757</v>
      </c>
      <c r="B381" s="37" t="s">
        <v>1758</v>
      </c>
      <c r="C381" s="37" t="s">
        <v>222</v>
      </c>
      <c r="D381" s="37" t="s">
        <v>312</v>
      </c>
      <c r="E381" s="37" t="s">
        <v>42</v>
      </c>
      <c r="F381" s="37" t="s">
        <v>301</v>
      </c>
      <c r="G381" s="37" t="s">
        <v>197</v>
      </c>
      <c r="H381" s="37" t="s">
        <v>54</v>
      </c>
      <c r="I381" s="37" t="s">
        <v>1759</v>
      </c>
      <c r="J381" s="37" t="s">
        <v>1760</v>
      </c>
      <c r="K381" s="37">
        <v>6</v>
      </c>
      <c r="L381" s="37" t="s">
        <v>617</v>
      </c>
      <c r="M381" s="37" t="s">
        <v>105</v>
      </c>
      <c r="N381" s="37">
        <v>5</v>
      </c>
      <c r="O381" s="37" t="s">
        <v>131</v>
      </c>
      <c r="P381" s="37"/>
    </row>
    <row r="382" spans="1:16">
      <c r="A382" s="46" t="s">
        <v>1761</v>
      </c>
      <c r="B382" s="46" t="s">
        <v>1709</v>
      </c>
      <c r="C382" s="46" t="s">
        <v>243</v>
      </c>
      <c r="D382" s="46" t="s">
        <v>312</v>
      </c>
      <c r="E382" s="46" t="s">
        <v>195</v>
      </c>
      <c r="F382" s="46" t="s">
        <v>111</v>
      </c>
      <c r="G382" s="46" t="s">
        <v>197</v>
      </c>
      <c r="H382" s="46" t="s">
        <v>327</v>
      </c>
      <c r="I382" s="46" t="s">
        <v>1762</v>
      </c>
      <c r="J382" s="46" t="s">
        <v>432</v>
      </c>
      <c r="K382" s="46">
        <v>6</v>
      </c>
      <c r="L382" s="46" t="s">
        <v>1763</v>
      </c>
      <c r="M382" s="46" t="s">
        <v>163</v>
      </c>
      <c r="N382" s="46">
        <v>4</v>
      </c>
      <c r="O382" s="46" t="s">
        <v>191</v>
      </c>
      <c r="P382" s="46"/>
    </row>
    <row r="383" spans="1:16">
      <c r="A383" s="37" t="s">
        <v>1764</v>
      </c>
      <c r="B383" s="37" t="s">
        <v>1765</v>
      </c>
      <c r="C383" s="37" t="s">
        <v>633</v>
      </c>
      <c r="D383" s="37" t="s">
        <v>333</v>
      </c>
      <c r="E383" s="37" t="s">
        <v>123</v>
      </c>
      <c r="F383" s="37" t="s">
        <v>612</v>
      </c>
      <c r="G383" s="37" t="s">
        <v>51</v>
      </c>
      <c r="H383" s="37" t="s">
        <v>327</v>
      </c>
      <c r="I383" s="37" t="s">
        <v>1766</v>
      </c>
      <c r="J383" s="37" t="s">
        <v>1767</v>
      </c>
      <c r="K383" s="37">
        <v>2</v>
      </c>
      <c r="L383" s="37" t="s">
        <v>1768</v>
      </c>
      <c r="M383" s="37" t="s">
        <v>219</v>
      </c>
      <c r="N383" s="37">
        <v>5</v>
      </c>
      <c r="O383" s="37" t="s">
        <v>152</v>
      </c>
      <c r="P383" s="37"/>
    </row>
    <row r="384" spans="1:16">
      <c r="A384" s="46" t="s">
        <v>1769</v>
      </c>
      <c r="B384" s="46" t="s">
        <v>1039</v>
      </c>
      <c r="C384" s="46" t="s">
        <v>374</v>
      </c>
      <c r="D384" s="46" t="s">
        <v>156</v>
      </c>
      <c r="E384" s="46" t="s">
        <v>325</v>
      </c>
      <c r="F384" s="46" t="s">
        <v>111</v>
      </c>
      <c r="G384" s="46" t="s">
        <v>139</v>
      </c>
      <c r="H384" s="46" t="s">
        <v>32</v>
      </c>
      <c r="I384" s="46" t="s">
        <v>944</v>
      </c>
      <c r="J384" s="46" t="s">
        <v>1770</v>
      </c>
      <c r="K384" s="46">
        <v>4</v>
      </c>
      <c r="L384" s="46" t="s">
        <v>853</v>
      </c>
      <c r="M384" s="46" t="s">
        <v>143</v>
      </c>
      <c r="N384" s="46">
        <v>3</v>
      </c>
      <c r="O384" s="46" t="s">
        <v>286</v>
      </c>
      <c r="P384" s="46"/>
    </row>
    <row r="385" spans="1:16">
      <c r="A385" s="37" t="s">
        <v>1771</v>
      </c>
      <c r="B385" s="37" t="s">
        <v>450</v>
      </c>
      <c r="C385" s="37" t="s">
        <v>469</v>
      </c>
      <c r="D385" s="37" t="s">
        <v>230</v>
      </c>
      <c r="E385" s="37" t="s">
        <v>244</v>
      </c>
      <c r="F385" s="37" t="s">
        <v>368</v>
      </c>
      <c r="G385" s="37" t="s">
        <v>101</v>
      </c>
      <c r="H385" s="37" t="s">
        <v>88</v>
      </c>
      <c r="I385" s="37" t="s">
        <v>1772</v>
      </c>
      <c r="J385" s="37" t="s">
        <v>1773</v>
      </c>
      <c r="K385" s="37">
        <v>4</v>
      </c>
      <c r="L385" s="37" t="s">
        <v>455</v>
      </c>
      <c r="M385" s="37" t="s">
        <v>72</v>
      </c>
      <c r="N385" s="37">
        <v>5</v>
      </c>
      <c r="O385" s="37" t="s">
        <v>118</v>
      </c>
      <c r="P385" s="37"/>
    </row>
    <row r="386" spans="1:16">
      <c r="A386" s="46" t="s">
        <v>1774</v>
      </c>
      <c r="B386" s="46" t="s">
        <v>466</v>
      </c>
      <c r="C386" s="46" t="s">
        <v>121</v>
      </c>
      <c r="D386" s="46" t="s">
        <v>223</v>
      </c>
      <c r="E386" s="46" t="s">
        <v>325</v>
      </c>
      <c r="F386" s="46" t="s">
        <v>319</v>
      </c>
      <c r="G386" s="46" t="s">
        <v>112</v>
      </c>
      <c r="H386" s="46" t="s">
        <v>32</v>
      </c>
      <c r="I386" s="46" t="s">
        <v>1775</v>
      </c>
      <c r="J386" s="46" t="s">
        <v>1197</v>
      </c>
      <c r="K386" s="46">
        <v>2</v>
      </c>
      <c r="L386" s="46" t="s">
        <v>784</v>
      </c>
      <c r="M386" s="46" t="s">
        <v>200</v>
      </c>
      <c r="N386" s="46">
        <v>3</v>
      </c>
      <c r="O386" s="46" t="s">
        <v>131</v>
      </c>
      <c r="P386" s="46"/>
    </row>
    <row r="387" spans="1:16">
      <c r="A387" s="37" t="s">
        <v>1776</v>
      </c>
      <c r="B387" s="37" t="s">
        <v>1074</v>
      </c>
      <c r="C387" s="37" t="s">
        <v>222</v>
      </c>
      <c r="D387" s="37" t="s">
        <v>204</v>
      </c>
      <c r="E387" s="37" t="s">
        <v>185</v>
      </c>
      <c r="F387" s="37" t="s">
        <v>138</v>
      </c>
      <c r="G387" s="37" t="s">
        <v>197</v>
      </c>
      <c r="H387" s="37" t="s">
        <v>90</v>
      </c>
      <c r="I387" s="37" t="s">
        <v>1777</v>
      </c>
      <c r="J387" s="37" t="s">
        <v>1778</v>
      </c>
      <c r="K387" s="37">
        <v>6</v>
      </c>
      <c r="L387" s="37" t="s">
        <v>926</v>
      </c>
      <c r="M387" s="37" t="s">
        <v>117</v>
      </c>
      <c r="N387" s="37">
        <v>2</v>
      </c>
      <c r="O387" s="37" t="s">
        <v>79</v>
      </c>
      <c r="P387" s="37"/>
    </row>
    <row r="388" spans="1:16">
      <c r="A388" s="46" t="s">
        <v>1779</v>
      </c>
      <c r="B388" s="46" t="s">
        <v>415</v>
      </c>
      <c r="C388" s="46" t="s">
        <v>340</v>
      </c>
      <c r="D388" s="46" t="s">
        <v>194</v>
      </c>
      <c r="E388" s="46" t="s">
        <v>123</v>
      </c>
      <c r="F388" s="46" t="s">
        <v>111</v>
      </c>
      <c r="G388" s="46" t="s">
        <v>101</v>
      </c>
      <c r="H388" s="46" t="s">
        <v>206</v>
      </c>
      <c r="I388" s="46" t="s">
        <v>1780</v>
      </c>
      <c r="J388" s="46" t="s">
        <v>1781</v>
      </c>
      <c r="K388" s="46">
        <v>4</v>
      </c>
      <c r="L388" s="46" t="s">
        <v>1782</v>
      </c>
      <c r="M388" s="46" t="s">
        <v>105</v>
      </c>
      <c r="N388" s="46">
        <v>4</v>
      </c>
      <c r="O388" s="46" t="s">
        <v>79</v>
      </c>
      <c r="P388" s="46"/>
    </row>
    <row r="389" spans="1:16">
      <c r="A389" s="37" t="s">
        <v>1783</v>
      </c>
      <c r="B389" s="37" t="s">
        <v>755</v>
      </c>
      <c r="C389" s="37" t="s">
        <v>155</v>
      </c>
      <c r="D389" s="37" t="s">
        <v>352</v>
      </c>
      <c r="E389" s="37" t="s">
        <v>195</v>
      </c>
      <c r="F389" s="37" t="s">
        <v>1734</v>
      </c>
      <c r="G389" s="37" t="s">
        <v>197</v>
      </c>
      <c r="H389" s="37" t="s">
        <v>90</v>
      </c>
      <c r="I389" s="37" t="s">
        <v>1784</v>
      </c>
      <c r="J389" s="37" t="s">
        <v>1785</v>
      </c>
      <c r="K389" s="37">
        <v>6</v>
      </c>
      <c r="L389" s="37" t="s">
        <v>1786</v>
      </c>
      <c r="M389" s="37" t="s">
        <v>72</v>
      </c>
      <c r="N389" s="37">
        <v>2</v>
      </c>
      <c r="O389" s="37" t="s">
        <v>118</v>
      </c>
      <c r="P389" s="37"/>
    </row>
    <row r="390" spans="1:16">
      <c r="A390" s="46" t="s">
        <v>1787</v>
      </c>
      <c r="B390" s="46" t="s">
        <v>888</v>
      </c>
      <c r="C390" s="46" t="s">
        <v>88</v>
      </c>
      <c r="D390" s="46" t="s">
        <v>122</v>
      </c>
      <c r="E390" s="46" t="s">
        <v>195</v>
      </c>
      <c r="F390" s="46" t="s">
        <v>138</v>
      </c>
      <c r="G390" s="46" t="s">
        <v>112</v>
      </c>
      <c r="H390" s="46" t="s">
        <v>32</v>
      </c>
      <c r="I390" s="46" t="s">
        <v>1788</v>
      </c>
      <c r="J390" s="46" t="s">
        <v>1789</v>
      </c>
      <c r="K390" s="46">
        <v>8</v>
      </c>
      <c r="L390" s="46" t="s">
        <v>1391</v>
      </c>
      <c r="M390" s="46" t="s">
        <v>117</v>
      </c>
      <c r="N390" s="46">
        <v>5</v>
      </c>
      <c r="O390" s="46" t="s">
        <v>118</v>
      </c>
      <c r="P390" s="46"/>
    </row>
    <row r="391" spans="1:16">
      <c r="A391" s="37" t="s">
        <v>1790</v>
      </c>
      <c r="B391" s="37" t="s">
        <v>1791</v>
      </c>
      <c r="C391" s="37" t="s">
        <v>469</v>
      </c>
      <c r="D391" s="37" t="s">
        <v>223</v>
      </c>
      <c r="E391" s="37" t="s">
        <v>99</v>
      </c>
      <c r="F391" s="37" t="s">
        <v>283</v>
      </c>
      <c r="G391" s="37" t="s">
        <v>197</v>
      </c>
      <c r="H391" s="37" t="s">
        <v>90</v>
      </c>
      <c r="I391" s="37" t="s">
        <v>1298</v>
      </c>
      <c r="J391" s="37" t="s">
        <v>1792</v>
      </c>
      <c r="K391" s="37">
        <v>4</v>
      </c>
      <c r="L391" s="37" t="s">
        <v>784</v>
      </c>
      <c r="M391" s="37" t="s">
        <v>72</v>
      </c>
      <c r="N391" s="37">
        <v>1</v>
      </c>
      <c r="O391" s="37" t="s">
        <v>181</v>
      </c>
      <c r="P391" s="37"/>
    </row>
    <row r="392" spans="1:16">
      <c r="A392" s="46" t="s">
        <v>1793</v>
      </c>
      <c r="B392" s="46" t="s">
        <v>104</v>
      </c>
      <c r="C392" s="46" t="s">
        <v>91</v>
      </c>
      <c r="D392" s="46" t="s">
        <v>122</v>
      </c>
      <c r="E392" s="46" t="s">
        <v>147</v>
      </c>
      <c r="F392" s="46" t="s">
        <v>1794</v>
      </c>
      <c r="G392" s="46" t="s">
        <v>87</v>
      </c>
      <c r="H392" s="46" t="s">
        <v>32</v>
      </c>
      <c r="I392" s="46" t="s">
        <v>1795</v>
      </c>
      <c r="J392" s="46" t="s">
        <v>1796</v>
      </c>
      <c r="K392" s="46">
        <v>8</v>
      </c>
      <c r="L392" s="46" t="s">
        <v>221</v>
      </c>
      <c r="M392" s="46" t="s">
        <v>172</v>
      </c>
      <c r="N392" s="46">
        <v>1</v>
      </c>
      <c r="O392" s="46" t="s">
        <v>106</v>
      </c>
      <c r="P392" s="46"/>
    </row>
    <row r="393" spans="1:16">
      <c r="A393" s="37" t="s">
        <v>1797</v>
      </c>
      <c r="B393" s="37" t="s">
        <v>1798</v>
      </c>
      <c r="C393" s="37" t="s">
        <v>340</v>
      </c>
      <c r="D393" s="37" t="s">
        <v>352</v>
      </c>
      <c r="E393" s="37" t="s">
        <v>195</v>
      </c>
      <c r="F393" s="37" t="s">
        <v>582</v>
      </c>
      <c r="G393" s="37" t="s">
        <v>168</v>
      </c>
      <c r="H393" s="37" t="s">
        <v>278</v>
      </c>
      <c r="I393" s="37" t="s">
        <v>1484</v>
      </c>
      <c r="J393" s="37" t="s">
        <v>1799</v>
      </c>
      <c r="K393" s="37">
        <v>8</v>
      </c>
      <c r="L393" s="37" t="s">
        <v>1061</v>
      </c>
      <c r="M393" s="37" t="s">
        <v>117</v>
      </c>
      <c r="N393" s="37">
        <v>4</v>
      </c>
      <c r="O393" s="37" t="s">
        <v>79</v>
      </c>
      <c r="P393" s="37"/>
    </row>
    <row r="394" spans="1:16">
      <c r="A394" s="46" t="s">
        <v>1800</v>
      </c>
      <c r="B394" s="46" t="s">
        <v>1801</v>
      </c>
      <c r="C394" s="46" t="s">
        <v>93</v>
      </c>
      <c r="D394" s="46" t="s">
        <v>919</v>
      </c>
      <c r="E394" s="46" t="s">
        <v>147</v>
      </c>
      <c r="F394" s="46" t="s">
        <v>271</v>
      </c>
      <c r="G394" s="46" t="s">
        <v>197</v>
      </c>
      <c r="H394" s="46" t="s">
        <v>327</v>
      </c>
      <c r="I394" s="46" t="s">
        <v>1802</v>
      </c>
      <c r="J394" s="46" t="s">
        <v>1803</v>
      </c>
      <c r="K394" s="46">
        <v>8</v>
      </c>
      <c r="L394" s="46" t="s">
        <v>1564</v>
      </c>
      <c r="M394" s="46" t="s">
        <v>143</v>
      </c>
      <c r="N394" s="46">
        <v>2</v>
      </c>
      <c r="O394" s="46" t="s">
        <v>286</v>
      </c>
      <c r="P394" s="46"/>
    </row>
    <row r="395" spans="1:16">
      <c r="A395" s="37" t="s">
        <v>1804</v>
      </c>
      <c r="B395" s="37" t="s">
        <v>1297</v>
      </c>
      <c r="C395" s="37" t="s">
        <v>212</v>
      </c>
      <c r="D395" s="37" t="s">
        <v>270</v>
      </c>
      <c r="E395" s="37" t="s">
        <v>42</v>
      </c>
      <c r="F395" s="37" t="s">
        <v>47</v>
      </c>
      <c r="G395" s="37" t="s">
        <v>139</v>
      </c>
      <c r="H395" s="37" t="s">
        <v>113</v>
      </c>
      <c r="I395" s="37" t="s">
        <v>1360</v>
      </c>
      <c r="J395" s="37" t="s">
        <v>1805</v>
      </c>
      <c r="K395" s="37">
        <v>6</v>
      </c>
      <c r="L395" s="37" t="s">
        <v>276</v>
      </c>
      <c r="M395" s="37" t="s">
        <v>72</v>
      </c>
      <c r="N395" s="37">
        <v>2</v>
      </c>
      <c r="O395" s="37" t="s">
        <v>106</v>
      </c>
      <c r="P395" s="37"/>
    </row>
    <row r="396" spans="1:16">
      <c r="A396" s="46" t="s">
        <v>1806</v>
      </c>
      <c r="B396" s="46" t="s">
        <v>1807</v>
      </c>
      <c r="C396" s="46" t="s">
        <v>212</v>
      </c>
      <c r="D396" s="46" t="s">
        <v>194</v>
      </c>
      <c r="E396" s="46" t="s">
        <v>185</v>
      </c>
      <c r="F396" s="46" t="s">
        <v>592</v>
      </c>
      <c r="G396" s="46" t="s">
        <v>334</v>
      </c>
      <c r="H396" s="46" t="s">
        <v>113</v>
      </c>
      <c r="I396" s="46" t="s">
        <v>1808</v>
      </c>
      <c r="J396" s="46" t="s">
        <v>1809</v>
      </c>
      <c r="K396" s="46">
        <v>6</v>
      </c>
      <c r="L396" s="46" t="s">
        <v>359</v>
      </c>
      <c r="M396" s="46" t="s">
        <v>817</v>
      </c>
      <c r="N396" s="46"/>
      <c r="O396" s="46" t="s">
        <v>131</v>
      </c>
      <c r="P396" s="46" t="s">
        <v>1478</v>
      </c>
    </row>
    <row r="397" spans="1:16">
      <c r="A397" s="37" t="s">
        <v>1810</v>
      </c>
      <c r="B397" s="37" t="s">
        <v>656</v>
      </c>
      <c r="C397" s="37" t="s">
        <v>633</v>
      </c>
      <c r="D397" s="37" t="s">
        <v>223</v>
      </c>
      <c r="E397" s="37" t="s">
        <v>440</v>
      </c>
      <c r="F397" s="37" t="s">
        <v>231</v>
      </c>
      <c r="G397" s="37" t="s">
        <v>197</v>
      </c>
      <c r="H397" s="37" t="s">
        <v>90</v>
      </c>
      <c r="I397" s="37" t="s">
        <v>1811</v>
      </c>
      <c r="J397" s="37" t="s">
        <v>1812</v>
      </c>
      <c r="K397" s="37">
        <v>6</v>
      </c>
      <c r="L397" s="37"/>
      <c r="M397" s="37" t="s">
        <v>1156</v>
      </c>
      <c r="N397" s="37"/>
      <c r="O397" s="37" t="s">
        <v>79</v>
      </c>
      <c r="P397" s="37"/>
    </row>
    <row r="398" spans="1:16">
      <c r="A398" s="46" t="s">
        <v>1813</v>
      </c>
      <c r="B398" s="46" t="s">
        <v>1814</v>
      </c>
      <c r="C398" s="46" t="s">
        <v>203</v>
      </c>
      <c r="D398" s="46" t="s">
        <v>312</v>
      </c>
      <c r="E398" s="46" t="s">
        <v>157</v>
      </c>
      <c r="F398" s="46" t="s">
        <v>148</v>
      </c>
      <c r="G398" s="46" t="s">
        <v>334</v>
      </c>
      <c r="H398" s="46" t="s">
        <v>215</v>
      </c>
      <c r="I398" s="46" t="s">
        <v>1815</v>
      </c>
      <c r="J398" s="46" t="s">
        <v>1816</v>
      </c>
      <c r="K398" s="46">
        <v>6</v>
      </c>
      <c r="L398" s="46" t="s">
        <v>1707</v>
      </c>
      <c r="M398" s="46" t="s">
        <v>105</v>
      </c>
      <c r="N398" s="46">
        <v>5</v>
      </c>
      <c r="O398" s="46" t="s">
        <v>79</v>
      </c>
      <c r="P398" s="46"/>
    </row>
    <row r="399" spans="1:16">
      <c r="A399" s="37" t="s">
        <v>1817</v>
      </c>
      <c r="B399" s="37" t="s">
        <v>1422</v>
      </c>
      <c r="C399" s="37" t="s">
        <v>212</v>
      </c>
      <c r="D399" s="37" t="s">
        <v>37</v>
      </c>
      <c r="E399" s="37" t="s">
        <v>224</v>
      </c>
      <c r="F399" s="37" t="s">
        <v>138</v>
      </c>
      <c r="G399" s="37" t="s">
        <v>168</v>
      </c>
      <c r="H399" s="37" t="s">
        <v>206</v>
      </c>
      <c r="I399" s="37" t="s">
        <v>1818</v>
      </c>
      <c r="J399" s="37" t="s">
        <v>1534</v>
      </c>
      <c r="K399" s="37">
        <v>2</v>
      </c>
      <c r="L399" s="37" t="s">
        <v>597</v>
      </c>
      <c r="M399" s="37" t="s">
        <v>172</v>
      </c>
      <c r="N399" s="37">
        <v>3</v>
      </c>
      <c r="O399" s="37" t="s">
        <v>131</v>
      </c>
      <c r="P399" s="37"/>
    </row>
    <row r="400" spans="1:16">
      <c r="A400" s="46" t="s">
        <v>1819</v>
      </c>
      <c r="B400" s="46" t="s">
        <v>727</v>
      </c>
      <c r="C400" s="46" t="s">
        <v>424</v>
      </c>
      <c r="D400" s="46" t="s">
        <v>213</v>
      </c>
      <c r="E400" s="46" t="s">
        <v>99</v>
      </c>
      <c r="F400" s="46" t="s">
        <v>353</v>
      </c>
      <c r="G400" s="46" t="s">
        <v>197</v>
      </c>
      <c r="H400" s="46" t="s">
        <v>327</v>
      </c>
      <c r="I400" s="46" t="s">
        <v>1820</v>
      </c>
      <c r="J400" s="46" t="s">
        <v>1821</v>
      </c>
      <c r="K400" s="46">
        <v>2</v>
      </c>
      <c r="L400" s="46" t="s">
        <v>1614</v>
      </c>
      <c r="M400" s="46" t="s">
        <v>219</v>
      </c>
      <c r="N400" s="46">
        <v>3</v>
      </c>
      <c r="O400" s="46" t="s">
        <v>106</v>
      </c>
      <c r="P400" s="46"/>
    </row>
    <row r="401" spans="1:16">
      <c r="A401" s="37" t="s">
        <v>1822</v>
      </c>
      <c r="B401" s="37" t="s">
        <v>1823</v>
      </c>
      <c r="C401" s="37" t="s">
        <v>566</v>
      </c>
      <c r="D401" s="37" t="s">
        <v>37</v>
      </c>
      <c r="E401" s="37" t="s">
        <v>185</v>
      </c>
      <c r="F401" s="37" t="s">
        <v>592</v>
      </c>
      <c r="G401" s="37" t="s">
        <v>257</v>
      </c>
      <c r="H401" s="37" t="s">
        <v>278</v>
      </c>
      <c r="I401" s="37" t="s">
        <v>1824</v>
      </c>
      <c r="J401" s="37" t="s">
        <v>1825</v>
      </c>
      <c r="K401" s="37">
        <v>6</v>
      </c>
      <c r="L401" s="37" t="s">
        <v>1826</v>
      </c>
      <c r="M401" s="37" t="s">
        <v>117</v>
      </c>
      <c r="N401" s="37">
        <v>4</v>
      </c>
      <c r="O401" s="37" t="s">
        <v>152</v>
      </c>
      <c r="P401" s="37"/>
    </row>
    <row r="402" spans="1:16">
      <c r="A402" s="46" t="s">
        <v>1827</v>
      </c>
      <c r="B402" s="46" t="s">
        <v>1828</v>
      </c>
      <c r="C402" s="46" t="s">
        <v>203</v>
      </c>
      <c r="D402" s="46" t="s">
        <v>175</v>
      </c>
      <c r="E402" s="46" t="s">
        <v>176</v>
      </c>
      <c r="F402" s="46" t="s">
        <v>326</v>
      </c>
      <c r="G402" s="46" t="s">
        <v>125</v>
      </c>
      <c r="H402" s="46" t="s">
        <v>396</v>
      </c>
      <c r="I402" s="46" t="s">
        <v>1829</v>
      </c>
      <c r="J402" s="46" t="s">
        <v>1830</v>
      </c>
      <c r="K402" s="46">
        <v>8</v>
      </c>
      <c r="L402" s="46" t="s">
        <v>229</v>
      </c>
      <c r="M402" s="46" t="s">
        <v>219</v>
      </c>
      <c r="N402" s="46">
        <v>4</v>
      </c>
      <c r="O402" s="46" t="s">
        <v>118</v>
      </c>
      <c r="P402" s="46"/>
    </row>
    <row r="403" spans="1:16">
      <c r="A403" s="37" t="s">
        <v>1831</v>
      </c>
      <c r="B403" s="37" t="s">
        <v>1791</v>
      </c>
      <c r="C403" s="37" t="s">
        <v>243</v>
      </c>
      <c r="D403" s="37" t="s">
        <v>312</v>
      </c>
      <c r="E403" s="37" t="s">
        <v>137</v>
      </c>
      <c r="F403" s="37" t="s">
        <v>205</v>
      </c>
      <c r="G403" s="37" t="s">
        <v>168</v>
      </c>
      <c r="H403" s="37" t="s">
        <v>187</v>
      </c>
      <c r="I403" s="37" t="s">
        <v>1832</v>
      </c>
      <c r="J403" s="37" t="s">
        <v>1833</v>
      </c>
      <c r="K403" s="37">
        <v>8</v>
      </c>
      <c r="L403" s="37" t="s">
        <v>1275</v>
      </c>
      <c r="M403" s="37" t="s">
        <v>143</v>
      </c>
      <c r="N403" s="37">
        <v>4</v>
      </c>
      <c r="O403" s="37" t="s">
        <v>181</v>
      </c>
      <c r="P403" s="37"/>
    </row>
    <row r="404" spans="1:16">
      <c r="A404" s="46" t="s">
        <v>1834</v>
      </c>
      <c r="B404" s="46" t="s">
        <v>1335</v>
      </c>
      <c r="C404" s="46" t="s">
        <v>407</v>
      </c>
      <c r="D404" s="46" t="s">
        <v>204</v>
      </c>
      <c r="E404" s="46" t="s">
        <v>244</v>
      </c>
      <c r="F404" s="46" t="s">
        <v>843</v>
      </c>
      <c r="G404" s="46" t="s">
        <v>470</v>
      </c>
      <c r="H404" s="46" t="s">
        <v>294</v>
      </c>
      <c r="I404" s="46" t="s">
        <v>1835</v>
      </c>
      <c r="J404" s="46" t="s">
        <v>1836</v>
      </c>
      <c r="K404" s="46">
        <v>2</v>
      </c>
      <c r="L404" s="46" t="s">
        <v>643</v>
      </c>
      <c r="M404" s="46" t="s">
        <v>105</v>
      </c>
      <c r="N404" s="46">
        <v>5</v>
      </c>
      <c r="O404" s="46" t="s">
        <v>131</v>
      </c>
      <c r="P404" s="46"/>
    </row>
    <row r="405" spans="1:16">
      <c r="A405" s="37" t="s">
        <v>1837</v>
      </c>
      <c r="B405" s="37" t="s">
        <v>1838</v>
      </c>
      <c r="C405" s="37" t="s">
        <v>424</v>
      </c>
      <c r="D405" s="37" t="s">
        <v>230</v>
      </c>
      <c r="E405" s="37" t="s">
        <v>244</v>
      </c>
      <c r="F405" s="37" t="s">
        <v>458</v>
      </c>
      <c r="G405" s="37" t="s">
        <v>197</v>
      </c>
      <c r="H405" s="37" t="s">
        <v>90</v>
      </c>
      <c r="I405" s="37" t="s">
        <v>1839</v>
      </c>
      <c r="J405" s="37" t="s">
        <v>1840</v>
      </c>
      <c r="K405" s="37">
        <v>2</v>
      </c>
      <c r="L405" s="37" t="s">
        <v>658</v>
      </c>
      <c r="M405" s="37" t="s">
        <v>163</v>
      </c>
      <c r="N405" s="37">
        <v>3</v>
      </c>
      <c r="O405" s="37" t="s">
        <v>191</v>
      </c>
      <c r="P405" s="37"/>
    </row>
    <row r="406" spans="1:16">
      <c r="A406" s="46" t="s">
        <v>1841</v>
      </c>
      <c r="B406" s="46" t="s">
        <v>1021</v>
      </c>
      <c r="C406" s="46" t="s">
        <v>97</v>
      </c>
      <c r="D406" s="46" t="s">
        <v>312</v>
      </c>
      <c r="E406" s="46" t="s">
        <v>345</v>
      </c>
      <c r="F406" s="46" t="s">
        <v>458</v>
      </c>
      <c r="G406" s="46" t="s">
        <v>139</v>
      </c>
      <c r="H406" s="46" t="s">
        <v>32</v>
      </c>
      <c r="I406" s="46"/>
      <c r="J406" s="46" t="s">
        <v>1295</v>
      </c>
      <c r="K406" s="46">
        <v>6</v>
      </c>
      <c r="L406" s="46" t="s">
        <v>1498</v>
      </c>
      <c r="M406" s="46" t="s">
        <v>105</v>
      </c>
      <c r="N406" s="46">
        <v>5</v>
      </c>
      <c r="O406" s="46" t="s">
        <v>118</v>
      </c>
      <c r="P406" s="46"/>
    </row>
    <row r="407" spans="1:16">
      <c r="A407" s="37" t="s">
        <v>1842</v>
      </c>
      <c r="B407" s="37" t="s">
        <v>904</v>
      </c>
      <c r="C407" s="37" t="s">
        <v>469</v>
      </c>
      <c r="D407" s="37" t="s">
        <v>270</v>
      </c>
      <c r="E407" s="37" t="s">
        <v>99</v>
      </c>
      <c r="F407" s="37" t="s">
        <v>319</v>
      </c>
      <c r="G407" s="37" t="s">
        <v>380</v>
      </c>
      <c r="H407" s="37" t="s">
        <v>126</v>
      </c>
      <c r="I407" s="37" t="s">
        <v>686</v>
      </c>
      <c r="J407" s="37" t="s">
        <v>1702</v>
      </c>
      <c r="K407" s="37">
        <v>2</v>
      </c>
      <c r="L407" s="37" t="s">
        <v>667</v>
      </c>
      <c r="M407" s="37" t="s">
        <v>172</v>
      </c>
      <c r="N407" s="37">
        <v>4</v>
      </c>
      <c r="O407" s="37" t="s">
        <v>118</v>
      </c>
      <c r="P407" s="37"/>
    </row>
    <row r="408" spans="1:16">
      <c r="A408" s="46" t="s">
        <v>1843</v>
      </c>
      <c r="B408" s="46" t="s">
        <v>1144</v>
      </c>
      <c r="C408" s="46" t="s">
        <v>135</v>
      </c>
      <c r="D408" s="46" t="s">
        <v>204</v>
      </c>
      <c r="E408" s="46" t="s">
        <v>195</v>
      </c>
      <c r="F408" s="46" t="s">
        <v>664</v>
      </c>
      <c r="G408" s="46" t="s">
        <v>101</v>
      </c>
      <c r="H408" s="46" t="s">
        <v>187</v>
      </c>
      <c r="I408" s="46" t="s">
        <v>1844</v>
      </c>
      <c r="J408" s="46" t="s">
        <v>1845</v>
      </c>
      <c r="K408" s="46">
        <v>6</v>
      </c>
      <c r="L408" s="46" t="s">
        <v>1582</v>
      </c>
      <c r="M408" s="46" t="s">
        <v>105</v>
      </c>
      <c r="N408" s="46">
        <v>4</v>
      </c>
      <c r="O408" s="46" t="s">
        <v>286</v>
      </c>
      <c r="P408" s="46"/>
    </row>
    <row r="409" spans="1:16">
      <c r="A409" s="37" t="s">
        <v>1846</v>
      </c>
      <c r="B409" s="37" t="s">
        <v>1017</v>
      </c>
      <c r="C409" s="37" t="s">
        <v>451</v>
      </c>
      <c r="D409" s="37" t="s">
        <v>544</v>
      </c>
      <c r="E409" s="37" t="s">
        <v>176</v>
      </c>
      <c r="F409" s="37" t="s">
        <v>353</v>
      </c>
      <c r="G409" s="37" t="s">
        <v>418</v>
      </c>
      <c r="H409" s="37" t="s">
        <v>327</v>
      </c>
      <c r="I409" s="37" t="s">
        <v>1847</v>
      </c>
      <c r="J409" s="37" t="s">
        <v>1848</v>
      </c>
      <c r="K409" s="37">
        <v>8</v>
      </c>
      <c r="L409" s="37" t="s">
        <v>1317</v>
      </c>
      <c r="M409" s="37" t="s">
        <v>219</v>
      </c>
      <c r="N409" s="37">
        <v>5</v>
      </c>
      <c r="O409" s="37" t="s">
        <v>191</v>
      </c>
      <c r="P409" s="37"/>
    </row>
    <row r="410" spans="1:16">
      <c r="A410" s="46" t="s">
        <v>1849</v>
      </c>
      <c r="B410" s="46" t="s">
        <v>1850</v>
      </c>
      <c r="C410" s="46" t="s">
        <v>282</v>
      </c>
      <c r="D410" s="46" t="s">
        <v>544</v>
      </c>
      <c r="E410" s="46" t="s">
        <v>110</v>
      </c>
      <c r="F410" s="46" t="s">
        <v>205</v>
      </c>
      <c r="G410" s="46" t="s">
        <v>125</v>
      </c>
      <c r="H410" s="46" t="s">
        <v>294</v>
      </c>
      <c r="I410" s="46" t="s">
        <v>1851</v>
      </c>
      <c r="J410" s="46" t="s">
        <v>1852</v>
      </c>
      <c r="K410" s="46">
        <v>6</v>
      </c>
      <c r="L410" s="46" t="s">
        <v>1838</v>
      </c>
      <c r="M410" s="46" t="s">
        <v>105</v>
      </c>
      <c r="N410" s="46">
        <v>5</v>
      </c>
      <c r="O410" s="46" t="s">
        <v>118</v>
      </c>
      <c r="P410" s="46"/>
    </row>
    <row r="411" spans="1:16">
      <c r="A411" s="37" t="s">
        <v>1853</v>
      </c>
      <c r="B411" s="37" t="s">
        <v>1854</v>
      </c>
      <c r="C411" s="37" t="s">
        <v>166</v>
      </c>
      <c r="D411" s="37" t="s">
        <v>175</v>
      </c>
      <c r="E411" s="37" t="s">
        <v>42</v>
      </c>
      <c r="F411" s="37" t="s">
        <v>664</v>
      </c>
      <c r="G411" s="37" t="s">
        <v>87</v>
      </c>
      <c r="H411" s="37" t="s">
        <v>215</v>
      </c>
      <c r="I411" s="37" t="s">
        <v>1855</v>
      </c>
      <c r="J411" s="37" t="s">
        <v>1856</v>
      </c>
      <c r="K411" s="37">
        <v>6</v>
      </c>
      <c r="L411" s="37" t="s">
        <v>1292</v>
      </c>
      <c r="M411" s="37" t="s">
        <v>105</v>
      </c>
      <c r="N411" s="37">
        <v>5</v>
      </c>
      <c r="O411" s="37" t="s">
        <v>118</v>
      </c>
      <c r="P411" s="37"/>
    </row>
    <row r="412" spans="1:16">
      <c r="A412" s="46" t="s">
        <v>1857</v>
      </c>
      <c r="B412" s="46" t="s">
        <v>229</v>
      </c>
      <c r="C412" s="46" t="s">
        <v>90</v>
      </c>
      <c r="D412" s="46" t="s">
        <v>37</v>
      </c>
      <c r="E412" s="46" t="s">
        <v>176</v>
      </c>
      <c r="F412" s="46" t="s">
        <v>582</v>
      </c>
      <c r="G412" s="46" t="s">
        <v>112</v>
      </c>
      <c r="H412" s="46" t="s">
        <v>32</v>
      </c>
      <c r="I412" s="46" t="s">
        <v>1858</v>
      </c>
      <c r="J412" s="46" t="s">
        <v>1859</v>
      </c>
      <c r="K412" s="46">
        <v>8</v>
      </c>
      <c r="L412" s="46" t="s">
        <v>1860</v>
      </c>
      <c r="M412" s="46" t="s">
        <v>817</v>
      </c>
      <c r="N412" s="46"/>
      <c r="O412" s="46" t="s">
        <v>118</v>
      </c>
      <c r="P412" s="46" t="s">
        <v>1478</v>
      </c>
    </row>
    <row r="413" spans="1:16">
      <c r="A413" s="37" t="s">
        <v>1861</v>
      </c>
      <c r="B413" s="37" t="s">
        <v>190</v>
      </c>
      <c r="C413" s="37" t="s">
        <v>222</v>
      </c>
      <c r="D413" s="37" t="s">
        <v>156</v>
      </c>
      <c r="E413" s="37" t="s">
        <v>147</v>
      </c>
      <c r="F413" s="37" t="s">
        <v>205</v>
      </c>
      <c r="G413" s="37" t="s">
        <v>380</v>
      </c>
      <c r="H413" s="37" t="s">
        <v>294</v>
      </c>
      <c r="I413" s="37" t="s">
        <v>1862</v>
      </c>
      <c r="J413" s="37" t="s">
        <v>1863</v>
      </c>
      <c r="K413" s="37">
        <v>8</v>
      </c>
      <c r="L413" s="37" t="s">
        <v>1864</v>
      </c>
      <c r="M413" s="37" t="s">
        <v>219</v>
      </c>
      <c r="N413" s="37">
        <v>4</v>
      </c>
      <c r="O413" s="37" t="s">
        <v>286</v>
      </c>
      <c r="P413" s="37"/>
    </row>
    <row r="414" spans="1:16">
      <c r="A414" s="46" t="s">
        <v>1865</v>
      </c>
      <c r="B414" s="46" t="s">
        <v>339</v>
      </c>
      <c r="C414" s="46" t="s">
        <v>469</v>
      </c>
      <c r="D414" s="46" t="s">
        <v>184</v>
      </c>
      <c r="E414" s="46" t="s">
        <v>224</v>
      </c>
      <c r="F414" s="46" t="s">
        <v>167</v>
      </c>
      <c r="G414" s="46" t="s">
        <v>418</v>
      </c>
      <c r="H414" s="46" t="s">
        <v>327</v>
      </c>
      <c r="I414" s="46" t="s">
        <v>1866</v>
      </c>
      <c r="J414" s="46" t="s">
        <v>1867</v>
      </c>
      <c r="K414" s="46">
        <v>4</v>
      </c>
      <c r="L414" s="46" t="s">
        <v>1074</v>
      </c>
      <c r="M414" s="46" t="s">
        <v>72</v>
      </c>
      <c r="N414" s="46">
        <v>4</v>
      </c>
      <c r="O414" s="46" t="s">
        <v>79</v>
      </c>
      <c r="P414" s="46"/>
    </row>
    <row r="415" spans="1:16">
      <c r="A415" s="37" t="s">
        <v>1868</v>
      </c>
      <c r="B415" s="37" t="s">
        <v>417</v>
      </c>
      <c r="C415" s="37" t="s">
        <v>203</v>
      </c>
      <c r="D415" s="37" t="s">
        <v>333</v>
      </c>
      <c r="E415" s="37" t="s">
        <v>147</v>
      </c>
      <c r="F415" s="37" t="s">
        <v>231</v>
      </c>
      <c r="G415" s="37" t="s">
        <v>264</v>
      </c>
      <c r="H415" s="37" t="s">
        <v>206</v>
      </c>
      <c r="I415" s="37" t="s">
        <v>1869</v>
      </c>
      <c r="J415" s="37" t="s">
        <v>1870</v>
      </c>
      <c r="K415" s="37">
        <v>6</v>
      </c>
      <c r="L415" s="37" t="s">
        <v>913</v>
      </c>
      <c r="M415" s="37" t="s">
        <v>163</v>
      </c>
      <c r="N415" s="37">
        <v>5</v>
      </c>
      <c r="O415" s="37" t="s">
        <v>131</v>
      </c>
      <c r="P415" s="37"/>
    </row>
    <row r="416" spans="1:16">
      <c r="A416" s="46" t="s">
        <v>1871</v>
      </c>
      <c r="B416" s="46" t="s">
        <v>853</v>
      </c>
      <c r="C416" s="46" t="s">
        <v>54</v>
      </c>
      <c r="D416" s="46" t="s">
        <v>544</v>
      </c>
      <c r="E416" s="46" t="s">
        <v>123</v>
      </c>
      <c r="F416" s="46" t="s">
        <v>458</v>
      </c>
      <c r="G416" s="46" t="s">
        <v>401</v>
      </c>
      <c r="H416" s="46" t="s">
        <v>90</v>
      </c>
      <c r="I416" s="46" t="s">
        <v>446</v>
      </c>
      <c r="J416" s="46" t="s">
        <v>1872</v>
      </c>
      <c r="K416" s="46">
        <v>2</v>
      </c>
      <c r="L416" s="46" t="s">
        <v>1483</v>
      </c>
      <c r="M416" s="46" t="s">
        <v>117</v>
      </c>
      <c r="N416" s="46">
        <v>5</v>
      </c>
      <c r="O416" s="46" t="s">
        <v>131</v>
      </c>
      <c r="P416" s="46"/>
    </row>
    <row r="417" spans="1:16">
      <c r="A417" s="37" t="s">
        <v>1873</v>
      </c>
      <c r="B417" s="37" t="s">
        <v>1874</v>
      </c>
      <c r="C417" s="37" t="s">
        <v>109</v>
      </c>
      <c r="D417" s="37" t="s">
        <v>156</v>
      </c>
      <c r="E417" s="37" t="s">
        <v>110</v>
      </c>
      <c r="F417" s="37" t="s">
        <v>148</v>
      </c>
      <c r="G417" s="37" t="s">
        <v>159</v>
      </c>
      <c r="H417" s="37" t="s">
        <v>93</v>
      </c>
      <c r="I417" s="37" t="s">
        <v>1875</v>
      </c>
      <c r="J417" s="37" t="s">
        <v>588</v>
      </c>
      <c r="K417" s="37">
        <v>6</v>
      </c>
      <c r="L417" s="37" t="s">
        <v>211</v>
      </c>
      <c r="M417" s="37" t="s">
        <v>72</v>
      </c>
      <c r="N417" s="37">
        <v>5</v>
      </c>
      <c r="O417" s="37" t="s">
        <v>118</v>
      </c>
      <c r="P417" s="37"/>
    </row>
    <row r="418" spans="1:16">
      <c r="A418" s="46" t="s">
        <v>1876</v>
      </c>
      <c r="B418" s="46" t="s">
        <v>199</v>
      </c>
      <c r="C418" s="46" t="s">
        <v>340</v>
      </c>
      <c r="D418" s="46" t="s">
        <v>223</v>
      </c>
      <c r="E418" s="46" t="s">
        <v>42</v>
      </c>
      <c r="F418" s="46" t="s">
        <v>283</v>
      </c>
      <c r="G418" s="46" t="s">
        <v>168</v>
      </c>
      <c r="H418" s="46" t="s">
        <v>206</v>
      </c>
      <c r="I418" s="46" t="s">
        <v>1877</v>
      </c>
      <c r="J418" s="46" t="s">
        <v>1534</v>
      </c>
      <c r="K418" s="46">
        <v>6</v>
      </c>
      <c r="L418" s="46" t="s">
        <v>1659</v>
      </c>
      <c r="M418" s="46" t="s">
        <v>219</v>
      </c>
      <c r="N418" s="46">
        <v>3</v>
      </c>
      <c r="O418" s="46" t="s">
        <v>106</v>
      </c>
      <c r="P418" s="46"/>
    </row>
    <row r="419" spans="1:16">
      <c r="A419" s="37" t="s">
        <v>1878</v>
      </c>
      <c r="B419" s="37" t="s">
        <v>1005</v>
      </c>
      <c r="C419" s="37" t="s">
        <v>282</v>
      </c>
      <c r="D419" s="37" t="s">
        <v>919</v>
      </c>
      <c r="E419" s="37" t="s">
        <v>110</v>
      </c>
      <c r="F419" s="37" t="s">
        <v>237</v>
      </c>
      <c r="G419" s="37" t="s">
        <v>334</v>
      </c>
      <c r="H419" s="37" t="s">
        <v>215</v>
      </c>
      <c r="I419" s="37" t="s">
        <v>1879</v>
      </c>
      <c r="J419" s="37" t="s">
        <v>1880</v>
      </c>
      <c r="K419" s="37">
        <v>6</v>
      </c>
      <c r="L419" s="37" t="s">
        <v>1881</v>
      </c>
      <c r="M419" s="37" t="s">
        <v>143</v>
      </c>
      <c r="N419" s="37">
        <v>2</v>
      </c>
      <c r="O419" s="37" t="s">
        <v>106</v>
      </c>
      <c r="P419" s="37"/>
    </row>
    <row r="420" spans="1:16">
      <c r="A420" s="46" t="s">
        <v>1882</v>
      </c>
      <c r="B420" s="46" t="s">
        <v>1072</v>
      </c>
      <c r="C420" s="46" t="s">
        <v>243</v>
      </c>
      <c r="D420" s="46" t="s">
        <v>98</v>
      </c>
      <c r="E420" s="46" t="s">
        <v>185</v>
      </c>
      <c r="F420" s="46" t="s">
        <v>158</v>
      </c>
      <c r="G420" s="46" t="s">
        <v>112</v>
      </c>
      <c r="H420" s="46" t="s">
        <v>113</v>
      </c>
      <c r="I420" s="46" t="s">
        <v>999</v>
      </c>
      <c r="J420" s="46" t="s">
        <v>578</v>
      </c>
      <c r="K420" s="46">
        <v>6</v>
      </c>
      <c r="L420" s="46" t="s">
        <v>1483</v>
      </c>
      <c r="M420" s="46" t="s">
        <v>105</v>
      </c>
      <c r="N420" s="46">
        <v>4</v>
      </c>
      <c r="O420" s="46" t="s">
        <v>131</v>
      </c>
      <c r="P420" s="46"/>
    </row>
    <row r="421" spans="1:16">
      <c r="A421" s="37" t="s">
        <v>1883</v>
      </c>
      <c r="B421" s="37" t="s">
        <v>412</v>
      </c>
      <c r="C421" s="37" t="s">
        <v>243</v>
      </c>
      <c r="D421" s="37" t="s">
        <v>122</v>
      </c>
      <c r="E421" s="37" t="s">
        <v>244</v>
      </c>
      <c r="F421" s="37" t="s">
        <v>237</v>
      </c>
      <c r="G421" s="37" t="s">
        <v>125</v>
      </c>
      <c r="H421" s="37" t="s">
        <v>396</v>
      </c>
      <c r="I421" s="37" t="s">
        <v>1350</v>
      </c>
      <c r="J421" s="37" t="s">
        <v>1884</v>
      </c>
      <c r="K421" s="37">
        <v>4</v>
      </c>
      <c r="L421" s="37" t="s">
        <v>774</v>
      </c>
      <c r="M421" s="37" t="s">
        <v>200</v>
      </c>
      <c r="N421" s="37">
        <v>5</v>
      </c>
      <c r="O421" s="37" t="s">
        <v>118</v>
      </c>
      <c r="P421" s="37"/>
    </row>
    <row r="422" spans="1:16">
      <c r="A422" s="46" t="s">
        <v>1885</v>
      </c>
      <c r="B422" s="46" t="s">
        <v>940</v>
      </c>
      <c r="C422" s="46" t="s">
        <v>121</v>
      </c>
      <c r="D422" s="46" t="s">
        <v>352</v>
      </c>
      <c r="E422" s="46" t="s">
        <v>224</v>
      </c>
      <c r="F422" s="46" t="s">
        <v>1014</v>
      </c>
      <c r="G422" s="46" t="s">
        <v>197</v>
      </c>
      <c r="H422" s="46" t="s">
        <v>90</v>
      </c>
      <c r="I422" s="46" t="s">
        <v>225</v>
      </c>
      <c r="J422" s="46" t="s">
        <v>1886</v>
      </c>
      <c r="K422" s="46">
        <v>4</v>
      </c>
      <c r="L422" s="46" t="s">
        <v>1169</v>
      </c>
      <c r="M422" s="46" t="s">
        <v>172</v>
      </c>
      <c r="N422" s="46">
        <v>2</v>
      </c>
      <c r="O422" s="46" t="s">
        <v>191</v>
      </c>
      <c r="P422" s="46"/>
    </row>
    <row r="423" spans="1:16">
      <c r="A423" s="37" t="s">
        <v>1887</v>
      </c>
      <c r="B423" s="37" t="s">
        <v>1349</v>
      </c>
      <c r="C423" s="37" t="s">
        <v>54</v>
      </c>
      <c r="D423" s="37" t="s">
        <v>98</v>
      </c>
      <c r="E423" s="37" t="s">
        <v>123</v>
      </c>
      <c r="F423" s="37" t="s">
        <v>245</v>
      </c>
      <c r="G423" s="37" t="s">
        <v>89</v>
      </c>
      <c r="H423" s="37" t="s">
        <v>278</v>
      </c>
      <c r="I423" s="37"/>
      <c r="J423" s="37" t="s">
        <v>1888</v>
      </c>
      <c r="K423" s="37">
        <v>4</v>
      </c>
      <c r="L423" s="37" t="s">
        <v>959</v>
      </c>
      <c r="M423" s="37" t="s">
        <v>817</v>
      </c>
      <c r="N423" s="37"/>
      <c r="O423" s="37" t="s">
        <v>286</v>
      </c>
      <c r="P423" s="37" t="s">
        <v>1478</v>
      </c>
    </row>
    <row r="424" spans="1:16">
      <c r="A424" s="46" t="s">
        <v>1889</v>
      </c>
      <c r="B424" s="46" t="s">
        <v>1890</v>
      </c>
      <c r="C424" s="46" t="s">
        <v>212</v>
      </c>
      <c r="D424" s="46" t="s">
        <v>230</v>
      </c>
      <c r="E424" s="46" t="s">
        <v>185</v>
      </c>
      <c r="F424" s="46" t="s">
        <v>498</v>
      </c>
      <c r="G424" s="46" t="s">
        <v>125</v>
      </c>
      <c r="H424" s="46" t="s">
        <v>91</v>
      </c>
      <c r="I424" s="46" t="s">
        <v>328</v>
      </c>
      <c r="J424" s="46" t="s">
        <v>1891</v>
      </c>
      <c r="K424" s="46">
        <v>6</v>
      </c>
      <c r="L424" s="46" t="s">
        <v>1892</v>
      </c>
      <c r="M424" s="46" t="s">
        <v>200</v>
      </c>
      <c r="N424" s="46">
        <v>1</v>
      </c>
      <c r="O424" s="46" t="s">
        <v>131</v>
      </c>
      <c r="P424" s="46"/>
    </row>
    <row r="425" spans="1:16">
      <c r="A425" s="37" t="s">
        <v>1893</v>
      </c>
      <c r="B425" s="37" t="s">
        <v>922</v>
      </c>
      <c r="C425" s="37" t="s">
        <v>407</v>
      </c>
      <c r="D425" s="37" t="s">
        <v>223</v>
      </c>
      <c r="E425" s="37" t="s">
        <v>147</v>
      </c>
      <c r="F425" s="37" t="s">
        <v>664</v>
      </c>
      <c r="G425" s="37" t="s">
        <v>257</v>
      </c>
      <c r="H425" s="37" t="s">
        <v>88</v>
      </c>
      <c r="I425" s="37" t="s">
        <v>695</v>
      </c>
      <c r="J425" s="37" t="s">
        <v>1894</v>
      </c>
      <c r="K425" s="37">
        <v>8</v>
      </c>
      <c r="L425" s="37" t="s">
        <v>1895</v>
      </c>
      <c r="M425" s="37" t="s">
        <v>219</v>
      </c>
      <c r="N425" s="37">
        <v>2</v>
      </c>
      <c r="O425" s="37" t="s">
        <v>181</v>
      </c>
      <c r="P425" s="37"/>
    </row>
    <row r="426" spans="1:16">
      <c r="A426" s="46" t="s">
        <v>1896</v>
      </c>
      <c r="B426" s="46" t="s">
        <v>1897</v>
      </c>
      <c r="C426" s="46" t="s">
        <v>366</v>
      </c>
      <c r="D426" s="46" t="s">
        <v>204</v>
      </c>
      <c r="E426" s="46" t="s">
        <v>147</v>
      </c>
      <c r="F426" s="46" t="s">
        <v>47</v>
      </c>
      <c r="G426" s="46" t="s">
        <v>92</v>
      </c>
      <c r="H426" s="46" t="s">
        <v>294</v>
      </c>
      <c r="I426" s="46" t="s">
        <v>1898</v>
      </c>
      <c r="J426" s="46" t="s">
        <v>1899</v>
      </c>
      <c r="K426" s="46">
        <v>6</v>
      </c>
      <c r="L426" s="46" t="s">
        <v>332</v>
      </c>
      <c r="M426" s="46" t="s">
        <v>172</v>
      </c>
      <c r="N426" s="46">
        <v>5</v>
      </c>
      <c r="O426" s="46" t="s">
        <v>131</v>
      </c>
      <c r="P426" s="46"/>
    </row>
    <row r="427" spans="1:16">
      <c r="A427" s="37" t="s">
        <v>1900</v>
      </c>
      <c r="B427" s="37" t="s">
        <v>1901</v>
      </c>
      <c r="C427" s="37" t="s">
        <v>88</v>
      </c>
      <c r="D427" s="37" t="s">
        <v>204</v>
      </c>
      <c r="E427" s="37" t="s">
        <v>176</v>
      </c>
      <c r="F427" s="37" t="s">
        <v>319</v>
      </c>
      <c r="G427" s="37" t="s">
        <v>112</v>
      </c>
      <c r="H427" s="37" t="s">
        <v>215</v>
      </c>
      <c r="I427" s="37" t="s">
        <v>413</v>
      </c>
      <c r="J427" s="37" t="s">
        <v>1299</v>
      </c>
      <c r="K427" s="37">
        <v>8</v>
      </c>
      <c r="L427" s="37" t="s">
        <v>423</v>
      </c>
      <c r="M427" s="37" t="s">
        <v>200</v>
      </c>
      <c r="N427" s="37">
        <v>3</v>
      </c>
      <c r="O427" s="37" t="s">
        <v>131</v>
      </c>
      <c r="P427" s="37"/>
    </row>
    <row r="428" spans="1:16">
      <c r="A428" s="46" t="s">
        <v>1902</v>
      </c>
      <c r="B428" s="46" t="s">
        <v>1903</v>
      </c>
      <c r="C428" s="46" t="s">
        <v>93</v>
      </c>
      <c r="D428" s="46" t="s">
        <v>146</v>
      </c>
      <c r="E428" s="46" t="s">
        <v>99</v>
      </c>
      <c r="F428" s="46" t="s">
        <v>271</v>
      </c>
      <c r="G428" s="46" t="s">
        <v>334</v>
      </c>
      <c r="H428" s="46" t="s">
        <v>113</v>
      </c>
      <c r="I428" s="46" t="s">
        <v>246</v>
      </c>
      <c r="J428" s="46" t="s">
        <v>1904</v>
      </c>
      <c r="K428" s="46">
        <v>4</v>
      </c>
      <c r="L428" s="46" t="s">
        <v>1072</v>
      </c>
      <c r="M428" s="46" t="s">
        <v>200</v>
      </c>
      <c r="N428" s="46">
        <v>1</v>
      </c>
      <c r="O428" s="46" t="s">
        <v>181</v>
      </c>
      <c r="P428" s="46"/>
    </row>
    <row r="429" spans="1:16">
      <c r="A429" s="37" t="s">
        <v>1905</v>
      </c>
      <c r="B429" s="37" t="s">
        <v>390</v>
      </c>
      <c r="C429" s="37" t="s">
        <v>121</v>
      </c>
      <c r="D429" s="37" t="s">
        <v>184</v>
      </c>
      <c r="E429" s="37" t="s">
        <v>157</v>
      </c>
      <c r="F429" s="37" t="s">
        <v>368</v>
      </c>
      <c r="G429" s="37" t="s">
        <v>197</v>
      </c>
      <c r="H429" s="37" t="s">
        <v>327</v>
      </c>
      <c r="I429" s="37" t="s">
        <v>1906</v>
      </c>
      <c r="J429" s="37" t="s">
        <v>1907</v>
      </c>
      <c r="K429" s="37">
        <v>6</v>
      </c>
      <c r="L429" s="37" t="s">
        <v>1908</v>
      </c>
      <c r="M429" s="37" t="s">
        <v>172</v>
      </c>
      <c r="N429" s="37">
        <v>3</v>
      </c>
      <c r="O429" s="37" t="s">
        <v>131</v>
      </c>
      <c r="P429" s="37"/>
    </row>
    <row r="430" spans="1:16">
      <c r="A430" s="46" t="s">
        <v>1909</v>
      </c>
      <c r="B430" s="46" t="s">
        <v>495</v>
      </c>
      <c r="C430" s="46" t="s">
        <v>166</v>
      </c>
      <c r="D430" s="46" t="s">
        <v>204</v>
      </c>
      <c r="E430" s="46" t="s">
        <v>440</v>
      </c>
      <c r="F430" s="46" t="s">
        <v>271</v>
      </c>
      <c r="G430" s="46" t="s">
        <v>302</v>
      </c>
      <c r="H430" s="46" t="s">
        <v>396</v>
      </c>
      <c r="I430" s="46" t="s">
        <v>1910</v>
      </c>
      <c r="J430" s="46" t="s">
        <v>1911</v>
      </c>
      <c r="K430" s="46">
        <v>6</v>
      </c>
      <c r="L430" s="46" t="s">
        <v>1010</v>
      </c>
      <c r="M430" s="46" t="s">
        <v>72</v>
      </c>
      <c r="N430" s="46">
        <v>3</v>
      </c>
      <c r="O430" s="46" t="s">
        <v>131</v>
      </c>
      <c r="P430" s="46"/>
    </row>
    <row r="431" spans="1:16">
      <c r="A431" s="37" t="s">
        <v>1912</v>
      </c>
      <c r="B431" s="37" t="s">
        <v>1122</v>
      </c>
      <c r="C431" s="37" t="s">
        <v>282</v>
      </c>
      <c r="D431" s="37" t="s">
        <v>184</v>
      </c>
      <c r="E431" s="37" t="s">
        <v>110</v>
      </c>
      <c r="F431" s="37" t="s">
        <v>664</v>
      </c>
      <c r="G431" s="37" t="s">
        <v>112</v>
      </c>
      <c r="H431" s="37" t="s">
        <v>215</v>
      </c>
      <c r="I431" s="37" t="s">
        <v>806</v>
      </c>
      <c r="J431" s="37" t="s">
        <v>1913</v>
      </c>
      <c r="K431" s="37">
        <v>6</v>
      </c>
      <c r="L431" s="37" t="s">
        <v>1914</v>
      </c>
      <c r="M431" s="37" t="s">
        <v>105</v>
      </c>
      <c r="N431" s="37">
        <v>5</v>
      </c>
      <c r="O431" s="37" t="s">
        <v>152</v>
      </c>
      <c r="P431" s="37"/>
    </row>
    <row r="432" spans="1:16">
      <c r="A432" s="46" t="s">
        <v>1915</v>
      </c>
      <c r="B432" s="46" t="s">
        <v>536</v>
      </c>
      <c r="C432" s="46" t="s">
        <v>469</v>
      </c>
      <c r="D432" s="46" t="s">
        <v>204</v>
      </c>
      <c r="E432" s="46" t="s">
        <v>244</v>
      </c>
      <c r="F432" s="46" t="s">
        <v>664</v>
      </c>
      <c r="G432" s="46" t="s">
        <v>112</v>
      </c>
      <c r="H432" s="46" t="s">
        <v>113</v>
      </c>
      <c r="I432" s="46" t="s">
        <v>320</v>
      </c>
      <c r="J432" s="46" t="s">
        <v>1916</v>
      </c>
      <c r="K432" s="46">
        <v>4</v>
      </c>
      <c r="L432" s="46" t="s">
        <v>1917</v>
      </c>
      <c r="M432" s="46" t="s">
        <v>219</v>
      </c>
      <c r="N432" s="46">
        <v>5</v>
      </c>
      <c r="O432" s="46" t="s">
        <v>152</v>
      </c>
      <c r="P432" s="46"/>
    </row>
    <row r="433" spans="1:16">
      <c r="A433" s="37" t="s">
        <v>1918</v>
      </c>
      <c r="B433" s="37" t="s">
        <v>1222</v>
      </c>
      <c r="C433" s="37" t="s">
        <v>300</v>
      </c>
      <c r="D433" s="37" t="s">
        <v>544</v>
      </c>
      <c r="E433" s="37" t="s">
        <v>195</v>
      </c>
      <c r="F433" s="37" t="s">
        <v>186</v>
      </c>
      <c r="G433" s="37" t="s">
        <v>168</v>
      </c>
      <c r="H433" s="37" t="s">
        <v>187</v>
      </c>
      <c r="I433" s="37" t="s">
        <v>1919</v>
      </c>
      <c r="J433" s="37" t="s">
        <v>1920</v>
      </c>
      <c r="K433" s="37">
        <v>8</v>
      </c>
      <c r="L433" s="37" t="s">
        <v>1921</v>
      </c>
      <c r="M433" s="37" t="s">
        <v>143</v>
      </c>
      <c r="N433" s="37">
        <v>2</v>
      </c>
      <c r="O433" s="37" t="s">
        <v>106</v>
      </c>
      <c r="P433" s="37"/>
    </row>
    <row r="434" spans="1:16">
      <c r="A434" s="46" t="s">
        <v>1922</v>
      </c>
      <c r="B434" s="46" t="s">
        <v>1306</v>
      </c>
      <c r="C434" s="46" t="s">
        <v>97</v>
      </c>
      <c r="D434" s="46" t="s">
        <v>136</v>
      </c>
      <c r="E434" s="46" t="s">
        <v>176</v>
      </c>
      <c r="F434" s="46" t="s">
        <v>47</v>
      </c>
      <c r="G434" s="46" t="s">
        <v>302</v>
      </c>
      <c r="H434" s="46" t="s">
        <v>396</v>
      </c>
      <c r="I434" s="46" t="s">
        <v>1923</v>
      </c>
      <c r="J434" s="46" t="s">
        <v>1924</v>
      </c>
      <c r="K434" s="46">
        <v>8</v>
      </c>
      <c r="L434" s="46" t="s">
        <v>722</v>
      </c>
      <c r="M434" s="46" t="s">
        <v>117</v>
      </c>
      <c r="N434" s="46">
        <v>5</v>
      </c>
      <c r="O434" s="46" t="s">
        <v>191</v>
      </c>
      <c r="P434" s="46"/>
    </row>
    <row r="435" spans="1:16">
      <c r="A435" s="37" t="s">
        <v>1925</v>
      </c>
      <c r="B435" s="37" t="s">
        <v>1127</v>
      </c>
      <c r="C435" s="37" t="s">
        <v>451</v>
      </c>
      <c r="D435" s="37" t="s">
        <v>175</v>
      </c>
      <c r="E435" s="37" t="s">
        <v>345</v>
      </c>
      <c r="F435" s="37" t="s">
        <v>385</v>
      </c>
      <c r="G435" s="37" t="s">
        <v>101</v>
      </c>
      <c r="H435" s="37" t="s">
        <v>187</v>
      </c>
      <c r="I435" s="37" t="s">
        <v>1926</v>
      </c>
      <c r="J435" s="37" t="s">
        <v>1927</v>
      </c>
      <c r="K435" s="37">
        <v>6</v>
      </c>
      <c r="L435" s="37" t="s">
        <v>1120</v>
      </c>
      <c r="M435" s="37" t="s">
        <v>143</v>
      </c>
      <c r="N435" s="37">
        <v>4</v>
      </c>
      <c r="O435" s="37" t="s">
        <v>131</v>
      </c>
      <c r="P435" s="37"/>
    </row>
    <row r="436" spans="1:16">
      <c r="A436" s="46" t="s">
        <v>1928</v>
      </c>
      <c r="B436" s="46" t="s">
        <v>712</v>
      </c>
      <c r="C436" s="46" t="s">
        <v>300</v>
      </c>
      <c r="D436" s="46" t="s">
        <v>175</v>
      </c>
      <c r="E436" s="46" t="s">
        <v>176</v>
      </c>
      <c r="F436" s="46" t="s">
        <v>353</v>
      </c>
      <c r="G436" s="46" t="s">
        <v>112</v>
      </c>
      <c r="H436" s="46" t="s">
        <v>113</v>
      </c>
      <c r="I436" s="46" t="s">
        <v>1929</v>
      </c>
      <c r="J436" s="46" t="s">
        <v>1930</v>
      </c>
      <c r="K436" s="46">
        <v>8</v>
      </c>
      <c r="L436" s="46" t="s">
        <v>1931</v>
      </c>
      <c r="M436" s="46" t="s">
        <v>172</v>
      </c>
      <c r="N436" s="46">
        <v>2</v>
      </c>
      <c r="O436" s="46" t="s">
        <v>181</v>
      </c>
      <c r="P436" s="46"/>
    </row>
    <row r="437" spans="1:16">
      <c r="A437" s="37" t="s">
        <v>1932</v>
      </c>
      <c r="B437" s="37" t="s">
        <v>171</v>
      </c>
      <c r="C437" s="37" t="s">
        <v>93</v>
      </c>
      <c r="D437" s="37" t="s">
        <v>312</v>
      </c>
      <c r="E437" s="37" t="s">
        <v>123</v>
      </c>
      <c r="F437" s="37" t="s">
        <v>425</v>
      </c>
      <c r="G437" s="37" t="s">
        <v>264</v>
      </c>
      <c r="H437" s="37" t="s">
        <v>187</v>
      </c>
      <c r="I437" s="37" t="s">
        <v>1933</v>
      </c>
      <c r="J437" s="37" t="s">
        <v>1934</v>
      </c>
      <c r="K437" s="37">
        <v>2</v>
      </c>
      <c r="L437" s="37" t="s">
        <v>694</v>
      </c>
      <c r="M437" s="37" t="s">
        <v>172</v>
      </c>
      <c r="N437" s="37">
        <v>4</v>
      </c>
      <c r="O437" s="37" t="s">
        <v>181</v>
      </c>
      <c r="P437" s="37"/>
    </row>
    <row r="438" spans="1:16">
      <c r="A438" s="46" t="s">
        <v>1935</v>
      </c>
      <c r="B438" s="46" t="s">
        <v>1850</v>
      </c>
      <c r="C438" s="46" t="s">
        <v>90</v>
      </c>
      <c r="D438" s="46" t="s">
        <v>37</v>
      </c>
      <c r="E438" s="46" t="s">
        <v>224</v>
      </c>
      <c r="F438" s="46" t="s">
        <v>283</v>
      </c>
      <c r="G438" s="46" t="s">
        <v>51</v>
      </c>
      <c r="H438" s="46" t="s">
        <v>54</v>
      </c>
      <c r="I438" s="46" t="s">
        <v>778</v>
      </c>
      <c r="J438" s="46" t="s">
        <v>793</v>
      </c>
      <c r="K438" s="46">
        <v>2</v>
      </c>
      <c r="L438" s="46" t="s">
        <v>501</v>
      </c>
      <c r="M438" s="46" t="s">
        <v>219</v>
      </c>
      <c r="N438" s="46">
        <v>5</v>
      </c>
      <c r="O438" s="46" t="s">
        <v>286</v>
      </c>
      <c r="P438" s="46"/>
    </row>
    <row r="439" spans="1:16">
      <c r="A439" s="37" t="s">
        <v>1936</v>
      </c>
      <c r="B439" s="37" t="s">
        <v>1337</v>
      </c>
      <c r="C439" s="37" t="s">
        <v>366</v>
      </c>
      <c r="D439" s="37" t="s">
        <v>270</v>
      </c>
      <c r="E439" s="37" t="s">
        <v>345</v>
      </c>
      <c r="F439" s="37" t="s">
        <v>612</v>
      </c>
      <c r="G439" s="37" t="s">
        <v>92</v>
      </c>
      <c r="H439" s="37" t="s">
        <v>91</v>
      </c>
      <c r="I439" s="37" t="s">
        <v>534</v>
      </c>
      <c r="J439" s="37" t="s">
        <v>1937</v>
      </c>
      <c r="K439" s="37">
        <v>4</v>
      </c>
      <c r="L439" s="37" t="s">
        <v>309</v>
      </c>
      <c r="M439" s="37" t="s">
        <v>143</v>
      </c>
      <c r="N439" s="37">
        <v>5</v>
      </c>
      <c r="O439" s="37" t="s">
        <v>106</v>
      </c>
      <c r="P439" s="37"/>
    </row>
    <row r="440" spans="1:16">
      <c r="A440" s="46" t="s">
        <v>1938</v>
      </c>
      <c r="B440" s="46" t="s">
        <v>1115</v>
      </c>
      <c r="C440" s="46" t="s">
        <v>174</v>
      </c>
      <c r="D440" s="46" t="s">
        <v>194</v>
      </c>
      <c r="E440" s="46" t="s">
        <v>325</v>
      </c>
      <c r="F440" s="46" t="s">
        <v>148</v>
      </c>
      <c r="G440" s="46" t="s">
        <v>112</v>
      </c>
      <c r="H440" s="46" t="s">
        <v>354</v>
      </c>
      <c r="I440" s="46" t="s">
        <v>1939</v>
      </c>
      <c r="J440" s="46" t="s">
        <v>1940</v>
      </c>
      <c r="K440" s="46">
        <v>4</v>
      </c>
      <c r="L440" s="46" t="s">
        <v>1353</v>
      </c>
      <c r="M440" s="46" t="s">
        <v>219</v>
      </c>
      <c r="N440" s="46">
        <v>2</v>
      </c>
      <c r="O440" s="46" t="s">
        <v>131</v>
      </c>
      <c r="P440" s="46"/>
    </row>
    <row r="441" spans="1:16">
      <c r="A441" s="37" t="s">
        <v>1941</v>
      </c>
      <c r="B441" s="37" t="s">
        <v>1597</v>
      </c>
      <c r="C441" s="37" t="s">
        <v>469</v>
      </c>
      <c r="D441" s="37" t="s">
        <v>194</v>
      </c>
      <c r="E441" s="37" t="s">
        <v>244</v>
      </c>
      <c r="F441" s="37" t="s">
        <v>158</v>
      </c>
      <c r="G441" s="37" t="s">
        <v>51</v>
      </c>
      <c r="H441" s="37" t="s">
        <v>90</v>
      </c>
      <c r="I441" s="37" t="s">
        <v>265</v>
      </c>
      <c r="J441" s="37" t="s">
        <v>1942</v>
      </c>
      <c r="K441" s="37">
        <v>4</v>
      </c>
      <c r="L441" s="37" t="s">
        <v>835</v>
      </c>
      <c r="M441" s="37" t="s">
        <v>219</v>
      </c>
      <c r="N441" s="37">
        <v>3</v>
      </c>
      <c r="O441" s="37" t="s">
        <v>106</v>
      </c>
      <c r="P441" s="37"/>
    </row>
    <row r="442" spans="1:16">
      <c r="A442" s="46" t="s">
        <v>1943</v>
      </c>
      <c r="B442" s="46" t="s">
        <v>712</v>
      </c>
      <c r="C442" s="46" t="s">
        <v>366</v>
      </c>
      <c r="D442" s="46" t="s">
        <v>367</v>
      </c>
      <c r="E442" s="46" t="s">
        <v>110</v>
      </c>
      <c r="F442" s="46" t="s">
        <v>100</v>
      </c>
      <c r="G442" s="46" t="s">
        <v>302</v>
      </c>
      <c r="H442" s="46" t="s">
        <v>126</v>
      </c>
      <c r="I442" s="46" t="s">
        <v>238</v>
      </c>
      <c r="J442" s="46" t="s">
        <v>1944</v>
      </c>
      <c r="K442" s="46">
        <v>4</v>
      </c>
      <c r="L442" s="46" t="s">
        <v>1945</v>
      </c>
      <c r="M442" s="46" t="s">
        <v>105</v>
      </c>
      <c r="N442" s="46">
        <v>3</v>
      </c>
      <c r="O442" s="46" t="s">
        <v>152</v>
      </c>
      <c r="P442" s="46"/>
    </row>
    <row r="443" spans="1:16">
      <c r="A443" s="37" t="s">
        <v>1946</v>
      </c>
      <c r="B443" s="37" t="s">
        <v>1864</v>
      </c>
      <c r="C443" s="37" t="s">
        <v>90</v>
      </c>
      <c r="D443" s="37" t="s">
        <v>156</v>
      </c>
      <c r="E443" s="37" t="s">
        <v>42</v>
      </c>
      <c r="F443" s="37" t="s">
        <v>245</v>
      </c>
      <c r="G443" s="37" t="s">
        <v>334</v>
      </c>
      <c r="H443" s="37" t="s">
        <v>215</v>
      </c>
      <c r="I443" s="37" t="s">
        <v>849</v>
      </c>
      <c r="J443" s="37" t="s">
        <v>1947</v>
      </c>
      <c r="K443" s="37">
        <v>6</v>
      </c>
      <c r="L443" s="37" t="s">
        <v>899</v>
      </c>
      <c r="M443" s="37" t="s">
        <v>337</v>
      </c>
      <c r="N443" s="37"/>
      <c r="O443" s="37" t="s">
        <v>79</v>
      </c>
      <c r="P443" s="37" t="s">
        <v>132</v>
      </c>
    </row>
    <row r="444" spans="1:16">
      <c r="A444" s="46" t="s">
        <v>1948</v>
      </c>
      <c r="B444" s="46" t="s">
        <v>1420</v>
      </c>
      <c r="C444" s="46" t="s">
        <v>121</v>
      </c>
      <c r="D444" s="46" t="s">
        <v>367</v>
      </c>
      <c r="E444" s="46" t="s">
        <v>110</v>
      </c>
      <c r="F444" s="46" t="s">
        <v>271</v>
      </c>
      <c r="G444" s="46" t="s">
        <v>159</v>
      </c>
      <c r="H444" s="46" t="s">
        <v>93</v>
      </c>
      <c r="I444" s="46" t="s">
        <v>1949</v>
      </c>
      <c r="J444" s="46" t="s">
        <v>1515</v>
      </c>
      <c r="K444" s="46">
        <v>6</v>
      </c>
      <c r="L444" s="46" t="s">
        <v>1897</v>
      </c>
      <c r="M444" s="46" t="s">
        <v>72</v>
      </c>
      <c r="N444" s="46">
        <v>5</v>
      </c>
      <c r="O444" s="46" t="s">
        <v>79</v>
      </c>
      <c r="P444" s="46"/>
    </row>
    <row r="445" spans="1:16">
      <c r="A445" s="37" t="s">
        <v>1950</v>
      </c>
      <c r="B445" s="37" t="s">
        <v>552</v>
      </c>
      <c r="C445" s="37" t="s">
        <v>90</v>
      </c>
      <c r="D445" s="37" t="s">
        <v>367</v>
      </c>
      <c r="E445" s="37" t="s">
        <v>345</v>
      </c>
      <c r="F445" s="37" t="s">
        <v>326</v>
      </c>
      <c r="G445" s="37" t="s">
        <v>112</v>
      </c>
      <c r="H445" s="37" t="s">
        <v>113</v>
      </c>
      <c r="I445" s="37" t="s">
        <v>838</v>
      </c>
      <c r="J445" s="37" t="s">
        <v>1951</v>
      </c>
      <c r="K445" s="37">
        <v>6</v>
      </c>
      <c r="L445" s="37" t="s">
        <v>1952</v>
      </c>
      <c r="M445" s="37" t="s">
        <v>624</v>
      </c>
      <c r="N445" s="37"/>
      <c r="O445" s="37" t="s">
        <v>118</v>
      </c>
      <c r="P445" s="37" t="s">
        <v>625</v>
      </c>
    </row>
    <row r="446" spans="1:16">
      <c r="A446" s="46" t="s">
        <v>1953</v>
      </c>
      <c r="B446" s="46" t="s">
        <v>611</v>
      </c>
      <c r="C446" s="46" t="s">
        <v>424</v>
      </c>
      <c r="D446" s="46" t="s">
        <v>146</v>
      </c>
      <c r="E446" s="46" t="s">
        <v>244</v>
      </c>
      <c r="F446" s="46" t="s">
        <v>458</v>
      </c>
      <c r="G446" s="46" t="s">
        <v>51</v>
      </c>
      <c r="H446" s="46" t="s">
        <v>327</v>
      </c>
      <c r="I446" s="46" t="s">
        <v>1954</v>
      </c>
      <c r="J446" s="46" t="s">
        <v>1955</v>
      </c>
      <c r="K446" s="46">
        <v>2</v>
      </c>
      <c r="L446" s="46" t="s">
        <v>636</v>
      </c>
      <c r="M446" s="46" t="s">
        <v>1513</v>
      </c>
      <c r="N446" s="46"/>
      <c r="O446" s="46" t="s">
        <v>152</v>
      </c>
      <c r="P446" s="46" t="s">
        <v>132</v>
      </c>
    </row>
    <row r="447" spans="1:16">
      <c r="A447" s="37" t="s">
        <v>1956</v>
      </c>
      <c r="B447" s="37" t="s">
        <v>1222</v>
      </c>
      <c r="C447" s="37" t="s">
        <v>307</v>
      </c>
      <c r="D447" s="37" t="s">
        <v>175</v>
      </c>
      <c r="E447" s="37" t="s">
        <v>137</v>
      </c>
      <c r="F447" s="37" t="s">
        <v>425</v>
      </c>
      <c r="G447" s="37" t="s">
        <v>168</v>
      </c>
      <c r="H447" s="37" t="s">
        <v>278</v>
      </c>
      <c r="I447" s="37" t="s">
        <v>1957</v>
      </c>
      <c r="J447" s="37" t="s">
        <v>1958</v>
      </c>
      <c r="K447" s="37">
        <v>6</v>
      </c>
      <c r="L447" s="37" t="s">
        <v>1538</v>
      </c>
      <c r="M447" s="37" t="s">
        <v>143</v>
      </c>
      <c r="N447" s="37">
        <v>2</v>
      </c>
      <c r="O447" s="37" t="s">
        <v>106</v>
      </c>
      <c r="P447" s="37"/>
    </row>
    <row r="448" spans="1:16">
      <c r="A448" s="46" t="s">
        <v>1959</v>
      </c>
      <c r="B448" s="46" t="s">
        <v>1960</v>
      </c>
      <c r="C448" s="46" t="s">
        <v>93</v>
      </c>
      <c r="D448" s="46" t="s">
        <v>122</v>
      </c>
      <c r="E448" s="46" t="s">
        <v>195</v>
      </c>
      <c r="F448" s="46" t="s">
        <v>237</v>
      </c>
      <c r="G448" s="46" t="s">
        <v>264</v>
      </c>
      <c r="H448" s="46" t="s">
        <v>278</v>
      </c>
      <c r="I448" s="46" t="s">
        <v>1176</v>
      </c>
      <c r="J448" s="46" t="s">
        <v>1781</v>
      </c>
      <c r="K448" s="46">
        <v>6</v>
      </c>
      <c r="L448" s="46" t="s">
        <v>1961</v>
      </c>
      <c r="M448" s="46" t="s">
        <v>143</v>
      </c>
      <c r="N448" s="46">
        <v>5</v>
      </c>
      <c r="O448" s="46" t="s">
        <v>191</v>
      </c>
      <c r="P448" s="46"/>
    </row>
    <row r="449" spans="1:16">
      <c r="A449" s="37" t="s">
        <v>1962</v>
      </c>
      <c r="B449" s="37" t="s">
        <v>739</v>
      </c>
      <c r="C449" s="37" t="s">
        <v>366</v>
      </c>
      <c r="D449" s="37" t="s">
        <v>270</v>
      </c>
      <c r="E449" s="37" t="s">
        <v>110</v>
      </c>
      <c r="F449" s="37" t="s">
        <v>385</v>
      </c>
      <c r="G449" s="37" t="s">
        <v>401</v>
      </c>
      <c r="H449" s="37" t="s">
        <v>54</v>
      </c>
      <c r="I449" s="37" t="s">
        <v>1963</v>
      </c>
      <c r="J449" s="37" t="s">
        <v>1964</v>
      </c>
      <c r="K449" s="37">
        <v>6</v>
      </c>
      <c r="L449" s="37" t="s">
        <v>435</v>
      </c>
      <c r="M449" s="37" t="s">
        <v>72</v>
      </c>
      <c r="N449" s="37">
        <v>3</v>
      </c>
      <c r="O449" s="37" t="s">
        <v>106</v>
      </c>
      <c r="P449" s="37"/>
    </row>
    <row r="450" spans="1:16">
      <c r="A450" s="46" t="s">
        <v>1965</v>
      </c>
      <c r="B450" s="46" t="s">
        <v>1115</v>
      </c>
      <c r="C450" s="46" t="s">
        <v>424</v>
      </c>
      <c r="D450" s="46" t="s">
        <v>37</v>
      </c>
      <c r="E450" s="46" t="s">
        <v>137</v>
      </c>
      <c r="F450" s="46" t="s">
        <v>231</v>
      </c>
      <c r="G450" s="46" t="s">
        <v>168</v>
      </c>
      <c r="H450" s="46" t="s">
        <v>206</v>
      </c>
      <c r="I450" s="46" t="s">
        <v>659</v>
      </c>
      <c r="J450" s="46" t="s">
        <v>1966</v>
      </c>
      <c r="K450" s="46">
        <v>8</v>
      </c>
      <c r="L450" s="46" t="s">
        <v>1864</v>
      </c>
      <c r="M450" s="46" t="s">
        <v>163</v>
      </c>
      <c r="N450" s="46">
        <v>4</v>
      </c>
      <c r="O450" s="46" t="s">
        <v>118</v>
      </c>
      <c r="P450" s="46"/>
    </row>
    <row r="451" spans="1:16">
      <c r="A451" s="37" t="s">
        <v>1967</v>
      </c>
      <c r="B451" s="37" t="s">
        <v>1968</v>
      </c>
      <c r="C451" s="37" t="s">
        <v>282</v>
      </c>
      <c r="D451" s="37" t="s">
        <v>223</v>
      </c>
      <c r="E451" s="37" t="s">
        <v>123</v>
      </c>
      <c r="F451" s="37" t="s">
        <v>498</v>
      </c>
      <c r="G451" s="37" t="s">
        <v>139</v>
      </c>
      <c r="H451" s="37" t="s">
        <v>215</v>
      </c>
      <c r="I451" s="37" t="s">
        <v>1705</v>
      </c>
      <c r="J451" s="37" t="s">
        <v>1969</v>
      </c>
      <c r="K451" s="37">
        <v>4</v>
      </c>
      <c r="L451" s="37" t="s">
        <v>1236</v>
      </c>
      <c r="M451" s="37" t="s">
        <v>117</v>
      </c>
      <c r="N451" s="37">
        <v>5</v>
      </c>
      <c r="O451" s="37" t="s">
        <v>181</v>
      </c>
      <c r="P451" s="37"/>
    </row>
    <row r="452" spans="1:16">
      <c r="A452" s="46" t="s">
        <v>1970</v>
      </c>
      <c r="B452" s="46" t="s">
        <v>1971</v>
      </c>
      <c r="C452" s="46" t="s">
        <v>166</v>
      </c>
      <c r="D452" s="46" t="s">
        <v>156</v>
      </c>
      <c r="E452" s="46" t="s">
        <v>244</v>
      </c>
      <c r="F452" s="46" t="s">
        <v>205</v>
      </c>
      <c r="G452" s="46" t="s">
        <v>334</v>
      </c>
      <c r="H452" s="46" t="s">
        <v>32</v>
      </c>
      <c r="I452" s="46" t="s">
        <v>1972</v>
      </c>
      <c r="J452" s="46" t="s">
        <v>1973</v>
      </c>
      <c r="K452" s="46">
        <v>4</v>
      </c>
      <c r="L452" s="46" t="s">
        <v>967</v>
      </c>
      <c r="M452" s="46" t="s">
        <v>163</v>
      </c>
      <c r="N452" s="46">
        <v>4</v>
      </c>
      <c r="O452" s="46" t="s">
        <v>79</v>
      </c>
      <c r="P452" s="46"/>
    </row>
    <row r="453" spans="1:16">
      <c r="A453" s="37" t="s">
        <v>1974</v>
      </c>
      <c r="B453" s="37" t="s">
        <v>611</v>
      </c>
      <c r="C453" s="37" t="s">
        <v>90</v>
      </c>
      <c r="D453" s="37" t="s">
        <v>37</v>
      </c>
      <c r="E453" s="37" t="s">
        <v>147</v>
      </c>
      <c r="F453" s="37" t="s">
        <v>177</v>
      </c>
      <c r="G453" s="37" t="s">
        <v>87</v>
      </c>
      <c r="H453" s="37" t="s">
        <v>32</v>
      </c>
      <c r="I453" s="37" t="s">
        <v>787</v>
      </c>
      <c r="J453" s="37" t="s">
        <v>1975</v>
      </c>
      <c r="K453" s="37">
        <v>8</v>
      </c>
      <c r="L453" s="37" t="s">
        <v>1127</v>
      </c>
      <c r="M453" s="37" t="s">
        <v>219</v>
      </c>
      <c r="N453" s="37">
        <v>4</v>
      </c>
      <c r="O453" s="37" t="s">
        <v>286</v>
      </c>
      <c r="P453" s="37"/>
    </row>
    <row r="454" spans="1:16">
      <c r="A454" s="46" t="s">
        <v>1976</v>
      </c>
      <c r="B454" s="46" t="s">
        <v>1179</v>
      </c>
      <c r="C454" s="46" t="s">
        <v>222</v>
      </c>
      <c r="D454" s="46" t="s">
        <v>919</v>
      </c>
      <c r="E454" s="46" t="s">
        <v>110</v>
      </c>
      <c r="F454" s="46" t="s">
        <v>138</v>
      </c>
      <c r="G454" s="46" t="s">
        <v>418</v>
      </c>
      <c r="H454" s="46" t="s">
        <v>93</v>
      </c>
      <c r="I454" s="46" t="s">
        <v>634</v>
      </c>
      <c r="J454" s="46" t="s">
        <v>1473</v>
      </c>
      <c r="K454" s="46">
        <v>6</v>
      </c>
      <c r="L454" s="46" t="s">
        <v>96</v>
      </c>
      <c r="M454" s="46" t="s">
        <v>72</v>
      </c>
      <c r="N454" s="46">
        <v>4</v>
      </c>
      <c r="O454" s="46" t="s">
        <v>131</v>
      </c>
      <c r="P454" s="46"/>
    </row>
    <row r="455" spans="1:16">
      <c r="A455" s="37" t="s">
        <v>1977</v>
      </c>
      <c r="B455" s="37" t="s">
        <v>1978</v>
      </c>
      <c r="C455" s="37" t="s">
        <v>88</v>
      </c>
      <c r="D455" s="37" t="s">
        <v>544</v>
      </c>
      <c r="E455" s="37" t="s">
        <v>195</v>
      </c>
      <c r="F455" s="37" t="s">
        <v>214</v>
      </c>
      <c r="G455" s="37" t="s">
        <v>87</v>
      </c>
      <c r="H455" s="37" t="s">
        <v>113</v>
      </c>
      <c r="I455" s="37" t="s">
        <v>1231</v>
      </c>
      <c r="J455" s="37" t="s">
        <v>1979</v>
      </c>
      <c r="K455" s="37">
        <v>8</v>
      </c>
      <c r="L455" s="37" t="s">
        <v>1085</v>
      </c>
      <c r="M455" s="37" t="s">
        <v>117</v>
      </c>
      <c r="N455" s="37">
        <v>4</v>
      </c>
      <c r="O455" s="37" t="s">
        <v>152</v>
      </c>
      <c r="P455" s="37"/>
    </row>
    <row r="456" spans="1:16">
      <c r="A456" s="46" t="s">
        <v>1980</v>
      </c>
      <c r="B456" s="46" t="s">
        <v>848</v>
      </c>
      <c r="C456" s="46" t="s">
        <v>93</v>
      </c>
      <c r="D456" s="46" t="s">
        <v>312</v>
      </c>
      <c r="E456" s="46" t="s">
        <v>137</v>
      </c>
      <c r="F456" s="46" t="s">
        <v>167</v>
      </c>
      <c r="G456" s="46" t="s">
        <v>92</v>
      </c>
      <c r="H456" s="46" t="s">
        <v>91</v>
      </c>
      <c r="I456" s="46" t="s">
        <v>1326</v>
      </c>
      <c r="J456" s="46" t="s">
        <v>1981</v>
      </c>
      <c r="K456" s="46">
        <v>8</v>
      </c>
      <c r="L456" s="46" t="s">
        <v>142</v>
      </c>
      <c r="M456" s="46" t="s">
        <v>72</v>
      </c>
      <c r="N456" s="46">
        <v>3</v>
      </c>
      <c r="O456" s="46" t="s">
        <v>118</v>
      </c>
      <c r="P456" s="46"/>
    </row>
    <row r="457" spans="1:16">
      <c r="A457" s="37" t="s">
        <v>1982</v>
      </c>
      <c r="B457" s="37" t="s">
        <v>421</v>
      </c>
      <c r="C457" s="37" t="s">
        <v>633</v>
      </c>
      <c r="D457" s="37" t="s">
        <v>270</v>
      </c>
      <c r="E457" s="37" t="s">
        <v>157</v>
      </c>
      <c r="F457" s="37" t="s">
        <v>1701</v>
      </c>
      <c r="G457" s="37" t="s">
        <v>168</v>
      </c>
      <c r="H457" s="37" t="s">
        <v>88</v>
      </c>
      <c r="I457" s="37" t="s">
        <v>1187</v>
      </c>
      <c r="J457" s="37" t="s">
        <v>1983</v>
      </c>
      <c r="K457" s="37">
        <v>6</v>
      </c>
      <c r="L457" s="37" t="s">
        <v>1984</v>
      </c>
      <c r="M457" s="37" t="s">
        <v>163</v>
      </c>
      <c r="N457" s="37">
        <v>3</v>
      </c>
      <c r="O457" s="37" t="s">
        <v>152</v>
      </c>
      <c r="P457" s="37"/>
    </row>
    <row r="458" spans="1:16">
      <c r="A458" s="46" t="s">
        <v>1985</v>
      </c>
      <c r="B458" s="46" t="s">
        <v>926</v>
      </c>
      <c r="C458" s="46" t="s">
        <v>90</v>
      </c>
      <c r="D458" s="46" t="s">
        <v>352</v>
      </c>
      <c r="E458" s="46" t="s">
        <v>224</v>
      </c>
      <c r="F458" s="46" t="s">
        <v>319</v>
      </c>
      <c r="G458" s="46" t="s">
        <v>418</v>
      </c>
      <c r="H458" s="46" t="s">
        <v>93</v>
      </c>
      <c r="I458" s="46" t="s">
        <v>1986</v>
      </c>
      <c r="J458" s="46" t="s">
        <v>1987</v>
      </c>
      <c r="K458" s="46">
        <v>2</v>
      </c>
      <c r="L458" s="46" t="s">
        <v>918</v>
      </c>
      <c r="M458" s="46" t="s">
        <v>817</v>
      </c>
      <c r="N458" s="46"/>
      <c r="O458" s="46" t="s">
        <v>181</v>
      </c>
      <c r="P458" s="46" t="s">
        <v>625</v>
      </c>
    </row>
    <row r="459" spans="1:16">
      <c r="A459" s="37" t="s">
        <v>1988</v>
      </c>
      <c r="B459" s="37" t="s">
        <v>1908</v>
      </c>
      <c r="C459" s="37" t="s">
        <v>155</v>
      </c>
      <c r="D459" s="37" t="s">
        <v>919</v>
      </c>
      <c r="E459" s="37" t="s">
        <v>345</v>
      </c>
      <c r="F459" s="37" t="s">
        <v>582</v>
      </c>
      <c r="G459" s="37" t="s">
        <v>89</v>
      </c>
      <c r="H459" s="37" t="s">
        <v>206</v>
      </c>
      <c r="I459" s="37" t="s">
        <v>1989</v>
      </c>
      <c r="J459" s="37" t="s">
        <v>1990</v>
      </c>
      <c r="K459" s="37">
        <v>6</v>
      </c>
      <c r="L459" s="37" t="s">
        <v>1991</v>
      </c>
      <c r="M459" s="37" t="s">
        <v>219</v>
      </c>
      <c r="N459" s="37">
        <v>4</v>
      </c>
      <c r="O459" s="37" t="s">
        <v>152</v>
      </c>
      <c r="P459" s="37"/>
    </row>
    <row r="460" spans="1:16">
      <c r="A460" s="46" t="s">
        <v>1992</v>
      </c>
      <c r="B460" s="46" t="s">
        <v>560</v>
      </c>
      <c r="C460" s="46" t="s">
        <v>91</v>
      </c>
      <c r="D460" s="46" t="s">
        <v>122</v>
      </c>
      <c r="E460" s="46" t="s">
        <v>110</v>
      </c>
      <c r="F460" s="46" t="s">
        <v>271</v>
      </c>
      <c r="G460" s="46" t="s">
        <v>334</v>
      </c>
      <c r="H460" s="46" t="s">
        <v>113</v>
      </c>
      <c r="I460" s="46" t="s">
        <v>1993</v>
      </c>
      <c r="J460" s="46" t="s">
        <v>1994</v>
      </c>
      <c r="K460" s="46">
        <v>6</v>
      </c>
      <c r="L460" s="46" t="s">
        <v>1377</v>
      </c>
      <c r="M460" s="46" t="s">
        <v>1513</v>
      </c>
      <c r="N460" s="46"/>
      <c r="O460" s="46" t="s">
        <v>152</v>
      </c>
      <c r="P460" s="46" t="s">
        <v>759</v>
      </c>
    </row>
    <row r="461" spans="1:16">
      <c r="A461" s="37" t="s">
        <v>1995</v>
      </c>
      <c r="B461" s="37" t="s">
        <v>227</v>
      </c>
      <c r="C461" s="37" t="s">
        <v>88</v>
      </c>
      <c r="D461" s="37" t="s">
        <v>312</v>
      </c>
      <c r="E461" s="37" t="s">
        <v>440</v>
      </c>
      <c r="F461" s="37" t="s">
        <v>277</v>
      </c>
      <c r="G461" s="37" t="s">
        <v>101</v>
      </c>
      <c r="H461" s="37" t="s">
        <v>88</v>
      </c>
      <c r="I461" s="37" t="s">
        <v>1996</v>
      </c>
      <c r="J461" s="37" t="s">
        <v>432</v>
      </c>
      <c r="K461" s="37">
        <v>6</v>
      </c>
      <c r="L461" s="37" t="s">
        <v>1115</v>
      </c>
      <c r="M461" s="37" t="s">
        <v>143</v>
      </c>
      <c r="N461" s="37">
        <v>4</v>
      </c>
      <c r="O461" s="37" t="s">
        <v>152</v>
      </c>
      <c r="P461" s="37"/>
    </row>
    <row r="462" spans="1:16">
      <c r="A462" s="46" t="s">
        <v>1997</v>
      </c>
      <c r="B462" s="46" t="s">
        <v>1998</v>
      </c>
      <c r="C462" s="46" t="s">
        <v>307</v>
      </c>
      <c r="D462" s="46" t="s">
        <v>230</v>
      </c>
      <c r="E462" s="46" t="s">
        <v>137</v>
      </c>
      <c r="F462" s="46" t="s">
        <v>158</v>
      </c>
      <c r="G462" s="46" t="s">
        <v>380</v>
      </c>
      <c r="H462" s="46" t="s">
        <v>91</v>
      </c>
      <c r="I462" s="46" t="s">
        <v>1999</v>
      </c>
      <c r="J462" s="46" t="s">
        <v>2000</v>
      </c>
      <c r="K462" s="46">
        <v>8</v>
      </c>
      <c r="L462" s="46" t="s">
        <v>2001</v>
      </c>
      <c r="M462" s="46" t="s">
        <v>163</v>
      </c>
      <c r="N462" s="46">
        <v>5</v>
      </c>
      <c r="O462" s="46" t="s">
        <v>79</v>
      </c>
      <c r="P462" s="46"/>
    </row>
    <row r="463" spans="1:16">
      <c r="A463" s="37" t="s">
        <v>2002</v>
      </c>
      <c r="B463" s="37" t="s">
        <v>654</v>
      </c>
      <c r="C463" s="37" t="s">
        <v>166</v>
      </c>
      <c r="D463" s="37" t="s">
        <v>37</v>
      </c>
      <c r="E463" s="37" t="s">
        <v>185</v>
      </c>
      <c r="F463" s="37" t="s">
        <v>425</v>
      </c>
      <c r="G463" s="37" t="s">
        <v>125</v>
      </c>
      <c r="H463" s="37" t="s">
        <v>396</v>
      </c>
      <c r="I463" s="37" t="s">
        <v>2003</v>
      </c>
      <c r="J463" s="37" t="s">
        <v>2004</v>
      </c>
      <c r="K463" s="37">
        <v>4</v>
      </c>
      <c r="L463" s="37" t="s">
        <v>2005</v>
      </c>
      <c r="M463" s="37" t="s">
        <v>72</v>
      </c>
      <c r="N463" s="37">
        <v>2</v>
      </c>
      <c r="O463" s="37" t="s">
        <v>191</v>
      </c>
      <c r="P463" s="37"/>
    </row>
    <row r="464" spans="1:16">
      <c r="A464" s="46" t="s">
        <v>2006</v>
      </c>
      <c r="B464" s="46" t="s">
        <v>2007</v>
      </c>
      <c r="C464" s="46" t="s">
        <v>300</v>
      </c>
      <c r="D464" s="46" t="s">
        <v>122</v>
      </c>
      <c r="E464" s="46" t="s">
        <v>137</v>
      </c>
      <c r="F464" s="46" t="s">
        <v>111</v>
      </c>
      <c r="G464" s="46" t="s">
        <v>101</v>
      </c>
      <c r="H464" s="46" t="s">
        <v>206</v>
      </c>
      <c r="I464" s="46" t="s">
        <v>1522</v>
      </c>
      <c r="J464" s="46" t="s">
        <v>2008</v>
      </c>
      <c r="K464" s="46">
        <v>8</v>
      </c>
      <c r="L464" s="46" t="s">
        <v>1528</v>
      </c>
      <c r="M464" s="46" t="s">
        <v>163</v>
      </c>
      <c r="N464" s="46">
        <v>5</v>
      </c>
      <c r="O464" s="46" t="s">
        <v>131</v>
      </c>
      <c r="P464" s="46"/>
    </row>
    <row r="465" spans="1:16">
      <c r="A465" s="37" t="s">
        <v>2009</v>
      </c>
      <c r="B465" s="37" t="s">
        <v>690</v>
      </c>
      <c r="C465" s="37" t="s">
        <v>451</v>
      </c>
      <c r="D465" s="37" t="s">
        <v>184</v>
      </c>
      <c r="E465" s="37" t="s">
        <v>110</v>
      </c>
      <c r="F465" s="37" t="s">
        <v>1701</v>
      </c>
      <c r="G465" s="37" t="s">
        <v>302</v>
      </c>
      <c r="H465" s="37" t="s">
        <v>396</v>
      </c>
      <c r="I465" s="37" t="s">
        <v>127</v>
      </c>
      <c r="J465" s="37" t="s">
        <v>239</v>
      </c>
      <c r="K465" s="37">
        <v>6</v>
      </c>
      <c r="L465" s="37" t="s">
        <v>383</v>
      </c>
      <c r="M465" s="37" t="s">
        <v>624</v>
      </c>
      <c r="N465" s="37"/>
      <c r="O465" s="37" t="s">
        <v>106</v>
      </c>
      <c r="P465" s="37" t="s">
        <v>625</v>
      </c>
    </row>
    <row r="466" spans="1:16">
      <c r="A466" s="46" t="s">
        <v>2010</v>
      </c>
      <c r="B466" s="46" t="s">
        <v>429</v>
      </c>
      <c r="C466" s="46" t="s">
        <v>282</v>
      </c>
      <c r="D466" s="46" t="s">
        <v>156</v>
      </c>
      <c r="E466" s="46" t="s">
        <v>157</v>
      </c>
      <c r="F466" s="46" t="s">
        <v>100</v>
      </c>
      <c r="G466" s="46" t="s">
        <v>92</v>
      </c>
      <c r="H466" s="46" t="s">
        <v>396</v>
      </c>
      <c r="I466" s="46" t="s">
        <v>1657</v>
      </c>
      <c r="J466" s="46" t="s">
        <v>1894</v>
      </c>
      <c r="K466" s="46">
        <v>6</v>
      </c>
      <c r="L466" s="46" t="s">
        <v>1083</v>
      </c>
      <c r="M466" s="46" t="s">
        <v>143</v>
      </c>
      <c r="N466" s="46">
        <v>1</v>
      </c>
      <c r="O466" s="46" t="s">
        <v>152</v>
      </c>
      <c r="P466" s="46"/>
    </row>
    <row r="467" spans="1:16">
      <c r="A467" s="37" t="s">
        <v>2011</v>
      </c>
      <c r="B467" s="37" t="s">
        <v>1659</v>
      </c>
      <c r="C467" s="37" t="s">
        <v>566</v>
      </c>
      <c r="D467" s="37" t="s">
        <v>184</v>
      </c>
      <c r="E467" s="37" t="s">
        <v>224</v>
      </c>
      <c r="F467" s="37" t="s">
        <v>533</v>
      </c>
      <c r="G467" s="37" t="s">
        <v>89</v>
      </c>
      <c r="H467" s="37" t="s">
        <v>88</v>
      </c>
      <c r="I467" s="37" t="s">
        <v>2012</v>
      </c>
      <c r="J467" s="37" t="s">
        <v>2013</v>
      </c>
      <c r="K467" s="37">
        <v>4</v>
      </c>
      <c r="L467" s="37" t="s">
        <v>2014</v>
      </c>
      <c r="M467" s="37" t="s">
        <v>219</v>
      </c>
      <c r="N467" s="37">
        <v>4</v>
      </c>
      <c r="O467" s="37" t="s">
        <v>131</v>
      </c>
      <c r="P467" s="37"/>
    </row>
    <row r="468" spans="1:16">
      <c r="A468" s="46" t="s">
        <v>2015</v>
      </c>
      <c r="B468" s="46" t="s">
        <v>518</v>
      </c>
      <c r="C468" s="46" t="s">
        <v>251</v>
      </c>
      <c r="D468" s="46" t="s">
        <v>270</v>
      </c>
      <c r="E468" s="46" t="s">
        <v>345</v>
      </c>
      <c r="F468" s="46" t="s">
        <v>368</v>
      </c>
      <c r="G468" s="46" t="s">
        <v>89</v>
      </c>
      <c r="H468" s="46" t="s">
        <v>206</v>
      </c>
      <c r="I468" s="46" t="s">
        <v>2016</v>
      </c>
      <c r="J468" s="46" t="s">
        <v>2017</v>
      </c>
      <c r="K468" s="46">
        <v>6</v>
      </c>
      <c r="L468" s="46" t="s">
        <v>2018</v>
      </c>
      <c r="M468" s="46" t="s">
        <v>200</v>
      </c>
      <c r="N468" s="46">
        <v>3</v>
      </c>
      <c r="O468" s="46" t="s">
        <v>118</v>
      </c>
      <c r="P468" s="46"/>
    </row>
    <row r="469" spans="1:16">
      <c r="A469" s="37" t="s">
        <v>2019</v>
      </c>
      <c r="B469" s="37" t="s">
        <v>2020</v>
      </c>
      <c r="C469" s="37" t="s">
        <v>109</v>
      </c>
      <c r="D469" s="37" t="s">
        <v>175</v>
      </c>
      <c r="E469" s="37" t="s">
        <v>345</v>
      </c>
      <c r="F469" s="37" t="s">
        <v>245</v>
      </c>
      <c r="G469" s="37" t="s">
        <v>87</v>
      </c>
      <c r="H469" s="37" t="s">
        <v>354</v>
      </c>
      <c r="I469" s="37" t="s">
        <v>1829</v>
      </c>
      <c r="J469" s="37" t="s">
        <v>2021</v>
      </c>
      <c r="K469" s="37">
        <v>6</v>
      </c>
      <c r="L469" s="37" t="s">
        <v>667</v>
      </c>
      <c r="M469" s="37" t="s">
        <v>143</v>
      </c>
      <c r="N469" s="37">
        <v>4</v>
      </c>
      <c r="O469" s="37" t="s">
        <v>118</v>
      </c>
      <c r="P469" s="37"/>
    </row>
    <row r="470" spans="1:16">
      <c r="A470" s="46" t="s">
        <v>2022</v>
      </c>
      <c r="B470" s="46" t="s">
        <v>1358</v>
      </c>
      <c r="C470" s="46" t="s">
        <v>135</v>
      </c>
      <c r="D470" s="46" t="s">
        <v>37</v>
      </c>
      <c r="E470" s="46" t="s">
        <v>325</v>
      </c>
      <c r="F470" s="46" t="s">
        <v>277</v>
      </c>
      <c r="G470" s="46" t="s">
        <v>302</v>
      </c>
      <c r="H470" s="46" t="s">
        <v>294</v>
      </c>
      <c r="I470" s="46" t="s">
        <v>1507</v>
      </c>
      <c r="J470" s="46" t="s">
        <v>2023</v>
      </c>
      <c r="K470" s="46">
        <v>4</v>
      </c>
      <c r="L470" s="46" t="s">
        <v>2024</v>
      </c>
      <c r="M470" s="46" t="s">
        <v>172</v>
      </c>
      <c r="N470" s="46">
        <v>4</v>
      </c>
      <c r="O470" s="46" t="s">
        <v>131</v>
      </c>
      <c r="P470" s="46"/>
    </row>
    <row r="471" spans="1:16">
      <c r="A471" s="37" t="s">
        <v>2025</v>
      </c>
      <c r="B471" s="37" t="s">
        <v>1261</v>
      </c>
      <c r="C471" s="37" t="s">
        <v>91</v>
      </c>
      <c r="D471" s="37" t="s">
        <v>184</v>
      </c>
      <c r="E471" s="37" t="s">
        <v>244</v>
      </c>
      <c r="F471" s="37" t="s">
        <v>277</v>
      </c>
      <c r="G471" s="37" t="s">
        <v>101</v>
      </c>
      <c r="H471" s="37" t="s">
        <v>187</v>
      </c>
      <c r="I471" s="37" t="s">
        <v>2026</v>
      </c>
      <c r="J471" s="37" t="s">
        <v>2027</v>
      </c>
      <c r="K471" s="37">
        <v>4</v>
      </c>
      <c r="L471" s="37" t="s">
        <v>1592</v>
      </c>
      <c r="M471" s="37" t="s">
        <v>72</v>
      </c>
      <c r="N471" s="37">
        <v>2</v>
      </c>
      <c r="O471" s="37" t="s">
        <v>106</v>
      </c>
      <c r="P471" s="37"/>
    </row>
    <row r="472" spans="1:16">
      <c r="A472" s="46" t="s">
        <v>2028</v>
      </c>
      <c r="B472" s="46" t="s">
        <v>322</v>
      </c>
      <c r="C472" s="46" t="s">
        <v>251</v>
      </c>
      <c r="D472" s="46" t="s">
        <v>194</v>
      </c>
      <c r="E472" s="46" t="s">
        <v>110</v>
      </c>
      <c r="F472" s="46" t="s">
        <v>353</v>
      </c>
      <c r="G472" s="46" t="s">
        <v>139</v>
      </c>
      <c r="H472" s="46" t="s">
        <v>113</v>
      </c>
      <c r="I472" s="46" t="s">
        <v>1986</v>
      </c>
      <c r="J472" s="46" t="s">
        <v>2029</v>
      </c>
      <c r="K472" s="46">
        <v>4</v>
      </c>
      <c r="L472" s="46" t="s">
        <v>2030</v>
      </c>
      <c r="M472" s="46" t="s">
        <v>72</v>
      </c>
      <c r="N472" s="46">
        <v>1</v>
      </c>
      <c r="O472" s="46" t="s">
        <v>118</v>
      </c>
      <c r="P472" s="46"/>
    </row>
    <row r="473" spans="1:16">
      <c r="A473" s="37" t="s">
        <v>2031</v>
      </c>
      <c r="B473" s="37" t="s">
        <v>256</v>
      </c>
      <c r="C473" s="37" t="s">
        <v>407</v>
      </c>
      <c r="D473" s="37" t="s">
        <v>194</v>
      </c>
      <c r="E473" s="37" t="s">
        <v>345</v>
      </c>
      <c r="F473" s="37" t="s">
        <v>664</v>
      </c>
      <c r="G473" s="37" t="s">
        <v>302</v>
      </c>
      <c r="H473" s="37" t="s">
        <v>396</v>
      </c>
      <c r="I473" s="37" t="s">
        <v>2032</v>
      </c>
      <c r="J473" s="37" t="s">
        <v>2033</v>
      </c>
      <c r="K473" s="37">
        <v>4</v>
      </c>
      <c r="L473" s="37" t="s">
        <v>2034</v>
      </c>
      <c r="M473" s="37" t="s">
        <v>117</v>
      </c>
      <c r="N473" s="37">
        <v>4</v>
      </c>
      <c r="O473" s="37" t="s">
        <v>131</v>
      </c>
      <c r="P473" s="37"/>
    </row>
    <row r="474" spans="1:16">
      <c r="A474" s="46" t="s">
        <v>2035</v>
      </c>
      <c r="B474" s="46" t="s">
        <v>1681</v>
      </c>
      <c r="C474" s="46" t="s">
        <v>243</v>
      </c>
      <c r="D474" s="46" t="s">
        <v>194</v>
      </c>
      <c r="E474" s="46" t="s">
        <v>176</v>
      </c>
      <c r="F474" s="46" t="s">
        <v>734</v>
      </c>
      <c r="G474" s="46" t="s">
        <v>380</v>
      </c>
      <c r="H474" s="46" t="s">
        <v>294</v>
      </c>
      <c r="I474" s="46" t="s">
        <v>2036</v>
      </c>
      <c r="J474" s="46" t="s">
        <v>2037</v>
      </c>
      <c r="K474" s="46">
        <v>8</v>
      </c>
      <c r="L474" s="46" t="s">
        <v>991</v>
      </c>
      <c r="M474" s="46" t="s">
        <v>72</v>
      </c>
      <c r="N474" s="46">
        <v>3</v>
      </c>
      <c r="O474" s="46" t="s">
        <v>131</v>
      </c>
      <c r="P474" s="46"/>
    </row>
    <row r="475" spans="1:16">
      <c r="A475" s="37" t="s">
        <v>2038</v>
      </c>
      <c r="B475" s="37" t="s">
        <v>781</v>
      </c>
      <c r="C475" s="37" t="s">
        <v>135</v>
      </c>
      <c r="D475" s="37" t="s">
        <v>919</v>
      </c>
      <c r="E475" s="37" t="s">
        <v>325</v>
      </c>
      <c r="F475" s="37" t="s">
        <v>47</v>
      </c>
      <c r="G475" s="37" t="s">
        <v>159</v>
      </c>
      <c r="H475" s="37" t="s">
        <v>54</v>
      </c>
      <c r="I475" s="37" t="s">
        <v>2039</v>
      </c>
      <c r="J475" s="37" t="s">
        <v>916</v>
      </c>
      <c r="K475" s="37">
        <v>4</v>
      </c>
      <c r="L475" s="37" t="s">
        <v>2040</v>
      </c>
      <c r="M475" s="37" t="s">
        <v>2041</v>
      </c>
      <c r="N475" s="37"/>
      <c r="O475" s="37" t="s">
        <v>79</v>
      </c>
      <c r="P475" s="37" t="s">
        <v>83</v>
      </c>
    </row>
    <row r="476" spans="1:16">
      <c r="A476" s="46" t="s">
        <v>2042</v>
      </c>
      <c r="B476" s="46" t="s">
        <v>463</v>
      </c>
      <c r="C476" s="46" t="s">
        <v>93</v>
      </c>
      <c r="D476" s="46" t="s">
        <v>175</v>
      </c>
      <c r="E476" s="46" t="s">
        <v>440</v>
      </c>
      <c r="F476" s="46" t="s">
        <v>360</v>
      </c>
      <c r="G476" s="46" t="s">
        <v>159</v>
      </c>
      <c r="H476" s="46" t="s">
        <v>327</v>
      </c>
      <c r="I476" s="46" t="s">
        <v>2043</v>
      </c>
      <c r="J476" s="46" t="s">
        <v>2044</v>
      </c>
      <c r="K476" s="46">
        <v>8</v>
      </c>
      <c r="L476" s="46" t="s">
        <v>1028</v>
      </c>
      <c r="M476" s="46" t="s">
        <v>72</v>
      </c>
      <c r="N476" s="46">
        <v>3</v>
      </c>
      <c r="O476" s="46" t="s">
        <v>181</v>
      </c>
      <c r="P476" s="46"/>
    </row>
    <row r="477" spans="1:16">
      <c r="A477" s="46" t="s">
        <v>2045</v>
      </c>
      <c r="B477" s="46" t="s">
        <v>2046</v>
      </c>
      <c r="C477" s="46" t="s">
        <v>251</v>
      </c>
      <c r="D477" s="46" t="s">
        <v>146</v>
      </c>
      <c r="E477" s="46" t="s">
        <v>176</v>
      </c>
      <c r="F477" s="46" t="s">
        <v>313</v>
      </c>
      <c r="G477" s="46" t="s">
        <v>346</v>
      </c>
      <c r="H477" s="46" t="s">
        <v>113</v>
      </c>
      <c r="I477" s="46" t="s">
        <v>2047</v>
      </c>
      <c r="J477" s="46" t="s">
        <v>2048</v>
      </c>
      <c r="K477" s="46">
        <v>6</v>
      </c>
      <c r="L477" s="46" t="s">
        <v>450</v>
      </c>
      <c r="M477" s="46" t="s">
        <v>117</v>
      </c>
      <c r="N477" s="46">
        <v>2</v>
      </c>
      <c r="O477" s="46" t="s">
        <v>106</v>
      </c>
      <c r="P477" s="46"/>
    </row>
    <row r="478" spans="1:16">
      <c r="A478" s="37" t="s">
        <v>2049</v>
      </c>
      <c r="B478" s="37" t="s">
        <v>1838</v>
      </c>
      <c r="C478" s="37" t="s">
        <v>121</v>
      </c>
      <c r="D478" s="37" t="s">
        <v>184</v>
      </c>
      <c r="E478" s="37" t="s">
        <v>110</v>
      </c>
      <c r="F478" s="37" t="s">
        <v>263</v>
      </c>
      <c r="G478" s="37" t="s">
        <v>125</v>
      </c>
      <c r="H478" s="37" t="s">
        <v>91</v>
      </c>
      <c r="I478" s="37" t="s">
        <v>1338</v>
      </c>
      <c r="J478" s="37" t="s">
        <v>2050</v>
      </c>
      <c r="K478" s="37">
        <v>6</v>
      </c>
      <c r="L478" s="37" t="s">
        <v>1380</v>
      </c>
      <c r="M478" s="37" t="s">
        <v>163</v>
      </c>
      <c r="N478" s="37">
        <v>4</v>
      </c>
      <c r="O478" s="37" t="s">
        <v>106</v>
      </c>
      <c r="P478" s="37"/>
    </row>
    <row r="479" spans="1:16">
      <c r="A479" s="46" t="s">
        <v>2051</v>
      </c>
      <c r="B479" s="46" t="s">
        <v>2052</v>
      </c>
      <c r="C479" s="46" t="s">
        <v>566</v>
      </c>
      <c r="D479" s="46" t="s">
        <v>136</v>
      </c>
      <c r="E479" s="46" t="s">
        <v>157</v>
      </c>
      <c r="F479" s="46" t="s">
        <v>186</v>
      </c>
      <c r="G479" s="46" t="s">
        <v>346</v>
      </c>
      <c r="H479" s="46" t="s">
        <v>113</v>
      </c>
      <c r="I479" s="46" t="s">
        <v>2053</v>
      </c>
      <c r="J479" s="46" t="s">
        <v>2054</v>
      </c>
      <c r="K479" s="46">
        <v>6</v>
      </c>
      <c r="L479" s="46" t="s">
        <v>2055</v>
      </c>
      <c r="M479" s="46" t="s">
        <v>72</v>
      </c>
      <c r="N479" s="46">
        <v>5</v>
      </c>
      <c r="O479" s="46" t="s">
        <v>152</v>
      </c>
      <c r="P479" s="46"/>
    </row>
    <row r="480" spans="1:16">
      <c r="A480" s="37" t="s">
        <v>2056</v>
      </c>
      <c r="B480" s="37" t="s">
        <v>2057</v>
      </c>
      <c r="C480" s="37" t="s">
        <v>174</v>
      </c>
      <c r="D480" s="37" t="s">
        <v>213</v>
      </c>
      <c r="E480" s="37" t="s">
        <v>99</v>
      </c>
      <c r="F480" s="37" t="s">
        <v>158</v>
      </c>
      <c r="G480" s="37" t="s">
        <v>197</v>
      </c>
      <c r="H480" s="37" t="s">
        <v>90</v>
      </c>
      <c r="I480" s="37" t="s">
        <v>577</v>
      </c>
      <c r="J480" s="37" t="s">
        <v>2058</v>
      </c>
      <c r="K480" s="37">
        <v>4</v>
      </c>
      <c r="L480" s="37" t="s">
        <v>2059</v>
      </c>
      <c r="M480" s="37" t="s">
        <v>200</v>
      </c>
      <c r="N480" s="37">
        <v>1</v>
      </c>
      <c r="O480" s="37" t="s">
        <v>79</v>
      </c>
      <c r="P480" s="37"/>
    </row>
    <row r="481" spans="1:16">
      <c r="A481" s="46" t="s">
        <v>2060</v>
      </c>
      <c r="B481" s="46" t="s">
        <v>1072</v>
      </c>
      <c r="C481" s="46" t="s">
        <v>307</v>
      </c>
      <c r="D481" s="46" t="s">
        <v>919</v>
      </c>
      <c r="E481" s="46" t="s">
        <v>157</v>
      </c>
      <c r="F481" s="46" t="s">
        <v>111</v>
      </c>
      <c r="G481" s="46" t="s">
        <v>101</v>
      </c>
      <c r="H481" s="46" t="s">
        <v>278</v>
      </c>
      <c r="I481" s="46" t="s">
        <v>2061</v>
      </c>
      <c r="J481" s="46" t="s">
        <v>2062</v>
      </c>
      <c r="K481" s="46">
        <v>4</v>
      </c>
      <c r="L481" s="46" t="s">
        <v>2063</v>
      </c>
      <c r="M481" s="46" t="s">
        <v>200</v>
      </c>
      <c r="N481" s="46">
        <v>1</v>
      </c>
      <c r="O481" s="46" t="s">
        <v>152</v>
      </c>
      <c r="P481" s="46"/>
    </row>
    <row r="482" spans="1:16">
      <c r="A482" s="37" t="s">
        <v>2064</v>
      </c>
      <c r="B482" s="37" t="s">
        <v>933</v>
      </c>
      <c r="C482" s="37" t="s">
        <v>340</v>
      </c>
      <c r="D482" s="37" t="s">
        <v>184</v>
      </c>
      <c r="E482" s="37" t="s">
        <v>110</v>
      </c>
      <c r="F482" s="37" t="s">
        <v>205</v>
      </c>
      <c r="G482" s="37" t="s">
        <v>334</v>
      </c>
      <c r="H482" s="37" t="s">
        <v>215</v>
      </c>
      <c r="I482" s="37" t="s">
        <v>2065</v>
      </c>
      <c r="J482" s="37" t="s">
        <v>2066</v>
      </c>
      <c r="K482" s="37">
        <v>4</v>
      </c>
      <c r="L482" s="37" t="s">
        <v>433</v>
      </c>
      <c r="M482" s="37" t="s">
        <v>105</v>
      </c>
      <c r="N482" s="37">
        <v>4</v>
      </c>
      <c r="O482" s="37" t="s">
        <v>131</v>
      </c>
      <c r="P482" s="37"/>
    </row>
    <row r="483" spans="1:16">
      <c r="A483" s="46" t="s">
        <v>2067</v>
      </c>
      <c r="B483" s="46" t="s">
        <v>1089</v>
      </c>
      <c r="C483" s="46" t="s">
        <v>243</v>
      </c>
      <c r="D483" s="46" t="s">
        <v>270</v>
      </c>
      <c r="E483" s="46" t="s">
        <v>42</v>
      </c>
      <c r="F483" s="46" t="s">
        <v>271</v>
      </c>
      <c r="G483" s="46" t="s">
        <v>51</v>
      </c>
      <c r="H483" s="46" t="s">
        <v>54</v>
      </c>
      <c r="I483" s="46" t="s">
        <v>2068</v>
      </c>
      <c r="J483" s="46" t="s">
        <v>2069</v>
      </c>
      <c r="K483" s="46">
        <v>4</v>
      </c>
      <c r="L483" s="46" t="s">
        <v>1450</v>
      </c>
      <c r="M483" s="46" t="s">
        <v>117</v>
      </c>
      <c r="N483" s="46">
        <v>4</v>
      </c>
      <c r="O483" s="46" t="s">
        <v>191</v>
      </c>
      <c r="P483" s="46"/>
    </row>
    <row r="484" spans="1:16">
      <c r="A484" s="37" t="s">
        <v>2070</v>
      </c>
      <c r="B484" s="37" t="s">
        <v>1552</v>
      </c>
      <c r="C484" s="37" t="s">
        <v>54</v>
      </c>
      <c r="D484" s="37" t="s">
        <v>352</v>
      </c>
      <c r="E484" s="37" t="s">
        <v>110</v>
      </c>
      <c r="F484" s="37" t="s">
        <v>360</v>
      </c>
      <c r="G484" s="37" t="s">
        <v>139</v>
      </c>
      <c r="H484" s="37" t="s">
        <v>215</v>
      </c>
      <c r="I484" s="37" t="s">
        <v>2071</v>
      </c>
      <c r="J484" s="37" t="s">
        <v>2072</v>
      </c>
      <c r="K484" s="37">
        <v>6</v>
      </c>
      <c r="L484" s="37"/>
      <c r="M484" s="37" t="s">
        <v>2073</v>
      </c>
      <c r="N484" s="37"/>
      <c r="O484" s="37" t="s">
        <v>106</v>
      </c>
      <c r="P484" s="37"/>
    </row>
    <row r="485" spans="1:16">
      <c r="A485" s="46" t="s">
        <v>2074</v>
      </c>
      <c r="B485" s="46" t="s">
        <v>1072</v>
      </c>
      <c r="C485" s="46" t="s">
        <v>243</v>
      </c>
      <c r="D485" s="46" t="s">
        <v>333</v>
      </c>
      <c r="E485" s="46" t="s">
        <v>244</v>
      </c>
      <c r="F485" s="46" t="s">
        <v>582</v>
      </c>
      <c r="G485" s="46" t="s">
        <v>89</v>
      </c>
      <c r="H485" s="46" t="s">
        <v>187</v>
      </c>
      <c r="I485" s="46" t="s">
        <v>2075</v>
      </c>
      <c r="J485" s="46" t="s">
        <v>767</v>
      </c>
      <c r="K485" s="46">
        <v>4</v>
      </c>
      <c r="L485" s="46" t="s">
        <v>1550</v>
      </c>
      <c r="M485" s="46" t="s">
        <v>72</v>
      </c>
      <c r="N485" s="46">
        <v>4</v>
      </c>
      <c r="O485" s="46" t="s">
        <v>106</v>
      </c>
      <c r="P485" s="46"/>
    </row>
    <row r="486" spans="1:16">
      <c r="A486" s="37" t="s">
        <v>2076</v>
      </c>
      <c r="B486" s="37" t="s">
        <v>1351</v>
      </c>
      <c r="C486" s="37" t="s">
        <v>424</v>
      </c>
      <c r="D486" s="37" t="s">
        <v>98</v>
      </c>
      <c r="E486" s="37" t="s">
        <v>176</v>
      </c>
      <c r="F486" s="37" t="s">
        <v>158</v>
      </c>
      <c r="G486" s="37" t="s">
        <v>346</v>
      </c>
      <c r="H486" s="37" t="s">
        <v>113</v>
      </c>
      <c r="I486" s="37" t="s">
        <v>1326</v>
      </c>
      <c r="J486" s="37" t="s">
        <v>2077</v>
      </c>
      <c r="K486" s="37">
        <v>8</v>
      </c>
      <c r="L486" s="37" t="s">
        <v>940</v>
      </c>
      <c r="M486" s="37" t="s">
        <v>143</v>
      </c>
      <c r="N486" s="37">
        <v>3</v>
      </c>
      <c r="O486" s="37" t="s">
        <v>286</v>
      </c>
      <c r="P486" s="37"/>
    </row>
    <row r="487" spans="1:16">
      <c r="A487" s="46" t="s">
        <v>2078</v>
      </c>
      <c r="B487" s="46" t="s">
        <v>343</v>
      </c>
      <c r="C487" s="46" t="s">
        <v>174</v>
      </c>
      <c r="D487" s="46" t="s">
        <v>194</v>
      </c>
      <c r="E487" s="46" t="s">
        <v>185</v>
      </c>
      <c r="F487" s="46" t="s">
        <v>47</v>
      </c>
      <c r="G487" s="46" t="s">
        <v>101</v>
      </c>
      <c r="H487" s="46" t="s">
        <v>278</v>
      </c>
      <c r="I487" s="46" t="s">
        <v>2079</v>
      </c>
      <c r="J487" s="46" t="s">
        <v>753</v>
      </c>
      <c r="K487" s="46">
        <v>4</v>
      </c>
      <c r="L487" s="46" t="s">
        <v>2080</v>
      </c>
      <c r="M487" s="46" t="s">
        <v>219</v>
      </c>
      <c r="N487" s="46">
        <v>4</v>
      </c>
      <c r="O487" s="46" t="s">
        <v>191</v>
      </c>
      <c r="P487" s="46"/>
    </row>
    <row r="488" spans="1:16">
      <c r="A488" s="37" t="s">
        <v>2081</v>
      </c>
      <c r="B488" s="37" t="s">
        <v>1306</v>
      </c>
      <c r="C488" s="37" t="s">
        <v>121</v>
      </c>
      <c r="D488" s="37" t="s">
        <v>312</v>
      </c>
      <c r="E488" s="37" t="s">
        <v>99</v>
      </c>
      <c r="F488" s="37" t="s">
        <v>167</v>
      </c>
      <c r="G488" s="37" t="s">
        <v>51</v>
      </c>
      <c r="H488" s="37" t="s">
        <v>90</v>
      </c>
      <c r="I488" s="37" t="s">
        <v>2082</v>
      </c>
      <c r="J488" s="37" t="s">
        <v>2083</v>
      </c>
      <c r="K488" s="37">
        <v>4</v>
      </c>
      <c r="L488" s="37" t="s">
        <v>1309</v>
      </c>
      <c r="M488" s="37" t="s">
        <v>105</v>
      </c>
      <c r="N488" s="37">
        <v>2</v>
      </c>
      <c r="O488" s="37" t="s">
        <v>79</v>
      </c>
      <c r="P488" s="37"/>
    </row>
    <row r="489" spans="1:16">
      <c r="A489" s="46" t="s">
        <v>2084</v>
      </c>
      <c r="B489" s="46" t="s">
        <v>383</v>
      </c>
      <c r="C489" s="46" t="s">
        <v>340</v>
      </c>
      <c r="D489" s="46" t="s">
        <v>919</v>
      </c>
      <c r="E489" s="46" t="s">
        <v>123</v>
      </c>
      <c r="F489" s="46" t="s">
        <v>498</v>
      </c>
      <c r="G489" s="46" t="s">
        <v>197</v>
      </c>
      <c r="H489" s="46" t="s">
        <v>54</v>
      </c>
      <c r="I489" s="46" t="s">
        <v>2085</v>
      </c>
      <c r="J489" s="46" t="s">
        <v>1467</v>
      </c>
      <c r="K489" s="46">
        <v>4</v>
      </c>
      <c r="L489" s="46" t="s">
        <v>1064</v>
      </c>
      <c r="M489" s="46" t="s">
        <v>172</v>
      </c>
      <c r="N489" s="46">
        <v>4</v>
      </c>
      <c r="O489" s="46" t="s">
        <v>286</v>
      </c>
      <c r="P489" s="46"/>
    </row>
    <row r="490" spans="1:16">
      <c r="A490" s="37" t="s">
        <v>2086</v>
      </c>
      <c r="B490" s="37" t="s">
        <v>2087</v>
      </c>
      <c r="C490" s="37" t="s">
        <v>93</v>
      </c>
      <c r="D490" s="37" t="s">
        <v>98</v>
      </c>
      <c r="E490" s="37" t="s">
        <v>185</v>
      </c>
      <c r="F490" s="37" t="s">
        <v>111</v>
      </c>
      <c r="G490" s="37" t="s">
        <v>101</v>
      </c>
      <c r="H490" s="37" t="s">
        <v>187</v>
      </c>
      <c r="I490" s="37" t="s">
        <v>1472</v>
      </c>
      <c r="J490" s="37" t="s">
        <v>2088</v>
      </c>
      <c r="K490" s="37">
        <v>4</v>
      </c>
      <c r="L490" s="37" t="s">
        <v>450</v>
      </c>
      <c r="M490" s="37" t="s">
        <v>219</v>
      </c>
      <c r="N490" s="37">
        <v>4</v>
      </c>
      <c r="O490" s="37" t="s">
        <v>106</v>
      </c>
      <c r="P490" s="37"/>
    </row>
    <row r="491" spans="1:16">
      <c r="A491" s="46" t="s">
        <v>2089</v>
      </c>
      <c r="B491" s="46" t="s">
        <v>1158</v>
      </c>
      <c r="C491" s="46" t="s">
        <v>54</v>
      </c>
      <c r="D491" s="46" t="s">
        <v>544</v>
      </c>
      <c r="E491" s="46" t="s">
        <v>157</v>
      </c>
      <c r="F491" s="46" t="s">
        <v>360</v>
      </c>
      <c r="G491" s="46" t="s">
        <v>346</v>
      </c>
      <c r="H491" s="46" t="s">
        <v>113</v>
      </c>
      <c r="I491" s="46" t="s">
        <v>2090</v>
      </c>
      <c r="J491" s="46" t="s">
        <v>2091</v>
      </c>
      <c r="K491" s="46">
        <v>6</v>
      </c>
      <c r="L491" s="46" t="s">
        <v>2092</v>
      </c>
      <c r="M491" s="46" t="s">
        <v>219</v>
      </c>
      <c r="N491" s="46">
        <v>3</v>
      </c>
      <c r="O491" s="46" t="s">
        <v>106</v>
      </c>
      <c r="P491" s="46"/>
    </row>
    <row r="492" spans="1:16">
      <c r="A492" s="37" t="s">
        <v>2093</v>
      </c>
      <c r="B492" s="37" t="s">
        <v>1337</v>
      </c>
      <c r="C492" s="37" t="s">
        <v>566</v>
      </c>
      <c r="D492" s="37" t="s">
        <v>156</v>
      </c>
      <c r="E492" s="37" t="s">
        <v>110</v>
      </c>
      <c r="F492" s="37" t="s">
        <v>277</v>
      </c>
      <c r="G492" s="37" t="s">
        <v>346</v>
      </c>
      <c r="H492" s="37" t="s">
        <v>354</v>
      </c>
      <c r="I492" s="37" t="s">
        <v>2094</v>
      </c>
      <c r="J492" s="37" t="s">
        <v>1785</v>
      </c>
      <c r="K492" s="37">
        <v>6</v>
      </c>
      <c r="L492" s="37" t="s">
        <v>805</v>
      </c>
      <c r="M492" s="37" t="s">
        <v>172</v>
      </c>
      <c r="N492" s="37">
        <v>1</v>
      </c>
      <c r="O492" s="37" t="s">
        <v>106</v>
      </c>
      <c r="P492" s="37"/>
    </row>
    <row r="493" spans="1:16">
      <c r="A493" s="46" t="s">
        <v>2095</v>
      </c>
      <c r="B493" s="46" t="s">
        <v>1739</v>
      </c>
      <c r="C493" s="46" t="s">
        <v>32</v>
      </c>
      <c r="D493" s="46" t="s">
        <v>98</v>
      </c>
      <c r="E493" s="46" t="s">
        <v>345</v>
      </c>
      <c r="F493" s="46" t="s">
        <v>283</v>
      </c>
      <c r="G493" s="46" t="s">
        <v>470</v>
      </c>
      <c r="H493" s="46" t="s">
        <v>294</v>
      </c>
      <c r="I493" s="46" t="s">
        <v>1557</v>
      </c>
      <c r="J493" s="46" t="s">
        <v>2096</v>
      </c>
      <c r="K493" s="46">
        <v>6</v>
      </c>
      <c r="L493" s="46" t="s">
        <v>1074</v>
      </c>
      <c r="M493" s="46" t="s">
        <v>200</v>
      </c>
      <c r="N493" s="46">
        <v>4</v>
      </c>
      <c r="O493" s="46" t="s">
        <v>79</v>
      </c>
      <c r="P493" s="46"/>
    </row>
    <row r="494" spans="1:16">
      <c r="A494" s="37" t="s">
        <v>2097</v>
      </c>
      <c r="B494" s="37" t="s">
        <v>410</v>
      </c>
      <c r="C494" s="37" t="s">
        <v>97</v>
      </c>
      <c r="D494" s="37" t="s">
        <v>204</v>
      </c>
      <c r="E494" s="37" t="s">
        <v>195</v>
      </c>
      <c r="F494" s="37" t="s">
        <v>263</v>
      </c>
      <c r="G494" s="37" t="s">
        <v>51</v>
      </c>
      <c r="H494" s="37" t="s">
        <v>327</v>
      </c>
      <c r="I494" s="37" t="s">
        <v>824</v>
      </c>
      <c r="J494" s="37" t="s">
        <v>530</v>
      </c>
      <c r="K494" s="37">
        <v>6</v>
      </c>
      <c r="L494" s="37" t="s">
        <v>750</v>
      </c>
      <c r="M494" s="37" t="s">
        <v>163</v>
      </c>
      <c r="N494" s="37">
        <v>4</v>
      </c>
      <c r="O494" s="37" t="s">
        <v>118</v>
      </c>
      <c r="P494" s="37"/>
    </row>
    <row r="495" spans="1:16">
      <c r="A495" s="46" t="s">
        <v>2098</v>
      </c>
      <c r="B495" s="46" t="s">
        <v>725</v>
      </c>
      <c r="C495" s="46" t="s">
        <v>340</v>
      </c>
      <c r="D495" s="46" t="s">
        <v>122</v>
      </c>
      <c r="E495" s="46" t="s">
        <v>345</v>
      </c>
      <c r="F495" s="46" t="s">
        <v>301</v>
      </c>
      <c r="G495" s="46" t="s">
        <v>470</v>
      </c>
      <c r="H495" s="46" t="s">
        <v>91</v>
      </c>
      <c r="I495" s="46" t="s">
        <v>554</v>
      </c>
      <c r="J495" s="46" t="s">
        <v>2099</v>
      </c>
      <c r="K495" s="46">
        <v>6</v>
      </c>
      <c r="L495" s="46" t="s">
        <v>218</v>
      </c>
      <c r="M495" s="46" t="s">
        <v>163</v>
      </c>
      <c r="N495" s="46">
        <v>5</v>
      </c>
      <c r="O495" s="46" t="s">
        <v>286</v>
      </c>
      <c r="P495" s="46"/>
    </row>
    <row r="496" spans="1:16">
      <c r="A496" s="37" t="s">
        <v>2100</v>
      </c>
      <c r="B496" s="37" t="s">
        <v>2101</v>
      </c>
      <c r="C496" s="37" t="s">
        <v>203</v>
      </c>
      <c r="D496" s="37" t="s">
        <v>136</v>
      </c>
      <c r="E496" s="37" t="s">
        <v>157</v>
      </c>
      <c r="F496" s="37" t="s">
        <v>385</v>
      </c>
      <c r="G496" s="37" t="s">
        <v>418</v>
      </c>
      <c r="H496" s="37" t="s">
        <v>54</v>
      </c>
      <c r="I496" s="37" t="s">
        <v>2102</v>
      </c>
      <c r="J496" s="37" t="s">
        <v>2103</v>
      </c>
      <c r="K496" s="37">
        <v>6</v>
      </c>
      <c r="L496" s="37" t="s">
        <v>1269</v>
      </c>
      <c r="M496" s="37" t="s">
        <v>172</v>
      </c>
      <c r="N496" s="37">
        <v>3</v>
      </c>
      <c r="O496" s="37" t="s">
        <v>181</v>
      </c>
      <c r="P496" s="37"/>
    </row>
    <row r="497" spans="1:16">
      <c r="A497" s="46" t="s">
        <v>2104</v>
      </c>
      <c r="B497" s="46" t="s">
        <v>1501</v>
      </c>
      <c r="C497" s="46" t="s">
        <v>203</v>
      </c>
      <c r="D497" s="46" t="s">
        <v>204</v>
      </c>
      <c r="E497" s="46" t="s">
        <v>137</v>
      </c>
      <c r="F497" s="46" t="s">
        <v>664</v>
      </c>
      <c r="G497" s="46" t="s">
        <v>401</v>
      </c>
      <c r="H497" s="46" t="s">
        <v>93</v>
      </c>
      <c r="I497" s="46" t="s">
        <v>2105</v>
      </c>
      <c r="J497" s="46" t="s">
        <v>2106</v>
      </c>
      <c r="K497" s="46">
        <v>8</v>
      </c>
      <c r="L497" s="46" t="s">
        <v>1509</v>
      </c>
      <c r="M497" s="46" t="s">
        <v>72</v>
      </c>
      <c r="N497" s="46">
        <v>4</v>
      </c>
      <c r="O497" s="46" t="s">
        <v>152</v>
      </c>
      <c r="P497" s="46"/>
    </row>
    <row r="498" spans="1:16">
      <c r="A498" s="37" t="s">
        <v>2107</v>
      </c>
      <c r="B498" s="37" t="s">
        <v>1061</v>
      </c>
      <c r="C498" s="37" t="s">
        <v>90</v>
      </c>
      <c r="D498" s="37" t="s">
        <v>333</v>
      </c>
      <c r="E498" s="37" t="s">
        <v>195</v>
      </c>
      <c r="F498" s="37" t="s">
        <v>385</v>
      </c>
      <c r="G498" s="37" t="s">
        <v>334</v>
      </c>
      <c r="H498" s="37" t="s">
        <v>215</v>
      </c>
      <c r="I498" s="37" t="s">
        <v>2108</v>
      </c>
      <c r="J498" s="37" t="s">
        <v>2109</v>
      </c>
      <c r="K498" s="37">
        <v>8</v>
      </c>
      <c r="L498" s="37" t="s">
        <v>2110</v>
      </c>
      <c r="M498" s="37" t="s">
        <v>163</v>
      </c>
      <c r="N498" s="37">
        <v>4</v>
      </c>
      <c r="O498" s="37" t="s">
        <v>118</v>
      </c>
      <c r="P498" s="37"/>
    </row>
    <row r="499" spans="1:16">
      <c r="A499" s="46" t="s">
        <v>2111</v>
      </c>
      <c r="B499" s="46" t="s">
        <v>2112</v>
      </c>
      <c r="C499" s="46" t="s">
        <v>251</v>
      </c>
      <c r="D499" s="46" t="s">
        <v>122</v>
      </c>
      <c r="E499" s="46" t="s">
        <v>224</v>
      </c>
      <c r="F499" s="46" t="s">
        <v>452</v>
      </c>
      <c r="G499" s="46" t="s">
        <v>168</v>
      </c>
      <c r="H499" s="46" t="s">
        <v>88</v>
      </c>
      <c r="I499" s="46" t="s">
        <v>2113</v>
      </c>
      <c r="J499" s="46" t="s">
        <v>2114</v>
      </c>
      <c r="K499" s="46">
        <v>4</v>
      </c>
      <c r="L499" s="46" t="s">
        <v>1085</v>
      </c>
      <c r="M499" s="46" t="s">
        <v>105</v>
      </c>
      <c r="N499" s="46">
        <v>4</v>
      </c>
      <c r="O499" s="46" t="s">
        <v>191</v>
      </c>
      <c r="P499" s="46"/>
    </row>
    <row r="500" spans="1:16">
      <c r="A500" s="37" t="s">
        <v>2115</v>
      </c>
      <c r="B500" s="37" t="s">
        <v>1322</v>
      </c>
      <c r="C500" s="37" t="s">
        <v>109</v>
      </c>
      <c r="D500" s="37" t="s">
        <v>184</v>
      </c>
      <c r="E500" s="37" t="s">
        <v>123</v>
      </c>
      <c r="F500" s="37" t="s">
        <v>186</v>
      </c>
      <c r="G500" s="37" t="s">
        <v>168</v>
      </c>
      <c r="H500" s="37" t="s">
        <v>206</v>
      </c>
      <c r="I500" s="37" t="s">
        <v>2116</v>
      </c>
      <c r="J500" s="37" t="s">
        <v>2117</v>
      </c>
      <c r="K500" s="37">
        <v>2</v>
      </c>
      <c r="L500" s="37" t="s">
        <v>309</v>
      </c>
      <c r="M500" s="37" t="s">
        <v>143</v>
      </c>
      <c r="N500" s="37">
        <v>1</v>
      </c>
      <c r="O500" s="37" t="s">
        <v>152</v>
      </c>
      <c r="P500" s="37"/>
    </row>
    <row r="501" spans="1:16">
      <c r="A501" s="46" t="s">
        <v>2118</v>
      </c>
      <c r="B501" s="46" t="s">
        <v>180</v>
      </c>
      <c r="C501" s="46" t="s">
        <v>54</v>
      </c>
      <c r="D501" s="46" t="s">
        <v>98</v>
      </c>
      <c r="E501" s="46" t="s">
        <v>244</v>
      </c>
      <c r="F501" s="46" t="s">
        <v>301</v>
      </c>
      <c r="G501" s="46" t="s">
        <v>92</v>
      </c>
      <c r="H501" s="46" t="s">
        <v>294</v>
      </c>
      <c r="I501" s="46" t="s">
        <v>2119</v>
      </c>
      <c r="J501" s="46" t="s">
        <v>2120</v>
      </c>
      <c r="K501" s="46">
        <v>4</v>
      </c>
      <c r="L501" s="46" t="s">
        <v>2121</v>
      </c>
      <c r="M501" s="46" t="s">
        <v>143</v>
      </c>
      <c r="N501" s="46">
        <v>2</v>
      </c>
      <c r="O501" s="46" t="s">
        <v>79</v>
      </c>
      <c r="P501" s="46"/>
    </row>
    <row r="502" spans="1:16">
      <c r="A502" s="37" t="s">
        <v>2122</v>
      </c>
      <c r="B502" s="37" t="s">
        <v>2123</v>
      </c>
      <c r="C502" s="37" t="s">
        <v>203</v>
      </c>
      <c r="D502" s="37" t="s">
        <v>175</v>
      </c>
      <c r="E502" s="37" t="s">
        <v>123</v>
      </c>
      <c r="F502" s="37" t="s">
        <v>214</v>
      </c>
      <c r="G502" s="37" t="s">
        <v>470</v>
      </c>
      <c r="H502" s="37" t="s">
        <v>294</v>
      </c>
      <c r="I502" s="37" t="s">
        <v>441</v>
      </c>
      <c r="J502" s="37" t="s">
        <v>2124</v>
      </c>
      <c r="K502" s="37">
        <v>4</v>
      </c>
      <c r="L502" s="37" t="s">
        <v>717</v>
      </c>
      <c r="M502" s="37" t="s">
        <v>219</v>
      </c>
      <c r="N502" s="37">
        <v>4</v>
      </c>
      <c r="O502" s="37" t="s">
        <v>181</v>
      </c>
      <c r="P502" s="37"/>
    </row>
    <row r="503" spans="1:16">
      <c r="A503" s="46" t="s">
        <v>2125</v>
      </c>
      <c r="B503" s="46" t="s">
        <v>959</v>
      </c>
      <c r="C503" s="46" t="s">
        <v>155</v>
      </c>
      <c r="D503" s="46" t="s">
        <v>184</v>
      </c>
      <c r="E503" s="46" t="s">
        <v>147</v>
      </c>
      <c r="F503" s="46" t="s">
        <v>177</v>
      </c>
      <c r="G503" s="46" t="s">
        <v>401</v>
      </c>
      <c r="H503" s="46" t="s">
        <v>90</v>
      </c>
      <c r="I503" s="46" t="s">
        <v>1090</v>
      </c>
      <c r="J503" s="46" t="s">
        <v>2126</v>
      </c>
      <c r="K503" s="46">
        <v>6</v>
      </c>
      <c r="L503" s="46" t="s">
        <v>2127</v>
      </c>
      <c r="M503" s="46" t="s">
        <v>163</v>
      </c>
      <c r="N503" s="46">
        <v>5</v>
      </c>
      <c r="O503" s="46" t="s">
        <v>106</v>
      </c>
      <c r="P503" s="46"/>
    </row>
    <row r="504" spans="1:16">
      <c r="A504" s="37" t="s">
        <v>2128</v>
      </c>
      <c r="B504" s="37" t="s">
        <v>1961</v>
      </c>
      <c r="C504" s="37" t="s">
        <v>109</v>
      </c>
      <c r="D504" s="37" t="s">
        <v>270</v>
      </c>
      <c r="E504" s="37" t="s">
        <v>176</v>
      </c>
      <c r="F504" s="37" t="s">
        <v>177</v>
      </c>
      <c r="G504" s="37" t="s">
        <v>334</v>
      </c>
      <c r="H504" s="37" t="s">
        <v>32</v>
      </c>
      <c r="I504" s="37" t="s">
        <v>824</v>
      </c>
      <c r="J504" s="37" t="s">
        <v>2129</v>
      </c>
      <c r="K504" s="37">
        <v>8</v>
      </c>
      <c r="L504" s="37" t="s">
        <v>495</v>
      </c>
      <c r="M504" s="37" t="s">
        <v>172</v>
      </c>
      <c r="N504" s="37">
        <v>2</v>
      </c>
      <c r="O504" s="37" t="s">
        <v>181</v>
      </c>
      <c r="P504" s="37"/>
    </row>
    <row r="505" spans="1:16">
      <c r="A505" s="46" t="s">
        <v>2130</v>
      </c>
      <c r="B505" s="46" t="s">
        <v>1424</v>
      </c>
      <c r="C505" s="46" t="s">
        <v>366</v>
      </c>
      <c r="D505" s="46" t="s">
        <v>367</v>
      </c>
      <c r="E505" s="46" t="s">
        <v>157</v>
      </c>
      <c r="F505" s="46" t="s">
        <v>214</v>
      </c>
      <c r="G505" s="46" t="s">
        <v>87</v>
      </c>
      <c r="H505" s="46" t="s">
        <v>113</v>
      </c>
      <c r="I505" s="46" t="s">
        <v>1780</v>
      </c>
      <c r="J505" s="46" t="s">
        <v>2131</v>
      </c>
      <c r="K505" s="46">
        <v>6</v>
      </c>
      <c r="L505" s="46" t="s">
        <v>2132</v>
      </c>
      <c r="M505" s="46" t="s">
        <v>219</v>
      </c>
      <c r="N505" s="46">
        <v>5</v>
      </c>
      <c r="O505" s="46" t="s">
        <v>131</v>
      </c>
      <c r="P505" s="46"/>
    </row>
    <row r="506" spans="1:16">
      <c r="A506" s="37" t="s">
        <v>2133</v>
      </c>
      <c r="B506" s="37" t="s">
        <v>359</v>
      </c>
      <c r="C506" s="37" t="s">
        <v>32</v>
      </c>
      <c r="D506" s="37" t="s">
        <v>98</v>
      </c>
      <c r="E506" s="37" t="s">
        <v>42</v>
      </c>
      <c r="F506" s="37" t="s">
        <v>664</v>
      </c>
      <c r="G506" s="37" t="s">
        <v>257</v>
      </c>
      <c r="H506" s="37" t="s">
        <v>278</v>
      </c>
      <c r="I506" s="37" t="s">
        <v>2134</v>
      </c>
      <c r="J506" s="37" t="s">
        <v>2135</v>
      </c>
      <c r="K506" s="37">
        <v>6</v>
      </c>
      <c r="L506" s="37" t="s">
        <v>1107</v>
      </c>
      <c r="M506" s="37" t="s">
        <v>219</v>
      </c>
      <c r="N506" s="37">
        <v>4</v>
      </c>
      <c r="O506" s="37" t="s">
        <v>118</v>
      </c>
      <c r="P506" s="37"/>
    </row>
    <row r="507" spans="1:16">
      <c r="A507" s="46" t="s">
        <v>2136</v>
      </c>
      <c r="B507" s="46" t="s">
        <v>2137</v>
      </c>
      <c r="C507" s="46" t="s">
        <v>243</v>
      </c>
      <c r="D507" s="46" t="s">
        <v>352</v>
      </c>
      <c r="E507" s="46" t="s">
        <v>195</v>
      </c>
      <c r="F507" s="46" t="s">
        <v>385</v>
      </c>
      <c r="G507" s="46" t="s">
        <v>159</v>
      </c>
      <c r="H507" s="46" t="s">
        <v>327</v>
      </c>
      <c r="I507" s="46" t="s">
        <v>2138</v>
      </c>
      <c r="J507" s="46" t="s">
        <v>2139</v>
      </c>
      <c r="K507" s="46">
        <v>6</v>
      </c>
      <c r="L507" s="46" t="s">
        <v>1152</v>
      </c>
      <c r="M507" s="46" t="s">
        <v>72</v>
      </c>
      <c r="N507" s="46">
        <v>3</v>
      </c>
      <c r="O507" s="46" t="s">
        <v>286</v>
      </c>
      <c r="P507" s="46"/>
    </row>
    <row r="508" spans="1:16">
      <c r="A508" s="37" t="s">
        <v>2140</v>
      </c>
      <c r="B508" s="37" t="s">
        <v>661</v>
      </c>
      <c r="C508" s="37" t="s">
        <v>90</v>
      </c>
      <c r="D508" s="37" t="s">
        <v>37</v>
      </c>
      <c r="E508" s="37" t="s">
        <v>42</v>
      </c>
      <c r="F508" s="37" t="s">
        <v>612</v>
      </c>
      <c r="G508" s="37" t="s">
        <v>168</v>
      </c>
      <c r="H508" s="37" t="s">
        <v>187</v>
      </c>
      <c r="I508" s="37" t="s">
        <v>2141</v>
      </c>
      <c r="J508" s="37" t="s">
        <v>2142</v>
      </c>
      <c r="K508" s="37">
        <v>6</v>
      </c>
      <c r="L508" s="37" t="s">
        <v>543</v>
      </c>
      <c r="M508" s="37" t="s">
        <v>143</v>
      </c>
      <c r="N508" s="37">
        <v>4</v>
      </c>
      <c r="O508" s="37" t="s">
        <v>181</v>
      </c>
      <c r="P508" s="37"/>
    </row>
    <row r="509" spans="1:16">
      <c r="A509" s="46" t="s">
        <v>2143</v>
      </c>
      <c r="B509" s="46" t="s">
        <v>250</v>
      </c>
      <c r="C509" s="46" t="s">
        <v>54</v>
      </c>
      <c r="D509" s="46" t="s">
        <v>367</v>
      </c>
      <c r="E509" s="46" t="s">
        <v>99</v>
      </c>
      <c r="F509" s="46" t="s">
        <v>612</v>
      </c>
      <c r="G509" s="46" t="s">
        <v>101</v>
      </c>
      <c r="H509" s="46" t="s">
        <v>206</v>
      </c>
      <c r="I509" s="46" t="s">
        <v>2144</v>
      </c>
      <c r="J509" s="46" t="s">
        <v>2145</v>
      </c>
      <c r="K509" s="46">
        <v>4</v>
      </c>
      <c r="L509" s="46" t="s">
        <v>729</v>
      </c>
      <c r="M509" s="46" t="s">
        <v>200</v>
      </c>
      <c r="N509" s="46">
        <v>4</v>
      </c>
      <c r="O509" s="46" t="s">
        <v>131</v>
      </c>
      <c r="P509" s="46"/>
    </row>
    <row r="510" spans="1:16">
      <c r="A510" s="37" t="s">
        <v>2146</v>
      </c>
      <c r="B510" s="37" t="s">
        <v>2147</v>
      </c>
      <c r="C510" s="37" t="s">
        <v>203</v>
      </c>
      <c r="D510" s="37" t="s">
        <v>98</v>
      </c>
      <c r="E510" s="37" t="s">
        <v>110</v>
      </c>
      <c r="F510" s="37" t="s">
        <v>186</v>
      </c>
      <c r="G510" s="37" t="s">
        <v>470</v>
      </c>
      <c r="H510" s="37" t="s">
        <v>396</v>
      </c>
      <c r="I510" s="37" t="s">
        <v>868</v>
      </c>
      <c r="J510" s="37" t="s">
        <v>2148</v>
      </c>
      <c r="K510" s="37">
        <v>6</v>
      </c>
      <c r="L510" s="37" t="s">
        <v>1626</v>
      </c>
      <c r="M510" s="37" t="s">
        <v>200</v>
      </c>
      <c r="N510" s="37">
        <v>4</v>
      </c>
      <c r="O510" s="37" t="s">
        <v>106</v>
      </c>
      <c r="P510" s="37"/>
    </row>
    <row r="511" spans="1:16">
      <c r="A511" s="46" t="s">
        <v>2149</v>
      </c>
      <c r="B511" s="46" t="s">
        <v>2150</v>
      </c>
      <c r="C511" s="46" t="s">
        <v>88</v>
      </c>
      <c r="D511" s="46" t="s">
        <v>122</v>
      </c>
      <c r="E511" s="46" t="s">
        <v>195</v>
      </c>
      <c r="F511" s="46" t="s">
        <v>277</v>
      </c>
      <c r="G511" s="46" t="s">
        <v>346</v>
      </c>
      <c r="H511" s="46" t="s">
        <v>32</v>
      </c>
      <c r="I511" s="46" t="s">
        <v>2151</v>
      </c>
      <c r="J511" s="46" t="s">
        <v>701</v>
      </c>
      <c r="K511" s="46">
        <v>8</v>
      </c>
      <c r="L511" s="46" t="s">
        <v>2152</v>
      </c>
      <c r="M511" s="46" t="s">
        <v>163</v>
      </c>
      <c r="N511" s="46">
        <v>3</v>
      </c>
      <c r="O511" s="46" t="s">
        <v>118</v>
      </c>
      <c r="P511" s="46"/>
    </row>
    <row r="512" spans="1:16">
      <c r="A512" s="37" t="s">
        <v>2153</v>
      </c>
      <c r="B512" s="37" t="s">
        <v>2154</v>
      </c>
      <c r="C512" s="37" t="s">
        <v>121</v>
      </c>
      <c r="D512" s="37" t="s">
        <v>194</v>
      </c>
      <c r="E512" s="37" t="s">
        <v>137</v>
      </c>
      <c r="F512" s="37" t="s">
        <v>425</v>
      </c>
      <c r="G512" s="37" t="s">
        <v>346</v>
      </c>
      <c r="H512" s="37" t="s">
        <v>113</v>
      </c>
      <c r="I512" s="37" t="s">
        <v>2155</v>
      </c>
      <c r="J512" s="37" t="s">
        <v>719</v>
      </c>
      <c r="K512" s="37">
        <v>6</v>
      </c>
      <c r="L512" s="37" t="s">
        <v>2156</v>
      </c>
      <c r="M512" s="37" t="s">
        <v>172</v>
      </c>
      <c r="N512" s="37">
        <v>1</v>
      </c>
      <c r="O512" s="37" t="s">
        <v>152</v>
      </c>
      <c r="P512" s="37"/>
    </row>
    <row r="513" spans="1:16">
      <c r="A513" s="46" t="s">
        <v>2157</v>
      </c>
      <c r="B513" s="46" t="s">
        <v>457</v>
      </c>
      <c r="C513" s="46" t="s">
        <v>366</v>
      </c>
      <c r="D513" s="46" t="s">
        <v>223</v>
      </c>
      <c r="E513" s="46" t="s">
        <v>185</v>
      </c>
      <c r="F513" s="46" t="s">
        <v>111</v>
      </c>
      <c r="G513" s="46" t="s">
        <v>197</v>
      </c>
      <c r="H513" s="46" t="s">
        <v>327</v>
      </c>
      <c r="I513" s="46" t="s">
        <v>2158</v>
      </c>
      <c r="J513" s="46" t="s">
        <v>2159</v>
      </c>
      <c r="K513" s="46">
        <v>6</v>
      </c>
      <c r="L513" s="46" t="s">
        <v>2160</v>
      </c>
      <c r="M513" s="46" t="s">
        <v>143</v>
      </c>
      <c r="N513" s="46">
        <v>3</v>
      </c>
      <c r="O513" s="46" t="s">
        <v>131</v>
      </c>
      <c r="P513" s="46"/>
    </row>
    <row r="514" spans="1:16">
      <c r="A514" s="37" t="s">
        <v>2161</v>
      </c>
      <c r="B514" s="37" t="s">
        <v>1801</v>
      </c>
      <c r="C514" s="37" t="s">
        <v>93</v>
      </c>
      <c r="D514" s="37" t="s">
        <v>184</v>
      </c>
      <c r="E514" s="37" t="s">
        <v>110</v>
      </c>
      <c r="F514" s="37" t="s">
        <v>138</v>
      </c>
      <c r="G514" s="37" t="s">
        <v>101</v>
      </c>
      <c r="H514" s="37" t="s">
        <v>278</v>
      </c>
      <c r="I514" s="37" t="s">
        <v>1762</v>
      </c>
      <c r="J514" s="37" t="s">
        <v>2162</v>
      </c>
      <c r="K514" s="37">
        <v>4</v>
      </c>
      <c r="L514" s="37" t="s">
        <v>2020</v>
      </c>
      <c r="M514" s="37" t="s">
        <v>817</v>
      </c>
      <c r="N514" s="37"/>
      <c r="O514" s="37" t="s">
        <v>106</v>
      </c>
      <c r="P514" s="37" t="s">
        <v>818</v>
      </c>
    </row>
    <row r="515" spans="1:16">
      <c r="A515" s="46" t="s">
        <v>2163</v>
      </c>
      <c r="B515" s="46" t="s">
        <v>769</v>
      </c>
      <c r="C515" s="46" t="s">
        <v>374</v>
      </c>
      <c r="D515" s="46" t="s">
        <v>98</v>
      </c>
      <c r="E515" s="46" t="s">
        <v>110</v>
      </c>
      <c r="F515" s="46" t="s">
        <v>430</v>
      </c>
      <c r="G515" s="46" t="s">
        <v>257</v>
      </c>
      <c r="H515" s="46" t="s">
        <v>206</v>
      </c>
      <c r="I515" s="46" t="s">
        <v>1672</v>
      </c>
      <c r="J515" s="46" t="s">
        <v>2164</v>
      </c>
      <c r="K515" s="46">
        <v>6</v>
      </c>
      <c r="L515" s="46"/>
      <c r="M515" s="46" t="s">
        <v>1156</v>
      </c>
      <c r="N515" s="46"/>
      <c r="O515" s="46" t="s">
        <v>106</v>
      </c>
      <c r="P515" s="46"/>
    </row>
    <row r="516" spans="1:16">
      <c r="A516" s="37" t="s">
        <v>2165</v>
      </c>
      <c r="B516" s="37" t="s">
        <v>1349</v>
      </c>
      <c r="C516" s="37" t="s">
        <v>155</v>
      </c>
      <c r="D516" s="37" t="s">
        <v>213</v>
      </c>
      <c r="E516" s="37" t="s">
        <v>325</v>
      </c>
      <c r="F516" s="37" t="s">
        <v>263</v>
      </c>
      <c r="G516" s="37" t="s">
        <v>470</v>
      </c>
      <c r="H516" s="37" t="s">
        <v>396</v>
      </c>
      <c r="I516" s="37" t="s">
        <v>2166</v>
      </c>
      <c r="J516" s="37" t="s">
        <v>2167</v>
      </c>
      <c r="K516" s="37">
        <v>4</v>
      </c>
      <c r="L516" s="37" t="s">
        <v>995</v>
      </c>
      <c r="M516" s="37" t="s">
        <v>219</v>
      </c>
      <c r="N516" s="37">
        <v>5</v>
      </c>
      <c r="O516" s="37" t="s">
        <v>118</v>
      </c>
      <c r="P516" s="37"/>
    </row>
    <row r="517" spans="1:16">
      <c r="A517" s="46" t="s">
        <v>2168</v>
      </c>
      <c r="B517" s="46" t="s">
        <v>2169</v>
      </c>
      <c r="C517" s="46" t="s">
        <v>54</v>
      </c>
      <c r="D517" s="46" t="s">
        <v>184</v>
      </c>
      <c r="E517" s="46" t="s">
        <v>185</v>
      </c>
      <c r="F517" s="46" t="s">
        <v>111</v>
      </c>
      <c r="G517" s="46" t="s">
        <v>334</v>
      </c>
      <c r="H517" s="46" t="s">
        <v>215</v>
      </c>
      <c r="I517" s="46" t="s">
        <v>2170</v>
      </c>
      <c r="J517" s="46" t="s">
        <v>2171</v>
      </c>
      <c r="K517" s="46">
        <v>6</v>
      </c>
      <c r="L517" s="46" t="s">
        <v>1659</v>
      </c>
      <c r="M517" s="46" t="s">
        <v>72</v>
      </c>
      <c r="N517" s="46">
        <v>2</v>
      </c>
      <c r="O517" s="46" t="s">
        <v>131</v>
      </c>
      <c r="P517" s="46"/>
    </row>
    <row r="518" spans="1:16">
      <c r="A518" s="37" t="s">
        <v>2172</v>
      </c>
      <c r="B518" s="37" t="s">
        <v>180</v>
      </c>
      <c r="C518" s="37" t="s">
        <v>32</v>
      </c>
      <c r="D518" s="37" t="s">
        <v>156</v>
      </c>
      <c r="E518" s="37" t="s">
        <v>195</v>
      </c>
      <c r="F518" s="37" t="s">
        <v>301</v>
      </c>
      <c r="G518" s="37" t="s">
        <v>264</v>
      </c>
      <c r="H518" s="37" t="s">
        <v>88</v>
      </c>
      <c r="I518" s="37" t="s">
        <v>2173</v>
      </c>
      <c r="J518" s="37" t="s">
        <v>2174</v>
      </c>
      <c r="K518" s="37">
        <v>8</v>
      </c>
      <c r="L518" s="37" t="s">
        <v>518</v>
      </c>
      <c r="M518" s="37" t="s">
        <v>117</v>
      </c>
      <c r="N518" s="37">
        <v>3</v>
      </c>
      <c r="O518" s="37" t="s">
        <v>131</v>
      </c>
      <c r="P518" s="37"/>
    </row>
    <row r="519" spans="1:16">
      <c r="A519" s="46" t="s">
        <v>2175</v>
      </c>
      <c r="B519" s="46" t="s">
        <v>108</v>
      </c>
      <c r="C519" s="46" t="s">
        <v>424</v>
      </c>
      <c r="D519" s="46" t="s">
        <v>544</v>
      </c>
      <c r="E519" s="46" t="s">
        <v>440</v>
      </c>
      <c r="F519" s="46" t="s">
        <v>100</v>
      </c>
      <c r="G519" s="46" t="s">
        <v>159</v>
      </c>
      <c r="H519" s="46" t="s">
        <v>54</v>
      </c>
      <c r="I519" s="46" t="s">
        <v>2176</v>
      </c>
      <c r="J519" s="46" t="s">
        <v>432</v>
      </c>
      <c r="K519" s="46">
        <v>6</v>
      </c>
      <c r="L519" s="46" t="s">
        <v>2177</v>
      </c>
      <c r="M519" s="46" t="s">
        <v>219</v>
      </c>
      <c r="N519" s="46">
        <v>4</v>
      </c>
      <c r="O519" s="46" t="s">
        <v>106</v>
      </c>
      <c r="P519" s="46"/>
    </row>
    <row r="520" spans="1:16">
      <c r="A520" s="37" t="s">
        <v>2178</v>
      </c>
      <c r="B520" s="37" t="s">
        <v>2179</v>
      </c>
      <c r="C520" s="37" t="s">
        <v>155</v>
      </c>
      <c r="D520" s="37" t="s">
        <v>312</v>
      </c>
      <c r="E520" s="37" t="s">
        <v>137</v>
      </c>
      <c r="F520" s="37" t="s">
        <v>205</v>
      </c>
      <c r="G520" s="37" t="s">
        <v>125</v>
      </c>
      <c r="H520" s="37" t="s">
        <v>294</v>
      </c>
      <c r="I520" s="37" t="s">
        <v>2180</v>
      </c>
      <c r="J520" s="37" t="s">
        <v>2181</v>
      </c>
      <c r="K520" s="37">
        <v>8</v>
      </c>
      <c r="L520" s="37" t="s">
        <v>2182</v>
      </c>
      <c r="M520" s="37" t="s">
        <v>72</v>
      </c>
      <c r="N520" s="37">
        <v>2</v>
      </c>
      <c r="O520" s="37" t="s">
        <v>106</v>
      </c>
      <c r="P520" s="37"/>
    </row>
    <row r="521" spans="1:16">
      <c r="A521" s="46" t="s">
        <v>2183</v>
      </c>
      <c r="B521" s="46" t="s">
        <v>1552</v>
      </c>
      <c r="C521" s="46" t="s">
        <v>251</v>
      </c>
      <c r="D521" s="46" t="s">
        <v>98</v>
      </c>
      <c r="E521" s="46" t="s">
        <v>99</v>
      </c>
      <c r="F521" s="46" t="s">
        <v>47</v>
      </c>
      <c r="G521" s="46" t="s">
        <v>334</v>
      </c>
      <c r="H521" s="46" t="s">
        <v>354</v>
      </c>
      <c r="I521" s="46" t="s">
        <v>1315</v>
      </c>
      <c r="J521" s="46" t="s">
        <v>530</v>
      </c>
      <c r="K521" s="46">
        <v>2</v>
      </c>
      <c r="L521" s="46" t="s">
        <v>585</v>
      </c>
      <c r="M521" s="46" t="s">
        <v>117</v>
      </c>
      <c r="N521" s="46">
        <v>5</v>
      </c>
      <c r="O521" s="46" t="s">
        <v>152</v>
      </c>
      <c r="P521" s="46"/>
    </row>
    <row r="522" spans="1:16">
      <c r="A522" s="37" t="s">
        <v>2184</v>
      </c>
      <c r="B522" s="37" t="s">
        <v>835</v>
      </c>
      <c r="C522" s="37" t="s">
        <v>374</v>
      </c>
      <c r="D522" s="37" t="s">
        <v>213</v>
      </c>
      <c r="E522" s="37" t="s">
        <v>157</v>
      </c>
      <c r="F522" s="37" t="s">
        <v>283</v>
      </c>
      <c r="G522" s="37" t="s">
        <v>125</v>
      </c>
      <c r="H522" s="37" t="s">
        <v>126</v>
      </c>
      <c r="I522" s="37" t="s">
        <v>2170</v>
      </c>
      <c r="J522" s="37" t="s">
        <v>2185</v>
      </c>
      <c r="K522" s="37">
        <v>6</v>
      </c>
      <c r="L522" s="37" t="s">
        <v>393</v>
      </c>
      <c r="M522" s="37" t="s">
        <v>105</v>
      </c>
      <c r="N522" s="37">
        <v>3</v>
      </c>
      <c r="O522" s="37" t="s">
        <v>286</v>
      </c>
      <c r="P522" s="37"/>
    </row>
    <row r="523" spans="1:16">
      <c r="A523" s="46" t="s">
        <v>2186</v>
      </c>
      <c r="B523" s="46" t="s">
        <v>1420</v>
      </c>
      <c r="C523" s="46" t="s">
        <v>93</v>
      </c>
      <c r="D523" s="46" t="s">
        <v>367</v>
      </c>
      <c r="E523" s="46" t="s">
        <v>110</v>
      </c>
      <c r="F523" s="46" t="s">
        <v>425</v>
      </c>
      <c r="G523" s="46" t="s">
        <v>264</v>
      </c>
      <c r="H523" s="46" t="s">
        <v>88</v>
      </c>
      <c r="I523" s="46" t="s">
        <v>1176</v>
      </c>
      <c r="J523" s="46" t="s">
        <v>2187</v>
      </c>
      <c r="K523" s="46">
        <v>4</v>
      </c>
      <c r="L523" s="46" t="s">
        <v>685</v>
      </c>
      <c r="M523" s="46" t="s">
        <v>72</v>
      </c>
      <c r="N523" s="46">
        <v>4</v>
      </c>
      <c r="O523" s="46" t="s">
        <v>152</v>
      </c>
      <c r="P523" s="46"/>
    </row>
    <row r="524" spans="1:16">
      <c r="A524" s="37" t="s">
        <v>2188</v>
      </c>
      <c r="B524" s="37" t="s">
        <v>1190</v>
      </c>
      <c r="C524" s="37" t="s">
        <v>121</v>
      </c>
      <c r="D524" s="37" t="s">
        <v>204</v>
      </c>
      <c r="E524" s="37" t="s">
        <v>110</v>
      </c>
      <c r="F524" s="37" t="s">
        <v>158</v>
      </c>
      <c r="G524" s="37" t="s">
        <v>101</v>
      </c>
      <c r="H524" s="37" t="s">
        <v>187</v>
      </c>
      <c r="I524" s="37" t="s">
        <v>715</v>
      </c>
      <c r="J524" s="37" t="s">
        <v>2189</v>
      </c>
      <c r="K524" s="37">
        <v>6</v>
      </c>
      <c r="L524" s="37" t="s">
        <v>591</v>
      </c>
      <c r="M524" s="37" t="s">
        <v>200</v>
      </c>
      <c r="N524" s="37">
        <v>2</v>
      </c>
      <c r="O524" s="37" t="s">
        <v>181</v>
      </c>
      <c r="P524" s="37"/>
    </row>
    <row r="525" spans="1:16">
      <c r="A525" s="46" t="s">
        <v>2190</v>
      </c>
      <c r="B525" s="46" t="s">
        <v>1443</v>
      </c>
      <c r="C525" s="46" t="s">
        <v>633</v>
      </c>
      <c r="D525" s="46" t="s">
        <v>136</v>
      </c>
      <c r="E525" s="46" t="s">
        <v>110</v>
      </c>
      <c r="F525" s="46" t="s">
        <v>1701</v>
      </c>
      <c r="G525" s="46" t="s">
        <v>302</v>
      </c>
      <c r="H525" s="46" t="s">
        <v>294</v>
      </c>
      <c r="I525" s="46" t="s">
        <v>2191</v>
      </c>
      <c r="J525" s="46" t="s">
        <v>2192</v>
      </c>
      <c r="K525" s="46">
        <v>6</v>
      </c>
      <c r="L525" s="46" t="s">
        <v>1100</v>
      </c>
      <c r="M525" s="46" t="s">
        <v>143</v>
      </c>
      <c r="N525" s="46">
        <v>2</v>
      </c>
      <c r="O525" s="46" t="s">
        <v>286</v>
      </c>
      <c r="P525" s="46"/>
    </row>
    <row r="526" spans="1:16">
      <c r="A526" s="37" t="s">
        <v>2193</v>
      </c>
      <c r="B526" s="37" t="s">
        <v>1335</v>
      </c>
      <c r="C526" s="37" t="s">
        <v>307</v>
      </c>
      <c r="D526" s="37" t="s">
        <v>156</v>
      </c>
      <c r="E526" s="37" t="s">
        <v>195</v>
      </c>
      <c r="F526" s="37" t="s">
        <v>186</v>
      </c>
      <c r="G526" s="37" t="s">
        <v>168</v>
      </c>
      <c r="H526" s="37" t="s">
        <v>206</v>
      </c>
      <c r="I526" s="37" t="s">
        <v>2194</v>
      </c>
      <c r="J526" s="37" t="s">
        <v>1453</v>
      </c>
      <c r="K526" s="37">
        <v>6</v>
      </c>
      <c r="L526" s="37" t="s">
        <v>1269</v>
      </c>
      <c r="M526" s="37" t="s">
        <v>219</v>
      </c>
      <c r="N526" s="37">
        <v>5</v>
      </c>
      <c r="O526" s="37" t="s">
        <v>191</v>
      </c>
      <c r="P526" s="37"/>
    </row>
    <row r="527" spans="1:16">
      <c r="A527" s="46" t="s">
        <v>2195</v>
      </c>
      <c r="B527" s="46" t="s">
        <v>902</v>
      </c>
      <c r="C527" s="46" t="s">
        <v>32</v>
      </c>
      <c r="D527" s="46" t="s">
        <v>919</v>
      </c>
      <c r="E527" s="46" t="s">
        <v>99</v>
      </c>
      <c r="F527" s="46" t="s">
        <v>263</v>
      </c>
      <c r="G527" s="46" t="s">
        <v>87</v>
      </c>
      <c r="H527" s="46" t="s">
        <v>32</v>
      </c>
      <c r="I527" s="46" t="s">
        <v>1090</v>
      </c>
      <c r="J527" s="46" t="s">
        <v>614</v>
      </c>
      <c r="K527" s="46">
        <v>2</v>
      </c>
      <c r="L527" s="46" t="s">
        <v>363</v>
      </c>
      <c r="M527" s="46" t="s">
        <v>200</v>
      </c>
      <c r="N527" s="46">
        <v>3</v>
      </c>
      <c r="O527" s="46" t="s">
        <v>191</v>
      </c>
      <c r="P527" s="46"/>
    </row>
    <row r="528" spans="1:16">
      <c r="A528" s="37" t="s">
        <v>2196</v>
      </c>
      <c r="B528" s="37" t="s">
        <v>1380</v>
      </c>
      <c r="C528" s="37" t="s">
        <v>469</v>
      </c>
      <c r="D528" s="37" t="s">
        <v>98</v>
      </c>
      <c r="E528" s="37" t="s">
        <v>440</v>
      </c>
      <c r="F528" s="37" t="s">
        <v>326</v>
      </c>
      <c r="G528" s="37" t="s">
        <v>257</v>
      </c>
      <c r="H528" s="37" t="s">
        <v>278</v>
      </c>
      <c r="I528" s="37" t="s">
        <v>628</v>
      </c>
      <c r="J528" s="37" t="s">
        <v>2197</v>
      </c>
      <c r="K528" s="37">
        <v>8</v>
      </c>
      <c r="L528" s="37" t="s">
        <v>1261</v>
      </c>
      <c r="M528" s="37" t="s">
        <v>2041</v>
      </c>
      <c r="N528" s="37"/>
      <c r="O528" s="37" t="s">
        <v>131</v>
      </c>
      <c r="P528" s="37" t="s">
        <v>1478</v>
      </c>
    </row>
    <row r="529" spans="1:16">
      <c r="A529" s="46" t="s">
        <v>2198</v>
      </c>
      <c r="B529" s="46" t="s">
        <v>1087</v>
      </c>
      <c r="C529" s="46" t="s">
        <v>93</v>
      </c>
      <c r="D529" s="46" t="s">
        <v>156</v>
      </c>
      <c r="E529" s="46" t="s">
        <v>176</v>
      </c>
      <c r="F529" s="46" t="s">
        <v>319</v>
      </c>
      <c r="G529" s="46" t="s">
        <v>418</v>
      </c>
      <c r="H529" s="46" t="s">
        <v>93</v>
      </c>
      <c r="I529" s="46" t="s">
        <v>2199</v>
      </c>
      <c r="J529" s="46" t="s">
        <v>2200</v>
      </c>
      <c r="K529" s="46">
        <v>8</v>
      </c>
      <c r="L529" s="46" t="s">
        <v>318</v>
      </c>
      <c r="M529" s="46" t="s">
        <v>72</v>
      </c>
      <c r="N529" s="46">
        <v>5</v>
      </c>
      <c r="O529" s="46" t="s">
        <v>191</v>
      </c>
      <c r="P529" s="46"/>
    </row>
    <row r="530" spans="1:16">
      <c r="A530" s="37" t="s">
        <v>2201</v>
      </c>
      <c r="B530" s="37" t="s">
        <v>398</v>
      </c>
      <c r="C530" s="37" t="s">
        <v>93</v>
      </c>
      <c r="D530" s="37" t="s">
        <v>136</v>
      </c>
      <c r="E530" s="37" t="s">
        <v>185</v>
      </c>
      <c r="F530" s="37" t="s">
        <v>301</v>
      </c>
      <c r="G530" s="37" t="s">
        <v>51</v>
      </c>
      <c r="H530" s="37" t="s">
        <v>93</v>
      </c>
      <c r="I530" s="37" t="s">
        <v>2202</v>
      </c>
      <c r="J530" s="37" t="s">
        <v>2203</v>
      </c>
      <c r="K530" s="37">
        <v>6</v>
      </c>
      <c r="L530" s="37" t="s">
        <v>1729</v>
      </c>
      <c r="M530" s="37" t="s">
        <v>163</v>
      </c>
      <c r="N530" s="37">
        <v>1</v>
      </c>
      <c r="O530" s="37" t="s">
        <v>181</v>
      </c>
      <c r="P530" s="37"/>
    </row>
    <row r="531" spans="1:16">
      <c r="A531" s="46" t="s">
        <v>2204</v>
      </c>
      <c r="B531" s="46" t="s">
        <v>933</v>
      </c>
      <c r="C531" s="46" t="s">
        <v>203</v>
      </c>
      <c r="D531" s="46" t="s">
        <v>156</v>
      </c>
      <c r="E531" s="46" t="s">
        <v>440</v>
      </c>
      <c r="F531" s="46" t="s">
        <v>277</v>
      </c>
      <c r="G531" s="46" t="s">
        <v>264</v>
      </c>
      <c r="H531" s="46" t="s">
        <v>206</v>
      </c>
      <c r="I531" s="46" t="s">
        <v>792</v>
      </c>
      <c r="J531" s="46" t="s">
        <v>161</v>
      </c>
      <c r="K531" s="46">
        <v>6</v>
      </c>
      <c r="L531" s="46" t="s">
        <v>574</v>
      </c>
      <c r="M531" s="46" t="s">
        <v>172</v>
      </c>
      <c r="N531" s="46">
        <v>1</v>
      </c>
      <c r="O531" s="46" t="s">
        <v>118</v>
      </c>
      <c r="P531" s="46"/>
    </row>
    <row r="532" spans="1:16">
      <c r="A532" s="37" t="s">
        <v>2205</v>
      </c>
      <c r="B532" s="37" t="s">
        <v>2206</v>
      </c>
      <c r="C532" s="37" t="s">
        <v>212</v>
      </c>
      <c r="D532" s="37" t="s">
        <v>204</v>
      </c>
      <c r="E532" s="37" t="s">
        <v>224</v>
      </c>
      <c r="F532" s="37" t="s">
        <v>205</v>
      </c>
      <c r="G532" s="37" t="s">
        <v>257</v>
      </c>
      <c r="H532" s="37" t="s">
        <v>278</v>
      </c>
      <c r="I532" s="37" t="s">
        <v>2207</v>
      </c>
      <c r="J532" s="37" t="s">
        <v>2208</v>
      </c>
      <c r="K532" s="37">
        <v>2</v>
      </c>
      <c r="L532" s="37" t="s">
        <v>750</v>
      </c>
      <c r="M532" s="37" t="s">
        <v>337</v>
      </c>
      <c r="N532" s="37"/>
      <c r="O532" s="37" t="s">
        <v>181</v>
      </c>
      <c r="P532" s="37" t="s">
        <v>132</v>
      </c>
    </row>
    <row r="533" spans="1:16">
      <c r="A533" s="46" t="s">
        <v>2209</v>
      </c>
      <c r="B533" s="46" t="s">
        <v>154</v>
      </c>
      <c r="C533" s="46" t="s">
        <v>307</v>
      </c>
      <c r="D533" s="46" t="s">
        <v>223</v>
      </c>
      <c r="E533" s="46" t="s">
        <v>110</v>
      </c>
      <c r="F533" s="46" t="s">
        <v>138</v>
      </c>
      <c r="G533" s="46" t="s">
        <v>257</v>
      </c>
      <c r="H533" s="46" t="s">
        <v>206</v>
      </c>
      <c r="I533" s="46" t="s">
        <v>1057</v>
      </c>
      <c r="J533" s="46" t="s">
        <v>2210</v>
      </c>
      <c r="K533" s="46">
        <v>4</v>
      </c>
      <c r="L533" s="46" t="s">
        <v>867</v>
      </c>
      <c r="M533" s="46" t="s">
        <v>219</v>
      </c>
      <c r="N533" s="46">
        <v>3</v>
      </c>
      <c r="O533" s="46" t="s">
        <v>191</v>
      </c>
      <c r="P533" s="46"/>
    </row>
    <row r="534" spans="1:16">
      <c r="A534" s="37" t="s">
        <v>2211</v>
      </c>
      <c r="B534" s="37" t="s">
        <v>1443</v>
      </c>
      <c r="C534" s="37" t="s">
        <v>566</v>
      </c>
      <c r="D534" s="37" t="s">
        <v>122</v>
      </c>
      <c r="E534" s="37" t="s">
        <v>345</v>
      </c>
      <c r="F534" s="37" t="s">
        <v>231</v>
      </c>
      <c r="G534" s="37" t="s">
        <v>101</v>
      </c>
      <c r="H534" s="37" t="s">
        <v>206</v>
      </c>
      <c r="I534" s="37" t="s">
        <v>2212</v>
      </c>
      <c r="J534" s="37" t="s">
        <v>2213</v>
      </c>
      <c r="K534" s="37">
        <v>6</v>
      </c>
      <c r="L534" s="37" t="s">
        <v>2214</v>
      </c>
      <c r="M534" s="37" t="s">
        <v>72</v>
      </c>
      <c r="N534" s="37">
        <v>5</v>
      </c>
      <c r="O534" s="37" t="s">
        <v>106</v>
      </c>
      <c r="P534" s="37"/>
    </row>
    <row r="535" spans="1:16">
      <c r="A535" s="46" t="s">
        <v>2215</v>
      </c>
      <c r="B535" s="46" t="s">
        <v>1105</v>
      </c>
      <c r="C535" s="46" t="s">
        <v>97</v>
      </c>
      <c r="D535" s="46" t="s">
        <v>136</v>
      </c>
      <c r="E535" s="46" t="s">
        <v>99</v>
      </c>
      <c r="F535" s="46" t="s">
        <v>385</v>
      </c>
      <c r="G535" s="46" t="s">
        <v>257</v>
      </c>
      <c r="H535" s="46" t="s">
        <v>187</v>
      </c>
      <c r="I535" s="46" t="s">
        <v>2216</v>
      </c>
      <c r="J535" s="46" t="s">
        <v>2217</v>
      </c>
      <c r="K535" s="46">
        <v>4</v>
      </c>
      <c r="L535" s="46" t="s">
        <v>1952</v>
      </c>
      <c r="M535" s="46" t="s">
        <v>200</v>
      </c>
      <c r="N535" s="46">
        <v>3</v>
      </c>
      <c r="O535" s="46" t="s">
        <v>79</v>
      </c>
      <c r="P535" s="46"/>
    </row>
    <row r="536" spans="1:16">
      <c r="A536" s="37" t="s">
        <v>2218</v>
      </c>
      <c r="B536" s="37" t="s">
        <v>2219</v>
      </c>
      <c r="C536" s="37" t="s">
        <v>135</v>
      </c>
      <c r="D536" s="37" t="s">
        <v>230</v>
      </c>
      <c r="E536" s="37" t="s">
        <v>147</v>
      </c>
      <c r="F536" s="37" t="s">
        <v>158</v>
      </c>
      <c r="G536" s="37" t="s">
        <v>257</v>
      </c>
      <c r="H536" s="37" t="s">
        <v>88</v>
      </c>
      <c r="I536" s="37" t="s">
        <v>2220</v>
      </c>
      <c r="J536" s="37" t="s">
        <v>432</v>
      </c>
      <c r="K536" s="37">
        <v>6</v>
      </c>
      <c r="L536" s="37" t="s">
        <v>2221</v>
      </c>
      <c r="M536" s="37" t="s">
        <v>72</v>
      </c>
      <c r="N536" s="37">
        <v>2</v>
      </c>
      <c r="O536" s="37" t="s">
        <v>286</v>
      </c>
      <c r="P536" s="37"/>
    </row>
    <row r="537" spans="1:16">
      <c r="A537" s="46" t="s">
        <v>2222</v>
      </c>
      <c r="B537" s="46" t="s">
        <v>1707</v>
      </c>
      <c r="C537" s="46" t="s">
        <v>97</v>
      </c>
      <c r="D537" s="46" t="s">
        <v>136</v>
      </c>
      <c r="E537" s="46" t="s">
        <v>99</v>
      </c>
      <c r="F537" s="46" t="s">
        <v>263</v>
      </c>
      <c r="G537" s="46" t="s">
        <v>112</v>
      </c>
      <c r="H537" s="46" t="s">
        <v>32</v>
      </c>
      <c r="I537" s="46" t="s">
        <v>539</v>
      </c>
      <c r="J537" s="46" t="s">
        <v>2029</v>
      </c>
      <c r="K537" s="46">
        <v>4</v>
      </c>
      <c r="L537" s="46" t="s">
        <v>2223</v>
      </c>
      <c r="M537" s="46" t="s">
        <v>72</v>
      </c>
      <c r="N537" s="46">
        <v>1</v>
      </c>
      <c r="O537" s="46" t="s">
        <v>131</v>
      </c>
      <c r="P537" s="46"/>
    </row>
    <row r="538" spans="1:16">
      <c r="A538" s="37" t="s">
        <v>2224</v>
      </c>
      <c r="B538" s="37" t="s">
        <v>2225</v>
      </c>
      <c r="C538" s="37" t="s">
        <v>374</v>
      </c>
      <c r="D538" s="37" t="s">
        <v>312</v>
      </c>
      <c r="E538" s="37" t="s">
        <v>244</v>
      </c>
      <c r="F538" s="37" t="s">
        <v>138</v>
      </c>
      <c r="G538" s="37" t="s">
        <v>418</v>
      </c>
      <c r="H538" s="37" t="s">
        <v>54</v>
      </c>
      <c r="I538" s="37" t="s">
        <v>2226</v>
      </c>
      <c r="J538" s="37" t="s">
        <v>432</v>
      </c>
      <c r="K538" s="37">
        <v>2</v>
      </c>
      <c r="L538" s="37" t="s">
        <v>2137</v>
      </c>
      <c r="M538" s="37" t="s">
        <v>117</v>
      </c>
      <c r="N538" s="37">
        <v>5</v>
      </c>
      <c r="O538" s="37" t="s">
        <v>152</v>
      </c>
      <c r="P538" s="37"/>
    </row>
    <row r="539" spans="1:16">
      <c r="A539" s="46" t="s">
        <v>2227</v>
      </c>
      <c r="B539" s="46" t="s">
        <v>236</v>
      </c>
      <c r="C539" s="46" t="s">
        <v>174</v>
      </c>
      <c r="D539" s="46" t="s">
        <v>270</v>
      </c>
      <c r="E539" s="46" t="s">
        <v>157</v>
      </c>
      <c r="F539" s="46" t="s">
        <v>47</v>
      </c>
      <c r="G539" s="46" t="s">
        <v>334</v>
      </c>
      <c r="H539" s="46" t="s">
        <v>113</v>
      </c>
      <c r="I539" s="46" t="s">
        <v>2228</v>
      </c>
      <c r="J539" s="46" t="s">
        <v>2062</v>
      </c>
      <c r="K539" s="46">
        <v>6</v>
      </c>
      <c r="L539" s="46" t="s">
        <v>240</v>
      </c>
      <c r="M539" s="46" t="s">
        <v>624</v>
      </c>
      <c r="N539" s="46"/>
      <c r="O539" s="46" t="s">
        <v>131</v>
      </c>
      <c r="P539" s="46" t="s">
        <v>83</v>
      </c>
    </row>
    <row r="540" spans="1:16">
      <c r="A540" s="37" t="s">
        <v>2229</v>
      </c>
      <c r="B540" s="37" t="s">
        <v>1968</v>
      </c>
      <c r="C540" s="37" t="s">
        <v>91</v>
      </c>
      <c r="D540" s="37" t="s">
        <v>223</v>
      </c>
      <c r="E540" s="37" t="s">
        <v>147</v>
      </c>
      <c r="F540" s="37" t="s">
        <v>313</v>
      </c>
      <c r="G540" s="37" t="s">
        <v>87</v>
      </c>
      <c r="H540" s="37" t="s">
        <v>113</v>
      </c>
      <c r="I540" s="37" t="s">
        <v>1695</v>
      </c>
      <c r="J540" s="37" t="s">
        <v>1346</v>
      </c>
      <c r="K540" s="37">
        <v>8</v>
      </c>
      <c r="L540" s="37" t="s">
        <v>531</v>
      </c>
      <c r="M540" s="37" t="s">
        <v>105</v>
      </c>
      <c r="N540" s="37">
        <v>4</v>
      </c>
      <c r="O540" s="37" t="s">
        <v>106</v>
      </c>
      <c r="P540" s="37"/>
    </row>
    <row r="541" spans="1:16">
      <c r="A541" s="46" t="s">
        <v>2230</v>
      </c>
      <c r="B541" s="46" t="s">
        <v>897</v>
      </c>
      <c r="C541" s="46" t="s">
        <v>32</v>
      </c>
      <c r="D541" s="46" t="s">
        <v>184</v>
      </c>
      <c r="E541" s="46" t="s">
        <v>147</v>
      </c>
      <c r="F541" s="46" t="s">
        <v>214</v>
      </c>
      <c r="G541" s="46" t="s">
        <v>125</v>
      </c>
      <c r="H541" s="46" t="s">
        <v>396</v>
      </c>
      <c r="I541" s="46" t="s">
        <v>593</v>
      </c>
      <c r="J541" s="46" t="s">
        <v>2231</v>
      </c>
      <c r="K541" s="46">
        <v>8</v>
      </c>
      <c r="L541" s="46" t="s">
        <v>2232</v>
      </c>
      <c r="M541" s="46" t="s">
        <v>117</v>
      </c>
      <c r="N541" s="46">
        <v>3</v>
      </c>
      <c r="O541" s="46" t="s">
        <v>118</v>
      </c>
      <c r="P541" s="46"/>
    </row>
    <row r="542" spans="1:16">
      <c r="A542" s="37" t="s">
        <v>2233</v>
      </c>
      <c r="B542" s="37" t="s">
        <v>1456</v>
      </c>
      <c r="C542" s="37" t="s">
        <v>300</v>
      </c>
      <c r="D542" s="37" t="s">
        <v>156</v>
      </c>
      <c r="E542" s="37" t="s">
        <v>123</v>
      </c>
      <c r="F542" s="37" t="s">
        <v>368</v>
      </c>
      <c r="G542" s="37" t="s">
        <v>334</v>
      </c>
      <c r="H542" s="37" t="s">
        <v>215</v>
      </c>
      <c r="I542" s="37" t="s">
        <v>2234</v>
      </c>
      <c r="J542" s="37" t="s">
        <v>2235</v>
      </c>
      <c r="K542" s="37">
        <v>4</v>
      </c>
      <c r="L542" s="37" t="s">
        <v>357</v>
      </c>
      <c r="M542" s="37" t="s">
        <v>337</v>
      </c>
      <c r="N542" s="37"/>
      <c r="O542" s="37" t="s">
        <v>131</v>
      </c>
      <c r="P542" s="37" t="s">
        <v>132</v>
      </c>
    </row>
    <row r="543" spans="1:16">
      <c r="A543" s="46" t="s">
        <v>2236</v>
      </c>
      <c r="B543" s="46" t="s">
        <v>789</v>
      </c>
      <c r="C543" s="46" t="s">
        <v>222</v>
      </c>
      <c r="D543" s="46" t="s">
        <v>367</v>
      </c>
      <c r="E543" s="46" t="s">
        <v>42</v>
      </c>
      <c r="F543" s="46" t="s">
        <v>301</v>
      </c>
      <c r="G543" s="46" t="s">
        <v>139</v>
      </c>
      <c r="H543" s="46" t="s">
        <v>215</v>
      </c>
      <c r="I543" s="46" t="s">
        <v>2237</v>
      </c>
      <c r="J543" s="46" t="s">
        <v>2238</v>
      </c>
      <c r="K543" s="46">
        <v>6</v>
      </c>
      <c r="L543" s="46" t="s">
        <v>995</v>
      </c>
      <c r="M543" s="46" t="s">
        <v>105</v>
      </c>
      <c r="N543" s="46">
        <v>4</v>
      </c>
      <c r="O543" s="46" t="s">
        <v>131</v>
      </c>
      <c r="P543" s="46"/>
    </row>
    <row r="544" spans="1:16">
      <c r="A544" s="37" t="s">
        <v>2239</v>
      </c>
      <c r="B544" s="37" t="s">
        <v>2112</v>
      </c>
      <c r="C544" s="37" t="s">
        <v>243</v>
      </c>
      <c r="D544" s="37" t="s">
        <v>122</v>
      </c>
      <c r="E544" s="37" t="s">
        <v>325</v>
      </c>
      <c r="F544" s="37" t="s">
        <v>111</v>
      </c>
      <c r="G544" s="37" t="s">
        <v>89</v>
      </c>
      <c r="H544" s="37" t="s">
        <v>278</v>
      </c>
      <c r="I544" s="37" t="s">
        <v>2240</v>
      </c>
      <c r="J544" s="37" t="s">
        <v>2241</v>
      </c>
      <c r="K544" s="37">
        <v>4</v>
      </c>
      <c r="L544" s="37" t="s">
        <v>443</v>
      </c>
      <c r="M544" s="37" t="s">
        <v>105</v>
      </c>
      <c r="N544" s="37">
        <v>5</v>
      </c>
      <c r="O544" s="37" t="s">
        <v>181</v>
      </c>
      <c r="P544" s="37"/>
    </row>
    <row r="545" spans="1:16">
      <c r="A545" s="46" t="s">
        <v>2242</v>
      </c>
      <c r="B545" s="46" t="s">
        <v>2243</v>
      </c>
      <c r="C545" s="46" t="s">
        <v>424</v>
      </c>
      <c r="D545" s="46" t="s">
        <v>175</v>
      </c>
      <c r="E545" s="46" t="s">
        <v>157</v>
      </c>
      <c r="F545" s="46" t="s">
        <v>237</v>
      </c>
      <c r="G545" s="46" t="s">
        <v>112</v>
      </c>
      <c r="H545" s="46" t="s">
        <v>113</v>
      </c>
      <c r="I545" s="46" t="s">
        <v>2244</v>
      </c>
      <c r="J545" s="46" t="s">
        <v>2245</v>
      </c>
      <c r="K545" s="46">
        <v>6</v>
      </c>
      <c r="L545" s="46" t="s">
        <v>2246</v>
      </c>
      <c r="M545" s="46" t="s">
        <v>219</v>
      </c>
      <c r="N545" s="46">
        <v>4</v>
      </c>
      <c r="O545" s="46" t="s">
        <v>118</v>
      </c>
      <c r="P545" s="46"/>
    </row>
    <row r="546" spans="1:16">
      <c r="A546" s="37" t="s">
        <v>2247</v>
      </c>
      <c r="B546" s="37" t="s">
        <v>1353</v>
      </c>
      <c r="C546" s="37" t="s">
        <v>566</v>
      </c>
      <c r="D546" s="37" t="s">
        <v>37</v>
      </c>
      <c r="E546" s="37" t="s">
        <v>123</v>
      </c>
      <c r="F546" s="37" t="s">
        <v>158</v>
      </c>
      <c r="G546" s="37" t="s">
        <v>470</v>
      </c>
      <c r="H546" s="37" t="s">
        <v>294</v>
      </c>
      <c r="I546" s="37" t="s">
        <v>2248</v>
      </c>
      <c r="J546" s="37" t="s">
        <v>696</v>
      </c>
      <c r="K546" s="37">
        <v>4</v>
      </c>
      <c r="L546" s="37" t="s">
        <v>495</v>
      </c>
      <c r="M546" s="37" t="s">
        <v>105</v>
      </c>
      <c r="N546" s="37">
        <v>5</v>
      </c>
      <c r="O546" s="37" t="s">
        <v>106</v>
      </c>
      <c r="P546" s="37"/>
    </row>
    <row r="547" spans="1:16">
      <c r="A547" s="46" t="s">
        <v>2249</v>
      </c>
      <c r="B547" s="46" t="s">
        <v>1173</v>
      </c>
      <c r="C547" s="46" t="s">
        <v>251</v>
      </c>
      <c r="D547" s="46" t="s">
        <v>333</v>
      </c>
      <c r="E547" s="46" t="s">
        <v>176</v>
      </c>
      <c r="F547" s="46" t="s">
        <v>664</v>
      </c>
      <c r="G547" s="46" t="s">
        <v>257</v>
      </c>
      <c r="H547" s="46" t="s">
        <v>88</v>
      </c>
      <c r="I547" s="46" t="s">
        <v>2250</v>
      </c>
      <c r="J547" s="46" t="s">
        <v>2251</v>
      </c>
      <c r="K547" s="46">
        <v>8</v>
      </c>
      <c r="L547" s="46" t="s">
        <v>1028</v>
      </c>
      <c r="M547" s="46" t="s">
        <v>105</v>
      </c>
      <c r="N547" s="46">
        <v>5</v>
      </c>
      <c r="O547" s="46" t="s">
        <v>286</v>
      </c>
      <c r="P547" s="46"/>
    </row>
    <row r="548" spans="1:16">
      <c r="A548" s="37" t="s">
        <v>2252</v>
      </c>
      <c r="B548" s="37" t="s">
        <v>2156</v>
      </c>
      <c r="C548" s="37" t="s">
        <v>424</v>
      </c>
      <c r="D548" s="37" t="s">
        <v>204</v>
      </c>
      <c r="E548" s="37" t="s">
        <v>176</v>
      </c>
      <c r="F548" s="37"/>
      <c r="G548" s="37" t="s">
        <v>92</v>
      </c>
      <c r="H548" s="37" t="s">
        <v>91</v>
      </c>
      <c r="I548" s="37" t="s">
        <v>2253</v>
      </c>
      <c r="J548" s="37" t="s">
        <v>1792</v>
      </c>
      <c r="K548" s="37">
        <v>8</v>
      </c>
      <c r="L548" s="37" t="s">
        <v>729</v>
      </c>
      <c r="M548" s="37" t="s">
        <v>117</v>
      </c>
      <c r="N548" s="37">
        <v>4</v>
      </c>
      <c r="O548" s="37" t="s">
        <v>181</v>
      </c>
      <c r="P548" s="37"/>
    </row>
    <row r="549" spans="1:16">
      <c r="A549" s="46" t="s">
        <v>2254</v>
      </c>
      <c r="B549" s="46" t="s">
        <v>2055</v>
      </c>
      <c r="C549" s="46" t="s">
        <v>633</v>
      </c>
      <c r="D549" s="46" t="s">
        <v>312</v>
      </c>
      <c r="E549" s="46" t="s">
        <v>195</v>
      </c>
      <c r="F549" s="46" t="s">
        <v>498</v>
      </c>
      <c r="G549" s="46" t="s">
        <v>257</v>
      </c>
      <c r="H549" s="46" t="s">
        <v>88</v>
      </c>
      <c r="I549" s="46" t="s">
        <v>1086</v>
      </c>
      <c r="J549" s="46" t="s">
        <v>2255</v>
      </c>
      <c r="K549" s="46">
        <v>8</v>
      </c>
      <c r="L549" s="46" t="s">
        <v>1320</v>
      </c>
      <c r="M549" s="46" t="s">
        <v>105</v>
      </c>
      <c r="N549" s="46">
        <v>3</v>
      </c>
      <c r="O549" s="46" t="s">
        <v>118</v>
      </c>
      <c r="P549" s="46"/>
    </row>
    <row r="550" spans="1:16">
      <c r="A550" s="37" t="s">
        <v>2256</v>
      </c>
      <c r="B550" s="37" t="s">
        <v>842</v>
      </c>
      <c r="C550" s="37" t="s">
        <v>91</v>
      </c>
      <c r="D550" s="37" t="s">
        <v>204</v>
      </c>
      <c r="E550" s="37" t="s">
        <v>42</v>
      </c>
      <c r="F550" s="37" t="s">
        <v>533</v>
      </c>
      <c r="G550" s="37" t="s">
        <v>139</v>
      </c>
      <c r="H550" s="37" t="s">
        <v>215</v>
      </c>
      <c r="I550" s="37" t="s">
        <v>2151</v>
      </c>
      <c r="J550" s="37" t="s">
        <v>2257</v>
      </c>
      <c r="K550" s="37">
        <v>6</v>
      </c>
      <c r="L550" s="37" t="s">
        <v>309</v>
      </c>
      <c r="M550" s="37" t="s">
        <v>72</v>
      </c>
      <c r="N550" s="37">
        <v>5</v>
      </c>
      <c r="O550" s="37" t="s">
        <v>152</v>
      </c>
      <c r="P550" s="37"/>
    </row>
    <row r="551" spans="1:16">
      <c r="A551" s="46" t="s">
        <v>2258</v>
      </c>
      <c r="B551" s="46" t="s">
        <v>774</v>
      </c>
      <c r="C551" s="46" t="s">
        <v>97</v>
      </c>
      <c r="D551" s="46" t="s">
        <v>194</v>
      </c>
      <c r="E551" s="46" t="s">
        <v>137</v>
      </c>
      <c r="F551" s="46" t="s">
        <v>271</v>
      </c>
      <c r="G551" s="46" t="s">
        <v>125</v>
      </c>
      <c r="H551" s="46" t="s">
        <v>126</v>
      </c>
      <c r="I551" s="46" t="s">
        <v>2259</v>
      </c>
      <c r="J551" s="46" t="s">
        <v>578</v>
      </c>
      <c r="K551" s="46">
        <v>8</v>
      </c>
      <c r="L551" s="46" t="s">
        <v>1854</v>
      </c>
      <c r="M551" s="46" t="s">
        <v>72</v>
      </c>
      <c r="N551" s="46">
        <v>3</v>
      </c>
      <c r="O551" s="46" t="s">
        <v>118</v>
      </c>
      <c r="P551" s="46"/>
    </row>
    <row r="552" spans="1:16">
      <c r="A552" s="37" t="s">
        <v>2260</v>
      </c>
      <c r="B552" s="37" t="s">
        <v>720</v>
      </c>
      <c r="C552" s="37" t="s">
        <v>166</v>
      </c>
      <c r="D552" s="37" t="s">
        <v>213</v>
      </c>
      <c r="E552" s="37" t="s">
        <v>176</v>
      </c>
      <c r="F552" s="37" t="s">
        <v>664</v>
      </c>
      <c r="G552" s="37" t="s">
        <v>334</v>
      </c>
      <c r="H552" s="37" t="s">
        <v>113</v>
      </c>
      <c r="I552" s="37" t="s">
        <v>1476</v>
      </c>
      <c r="J552" s="37" t="s">
        <v>2261</v>
      </c>
      <c r="K552" s="37">
        <v>8</v>
      </c>
      <c r="L552" s="37" t="s">
        <v>1195</v>
      </c>
      <c r="M552" s="37" t="s">
        <v>163</v>
      </c>
      <c r="N552" s="37">
        <v>4</v>
      </c>
      <c r="O552" s="37" t="s">
        <v>191</v>
      </c>
      <c r="P552" s="37"/>
    </row>
    <row r="553" spans="1:16">
      <c r="A553" s="46" t="s">
        <v>2262</v>
      </c>
      <c r="B553" s="46" t="s">
        <v>417</v>
      </c>
      <c r="C553" s="46" t="s">
        <v>300</v>
      </c>
      <c r="D553" s="46" t="s">
        <v>184</v>
      </c>
      <c r="E553" s="46" t="s">
        <v>345</v>
      </c>
      <c r="F553" s="46" t="s">
        <v>319</v>
      </c>
      <c r="G553" s="46" t="s">
        <v>51</v>
      </c>
      <c r="H553" s="46" t="s">
        <v>327</v>
      </c>
      <c r="I553" s="46" t="s">
        <v>539</v>
      </c>
      <c r="J553" s="46" t="s">
        <v>2263</v>
      </c>
      <c r="K553" s="46">
        <v>4</v>
      </c>
      <c r="L553" s="46" t="s">
        <v>913</v>
      </c>
      <c r="M553" s="46" t="s">
        <v>200</v>
      </c>
      <c r="N553" s="46">
        <v>3</v>
      </c>
      <c r="O553" s="46" t="s">
        <v>286</v>
      </c>
      <c r="P553" s="46"/>
    </row>
    <row r="554" spans="1:16">
      <c r="A554" s="37" t="s">
        <v>2264</v>
      </c>
      <c r="B554" s="37" t="s">
        <v>2265</v>
      </c>
      <c r="C554" s="37" t="s">
        <v>469</v>
      </c>
      <c r="D554" s="37" t="s">
        <v>312</v>
      </c>
      <c r="E554" s="37" t="s">
        <v>99</v>
      </c>
      <c r="F554" s="37" t="s">
        <v>231</v>
      </c>
      <c r="G554" s="37" t="s">
        <v>51</v>
      </c>
      <c r="H554" s="37" t="s">
        <v>93</v>
      </c>
      <c r="I554" s="37" t="s">
        <v>2266</v>
      </c>
      <c r="J554" s="37" t="s">
        <v>2267</v>
      </c>
      <c r="K554" s="37">
        <v>4</v>
      </c>
      <c r="L554" s="37" t="s">
        <v>1681</v>
      </c>
      <c r="M554" s="37" t="s">
        <v>337</v>
      </c>
      <c r="N554" s="37"/>
      <c r="O554" s="37" t="s">
        <v>286</v>
      </c>
      <c r="P554" s="37" t="s">
        <v>759</v>
      </c>
    </row>
    <row r="555" spans="1:16">
      <c r="A555" s="46" t="s">
        <v>2268</v>
      </c>
      <c r="B555" s="46" t="s">
        <v>1175</v>
      </c>
      <c r="C555" s="46" t="s">
        <v>90</v>
      </c>
      <c r="D555" s="46" t="s">
        <v>919</v>
      </c>
      <c r="E555" s="46" t="s">
        <v>42</v>
      </c>
      <c r="F555" s="46" t="s">
        <v>158</v>
      </c>
      <c r="G555" s="46" t="s">
        <v>125</v>
      </c>
      <c r="H555" s="46" t="s">
        <v>91</v>
      </c>
      <c r="I555" s="46" t="s">
        <v>1548</v>
      </c>
      <c r="J555" s="46" t="s">
        <v>259</v>
      </c>
      <c r="K555" s="46">
        <v>6</v>
      </c>
      <c r="L555" s="46" t="s">
        <v>2269</v>
      </c>
      <c r="M555" s="46" t="s">
        <v>72</v>
      </c>
      <c r="N555" s="46">
        <v>3</v>
      </c>
      <c r="O555" s="46" t="s">
        <v>106</v>
      </c>
      <c r="P555" s="46"/>
    </row>
    <row r="556" spans="1:16">
      <c r="A556" s="37" t="s">
        <v>2270</v>
      </c>
      <c r="B556" s="37" t="s">
        <v>316</v>
      </c>
      <c r="C556" s="37" t="s">
        <v>451</v>
      </c>
      <c r="D556" s="37" t="s">
        <v>230</v>
      </c>
      <c r="E556" s="37" t="s">
        <v>42</v>
      </c>
      <c r="F556" s="37" t="s">
        <v>1014</v>
      </c>
      <c r="G556" s="37" t="s">
        <v>257</v>
      </c>
      <c r="H556" s="37" t="s">
        <v>206</v>
      </c>
      <c r="I556" s="37" t="s">
        <v>2271</v>
      </c>
      <c r="J556" s="37" t="s">
        <v>2272</v>
      </c>
      <c r="K556" s="37">
        <v>6</v>
      </c>
      <c r="L556" s="37" t="s">
        <v>1220</v>
      </c>
      <c r="M556" s="37" t="s">
        <v>219</v>
      </c>
      <c r="N556" s="37">
        <v>4</v>
      </c>
      <c r="O556" s="37" t="s">
        <v>191</v>
      </c>
      <c r="P556" s="37"/>
    </row>
    <row r="557" spans="1:16">
      <c r="A557" s="46" t="s">
        <v>2273</v>
      </c>
      <c r="B557" s="46" t="s">
        <v>1498</v>
      </c>
      <c r="C557" s="46" t="s">
        <v>90</v>
      </c>
      <c r="D557" s="46" t="s">
        <v>204</v>
      </c>
      <c r="E557" s="46" t="s">
        <v>110</v>
      </c>
      <c r="F557" s="46" t="s">
        <v>430</v>
      </c>
      <c r="G557" s="46" t="s">
        <v>87</v>
      </c>
      <c r="H557" s="46" t="s">
        <v>32</v>
      </c>
      <c r="I557" s="46" t="s">
        <v>1298</v>
      </c>
      <c r="J557" s="46" t="s">
        <v>2274</v>
      </c>
      <c r="K557" s="46">
        <v>6</v>
      </c>
      <c r="L557" s="46" t="s">
        <v>758</v>
      </c>
      <c r="M557" s="46" t="s">
        <v>172</v>
      </c>
      <c r="N557" s="46">
        <v>1</v>
      </c>
      <c r="O557" s="46" t="s">
        <v>152</v>
      </c>
      <c r="P557" s="46"/>
    </row>
    <row r="558" spans="1:16">
      <c r="A558" s="37" t="s">
        <v>2275</v>
      </c>
      <c r="B558" s="37" t="s">
        <v>891</v>
      </c>
      <c r="C558" s="37"/>
      <c r="D558" s="37" t="s">
        <v>204</v>
      </c>
      <c r="E558" s="37" t="s">
        <v>195</v>
      </c>
      <c r="F558" s="37" t="s">
        <v>237</v>
      </c>
      <c r="G558" s="37" t="s">
        <v>101</v>
      </c>
      <c r="H558" s="37" t="s">
        <v>187</v>
      </c>
      <c r="I558" s="37" t="s">
        <v>2276</v>
      </c>
      <c r="J558" s="37" t="s">
        <v>2277</v>
      </c>
      <c r="K558" s="37">
        <v>8</v>
      </c>
      <c r="L558" s="37" t="s">
        <v>2278</v>
      </c>
      <c r="M558" s="37" t="s">
        <v>72</v>
      </c>
      <c r="N558" s="37">
        <v>5</v>
      </c>
      <c r="O558" s="37" t="s">
        <v>152</v>
      </c>
      <c r="P558" s="37"/>
    </row>
    <row r="559" spans="1:16">
      <c r="A559" s="46" t="s">
        <v>2279</v>
      </c>
      <c r="B559" s="46" t="s">
        <v>1917</v>
      </c>
      <c r="C559" s="46" t="s">
        <v>90</v>
      </c>
      <c r="D559" s="46" t="s">
        <v>352</v>
      </c>
      <c r="E559" s="46" t="s">
        <v>110</v>
      </c>
      <c r="F559" s="46" t="s">
        <v>612</v>
      </c>
      <c r="G559" s="46" t="s">
        <v>197</v>
      </c>
      <c r="H559" s="46" t="s">
        <v>54</v>
      </c>
      <c r="I559" s="46" t="s">
        <v>2280</v>
      </c>
      <c r="J559" s="46" t="s">
        <v>2281</v>
      </c>
      <c r="K559" s="46">
        <v>4</v>
      </c>
      <c r="L559" s="46" t="s">
        <v>769</v>
      </c>
      <c r="M559" s="46" t="s">
        <v>143</v>
      </c>
      <c r="N559" s="46">
        <v>3</v>
      </c>
      <c r="O559" s="46" t="s">
        <v>181</v>
      </c>
      <c r="P559" s="46"/>
    </row>
    <row r="560" spans="1:16">
      <c r="A560" s="37" t="s">
        <v>2282</v>
      </c>
      <c r="B560" s="37" t="s">
        <v>2123</v>
      </c>
      <c r="C560" s="37" t="s">
        <v>93</v>
      </c>
      <c r="D560" s="37" t="s">
        <v>146</v>
      </c>
      <c r="E560" s="37" t="s">
        <v>147</v>
      </c>
      <c r="F560" s="37" t="s">
        <v>385</v>
      </c>
      <c r="G560" s="37" t="s">
        <v>257</v>
      </c>
      <c r="H560" s="37" t="s">
        <v>187</v>
      </c>
      <c r="I560" s="37" t="s">
        <v>2283</v>
      </c>
      <c r="J560" s="37" t="s">
        <v>2284</v>
      </c>
      <c r="K560" s="37">
        <v>6</v>
      </c>
      <c r="L560" s="37" t="s">
        <v>1895</v>
      </c>
      <c r="M560" s="37" t="s">
        <v>163</v>
      </c>
      <c r="N560" s="37">
        <v>5</v>
      </c>
      <c r="O560" s="37" t="s">
        <v>118</v>
      </c>
      <c r="P560" s="37"/>
    </row>
    <row r="561" spans="1:16">
      <c r="A561" s="46" t="s">
        <v>2285</v>
      </c>
      <c r="B561" s="46" t="s">
        <v>162</v>
      </c>
      <c r="C561" s="46" t="s">
        <v>251</v>
      </c>
      <c r="D561" s="46" t="s">
        <v>312</v>
      </c>
      <c r="E561" s="46" t="s">
        <v>224</v>
      </c>
      <c r="F561" s="46" t="s">
        <v>124</v>
      </c>
      <c r="G561" s="46" t="s">
        <v>302</v>
      </c>
      <c r="H561" s="46" t="s">
        <v>91</v>
      </c>
      <c r="I561" s="46" t="s">
        <v>2286</v>
      </c>
      <c r="J561" s="46" t="s">
        <v>921</v>
      </c>
      <c r="K561" s="46">
        <v>4</v>
      </c>
      <c r="L561" s="46" t="s">
        <v>1991</v>
      </c>
      <c r="M561" s="46" t="s">
        <v>219</v>
      </c>
      <c r="N561" s="46">
        <v>4</v>
      </c>
      <c r="O561" s="46" t="s">
        <v>152</v>
      </c>
      <c r="P561" s="46"/>
    </row>
    <row r="562" spans="1:16">
      <c r="A562" s="37" t="s">
        <v>2287</v>
      </c>
      <c r="B562" s="37" t="s">
        <v>1838</v>
      </c>
      <c r="C562" s="37" t="s">
        <v>407</v>
      </c>
      <c r="D562" s="37" t="s">
        <v>37</v>
      </c>
      <c r="E562" s="37" t="s">
        <v>123</v>
      </c>
      <c r="F562" s="37" t="s">
        <v>498</v>
      </c>
      <c r="G562" s="37" t="s">
        <v>380</v>
      </c>
      <c r="H562" s="37" t="s">
        <v>126</v>
      </c>
      <c r="I562" s="37" t="s">
        <v>2288</v>
      </c>
      <c r="J562" s="37" t="s">
        <v>2289</v>
      </c>
      <c r="K562" s="37">
        <v>2</v>
      </c>
      <c r="L562" s="37" t="s">
        <v>835</v>
      </c>
      <c r="M562" s="37" t="s">
        <v>219</v>
      </c>
      <c r="N562" s="37">
        <v>5</v>
      </c>
      <c r="O562" s="37" t="s">
        <v>152</v>
      </c>
      <c r="P562" s="37"/>
    </row>
    <row r="563" spans="1:16">
      <c r="A563" s="46" t="s">
        <v>2290</v>
      </c>
      <c r="B563" s="46" t="s">
        <v>400</v>
      </c>
      <c r="C563" s="46" t="s">
        <v>374</v>
      </c>
      <c r="D563" s="46" t="s">
        <v>367</v>
      </c>
      <c r="E563" s="46" t="s">
        <v>244</v>
      </c>
      <c r="F563" s="46" t="s">
        <v>1682</v>
      </c>
      <c r="G563" s="46" t="s">
        <v>159</v>
      </c>
      <c r="H563" s="46" t="s">
        <v>90</v>
      </c>
      <c r="I563" s="46" t="s">
        <v>1432</v>
      </c>
      <c r="J563" s="46" t="s">
        <v>2291</v>
      </c>
      <c r="K563" s="46">
        <v>2</v>
      </c>
      <c r="L563" s="46" t="s">
        <v>1317</v>
      </c>
      <c r="M563" s="46" t="s">
        <v>143</v>
      </c>
      <c r="N563" s="46">
        <v>3</v>
      </c>
      <c r="O563" s="46" t="s">
        <v>118</v>
      </c>
      <c r="P563" s="46"/>
    </row>
    <row r="564" spans="1:16">
      <c r="A564" s="37" t="s">
        <v>2292</v>
      </c>
      <c r="B564" s="37" t="s">
        <v>2293</v>
      </c>
      <c r="C564" s="37" t="s">
        <v>243</v>
      </c>
      <c r="D564" s="37" t="s">
        <v>194</v>
      </c>
      <c r="E564" s="37" t="s">
        <v>176</v>
      </c>
      <c r="F564" s="37" t="s">
        <v>263</v>
      </c>
      <c r="G564" s="37" t="s">
        <v>101</v>
      </c>
      <c r="H564" s="37" t="s">
        <v>187</v>
      </c>
      <c r="I564" s="37" t="s">
        <v>2294</v>
      </c>
      <c r="J564" s="37" t="s">
        <v>573</v>
      </c>
      <c r="K564" s="37">
        <v>8</v>
      </c>
      <c r="L564" s="37" t="s">
        <v>501</v>
      </c>
      <c r="M564" s="37" t="s">
        <v>143</v>
      </c>
      <c r="N564" s="37">
        <v>2</v>
      </c>
      <c r="O564" s="37" t="s">
        <v>181</v>
      </c>
      <c r="P564" s="37"/>
    </row>
    <row r="565" spans="1:16">
      <c r="A565" s="46" t="s">
        <v>2295</v>
      </c>
      <c r="B565" s="46" t="s">
        <v>1498</v>
      </c>
      <c r="C565" s="46" t="s">
        <v>566</v>
      </c>
      <c r="D565" s="46" t="s">
        <v>333</v>
      </c>
      <c r="E565" s="46" t="s">
        <v>147</v>
      </c>
      <c r="F565" s="46" t="s">
        <v>47</v>
      </c>
      <c r="G565" s="46" t="s">
        <v>159</v>
      </c>
      <c r="H565" s="46" t="s">
        <v>54</v>
      </c>
      <c r="I565" s="46" t="s">
        <v>1487</v>
      </c>
      <c r="J565" s="46" t="s">
        <v>530</v>
      </c>
      <c r="K565" s="46">
        <v>6</v>
      </c>
      <c r="L565" s="46" t="s">
        <v>1991</v>
      </c>
      <c r="M565" s="46" t="s">
        <v>130</v>
      </c>
      <c r="N565" s="46"/>
      <c r="O565" s="46" t="s">
        <v>131</v>
      </c>
      <c r="P565" s="46" t="s">
        <v>132</v>
      </c>
    </row>
    <row r="566" spans="1:16">
      <c r="A566" s="37" t="s">
        <v>2296</v>
      </c>
      <c r="B566" s="37" t="s">
        <v>2206</v>
      </c>
      <c r="C566" s="37" t="s">
        <v>155</v>
      </c>
      <c r="D566" s="37" t="s">
        <v>98</v>
      </c>
      <c r="E566" s="37" t="s">
        <v>42</v>
      </c>
      <c r="F566" s="37" t="s">
        <v>205</v>
      </c>
      <c r="G566" s="37" t="s">
        <v>101</v>
      </c>
      <c r="H566" s="37" t="s">
        <v>206</v>
      </c>
      <c r="I566" s="37" t="s">
        <v>2297</v>
      </c>
      <c r="J566" s="37" t="s">
        <v>2298</v>
      </c>
      <c r="K566" s="37">
        <v>6</v>
      </c>
      <c r="L566" s="37" t="s">
        <v>1064</v>
      </c>
      <c r="M566" s="37" t="s">
        <v>172</v>
      </c>
      <c r="N566" s="37">
        <v>4</v>
      </c>
      <c r="O566" s="37" t="s">
        <v>131</v>
      </c>
      <c r="P566" s="37"/>
    </row>
    <row r="567" spans="1:16">
      <c r="A567" s="46" t="s">
        <v>2299</v>
      </c>
      <c r="B567" s="46" t="s">
        <v>1586</v>
      </c>
      <c r="C567" s="46" t="s">
        <v>374</v>
      </c>
      <c r="D567" s="46" t="s">
        <v>352</v>
      </c>
      <c r="E567" s="46" t="s">
        <v>147</v>
      </c>
      <c r="F567" s="46" t="s">
        <v>353</v>
      </c>
      <c r="G567" s="46" t="s">
        <v>89</v>
      </c>
      <c r="H567" s="46" t="s">
        <v>187</v>
      </c>
      <c r="I567" s="46" t="s">
        <v>2300</v>
      </c>
      <c r="J567" s="46" t="s">
        <v>2301</v>
      </c>
      <c r="K567" s="46">
        <v>8</v>
      </c>
      <c r="L567" s="46" t="s">
        <v>717</v>
      </c>
      <c r="M567" s="46" t="s">
        <v>117</v>
      </c>
      <c r="N567" s="46">
        <v>4</v>
      </c>
      <c r="O567" s="46" t="s">
        <v>79</v>
      </c>
      <c r="P567" s="46"/>
    </row>
    <row r="568" spans="1:16">
      <c r="A568" s="37" t="s">
        <v>2302</v>
      </c>
      <c r="B568" s="37" t="s">
        <v>254</v>
      </c>
      <c r="C568" s="37" t="s">
        <v>424</v>
      </c>
      <c r="D568" s="37" t="s">
        <v>333</v>
      </c>
      <c r="E568" s="37" t="s">
        <v>176</v>
      </c>
      <c r="F568" s="37" t="s">
        <v>1701</v>
      </c>
      <c r="G568" s="37" t="s">
        <v>87</v>
      </c>
      <c r="H568" s="37" t="s">
        <v>32</v>
      </c>
      <c r="I568" s="37" t="s">
        <v>2303</v>
      </c>
      <c r="J568" s="37" t="s">
        <v>2304</v>
      </c>
      <c r="K568" s="37">
        <v>8</v>
      </c>
      <c r="L568" s="37" t="s">
        <v>2305</v>
      </c>
      <c r="M568" s="37" t="s">
        <v>105</v>
      </c>
      <c r="N568" s="37">
        <v>5</v>
      </c>
      <c r="O568" s="37" t="s">
        <v>152</v>
      </c>
      <c r="P568" s="37"/>
    </row>
    <row r="569" spans="1:16">
      <c r="A569" s="46" t="s">
        <v>2306</v>
      </c>
      <c r="B569" s="46" t="s">
        <v>877</v>
      </c>
      <c r="C569" s="46" t="s">
        <v>166</v>
      </c>
      <c r="D569" s="46" t="s">
        <v>312</v>
      </c>
      <c r="E569" s="46" t="s">
        <v>157</v>
      </c>
      <c r="F569" s="46" t="s">
        <v>353</v>
      </c>
      <c r="G569" s="46" t="s">
        <v>101</v>
      </c>
      <c r="H569" s="46" t="s">
        <v>278</v>
      </c>
      <c r="I569" s="46" t="s">
        <v>2307</v>
      </c>
      <c r="J569" s="46" t="s">
        <v>2308</v>
      </c>
      <c r="K569" s="46">
        <v>6</v>
      </c>
      <c r="L569" s="46" t="s">
        <v>591</v>
      </c>
      <c r="M569" s="46" t="s">
        <v>117</v>
      </c>
      <c r="N569" s="46">
        <v>5</v>
      </c>
      <c r="O569" s="46" t="s">
        <v>152</v>
      </c>
      <c r="P569" s="46"/>
    </row>
    <row r="570" spans="1:16">
      <c r="A570" s="37" t="s">
        <v>2309</v>
      </c>
      <c r="B570" s="37" t="s">
        <v>2092</v>
      </c>
      <c r="C570" s="37" t="s">
        <v>307</v>
      </c>
      <c r="D570" s="37" t="s">
        <v>122</v>
      </c>
      <c r="E570" s="37" t="s">
        <v>195</v>
      </c>
      <c r="F570" s="37" t="s">
        <v>360</v>
      </c>
      <c r="G570" s="37" t="s">
        <v>168</v>
      </c>
      <c r="H570" s="37" t="s">
        <v>88</v>
      </c>
      <c r="I570" s="37" t="s">
        <v>2310</v>
      </c>
      <c r="J570" s="37" t="s">
        <v>2311</v>
      </c>
      <c r="K570" s="37">
        <v>6</v>
      </c>
      <c r="L570" s="37" t="s">
        <v>336</v>
      </c>
      <c r="M570" s="37" t="s">
        <v>72</v>
      </c>
      <c r="N570" s="37">
        <v>2</v>
      </c>
      <c r="O570" s="37" t="s">
        <v>106</v>
      </c>
      <c r="P570" s="37"/>
    </row>
    <row r="571" spans="1:16">
      <c r="A571" s="46" t="s">
        <v>2312</v>
      </c>
      <c r="B571" s="46" t="s">
        <v>1415</v>
      </c>
      <c r="C571" s="46" t="s">
        <v>340</v>
      </c>
      <c r="D571" s="46" t="s">
        <v>175</v>
      </c>
      <c r="E571" s="46" t="s">
        <v>244</v>
      </c>
      <c r="F571" s="46" t="s">
        <v>100</v>
      </c>
      <c r="G571" s="46" t="s">
        <v>334</v>
      </c>
      <c r="H571" s="46" t="s">
        <v>215</v>
      </c>
      <c r="I571" s="46" t="s">
        <v>2113</v>
      </c>
      <c r="J571" s="46" t="s">
        <v>2313</v>
      </c>
      <c r="K571" s="46">
        <v>2</v>
      </c>
      <c r="L571" s="46" t="s">
        <v>2232</v>
      </c>
      <c r="M571" s="46" t="s">
        <v>130</v>
      </c>
      <c r="N571" s="46"/>
      <c r="O571" s="46" t="s">
        <v>286</v>
      </c>
      <c r="P571" s="46" t="s">
        <v>132</v>
      </c>
    </row>
    <row r="572" spans="1:16">
      <c r="A572" s="37" t="s">
        <v>2314</v>
      </c>
      <c r="B572" s="37" t="s">
        <v>1550</v>
      </c>
      <c r="C572" s="37" t="s">
        <v>88</v>
      </c>
      <c r="D572" s="37" t="s">
        <v>37</v>
      </c>
      <c r="E572" s="37" t="s">
        <v>42</v>
      </c>
      <c r="F572" s="37" t="s">
        <v>237</v>
      </c>
      <c r="G572" s="37" t="s">
        <v>264</v>
      </c>
      <c r="H572" s="37" t="s">
        <v>88</v>
      </c>
      <c r="I572" s="37" t="s">
        <v>1374</v>
      </c>
      <c r="J572" s="37" t="s">
        <v>859</v>
      </c>
      <c r="K572" s="37">
        <v>4</v>
      </c>
      <c r="L572" s="37" t="s">
        <v>1117</v>
      </c>
      <c r="M572" s="37" t="s">
        <v>105</v>
      </c>
      <c r="N572" s="37">
        <v>5</v>
      </c>
      <c r="O572" s="37" t="s">
        <v>286</v>
      </c>
      <c r="P572" s="37"/>
    </row>
    <row r="573" spans="1:16">
      <c r="A573" s="46" t="s">
        <v>2315</v>
      </c>
      <c r="B573" s="46" t="s">
        <v>1459</v>
      </c>
      <c r="C573" s="46" t="s">
        <v>451</v>
      </c>
      <c r="D573" s="46" t="s">
        <v>98</v>
      </c>
      <c r="E573" s="46" t="s">
        <v>157</v>
      </c>
      <c r="F573" s="46" t="s">
        <v>326</v>
      </c>
      <c r="G573" s="46" t="s">
        <v>101</v>
      </c>
      <c r="H573" s="46" t="s">
        <v>187</v>
      </c>
      <c r="I573" s="46" t="s">
        <v>1735</v>
      </c>
      <c r="J573" s="46" t="s">
        <v>2316</v>
      </c>
      <c r="K573" s="46">
        <v>6</v>
      </c>
      <c r="L573" s="46" t="s">
        <v>1571</v>
      </c>
      <c r="M573" s="46" t="s">
        <v>72</v>
      </c>
      <c r="N573" s="46">
        <v>4</v>
      </c>
      <c r="O573" s="46" t="s">
        <v>131</v>
      </c>
      <c r="P573" s="46"/>
    </row>
    <row r="574" spans="1:16">
      <c r="A574" s="37" t="s">
        <v>2317</v>
      </c>
      <c r="B574" s="37" t="s">
        <v>1582</v>
      </c>
      <c r="C574" s="37" t="s">
        <v>97</v>
      </c>
      <c r="D574" s="37" t="s">
        <v>146</v>
      </c>
      <c r="E574" s="37" t="s">
        <v>42</v>
      </c>
      <c r="F574" s="37" t="s">
        <v>237</v>
      </c>
      <c r="G574" s="37" t="s">
        <v>168</v>
      </c>
      <c r="H574" s="37" t="s">
        <v>278</v>
      </c>
      <c r="I574" s="37" t="s">
        <v>2228</v>
      </c>
      <c r="J574" s="37" t="s">
        <v>2318</v>
      </c>
      <c r="K574" s="37">
        <v>6</v>
      </c>
      <c r="L574" s="37" t="s">
        <v>615</v>
      </c>
      <c r="M574" s="37" t="s">
        <v>163</v>
      </c>
      <c r="N574" s="37">
        <v>5</v>
      </c>
      <c r="O574" s="37" t="s">
        <v>191</v>
      </c>
      <c r="P574" s="37"/>
    </row>
    <row r="575" spans="1:16">
      <c r="A575" s="46" t="s">
        <v>2319</v>
      </c>
      <c r="B575" s="46" t="s">
        <v>552</v>
      </c>
      <c r="C575" s="46" t="s">
        <v>451</v>
      </c>
      <c r="D575" s="46" t="s">
        <v>136</v>
      </c>
      <c r="E575" s="46" t="s">
        <v>176</v>
      </c>
      <c r="F575" s="46" t="s">
        <v>664</v>
      </c>
      <c r="G575" s="46" t="s">
        <v>418</v>
      </c>
      <c r="H575" s="46" t="s">
        <v>327</v>
      </c>
      <c r="I575" s="46" t="s">
        <v>2320</v>
      </c>
      <c r="J575" s="46" t="s">
        <v>2321</v>
      </c>
      <c r="K575" s="46">
        <v>8</v>
      </c>
      <c r="L575" s="46" t="s">
        <v>2322</v>
      </c>
      <c r="M575" s="46" t="s">
        <v>624</v>
      </c>
      <c r="N575" s="46"/>
      <c r="O575" s="46" t="s">
        <v>131</v>
      </c>
      <c r="P575" s="46" t="s">
        <v>625</v>
      </c>
    </row>
    <row r="576" spans="1:16">
      <c r="A576" s="37" t="s">
        <v>2323</v>
      </c>
      <c r="B576" s="37" t="s">
        <v>2324</v>
      </c>
      <c r="C576" s="37" t="s">
        <v>32</v>
      </c>
      <c r="D576" s="37" t="s">
        <v>175</v>
      </c>
      <c r="E576" s="37" t="s">
        <v>157</v>
      </c>
      <c r="F576" s="37" t="s">
        <v>138</v>
      </c>
      <c r="G576" s="37" t="s">
        <v>92</v>
      </c>
      <c r="H576" s="37" t="s">
        <v>126</v>
      </c>
      <c r="I576" s="37" t="s">
        <v>1022</v>
      </c>
      <c r="J576" s="37" t="s">
        <v>2325</v>
      </c>
      <c r="K576" s="37">
        <v>6</v>
      </c>
      <c r="L576" s="37" t="s">
        <v>1635</v>
      </c>
      <c r="M576" s="37" t="s">
        <v>219</v>
      </c>
      <c r="N576" s="37">
        <v>5</v>
      </c>
      <c r="O576" s="37" t="s">
        <v>152</v>
      </c>
      <c r="P576" s="37"/>
    </row>
    <row r="577" spans="1:16">
      <c r="A577" s="46" t="s">
        <v>2326</v>
      </c>
      <c r="B577" s="46" t="s">
        <v>2040</v>
      </c>
      <c r="C577" s="46" t="s">
        <v>407</v>
      </c>
      <c r="D577" s="46" t="s">
        <v>204</v>
      </c>
      <c r="E577" s="46" t="s">
        <v>345</v>
      </c>
      <c r="F577" s="46" t="s">
        <v>283</v>
      </c>
      <c r="G577" s="46" t="s">
        <v>257</v>
      </c>
      <c r="H577" s="46" t="s">
        <v>88</v>
      </c>
      <c r="I577" s="46" t="s">
        <v>2327</v>
      </c>
      <c r="J577" s="46" t="s">
        <v>2328</v>
      </c>
      <c r="K577" s="46">
        <v>6</v>
      </c>
      <c r="L577" s="46" t="s">
        <v>151</v>
      </c>
      <c r="M577" s="46" t="s">
        <v>200</v>
      </c>
      <c r="N577" s="46">
        <v>3</v>
      </c>
      <c r="O577" s="46" t="s">
        <v>131</v>
      </c>
      <c r="P577" s="46"/>
    </row>
    <row r="578" spans="1:16">
      <c r="A578" s="37" t="s">
        <v>2329</v>
      </c>
      <c r="B578" s="37" t="s">
        <v>752</v>
      </c>
      <c r="C578" s="37" t="s">
        <v>451</v>
      </c>
      <c r="D578" s="37" t="s">
        <v>156</v>
      </c>
      <c r="E578" s="37" t="s">
        <v>99</v>
      </c>
      <c r="F578" s="37" t="s">
        <v>158</v>
      </c>
      <c r="G578" s="37" t="s">
        <v>112</v>
      </c>
      <c r="H578" s="37" t="s">
        <v>354</v>
      </c>
      <c r="I578" s="37" t="s">
        <v>289</v>
      </c>
      <c r="J578" s="37" t="s">
        <v>2330</v>
      </c>
      <c r="K578" s="37">
        <v>2</v>
      </c>
      <c r="L578" s="37" t="s">
        <v>2331</v>
      </c>
      <c r="M578" s="37" t="s">
        <v>219</v>
      </c>
      <c r="N578" s="37">
        <v>5</v>
      </c>
      <c r="O578" s="37" t="s">
        <v>181</v>
      </c>
      <c r="P578" s="37"/>
    </row>
    <row r="579" spans="1:16">
      <c r="A579" s="46" t="s">
        <v>2332</v>
      </c>
      <c r="B579" s="46" t="s">
        <v>837</v>
      </c>
      <c r="C579" s="46" t="s">
        <v>54</v>
      </c>
      <c r="D579" s="46" t="s">
        <v>204</v>
      </c>
      <c r="E579" s="46" t="s">
        <v>99</v>
      </c>
      <c r="F579" s="46" t="s">
        <v>167</v>
      </c>
      <c r="G579" s="46" t="s">
        <v>51</v>
      </c>
      <c r="H579" s="46" t="s">
        <v>54</v>
      </c>
      <c r="I579" s="46" t="s">
        <v>2333</v>
      </c>
      <c r="J579" s="46" t="s">
        <v>2334</v>
      </c>
      <c r="K579" s="46">
        <v>2</v>
      </c>
      <c r="L579" s="46" t="s">
        <v>1521</v>
      </c>
      <c r="M579" s="46" t="s">
        <v>163</v>
      </c>
      <c r="N579" s="46">
        <v>4</v>
      </c>
      <c r="O579" s="46" t="s">
        <v>131</v>
      </c>
      <c r="P579" s="46"/>
    </row>
    <row r="580" spans="1:16">
      <c r="A580" s="46" t="s">
        <v>2335</v>
      </c>
      <c r="B580" s="46" t="s">
        <v>874</v>
      </c>
      <c r="C580" s="46" t="s">
        <v>300</v>
      </c>
      <c r="D580" s="46" t="s">
        <v>98</v>
      </c>
      <c r="E580" s="46" t="s">
        <v>99</v>
      </c>
      <c r="F580" s="46" t="s">
        <v>368</v>
      </c>
      <c r="G580" s="46" t="s">
        <v>257</v>
      </c>
      <c r="H580" s="46" t="s">
        <v>187</v>
      </c>
      <c r="I580" s="46" t="s">
        <v>2336</v>
      </c>
      <c r="J580" s="46" t="s">
        <v>2337</v>
      </c>
      <c r="K580" s="46">
        <v>4</v>
      </c>
      <c r="L580" s="46" t="s">
        <v>1434</v>
      </c>
      <c r="M580" s="46" t="s">
        <v>200</v>
      </c>
      <c r="N580" s="46">
        <v>4</v>
      </c>
      <c r="O580" s="46" t="s">
        <v>191</v>
      </c>
      <c r="P580" s="46"/>
    </row>
    <row r="581" spans="1:16">
      <c r="A581" s="37" t="s">
        <v>2338</v>
      </c>
      <c r="B581" s="37" t="s">
        <v>1015</v>
      </c>
      <c r="C581" s="37" t="s">
        <v>282</v>
      </c>
      <c r="D581" s="37" t="s">
        <v>184</v>
      </c>
      <c r="E581" s="37" t="s">
        <v>224</v>
      </c>
      <c r="F581" s="37" t="s">
        <v>1145</v>
      </c>
      <c r="G581" s="37" t="s">
        <v>87</v>
      </c>
      <c r="H581" s="37" t="s">
        <v>32</v>
      </c>
      <c r="I581" s="37" t="s">
        <v>1302</v>
      </c>
      <c r="J581" s="37" t="s">
        <v>2339</v>
      </c>
      <c r="K581" s="37">
        <v>4</v>
      </c>
      <c r="L581" s="37" t="s">
        <v>799</v>
      </c>
      <c r="M581" s="37" t="s">
        <v>105</v>
      </c>
      <c r="N581" s="37">
        <v>5</v>
      </c>
      <c r="O581" s="37" t="s">
        <v>118</v>
      </c>
      <c r="P581" s="37"/>
    </row>
    <row r="582" spans="1:16">
      <c r="A582" s="46" t="s">
        <v>2340</v>
      </c>
      <c r="B582" s="46" t="s">
        <v>1424</v>
      </c>
      <c r="C582" s="46" t="s">
        <v>374</v>
      </c>
      <c r="D582" s="46" t="s">
        <v>136</v>
      </c>
      <c r="E582" s="46" t="s">
        <v>137</v>
      </c>
      <c r="F582" s="46" t="s">
        <v>237</v>
      </c>
      <c r="G582" s="46" t="s">
        <v>112</v>
      </c>
      <c r="H582" s="46" t="s">
        <v>215</v>
      </c>
      <c r="I582" s="46" t="s">
        <v>2341</v>
      </c>
      <c r="J582" s="46" t="s">
        <v>2342</v>
      </c>
      <c r="K582" s="46">
        <v>8</v>
      </c>
      <c r="L582" s="46" t="s">
        <v>1765</v>
      </c>
      <c r="M582" s="46" t="s">
        <v>172</v>
      </c>
      <c r="N582" s="46">
        <v>3</v>
      </c>
      <c r="O582" s="46" t="s">
        <v>191</v>
      </c>
      <c r="P582" s="46"/>
    </row>
    <row r="583" spans="1:16">
      <c r="A583" s="37" t="s">
        <v>2343</v>
      </c>
      <c r="B583" s="37" t="s">
        <v>288</v>
      </c>
      <c r="C583" s="37" t="s">
        <v>633</v>
      </c>
      <c r="D583" s="37" t="s">
        <v>184</v>
      </c>
      <c r="E583" s="37" t="s">
        <v>147</v>
      </c>
      <c r="F583" s="37" t="s">
        <v>237</v>
      </c>
      <c r="G583" s="37" t="s">
        <v>51</v>
      </c>
      <c r="H583" s="37" t="s">
        <v>327</v>
      </c>
      <c r="I583" s="37" t="s">
        <v>929</v>
      </c>
      <c r="J583" s="37" t="s">
        <v>2344</v>
      </c>
      <c r="K583" s="37">
        <v>6</v>
      </c>
      <c r="L583" s="37" t="s">
        <v>503</v>
      </c>
      <c r="M583" s="37" t="s">
        <v>172</v>
      </c>
      <c r="N583" s="37">
        <v>3</v>
      </c>
      <c r="O583" s="37" t="s">
        <v>131</v>
      </c>
      <c r="P583" s="37"/>
    </row>
    <row r="584" spans="1:16">
      <c r="A584" s="46" t="s">
        <v>2345</v>
      </c>
      <c r="B584" s="46" t="s">
        <v>549</v>
      </c>
      <c r="C584" s="46" t="s">
        <v>91</v>
      </c>
      <c r="D584" s="46" t="s">
        <v>204</v>
      </c>
      <c r="E584" s="46" t="s">
        <v>224</v>
      </c>
      <c r="F584" s="46" t="s">
        <v>592</v>
      </c>
      <c r="G584" s="46" t="s">
        <v>139</v>
      </c>
      <c r="H584" s="46" t="s">
        <v>215</v>
      </c>
      <c r="I584" s="46" t="s">
        <v>453</v>
      </c>
      <c r="J584" s="46" t="s">
        <v>2346</v>
      </c>
      <c r="K584" s="46">
        <v>4</v>
      </c>
      <c r="L584" s="46" t="s">
        <v>2347</v>
      </c>
      <c r="M584" s="46" t="s">
        <v>172</v>
      </c>
      <c r="N584" s="46">
        <v>5</v>
      </c>
      <c r="O584" s="46" t="s">
        <v>152</v>
      </c>
      <c r="P584" s="46"/>
    </row>
    <row r="585" spans="1:16">
      <c r="A585" s="37" t="s">
        <v>2348</v>
      </c>
      <c r="B585" s="37" t="s">
        <v>2349</v>
      </c>
      <c r="C585" s="37" t="s">
        <v>407</v>
      </c>
      <c r="D585" s="37" t="s">
        <v>136</v>
      </c>
      <c r="E585" s="37" t="s">
        <v>42</v>
      </c>
      <c r="F585" s="37" t="s">
        <v>47</v>
      </c>
      <c r="G585" s="37" t="s">
        <v>197</v>
      </c>
      <c r="H585" s="37" t="s">
        <v>93</v>
      </c>
      <c r="I585" s="37" t="s">
        <v>2350</v>
      </c>
      <c r="J585" s="37" t="s">
        <v>1888</v>
      </c>
      <c r="K585" s="37">
        <v>6</v>
      </c>
      <c r="L585" s="37" t="s">
        <v>429</v>
      </c>
      <c r="M585" s="37" t="s">
        <v>72</v>
      </c>
      <c r="N585" s="37">
        <v>2</v>
      </c>
      <c r="O585" s="37" t="s">
        <v>191</v>
      </c>
      <c r="P585" s="37"/>
    </row>
    <row r="586" spans="1:16">
      <c r="A586" s="46" t="s">
        <v>2351</v>
      </c>
      <c r="B586" s="46" t="s">
        <v>377</v>
      </c>
      <c r="C586" s="46" t="s">
        <v>222</v>
      </c>
      <c r="D586" s="46" t="s">
        <v>146</v>
      </c>
      <c r="E586" s="46" t="s">
        <v>42</v>
      </c>
      <c r="F586" s="46" t="s">
        <v>592</v>
      </c>
      <c r="G586" s="46" t="s">
        <v>112</v>
      </c>
      <c r="H586" s="46" t="s">
        <v>32</v>
      </c>
      <c r="I586" s="46" t="s">
        <v>2352</v>
      </c>
      <c r="J586" s="46" t="s">
        <v>2353</v>
      </c>
      <c r="K586" s="46">
        <v>6</v>
      </c>
      <c r="L586" s="46" t="s">
        <v>2354</v>
      </c>
      <c r="M586" s="46" t="s">
        <v>143</v>
      </c>
      <c r="N586" s="46">
        <v>4</v>
      </c>
      <c r="O586" s="46" t="s">
        <v>131</v>
      </c>
      <c r="P586" s="46"/>
    </row>
    <row r="587" spans="1:16">
      <c r="A587" s="37" t="s">
        <v>2355</v>
      </c>
      <c r="B587" s="37" t="s">
        <v>2356</v>
      </c>
      <c r="C587" s="37" t="s">
        <v>97</v>
      </c>
      <c r="D587" s="37" t="s">
        <v>919</v>
      </c>
      <c r="E587" s="37" t="s">
        <v>99</v>
      </c>
      <c r="F587" s="37" t="s">
        <v>231</v>
      </c>
      <c r="G587" s="37" t="s">
        <v>264</v>
      </c>
      <c r="H587" s="37" t="s">
        <v>278</v>
      </c>
      <c r="I587" s="37" t="s">
        <v>2357</v>
      </c>
      <c r="J587" s="37" t="s">
        <v>2358</v>
      </c>
      <c r="K587" s="37">
        <v>4</v>
      </c>
      <c r="L587" s="37" t="s">
        <v>2359</v>
      </c>
      <c r="M587" s="37" t="s">
        <v>200</v>
      </c>
      <c r="N587" s="37">
        <v>4</v>
      </c>
      <c r="O587" s="37" t="s">
        <v>118</v>
      </c>
      <c r="P587" s="37"/>
    </row>
    <row r="588" spans="1:16">
      <c r="A588" s="46" t="s">
        <v>2360</v>
      </c>
      <c r="B588" s="46" t="s">
        <v>1791</v>
      </c>
      <c r="C588" s="46" t="s">
        <v>407</v>
      </c>
      <c r="D588" s="46" t="s">
        <v>367</v>
      </c>
      <c r="E588" s="46" t="s">
        <v>185</v>
      </c>
      <c r="F588" s="46" t="s">
        <v>1014</v>
      </c>
      <c r="G588" s="46" t="s">
        <v>470</v>
      </c>
      <c r="H588" s="46" t="s">
        <v>396</v>
      </c>
      <c r="I588" s="46" t="s">
        <v>838</v>
      </c>
      <c r="J588" s="46" t="s">
        <v>2361</v>
      </c>
      <c r="K588" s="46">
        <v>4</v>
      </c>
      <c r="L588" s="46" t="s">
        <v>2362</v>
      </c>
      <c r="M588" s="46" t="s">
        <v>117</v>
      </c>
      <c r="N588" s="46">
        <v>3</v>
      </c>
      <c r="O588" s="46" t="s">
        <v>191</v>
      </c>
      <c r="P588" s="46"/>
    </row>
    <row r="589" spans="1:16">
      <c r="A589" s="37" t="s">
        <v>2363</v>
      </c>
      <c r="B589" s="37" t="s">
        <v>2112</v>
      </c>
      <c r="C589" s="37" t="s">
        <v>121</v>
      </c>
      <c r="D589" s="37" t="s">
        <v>352</v>
      </c>
      <c r="E589" s="37" t="s">
        <v>123</v>
      </c>
      <c r="F589" s="37" t="s">
        <v>231</v>
      </c>
      <c r="G589" s="37" t="s">
        <v>418</v>
      </c>
      <c r="H589" s="37" t="s">
        <v>90</v>
      </c>
      <c r="I589" s="37" t="s">
        <v>2364</v>
      </c>
      <c r="J589" s="37" t="s">
        <v>2365</v>
      </c>
      <c r="K589" s="37">
        <v>4</v>
      </c>
      <c r="L589" s="37" t="s">
        <v>774</v>
      </c>
      <c r="M589" s="37" t="s">
        <v>172</v>
      </c>
      <c r="N589" s="37">
        <v>4</v>
      </c>
      <c r="O589" s="37" t="s">
        <v>191</v>
      </c>
      <c r="P589" s="37"/>
    </row>
    <row r="590" spans="1:16">
      <c r="A590" s="46" t="s">
        <v>2366</v>
      </c>
      <c r="B590" s="46" t="s">
        <v>2367</v>
      </c>
      <c r="C590" s="46" t="s">
        <v>366</v>
      </c>
      <c r="D590" s="46" t="s">
        <v>223</v>
      </c>
      <c r="E590" s="46" t="s">
        <v>224</v>
      </c>
      <c r="F590" s="46" t="s">
        <v>214</v>
      </c>
      <c r="G590" s="46" t="s">
        <v>380</v>
      </c>
      <c r="H590" s="46" t="s">
        <v>126</v>
      </c>
      <c r="I590" s="46" t="s">
        <v>2368</v>
      </c>
      <c r="J590" s="46" t="s">
        <v>2369</v>
      </c>
      <c r="K590" s="46">
        <v>2</v>
      </c>
      <c r="L590" s="46" t="s">
        <v>1897</v>
      </c>
      <c r="M590" s="46" t="s">
        <v>200</v>
      </c>
      <c r="N590" s="46">
        <v>2</v>
      </c>
      <c r="O590" s="46" t="s">
        <v>191</v>
      </c>
      <c r="P590" s="46"/>
    </row>
    <row r="591" spans="1:16">
      <c r="A591" s="37" t="s">
        <v>2370</v>
      </c>
      <c r="B591" s="37" t="s">
        <v>2371</v>
      </c>
      <c r="C591" s="37" t="s">
        <v>424</v>
      </c>
      <c r="D591" s="37" t="s">
        <v>175</v>
      </c>
      <c r="E591" s="37" t="s">
        <v>345</v>
      </c>
      <c r="F591" s="37" t="s">
        <v>319</v>
      </c>
      <c r="G591" s="37" t="s">
        <v>380</v>
      </c>
      <c r="H591" s="37" t="s">
        <v>91</v>
      </c>
      <c r="I591" s="37" t="s">
        <v>2372</v>
      </c>
      <c r="J591" s="37" t="s">
        <v>2062</v>
      </c>
      <c r="K591" s="37">
        <v>6</v>
      </c>
      <c r="L591" s="37" t="s">
        <v>737</v>
      </c>
      <c r="M591" s="37" t="s">
        <v>163</v>
      </c>
      <c r="N591" s="37">
        <v>4</v>
      </c>
      <c r="O591" s="37" t="s">
        <v>181</v>
      </c>
      <c r="P591" s="37"/>
    </row>
    <row r="592" spans="1:16">
      <c r="A592" s="46" t="s">
        <v>2373</v>
      </c>
      <c r="B592" s="46" t="s">
        <v>151</v>
      </c>
      <c r="C592" s="46" t="s">
        <v>90</v>
      </c>
      <c r="D592" s="46" t="s">
        <v>367</v>
      </c>
      <c r="E592" s="46" t="s">
        <v>137</v>
      </c>
      <c r="F592" s="46" t="s">
        <v>237</v>
      </c>
      <c r="G592" s="46" t="s">
        <v>101</v>
      </c>
      <c r="H592" s="46" t="s">
        <v>206</v>
      </c>
      <c r="I592" s="46" t="s">
        <v>2374</v>
      </c>
      <c r="J592" s="46" t="s">
        <v>2375</v>
      </c>
      <c r="K592" s="46">
        <v>8</v>
      </c>
      <c r="L592" s="46" t="s">
        <v>406</v>
      </c>
      <c r="M592" s="46" t="s">
        <v>72</v>
      </c>
      <c r="N592" s="46">
        <v>5</v>
      </c>
      <c r="O592" s="46" t="s">
        <v>118</v>
      </c>
      <c r="P592" s="46"/>
    </row>
    <row r="593" spans="1:16">
      <c r="A593" s="37" t="s">
        <v>2376</v>
      </c>
      <c r="B593" s="37" t="s">
        <v>1335</v>
      </c>
      <c r="C593" s="37" t="s">
        <v>366</v>
      </c>
      <c r="D593" s="37" t="s">
        <v>333</v>
      </c>
      <c r="E593" s="37" t="s">
        <v>123</v>
      </c>
      <c r="F593" s="37" t="s">
        <v>385</v>
      </c>
      <c r="G593" s="37" t="s">
        <v>89</v>
      </c>
      <c r="H593" s="37" t="s">
        <v>88</v>
      </c>
      <c r="I593" s="37" t="s">
        <v>2377</v>
      </c>
      <c r="J593" s="37" t="s">
        <v>2378</v>
      </c>
      <c r="K593" s="37">
        <v>4</v>
      </c>
      <c r="L593" s="37" t="s">
        <v>2379</v>
      </c>
      <c r="M593" s="37" t="s">
        <v>105</v>
      </c>
      <c r="N593" s="37">
        <v>5</v>
      </c>
      <c r="O593" s="37" t="s">
        <v>286</v>
      </c>
      <c r="P593" s="37"/>
    </row>
    <row r="594" spans="1:16">
      <c r="A594" s="46" t="s">
        <v>2380</v>
      </c>
      <c r="B594" s="46" t="s">
        <v>694</v>
      </c>
      <c r="C594" s="46" t="s">
        <v>366</v>
      </c>
      <c r="D594" s="46" t="s">
        <v>204</v>
      </c>
      <c r="E594" s="46" t="s">
        <v>176</v>
      </c>
      <c r="F594" s="46" t="s">
        <v>158</v>
      </c>
      <c r="G594" s="46" t="s">
        <v>101</v>
      </c>
      <c r="H594" s="46" t="s">
        <v>206</v>
      </c>
      <c r="I594" s="46" t="s">
        <v>2381</v>
      </c>
      <c r="J594" s="46" t="s">
        <v>2382</v>
      </c>
      <c r="K594" s="46">
        <v>8</v>
      </c>
      <c r="L594" s="46" t="s">
        <v>2383</v>
      </c>
      <c r="M594" s="46" t="s">
        <v>172</v>
      </c>
      <c r="N594" s="46">
        <v>2</v>
      </c>
      <c r="O594" s="46" t="s">
        <v>286</v>
      </c>
      <c r="P594" s="46"/>
    </row>
    <row r="595" spans="1:16">
      <c r="A595" s="37" t="s">
        <v>2384</v>
      </c>
      <c r="B595" s="37" t="s">
        <v>2385</v>
      </c>
      <c r="C595" s="37" t="s">
        <v>91</v>
      </c>
      <c r="D595" s="37" t="s">
        <v>194</v>
      </c>
      <c r="E595" s="37" t="s">
        <v>244</v>
      </c>
      <c r="F595" s="37" t="s">
        <v>271</v>
      </c>
      <c r="G595" s="37" t="s">
        <v>257</v>
      </c>
      <c r="H595" s="37" t="s">
        <v>206</v>
      </c>
      <c r="I595" s="37" t="s">
        <v>2294</v>
      </c>
      <c r="J595" s="37" t="s">
        <v>1859</v>
      </c>
      <c r="K595" s="37">
        <v>4</v>
      </c>
      <c r="L595" s="37" t="s">
        <v>1134</v>
      </c>
      <c r="M595" s="37" t="s">
        <v>219</v>
      </c>
      <c r="N595" s="37">
        <v>4</v>
      </c>
      <c r="O595" s="37" t="s">
        <v>181</v>
      </c>
      <c r="P595" s="37"/>
    </row>
    <row r="596" spans="1:16">
      <c r="A596" s="46" t="s">
        <v>2386</v>
      </c>
      <c r="B596" s="46" t="s">
        <v>672</v>
      </c>
      <c r="C596" s="46" t="s">
        <v>282</v>
      </c>
      <c r="D596" s="46" t="s">
        <v>122</v>
      </c>
      <c r="E596" s="46" t="s">
        <v>224</v>
      </c>
      <c r="F596" s="46" t="s">
        <v>664</v>
      </c>
      <c r="G596" s="46" t="s">
        <v>101</v>
      </c>
      <c r="H596" s="46" t="s">
        <v>187</v>
      </c>
      <c r="I596" s="46" t="s">
        <v>974</v>
      </c>
      <c r="J596" s="46" t="s">
        <v>2387</v>
      </c>
      <c r="K596" s="46">
        <v>2</v>
      </c>
      <c r="L596" s="46" t="s">
        <v>2388</v>
      </c>
      <c r="M596" s="46" t="s">
        <v>117</v>
      </c>
      <c r="N596" s="46">
        <v>5</v>
      </c>
      <c r="O596" s="46" t="s">
        <v>118</v>
      </c>
      <c r="P596" s="46"/>
    </row>
    <row r="597" spans="1:16">
      <c r="A597" s="37" t="s">
        <v>2389</v>
      </c>
      <c r="B597" s="37" t="s">
        <v>2112</v>
      </c>
      <c r="C597" s="37" t="s">
        <v>340</v>
      </c>
      <c r="D597" s="37" t="s">
        <v>204</v>
      </c>
      <c r="E597" s="37" t="s">
        <v>157</v>
      </c>
      <c r="F597" s="37" t="s">
        <v>47</v>
      </c>
      <c r="G597" s="37" t="s">
        <v>470</v>
      </c>
      <c r="H597" s="37" t="s">
        <v>396</v>
      </c>
      <c r="I597" s="37" t="s">
        <v>2390</v>
      </c>
      <c r="J597" s="37" t="s">
        <v>2391</v>
      </c>
      <c r="K597" s="37">
        <v>6</v>
      </c>
      <c r="L597" s="37" t="s">
        <v>134</v>
      </c>
      <c r="M597" s="37" t="s">
        <v>105</v>
      </c>
      <c r="N597" s="37">
        <v>3</v>
      </c>
      <c r="O597" s="37" t="s">
        <v>118</v>
      </c>
      <c r="P597" s="37"/>
    </row>
    <row r="598" spans="1:16">
      <c r="A598" s="37" t="s">
        <v>2392</v>
      </c>
      <c r="B598" s="37" t="s">
        <v>318</v>
      </c>
      <c r="C598" s="37" t="s">
        <v>251</v>
      </c>
      <c r="D598" s="37" t="s">
        <v>270</v>
      </c>
      <c r="E598" s="37" t="s">
        <v>147</v>
      </c>
      <c r="F598" s="37" t="s">
        <v>138</v>
      </c>
      <c r="G598" s="37" t="s">
        <v>92</v>
      </c>
      <c r="H598" s="37" t="s">
        <v>91</v>
      </c>
      <c r="I598" s="37" t="s">
        <v>160</v>
      </c>
      <c r="J598" s="37" t="s">
        <v>2393</v>
      </c>
      <c r="K598" s="37">
        <v>8</v>
      </c>
      <c r="L598" s="37" t="s">
        <v>2371</v>
      </c>
      <c r="M598" s="37" t="s">
        <v>72</v>
      </c>
      <c r="N598" s="37">
        <v>2</v>
      </c>
      <c r="O598" s="37" t="s">
        <v>118</v>
      </c>
      <c r="P598" s="37"/>
    </row>
    <row r="599" spans="1:16">
      <c r="A599" s="46" t="s">
        <v>2394</v>
      </c>
      <c r="B599" s="46" t="s">
        <v>1517</v>
      </c>
      <c r="C599" s="46" t="s">
        <v>135</v>
      </c>
      <c r="D599" s="46" t="s">
        <v>156</v>
      </c>
      <c r="E599" s="46" t="s">
        <v>195</v>
      </c>
      <c r="F599" s="46" t="s">
        <v>205</v>
      </c>
      <c r="G599" s="46" t="s">
        <v>89</v>
      </c>
      <c r="H599" s="46" t="s">
        <v>88</v>
      </c>
      <c r="I599" s="46" t="s">
        <v>2395</v>
      </c>
      <c r="J599" s="46" t="s">
        <v>2396</v>
      </c>
      <c r="K599" s="46">
        <v>6</v>
      </c>
      <c r="L599" s="46" t="s">
        <v>781</v>
      </c>
      <c r="M599" s="46" t="s">
        <v>143</v>
      </c>
      <c r="N599" s="46">
        <v>1</v>
      </c>
      <c r="O599" s="46" t="s">
        <v>131</v>
      </c>
      <c r="P599" s="46"/>
    </row>
    <row r="600" spans="1:16">
      <c r="A600" s="37" t="s">
        <v>2397</v>
      </c>
      <c r="B600" s="37" t="s">
        <v>1838</v>
      </c>
      <c r="C600" s="37" t="s">
        <v>121</v>
      </c>
      <c r="D600" s="37" t="s">
        <v>919</v>
      </c>
      <c r="E600" s="37" t="s">
        <v>440</v>
      </c>
      <c r="F600" s="37" t="s">
        <v>368</v>
      </c>
      <c r="G600" s="37" t="s">
        <v>346</v>
      </c>
      <c r="H600" s="37" t="s">
        <v>32</v>
      </c>
      <c r="I600" s="37" t="s">
        <v>2398</v>
      </c>
      <c r="J600" s="37" t="s">
        <v>2399</v>
      </c>
      <c r="K600" s="37">
        <v>6</v>
      </c>
      <c r="L600" s="37" t="s">
        <v>758</v>
      </c>
      <c r="M600" s="37" t="s">
        <v>143</v>
      </c>
      <c r="N600" s="37">
        <v>4</v>
      </c>
      <c r="O600" s="37" t="s">
        <v>181</v>
      </c>
      <c r="P600" s="37"/>
    </row>
    <row r="601" spans="1:16">
      <c r="A601" s="46" t="s">
        <v>2400</v>
      </c>
      <c r="B601" s="46" t="s">
        <v>1317</v>
      </c>
      <c r="C601" s="46" t="s">
        <v>97</v>
      </c>
      <c r="D601" s="46" t="s">
        <v>544</v>
      </c>
      <c r="E601" s="46" t="s">
        <v>157</v>
      </c>
      <c r="F601" s="46" t="s">
        <v>301</v>
      </c>
      <c r="G601" s="46" t="s">
        <v>302</v>
      </c>
      <c r="H601" s="46" t="s">
        <v>126</v>
      </c>
      <c r="I601" s="46" t="s">
        <v>2401</v>
      </c>
      <c r="J601" s="46" t="s">
        <v>2402</v>
      </c>
      <c r="K601" s="46">
        <v>6</v>
      </c>
      <c r="L601" s="46" t="s">
        <v>1559</v>
      </c>
      <c r="M601" s="46" t="s">
        <v>163</v>
      </c>
      <c r="N601" s="46">
        <v>4</v>
      </c>
      <c r="O601" s="46" t="s">
        <v>79</v>
      </c>
      <c r="P601" s="46"/>
    </row>
    <row r="602" spans="1:16">
      <c r="A602" s="37" t="s">
        <v>2403</v>
      </c>
      <c r="B602" s="37" t="s">
        <v>429</v>
      </c>
      <c r="C602" s="37" t="s">
        <v>282</v>
      </c>
      <c r="D602" s="37" t="s">
        <v>194</v>
      </c>
      <c r="E602" s="37" t="s">
        <v>440</v>
      </c>
      <c r="F602" s="37" t="s">
        <v>326</v>
      </c>
      <c r="G602" s="37" t="s">
        <v>401</v>
      </c>
      <c r="H602" s="37" t="s">
        <v>54</v>
      </c>
      <c r="I602" s="37" t="s">
        <v>2404</v>
      </c>
      <c r="J602" s="37" t="s">
        <v>2405</v>
      </c>
      <c r="K602" s="37">
        <v>8</v>
      </c>
      <c r="L602" s="37" t="s">
        <v>571</v>
      </c>
      <c r="M602" s="37" t="s">
        <v>219</v>
      </c>
      <c r="N602" s="37">
        <v>4</v>
      </c>
      <c r="O602" s="37" t="s">
        <v>152</v>
      </c>
      <c r="P602" s="37"/>
    </row>
    <row r="603" spans="1:16">
      <c r="A603" s="46" t="s">
        <v>2406</v>
      </c>
      <c r="B603" s="46" t="s">
        <v>1282</v>
      </c>
      <c r="C603" s="46" t="s">
        <v>451</v>
      </c>
      <c r="D603" s="46" t="s">
        <v>333</v>
      </c>
      <c r="E603" s="46" t="s">
        <v>137</v>
      </c>
      <c r="F603" s="46" t="s">
        <v>214</v>
      </c>
      <c r="G603" s="46" t="s">
        <v>89</v>
      </c>
      <c r="H603" s="46" t="s">
        <v>88</v>
      </c>
      <c r="I603" s="46" t="s">
        <v>2407</v>
      </c>
      <c r="J603" s="46" t="s">
        <v>2408</v>
      </c>
      <c r="K603" s="46">
        <v>8</v>
      </c>
      <c r="L603" s="46" t="s">
        <v>2331</v>
      </c>
      <c r="M603" s="46" t="s">
        <v>163</v>
      </c>
      <c r="N603" s="46">
        <v>4</v>
      </c>
      <c r="O603" s="46" t="s">
        <v>131</v>
      </c>
      <c r="P603" s="46"/>
    </row>
    <row r="604" spans="1:16">
      <c r="A604" s="37" t="s">
        <v>2409</v>
      </c>
      <c r="B604" s="37" t="s">
        <v>623</v>
      </c>
      <c r="C604" s="37" t="s">
        <v>32</v>
      </c>
      <c r="D604" s="37" t="s">
        <v>136</v>
      </c>
      <c r="E604" s="37" t="s">
        <v>157</v>
      </c>
      <c r="F604" s="37" t="s">
        <v>313</v>
      </c>
      <c r="G604" s="37" t="s">
        <v>470</v>
      </c>
      <c r="H604" s="37" t="s">
        <v>294</v>
      </c>
      <c r="I604" s="37" t="s">
        <v>2410</v>
      </c>
      <c r="J604" s="37" t="s">
        <v>2411</v>
      </c>
      <c r="K604" s="37">
        <v>6</v>
      </c>
      <c r="L604" s="37" t="s">
        <v>587</v>
      </c>
      <c r="M604" s="37" t="s">
        <v>219</v>
      </c>
      <c r="N604" s="37">
        <v>5</v>
      </c>
      <c r="O604" s="37" t="s">
        <v>106</v>
      </c>
      <c r="P604" s="37"/>
    </row>
    <row r="605" spans="1:16">
      <c r="A605" s="46" t="s">
        <v>2412</v>
      </c>
      <c r="B605" s="46" t="s">
        <v>1917</v>
      </c>
      <c r="C605" s="46" t="s">
        <v>93</v>
      </c>
      <c r="D605" s="46" t="s">
        <v>184</v>
      </c>
      <c r="E605" s="46" t="s">
        <v>185</v>
      </c>
      <c r="F605" s="46" t="s">
        <v>313</v>
      </c>
      <c r="G605" s="46" t="s">
        <v>264</v>
      </c>
      <c r="H605" s="46" t="s">
        <v>88</v>
      </c>
      <c r="I605" s="46" t="s">
        <v>2413</v>
      </c>
      <c r="J605" s="46" t="s">
        <v>2414</v>
      </c>
      <c r="K605" s="46">
        <v>4</v>
      </c>
      <c r="L605" s="46" t="s">
        <v>445</v>
      </c>
      <c r="M605" s="46" t="s">
        <v>337</v>
      </c>
      <c r="N605" s="46"/>
      <c r="O605" s="46" t="s">
        <v>79</v>
      </c>
      <c r="P605" s="46" t="s">
        <v>132</v>
      </c>
    </row>
    <row r="606" spans="1:16">
      <c r="A606" s="37" t="s">
        <v>2415</v>
      </c>
      <c r="B606" s="37" t="s">
        <v>761</v>
      </c>
      <c r="C606" s="37" t="s">
        <v>166</v>
      </c>
      <c r="D606" s="37" t="s">
        <v>544</v>
      </c>
      <c r="E606" s="37" t="s">
        <v>440</v>
      </c>
      <c r="F606" s="37" t="s">
        <v>326</v>
      </c>
      <c r="G606" s="37" t="s">
        <v>197</v>
      </c>
      <c r="H606" s="37" t="s">
        <v>90</v>
      </c>
      <c r="I606" s="37" t="s">
        <v>1472</v>
      </c>
      <c r="J606" s="37" t="s">
        <v>2185</v>
      </c>
      <c r="K606" s="37">
        <v>8</v>
      </c>
      <c r="L606" s="37" t="s">
        <v>1158</v>
      </c>
      <c r="M606" s="37" t="s">
        <v>219</v>
      </c>
      <c r="N606" s="37">
        <v>5</v>
      </c>
      <c r="O606" s="37" t="s">
        <v>152</v>
      </c>
      <c r="P606" s="37"/>
    </row>
    <row r="607" spans="1:16">
      <c r="A607" s="46" t="s">
        <v>2416</v>
      </c>
      <c r="B607" s="46" t="s">
        <v>483</v>
      </c>
      <c r="C607" s="46" t="s">
        <v>222</v>
      </c>
      <c r="D607" s="46" t="s">
        <v>204</v>
      </c>
      <c r="E607" s="46" t="s">
        <v>137</v>
      </c>
      <c r="F607" s="46" t="s">
        <v>186</v>
      </c>
      <c r="G607" s="46" t="s">
        <v>51</v>
      </c>
      <c r="H607" s="46" t="s">
        <v>54</v>
      </c>
      <c r="I607" s="46" t="s">
        <v>524</v>
      </c>
      <c r="J607" s="46" t="s">
        <v>2417</v>
      </c>
      <c r="K607" s="46">
        <v>8</v>
      </c>
      <c r="L607" s="46" t="s">
        <v>485</v>
      </c>
      <c r="M607" s="46" t="s">
        <v>105</v>
      </c>
      <c r="N607" s="46">
        <v>3</v>
      </c>
      <c r="O607" s="46" t="s">
        <v>118</v>
      </c>
      <c r="P607" s="46"/>
    </row>
    <row r="608" spans="1:16">
      <c r="A608" s="37" t="s">
        <v>2418</v>
      </c>
      <c r="B608" s="37" t="s">
        <v>2419</v>
      </c>
      <c r="C608" s="37" t="s">
        <v>203</v>
      </c>
      <c r="D608" s="37" t="s">
        <v>204</v>
      </c>
      <c r="E608" s="37" t="s">
        <v>110</v>
      </c>
      <c r="F608" s="37" t="s">
        <v>177</v>
      </c>
      <c r="G608" s="37" t="s">
        <v>197</v>
      </c>
      <c r="H608" s="37" t="s">
        <v>90</v>
      </c>
      <c r="I608" s="37" t="s">
        <v>2420</v>
      </c>
      <c r="J608" s="37" t="s">
        <v>2421</v>
      </c>
      <c r="K608" s="37">
        <v>6</v>
      </c>
      <c r="L608" s="37" t="s">
        <v>1791</v>
      </c>
      <c r="M608" s="37" t="s">
        <v>219</v>
      </c>
      <c r="N608" s="37">
        <v>4</v>
      </c>
      <c r="O608" s="37" t="s">
        <v>152</v>
      </c>
      <c r="P608" s="37"/>
    </row>
    <row r="609" spans="1:16">
      <c r="A609" s="46" t="s">
        <v>2422</v>
      </c>
      <c r="B609" s="46" t="s">
        <v>363</v>
      </c>
      <c r="C609" s="46" t="s">
        <v>300</v>
      </c>
      <c r="D609" s="46" t="s">
        <v>223</v>
      </c>
      <c r="E609" s="46" t="s">
        <v>99</v>
      </c>
      <c r="F609" s="46" t="s">
        <v>385</v>
      </c>
      <c r="G609" s="46" t="s">
        <v>334</v>
      </c>
      <c r="H609" s="46" t="s">
        <v>32</v>
      </c>
      <c r="I609" s="46" t="s">
        <v>2423</v>
      </c>
      <c r="J609" s="46" t="s">
        <v>2424</v>
      </c>
      <c r="K609" s="46">
        <v>4</v>
      </c>
      <c r="L609" s="46" t="s">
        <v>1564</v>
      </c>
      <c r="M609" s="46" t="s">
        <v>130</v>
      </c>
      <c r="N609" s="46"/>
      <c r="O609" s="46" t="s">
        <v>191</v>
      </c>
      <c r="P609" s="46" t="s">
        <v>132</v>
      </c>
    </row>
    <row r="610" spans="1:16">
      <c r="A610" s="37" t="s">
        <v>2425</v>
      </c>
      <c r="B610" s="37" t="s">
        <v>805</v>
      </c>
      <c r="C610" s="37" t="s">
        <v>97</v>
      </c>
      <c r="D610" s="37" t="s">
        <v>213</v>
      </c>
      <c r="E610" s="37" t="s">
        <v>157</v>
      </c>
      <c r="F610" s="37" t="s">
        <v>271</v>
      </c>
      <c r="G610" s="37" t="s">
        <v>197</v>
      </c>
      <c r="H610" s="37" t="s">
        <v>93</v>
      </c>
      <c r="I610" s="37" t="s">
        <v>2426</v>
      </c>
      <c r="J610" s="37" t="s">
        <v>683</v>
      </c>
      <c r="K610" s="37">
        <v>4</v>
      </c>
      <c r="L610" s="37" t="s">
        <v>959</v>
      </c>
      <c r="M610" s="37" t="s">
        <v>143</v>
      </c>
      <c r="N610" s="37">
        <v>4</v>
      </c>
      <c r="O610" s="37" t="s">
        <v>286</v>
      </c>
      <c r="P610" s="37"/>
    </row>
    <row r="611" spans="1:16">
      <c r="A611" s="46" t="s">
        <v>2427</v>
      </c>
      <c r="B611" s="46" t="s">
        <v>2362</v>
      </c>
      <c r="C611" s="46" t="s">
        <v>121</v>
      </c>
      <c r="D611" s="46" t="s">
        <v>122</v>
      </c>
      <c r="E611" s="46" t="s">
        <v>137</v>
      </c>
      <c r="F611" s="46" t="s">
        <v>326</v>
      </c>
      <c r="G611" s="46" t="s">
        <v>470</v>
      </c>
      <c r="H611" s="46" t="s">
        <v>91</v>
      </c>
      <c r="I611" s="46" t="s">
        <v>2381</v>
      </c>
      <c r="J611" s="46" t="s">
        <v>2428</v>
      </c>
      <c r="K611" s="46">
        <v>8</v>
      </c>
      <c r="L611" s="46" t="s">
        <v>2429</v>
      </c>
      <c r="M611" s="46" t="s">
        <v>143</v>
      </c>
      <c r="N611" s="46">
        <v>4</v>
      </c>
      <c r="O611" s="46" t="s">
        <v>191</v>
      </c>
      <c r="P611" s="46"/>
    </row>
    <row r="612" spans="1:16">
      <c r="A612" s="37" t="s">
        <v>2430</v>
      </c>
      <c r="B612" s="37" t="s">
        <v>1061</v>
      </c>
      <c r="C612" s="37" t="s">
        <v>212</v>
      </c>
      <c r="D612" s="37" t="s">
        <v>270</v>
      </c>
      <c r="E612" s="37" t="s">
        <v>123</v>
      </c>
      <c r="F612" s="37" t="s">
        <v>385</v>
      </c>
      <c r="G612" s="37" t="s">
        <v>159</v>
      </c>
      <c r="H612" s="37" t="s">
        <v>90</v>
      </c>
      <c r="I612" s="37" t="s">
        <v>2431</v>
      </c>
      <c r="J612" s="37" t="s">
        <v>2432</v>
      </c>
      <c r="K612" s="37">
        <v>4</v>
      </c>
      <c r="L612" s="37" t="s">
        <v>1325</v>
      </c>
      <c r="M612" s="37" t="s">
        <v>219</v>
      </c>
      <c r="N612" s="37">
        <v>5</v>
      </c>
      <c r="O612" s="37" t="s">
        <v>106</v>
      </c>
      <c r="P612" s="37"/>
    </row>
    <row r="613" spans="1:16">
      <c r="A613" s="46" t="s">
        <v>2433</v>
      </c>
      <c r="B613" s="46" t="s">
        <v>729</v>
      </c>
      <c r="C613" s="46" t="s">
        <v>307</v>
      </c>
      <c r="D613" s="46" t="s">
        <v>544</v>
      </c>
      <c r="E613" s="46" t="s">
        <v>42</v>
      </c>
      <c r="F613" s="46" t="s">
        <v>283</v>
      </c>
      <c r="G613" s="46" t="s">
        <v>346</v>
      </c>
      <c r="H613" s="46" t="s">
        <v>32</v>
      </c>
      <c r="I613" s="46" t="s">
        <v>2434</v>
      </c>
      <c r="J613" s="46" t="s">
        <v>608</v>
      </c>
      <c r="K613" s="46">
        <v>6</v>
      </c>
      <c r="L613" s="46" t="s">
        <v>641</v>
      </c>
      <c r="M613" s="46" t="s">
        <v>117</v>
      </c>
      <c r="N613" s="46">
        <v>4</v>
      </c>
      <c r="O613" s="46" t="s">
        <v>181</v>
      </c>
      <c r="P613" s="46"/>
    </row>
    <row r="614" spans="1:16">
      <c r="A614" s="37" t="s">
        <v>2435</v>
      </c>
      <c r="B614" s="37" t="s">
        <v>1166</v>
      </c>
      <c r="C614" s="37" t="s">
        <v>243</v>
      </c>
      <c r="D614" s="37" t="s">
        <v>194</v>
      </c>
      <c r="E614" s="37" t="s">
        <v>195</v>
      </c>
      <c r="F614" s="37" t="s">
        <v>353</v>
      </c>
      <c r="G614" s="37" t="s">
        <v>346</v>
      </c>
      <c r="H614" s="37" t="s">
        <v>354</v>
      </c>
      <c r="I614" s="37" t="s">
        <v>2436</v>
      </c>
      <c r="J614" s="37" t="s">
        <v>2399</v>
      </c>
      <c r="K614" s="37">
        <v>8</v>
      </c>
      <c r="L614" s="37" t="s">
        <v>2132</v>
      </c>
      <c r="M614" s="37" t="s">
        <v>143</v>
      </c>
      <c r="N614" s="37">
        <v>4</v>
      </c>
      <c r="O614" s="37" t="s">
        <v>79</v>
      </c>
      <c r="P614" s="37"/>
    </row>
    <row r="615" spans="1:16">
      <c r="A615" s="46" t="s">
        <v>2437</v>
      </c>
      <c r="B615" s="46" t="s">
        <v>357</v>
      </c>
      <c r="C615" s="46" t="s">
        <v>451</v>
      </c>
      <c r="D615" s="46" t="s">
        <v>175</v>
      </c>
      <c r="E615" s="46" t="s">
        <v>110</v>
      </c>
      <c r="F615" s="46" t="s">
        <v>186</v>
      </c>
      <c r="G615" s="46" t="s">
        <v>264</v>
      </c>
      <c r="H615" s="46" t="s">
        <v>88</v>
      </c>
      <c r="I615" s="46" t="s">
        <v>2438</v>
      </c>
      <c r="J615" s="46" t="s">
        <v>2439</v>
      </c>
      <c r="K615" s="46">
        <v>6</v>
      </c>
      <c r="L615" s="46" t="s">
        <v>1074</v>
      </c>
      <c r="M615" s="46" t="s">
        <v>163</v>
      </c>
      <c r="N615" s="46">
        <v>5</v>
      </c>
      <c r="O615" s="46" t="s">
        <v>181</v>
      </c>
      <c r="P615" s="46"/>
    </row>
    <row r="616" spans="1:16">
      <c r="A616" s="37" t="s">
        <v>2440</v>
      </c>
      <c r="B616" s="37" t="s">
        <v>979</v>
      </c>
      <c r="C616" s="37" t="s">
        <v>174</v>
      </c>
      <c r="D616" s="37" t="s">
        <v>919</v>
      </c>
      <c r="E616" s="37" t="s">
        <v>157</v>
      </c>
      <c r="F616" s="37" t="s">
        <v>1112</v>
      </c>
      <c r="G616" s="37" t="s">
        <v>401</v>
      </c>
      <c r="H616" s="37" t="s">
        <v>327</v>
      </c>
      <c r="I616" s="37" t="s">
        <v>1077</v>
      </c>
      <c r="J616" s="37" t="s">
        <v>2441</v>
      </c>
      <c r="K616" s="37">
        <v>6</v>
      </c>
      <c r="L616" s="37" t="s">
        <v>526</v>
      </c>
      <c r="M616" s="37" t="s">
        <v>219</v>
      </c>
      <c r="N616" s="37">
        <v>5</v>
      </c>
      <c r="O616" s="37" t="s">
        <v>191</v>
      </c>
      <c r="P616" s="37"/>
    </row>
    <row r="617" spans="1:16">
      <c r="A617" s="46" t="s">
        <v>2442</v>
      </c>
      <c r="B617" s="46" t="s">
        <v>536</v>
      </c>
      <c r="C617" s="46" t="s">
        <v>91</v>
      </c>
      <c r="D617" s="46" t="s">
        <v>230</v>
      </c>
      <c r="E617" s="46" t="s">
        <v>440</v>
      </c>
      <c r="F617" s="46" t="s">
        <v>214</v>
      </c>
      <c r="G617" s="46" t="s">
        <v>87</v>
      </c>
      <c r="H617" s="46" t="s">
        <v>113</v>
      </c>
      <c r="I617" s="46" t="s">
        <v>1752</v>
      </c>
      <c r="J617" s="46" t="s">
        <v>315</v>
      </c>
      <c r="K617" s="46">
        <v>8</v>
      </c>
      <c r="L617" s="46" t="s">
        <v>1501</v>
      </c>
      <c r="M617" s="46" t="s">
        <v>219</v>
      </c>
      <c r="N617" s="46">
        <v>5</v>
      </c>
      <c r="O617" s="46" t="s">
        <v>131</v>
      </c>
      <c r="P617" s="46"/>
    </row>
    <row r="618" spans="1:16">
      <c r="A618" s="37" t="s">
        <v>2443</v>
      </c>
      <c r="B618" s="37" t="s">
        <v>2371</v>
      </c>
      <c r="C618" s="37" t="s">
        <v>97</v>
      </c>
      <c r="D618" s="37" t="s">
        <v>136</v>
      </c>
      <c r="E618" s="37" t="s">
        <v>123</v>
      </c>
      <c r="F618" s="37" t="s">
        <v>47</v>
      </c>
      <c r="G618" s="37" t="s">
        <v>470</v>
      </c>
      <c r="H618" s="37" t="s">
        <v>91</v>
      </c>
      <c r="I618" s="37" t="s">
        <v>1996</v>
      </c>
      <c r="J618" s="37" t="s">
        <v>2444</v>
      </c>
      <c r="K618" s="37">
        <v>4</v>
      </c>
      <c r="L618" s="37" t="s">
        <v>1048</v>
      </c>
      <c r="M618" s="37" t="s">
        <v>163</v>
      </c>
      <c r="N618" s="37">
        <v>5</v>
      </c>
      <c r="O618" s="37" t="s">
        <v>286</v>
      </c>
      <c r="P618" s="37"/>
    </row>
    <row r="619" spans="1:16">
      <c r="A619" s="46" t="s">
        <v>2445</v>
      </c>
      <c r="B619" s="46" t="s">
        <v>1860</v>
      </c>
      <c r="C619" s="46" t="s">
        <v>174</v>
      </c>
      <c r="D619" s="46" t="s">
        <v>312</v>
      </c>
      <c r="E619" s="46" t="s">
        <v>176</v>
      </c>
      <c r="F619" s="46" t="s">
        <v>582</v>
      </c>
      <c r="G619" s="46" t="s">
        <v>168</v>
      </c>
      <c r="H619" s="46" t="s">
        <v>206</v>
      </c>
      <c r="I619" s="46" t="s">
        <v>1929</v>
      </c>
      <c r="J619" s="46" t="s">
        <v>2446</v>
      </c>
      <c r="K619" s="46">
        <v>6</v>
      </c>
      <c r="L619" s="46" t="s">
        <v>1550</v>
      </c>
      <c r="M619" s="46" t="s">
        <v>117</v>
      </c>
      <c r="N619" s="46">
        <v>4</v>
      </c>
      <c r="O619" s="46" t="s">
        <v>118</v>
      </c>
      <c r="P619" s="46"/>
    </row>
    <row r="620" spans="1:16">
      <c r="A620" s="37" t="s">
        <v>2447</v>
      </c>
      <c r="B620" s="37" t="s">
        <v>851</v>
      </c>
      <c r="C620" s="37" t="s">
        <v>566</v>
      </c>
      <c r="D620" s="37" t="s">
        <v>204</v>
      </c>
      <c r="E620" s="37" t="s">
        <v>345</v>
      </c>
      <c r="F620" s="37" t="s">
        <v>111</v>
      </c>
      <c r="G620" s="37" t="s">
        <v>257</v>
      </c>
      <c r="H620" s="37" t="s">
        <v>88</v>
      </c>
      <c r="I620" s="37" t="s">
        <v>2448</v>
      </c>
      <c r="J620" s="37" t="s">
        <v>2449</v>
      </c>
      <c r="K620" s="37">
        <v>6</v>
      </c>
      <c r="L620" s="37" t="s">
        <v>513</v>
      </c>
      <c r="M620" s="37" t="s">
        <v>143</v>
      </c>
      <c r="N620" s="37">
        <v>3</v>
      </c>
      <c r="O620" s="37" t="s">
        <v>152</v>
      </c>
      <c r="P620" s="37"/>
    </row>
    <row r="621" spans="1:16">
      <c r="A621" s="46" t="s">
        <v>2450</v>
      </c>
      <c r="B621" s="46" t="s">
        <v>1786</v>
      </c>
      <c r="C621" s="46" t="s">
        <v>633</v>
      </c>
      <c r="D621" s="46" t="s">
        <v>230</v>
      </c>
      <c r="E621" s="46" t="s">
        <v>195</v>
      </c>
      <c r="F621" s="46" t="s">
        <v>177</v>
      </c>
      <c r="G621" s="46" t="s">
        <v>302</v>
      </c>
      <c r="H621" s="46" t="s">
        <v>396</v>
      </c>
      <c r="I621" s="46" t="s">
        <v>1657</v>
      </c>
      <c r="J621" s="46" t="s">
        <v>2129</v>
      </c>
      <c r="K621" s="46">
        <v>8</v>
      </c>
      <c r="L621" s="46" t="s">
        <v>926</v>
      </c>
      <c r="M621" s="46" t="s">
        <v>72</v>
      </c>
      <c r="N621" s="46">
        <v>1</v>
      </c>
      <c r="O621" s="46" t="s">
        <v>118</v>
      </c>
      <c r="P621" s="46"/>
    </row>
    <row r="622" spans="1:16">
      <c r="A622" s="37" t="s">
        <v>2451</v>
      </c>
      <c r="B622" s="37" t="s">
        <v>556</v>
      </c>
      <c r="C622" s="37" t="s">
        <v>97</v>
      </c>
      <c r="D622" s="37" t="s">
        <v>122</v>
      </c>
      <c r="E622" s="37" t="s">
        <v>440</v>
      </c>
      <c r="F622" s="37" t="s">
        <v>111</v>
      </c>
      <c r="G622" s="37" t="s">
        <v>470</v>
      </c>
      <c r="H622" s="37" t="s">
        <v>294</v>
      </c>
      <c r="I622" s="37" t="s">
        <v>665</v>
      </c>
      <c r="J622" s="37" t="s">
        <v>2452</v>
      </c>
      <c r="K622" s="37">
        <v>8</v>
      </c>
      <c r="L622" s="37" t="s">
        <v>897</v>
      </c>
      <c r="M622" s="37" t="s">
        <v>105</v>
      </c>
      <c r="N622" s="37">
        <v>4</v>
      </c>
      <c r="O622" s="37" t="s">
        <v>181</v>
      </c>
      <c r="P622" s="37"/>
    </row>
    <row r="623" spans="1:16">
      <c r="A623" s="46" t="s">
        <v>2453</v>
      </c>
      <c r="B623" s="46" t="s">
        <v>1528</v>
      </c>
      <c r="C623" s="46" t="s">
        <v>469</v>
      </c>
      <c r="D623" s="46" t="s">
        <v>184</v>
      </c>
      <c r="E623" s="46" t="s">
        <v>185</v>
      </c>
      <c r="F623" s="46" t="s">
        <v>205</v>
      </c>
      <c r="G623" s="46" t="s">
        <v>418</v>
      </c>
      <c r="H623" s="46" t="s">
        <v>93</v>
      </c>
      <c r="I623" s="46" t="s">
        <v>1103</v>
      </c>
      <c r="J623" s="46" t="s">
        <v>2454</v>
      </c>
      <c r="K623" s="46">
        <v>6</v>
      </c>
      <c r="L623" s="46" t="s">
        <v>2455</v>
      </c>
      <c r="M623" s="46" t="s">
        <v>105</v>
      </c>
      <c r="N623" s="46">
        <v>4</v>
      </c>
      <c r="O623" s="46" t="s">
        <v>152</v>
      </c>
      <c r="P623" s="46"/>
    </row>
    <row r="624" spans="1:16">
      <c r="A624" s="37" t="s">
        <v>2456</v>
      </c>
      <c r="B624" s="37" t="s">
        <v>2305</v>
      </c>
      <c r="C624" s="37" t="s">
        <v>222</v>
      </c>
      <c r="D624" s="37" t="s">
        <v>175</v>
      </c>
      <c r="E624" s="37" t="s">
        <v>42</v>
      </c>
      <c r="F624" s="37" t="s">
        <v>167</v>
      </c>
      <c r="G624" s="37" t="s">
        <v>51</v>
      </c>
      <c r="H624" s="37" t="s">
        <v>93</v>
      </c>
      <c r="I624" s="37" t="s">
        <v>2068</v>
      </c>
      <c r="J624" s="37" t="s">
        <v>2457</v>
      </c>
      <c r="K624" s="37">
        <v>6</v>
      </c>
      <c r="L624" s="37" t="s">
        <v>2087</v>
      </c>
      <c r="M624" s="37" t="s">
        <v>200</v>
      </c>
      <c r="N624" s="37">
        <v>4</v>
      </c>
      <c r="O624" s="37" t="s">
        <v>152</v>
      </c>
      <c r="P624" s="37"/>
    </row>
    <row r="625" spans="1:16">
      <c r="A625" s="46" t="s">
        <v>2458</v>
      </c>
      <c r="B625" s="46" t="s">
        <v>2367</v>
      </c>
      <c r="C625" s="46" t="s">
        <v>54</v>
      </c>
      <c r="D625" s="46" t="s">
        <v>223</v>
      </c>
      <c r="E625" s="46" t="s">
        <v>99</v>
      </c>
      <c r="F625" s="46" t="s">
        <v>124</v>
      </c>
      <c r="G625" s="46" t="s">
        <v>92</v>
      </c>
      <c r="H625" s="46" t="s">
        <v>294</v>
      </c>
      <c r="I625" s="46" t="s">
        <v>2459</v>
      </c>
      <c r="J625" s="46" t="s">
        <v>2460</v>
      </c>
      <c r="K625" s="46">
        <v>4</v>
      </c>
      <c r="L625" s="46" t="s">
        <v>142</v>
      </c>
      <c r="M625" s="46" t="s">
        <v>200</v>
      </c>
      <c r="N625" s="46">
        <v>4</v>
      </c>
      <c r="O625" s="46" t="s">
        <v>106</v>
      </c>
      <c r="P625" s="46"/>
    </row>
    <row r="626" spans="1:16">
      <c r="A626" s="37" t="s">
        <v>2461</v>
      </c>
      <c r="B626" s="37" t="s">
        <v>2462</v>
      </c>
      <c r="C626" s="37" t="s">
        <v>566</v>
      </c>
      <c r="D626" s="37" t="s">
        <v>194</v>
      </c>
      <c r="E626" s="37" t="s">
        <v>325</v>
      </c>
      <c r="F626" s="37" t="s">
        <v>319</v>
      </c>
      <c r="G626" s="37" t="s">
        <v>346</v>
      </c>
      <c r="H626" s="37" t="s">
        <v>354</v>
      </c>
      <c r="I626" s="37" t="s">
        <v>2463</v>
      </c>
      <c r="J626" s="37" t="s">
        <v>2464</v>
      </c>
      <c r="K626" s="37">
        <v>4</v>
      </c>
      <c r="L626" s="37" t="s">
        <v>1434</v>
      </c>
      <c r="M626" s="37" t="s">
        <v>105</v>
      </c>
      <c r="N626" s="37">
        <v>5</v>
      </c>
      <c r="O626" s="37" t="s">
        <v>181</v>
      </c>
      <c r="P626" s="37"/>
    </row>
    <row r="627" spans="1:16">
      <c r="A627" s="46" t="s">
        <v>2465</v>
      </c>
      <c r="B627" s="46" t="s">
        <v>681</v>
      </c>
      <c r="C627" s="46"/>
      <c r="D627" s="46" t="s">
        <v>352</v>
      </c>
      <c r="E627" s="46" t="s">
        <v>42</v>
      </c>
      <c r="F627" s="46" t="s">
        <v>612</v>
      </c>
      <c r="G627" s="46" t="s">
        <v>470</v>
      </c>
      <c r="H627" s="46" t="s">
        <v>396</v>
      </c>
      <c r="I627" s="46" t="s">
        <v>2466</v>
      </c>
      <c r="J627" s="46" t="s">
        <v>2467</v>
      </c>
      <c r="K627" s="46">
        <v>6</v>
      </c>
      <c r="L627" s="46" t="s">
        <v>2468</v>
      </c>
      <c r="M627" s="46" t="s">
        <v>219</v>
      </c>
      <c r="N627" s="46">
        <v>5</v>
      </c>
      <c r="O627" s="46" t="s">
        <v>286</v>
      </c>
      <c r="P627" s="46"/>
    </row>
    <row r="628" spans="1:16">
      <c r="A628" s="37" t="s">
        <v>2469</v>
      </c>
      <c r="B628" s="37" t="s">
        <v>371</v>
      </c>
      <c r="C628" s="37" t="s">
        <v>32</v>
      </c>
      <c r="D628" s="37" t="s">
        <v>333</v>
      </c>
      <c r="E628" s="37" t="s">
        <v>224</v>
      </c>
      <c r="F628" s="37" t="s">
        <v>301</v>
      </c>
      <c r="G628" s="37" t="s">
        <v>159</v>
      </c>
      <c r="H628" s="37" t="s">
        <v>93</v>
      </c>
      <c r="I628" s="37" t="s">
        <v>2470</v>
      </c>
      <c r="J628" s="37" t="s">
        <v>2471</v>
      </c>
      <c r="K628" s="37">
        <v>4</v>
      </c>
      <c r="L628" s="37" t="s">
        <v>1890</v>
      </c>
      <c r="M628" s="37" t="s">
        <v>130</v>
      </c>
      <c r="N628" s="37"/>
      <c r="O628" s="37" t="s">
        <v>131</v>
      </c>
      <c r="P628" s="37" t="s">
        <v>132</v>
      </c>
    </row>
    <row r="629" spans="1:16">
      <c r="A629" s="46" t="s">
        <v>2472</v>
      </c>
      <c r="B629" s="46" t="s">
        <v>165</v>
      </c>
      <c r="C629" s="46" t="s">
        <v>251</v>
      </c>
      <c r="D629" s="46" t="s">
        <v>175</v>
      </c>
      <c r="E629" s="46" t="s">
        <v>123</v>
      </c>
      <c r="F629" s="46" t="s">
        <v>263</v>
      </c>
      <c r="G629" s="46" t="s">
        <v>159</v>
      </c>
      <c r="H629" s="46" t="s">
        <v>54</v>
      </c>
      <c r="I629" s="46" t="s">
        <v>2085</v>
      </c>
      <c r="J629" s="46" t="s">
        <v>706</v>
      </c>
      <c r="K629" s="46">
        <v>4</v>
      </c>
      <c r="L629" s="46" t="s">
        <v>1908</v>
      </c>
      <c r="M629" s="46" t="s">
        <v>200</v>
      </c>
      <c r="N629" s="46">
        <v>5</v>
      </c>
      <c r="O629" s="46" t="s">
        <v>286</v>
      </c>
      <c r="P629" s="46"/>
    </row>
    <row r="630" spans="1:16">
      <c r="A630" s="37" t="s">
        <v>2473</v>
      </c>
      <c r="B630" s="37" t="s">
        <v>2177</v>
      </c>
      <c r="C630" s="37" t="s">
        <v>121</v>
      </c>
      <c r="D630" s="37" t="s">
        <v>156</v>
      </c>
      <c r="E630" s="37" t="s">
        <v>110</v>
      </c>
      <c r="F630" s="37" t="s">
        <v>245</v>
      </c>
      <c r="G630" s="37" t="s">
        <v>264</v>
      </c>
      <c r="H630" s="37" t="s">
        <v>88</v>
      </c>
      <c r="I630" s="37" t="s">
        <v>2474</v>
      </c>
      <c r="J630" s="37" t="s">
        <v>2475</v>
      </c>
      <c r="K630" s="37">
        <v>6</v>
      </c>
      <c r="L630" s="37" t="s">
        <v>199</v>
      </c>
      <c r="M630" s="37" t="s">
        <v>130</v>
      </c>
      <c r="N630" s="37"/>
      <c r="O630" s="37" t="s">
        <v>286</v>
      </c>
      <c r="P630" s="37" t="s">
        <v>759</v>
      </c>
    </row>
    <row r="631" spans="1:16">
      <c r="A631" s="46" t="s">
        <v>2476</v>
      </c>
      <c r="B631" s="46" t="s">
        <v>463</v>
      </c>
      <c r="C631" s="46" t="s">
        <v>307</v>
      </c>
      <c r="D631" s="46" t="s">
        <v>37</v>
      </c>
      <c r="E631" s="46" t="s">
        <v>137</v>
      </c>
      <c r="F631" s="46" t="s">
        <v>47</v>
      </c>
      <c r="G631" s="46" t="s">
        <v>264</v>
      </c>
      <c r="H631" s="46" t="s">
        <v>88</v>
      </c>
      <c r="I631" s="46" t="s">
        <v>2466</v>
      </c>
      <c r="J631" s="46" t="s">
        <v>2477</v>
      </c>
      <c r="K631" s="46">
        <v>6</v>
      </c>
      <c r="L631" s="46" t="s">
        <v>2040</v>
      </c>
      <c r="M631" s="46" t="s">
        <v>72</v>
      </c>
      <c r="N631" s="46">
        <v>3</v>
      </c>
      <c r="O631" s="46" t="s">
        <v>118</v>
      </c>
      <c r="P631" s="46"/>
    </row>
    <row r="632" spans="1:16">
      <c r="A632" s="37" t="s">
        <v>2478</v>
      </c>
      <c r="B632" s="37" t="s">
        <v>1228</v>
      </c>
      <c r="C632" s="37" t="s">
        <v>203</v>
      </c>
      <c r="D632" s="37" t="s">
        <v>175</v>
      </c>
      <c r="E632" s="37" t="s">
        <v>123</v>
      </c>
      <c r="F632" s="37" t="s">
        <v>186</v>
      </c>
      <c r="G632" s="37" t="s">
        <v>401</v>
      </c>
      <c r="H632" s="37" t="s">
        <v>54</v>
      </c>
      <c r="I632" s="37" t="s">
        <v>2479</v>
      </c>
      <c r="J632" s="37" t="s">
        <v>2480</v>
      </c>
      <c r="K632" s="37">
        <v>4</v>
      </c>
      <c r="L632" s="37" t="s">
        <v>1459</v>
      </c>
      <c r="M632" s="37" t="s">
        <v>143</v>
      </c>
      <c r="N632" s="37">
        <v>1</v>
      </c>
      <c r="O632" s="37" t="s">
        <v>181</v>
      </c>
      <c r="P632" s="37"/>
    </row>
    <row r="633" spans="1:16">
      <c r="A633" s="46" t="s">
        <v>2481</v>
      </c>
      <c r="B633" s="46" t="s">
        <v>1573</v>
      </c>
      <c r="C633" s="46" t="s">
        <v>91</v>
      </c>
      <c r="D633" s="46" t="s">
        <v>184</v>
      </c>
      <c r="E633" s="46" t="s">
        <v>110</v>
      </c>
      <c r="F633" s="46" t="s">
        <v>612</v>
      </c>
      <c r="G633" s="46" t="s">
        <v>125</v>
      </c>
      <c r="H633" s="46" t="s">
        <v>91</v>
      </c>
      <c r="I633" s="46" t="s">
        <v>2482</v>
      </c>
      <c r="J633" s="46" t="s">
        <v>2483</v>
      </c>
      <c r="K633" s="46">
        <v>4</v>
      </c>
      <c r="L633" s="46" t="s">
        <v>2484</v>
      </c>
      <c r="M633" s="46" t="s">
        <v>172</v>
      </c>
      <c r="N633" s="46">
        <v>3</v>
      </c>
      <c r="O633" s="46" t="s">
        <v>181</v>
      </c>
      <c r="P633" s="46"/>
    </row>
    <row r="634" spans="1:16">
      <c r="A634" s="37" t="s">
        <v>2485</v>
      </c>
      <c r="B634" s="37" t="s">
        <v>750</v>
      </c>
      <c r="C634" s="37" t="s">
        <v>97</v>
      </c>
      <c r="D634" s="37" t="s">
        <v>352</v>
      </c>
      <c r="E634" s="37" t="s">
        <v>325</v>
      </c>
      <c r="F634" s="37" t="s">
        <v>167</v>
      </c>
      <c r="G634" s="37" t="s">
        <v>87</v>
      </c>
      <c r="H634" s="37" t="s">
        <v>354</v>
      </c>
      <c r="I634" s="37" t="s">
        <v>2486</v>
      </c>
      <c r="J634" s="37" t="s">
        <v>2487</v>
      </c>
      <c r="K634" s="37">
        <v>4</v>
      </c>
      <c r="L634" s="37" t="s">
        <v>120</v>
      </c>
      <c r="M634" s="37" t="s">
        <v>200</v>
      </c>
      <c r="N634" s="37">
        <v>2</v>
      </c>
      <c r="O634" s="37" t="s">
        <v>286</v>
      </c>
      <c r="P634" s="37"/>
    </row>
    <row r="635" spans="1:16">
      <c r="A635" s="46" t="s">
        <v>2488</v>
      </c>
      <c r="B635" s="46" t="s">
        <v>1001</v>
      </c>
      <c r="C635" s="46" t="s">
        <v>54</v>
      </c>
      <c r="D635" s="46" t="s">
        <v>919</v>
      </c>
      <c r="E635" s="46" t="s">
        <v>440</v>
      </c>
      <c r="F635" s="46" t="s">
        <v>612</v>
      </c>
      <c r="G635" s="46" t="s">
        <v>101</v>
      </c>
      <c r="H635" s="46" t="s">
        <v>187</v>
      </c>
      <c r="I635" s="46" t="s">
        <v>320</v>
      </c>
      <c r="J635" s="46" t="s">
        <v>2489</v>
      </c>
      <c r="K635" s="46">
        <v>8</v>
      </c>
      <c r="L635" s="46" t="s">
        <v>2490</v>
      </c>
      <c r="M635" s="46" t="s">
        <v>72</v>
      </c>
      <c r="N635" s="46">
        <v>2</v>
      </c>
      <c r="O635" s="46" t="s">
        <v>152</v>
      </c>
      <c r="P635" s="46"/>
    </row>
    <row r="636" spans="1:16">
      <c r="A636" s="37" t="s">
        <v>2491</v>
      </c>
      <c r="B636" s="37" t="s">
        <v>154</v>
      </c>
      <c r="C636" s="37" t="s">
        <v>282</v>
      </c>
      <c r="D636" s="37" t="s">
        <v>98</v>
      </c>
      <c r="E636" s="37" t="s">
        <v>195</v>
      </c>
      <c r="F636" s="37" t="s">
        <v>582</v>
      </c>
      <c r="G636" s="37" t="s">
        <v>380</v>
      </c>
      <c r="H636" s="37" t="s">
        <v>91</v>
      </c>
      <c r="I636" s="37" t="s">
        <v>2492</v>
      </c>
      <c r="J636" s="37" t="s">
        <v>2493</v>
      </c>
      <c r="K636" s="37">
        <v>8</v>
      </c>
      <c r="L636" s="37" t="s">
        <v>2494</v>
      </c>
      <c r="M636" s="37" t="s">
        <v>172</v>
      </c>
      <c r="N636" s="37">
        <v>3</v>
      </c>
      <c r="O636" s="37" t="s">
        <v>106</v>
      </c>
      <c r="P636" s="37"/>
    </row>
    <row r="637" spans="1:16">
      <c r="A637" s="46" t="s">
        <v>2495</v>
      </c>
      <c r="B637" s="46" t="s">
        <v>579</v>
      </c>
      <c r="C637" s="46" t="s">
        <v>174</v>
      </c>
      <c r="D637" s="46" t="s">
        <v>156</v>
      </c>
      <c r="E637" s="46" t="s">
        <v>224</v>
      </c>
      <c r="F637" s="46" t="s">
        <v>158</v>
      </c>
      <c r="G637" s="46" t="s">
        <v>92</v>
      </c>
      <c r="H637" s="46" t="s">
        <v>126</v>
      </c>
      <c r="I637" s="46" t="s">
        <v>1866</v>
      </c>
      <c r="J637" s="46" t="s">
        <v>2496</v>
      </c>
      <c r="K637" s="46">
        <v>4</v>
      </c>
      <c r="L637" s="46" t="s">
        <v>1606</v>
      </c>
      <c r="M637" s="46" t="s">
        <v>172</v>
      </c>
      <c r="N637" s="46">
        <v>1</v>
      </c>
      <c r="O637" s="46" t="s">
        <v>191</v>
      </c>
      <c r="P637" s="46"/>
    </row>
    <row r="638" spans="1:16">
      <c r="A638" s="37" t="s">
        <v>2497</v>
      </c>
      <c r="B638" s="37" t="s">
        <v>2498</v>
      </c>
      <c r="C638" s="37" t="s">
        <v>300</v>
      </c>
      <c r="D638" s="37" t="s">
        <v>367</v>
      </c>
      <c r="E638" s="37" t="s">
        <v>157</v>
      </c>
      <c r="F638" s="37" t="s">
        <v>237</v>
      </c>
      <c r="G638" s="37" t="s">
        <v>87</v>
      </c>
      <c r="H638" s="37" t="s">
        <v>354</v>
      </c>
      <c r="I638" s="37" t="s">
        <v>2499</v>
      </c>
      <c r="J638" s="37" t="s">
        <v>2500</v>
      </c>
      <c r="K638" s="37">
        <v>6</v>
      </c>
      <c r="L638" s="37" t="s">
        <v>2501</v>
      </c>
      <c r="M638" s="37" t="s">
        <v>163</v>
      </c>
      <c r="N638" s="37">
        <v>4</v>
      </c>
      <c r="O638" s="37" t="s">
        <v>79</v>
      </c>
      <c r="P638" s="37"/>
    </row>
    <row r="639" spans="1:16">
      <c r="A639" s="46" t="s">
        <v>2502</v>
      </c>
      <c r="B639" s="46" t="s">
        <v>979</v>
      </c>
      <c r="C639" s="46" t="s">
        <v>155</v>
      </c>
      <c r="D639" s="46" t="s">
        <v>98</v>
      </c>
      <c r="E639" s="46" t="s">
        <v>137</v>
      </c>
      <c r="F639" s="46" t="s">
        <v>158</v>
      </c>
      <c r="G639" s="46" t="s">
        <v>257</v>
      </c>
      <c r="H639" s="46" t="s">
        <v>88</v>
      </c>
      <c r="I639" s="46" t="s">
        <v>1730</v>
      </c>
      <c r="J639" s="46" t="s">
        <v>1599</v>
      </c>
      <c r="K639" s="46">
        <v>8</v>
      </c>
      <c r="L639" s="46" t="s">
        <v>478</v>
      </c>
      <c r="M639" s="46" t="s">
        <v>219</v>
      </c>
      <c r="N639" s="46">
        <v>4</v>
      </c>
      <c r="O639" s="46" t="s">
        <v>181</v>
      </c>
      <c r="P639" s="46"/>
    </row>
    <row r="640" spans="1:16">
      <c r="A640" s="37" t="s">
        <v>2503</v>
      </c>
      <c r="B640" s="37" t="s">
        <v>2484</v>
      </c>
      <c r="C640" s="37" t="s">
        <v>307</v>
      </c>
      <c r="D640" s="37" t="s">
        <v>367</v>
      </c>
      <c r="E640" s="37" t="s">
        <v>224</v>
      </c>
      <c r="F640" s="37" t="s">
        <v>205</v>
      </c>
      <c r="G640" s="37" t="s">
        <v>302</v>
      </c>
      <c r="H640" s="37" t="s">
        <v>294</v>
      </c>
      <c r="I640" s="37" t="s">
        <v>2504</v>
      </c>
      <c r="J640" s="37" t="s">
        <v>2505</v>
      </c>
      <c r="K640" s="37">
        <v>4</v>
      </c>
      <c r="L640" s="37" t="s">
        <v>1420</v>
      </c>
      <c r="M640" s="37" t="s">
        <v>172</v>
      </c>
      <c r="N640" s="37">
        <v>4</v>
      </c>
      <c r="O640" s="37" t="s">
        <v>79</v>
      </c>
      <c r="P640" s="37"/>
    </row>
    <row r="641" spans="1:16">
      <c r="A641" s="46" t="s">
        <v>2506</v>
      </c>
      <c r="B641" s="46" t="s">
        <v>1386</v>
      </c>
      <c r="C641" s="46" t="s">
        <v>251</v>
      </c>
      <c r="D641" s="46" t="s">
        <v>37</v>
      </c>
      <c r="E641" s="46" t="s">
        <v>137</v>
      </c>
      <c r="F641" s="46" t="s">
        <v>301</v>
      </c>
      <c r="G641" s="46" t="s">
        <v>92</v>
      </c>
      <c r="H641" s="46" t="s">
        <v>396</v>
      </c>
      <c r="I641" s="46" t="s">
        <v>2507</v>
      </c>
      <c r="J641" s="46" t="s">
        <v>2508</v>
      </c>
      <c r="K641" s="46">
        <v>8</v>
      </c>
      <c r="L641" s="46" t="s">
        <v>336</v>
      </c>
      <c r="M641" s="46" t="s">
        <v>105</v>
      </c>
      <c r="N641" s="46">
        <v>2</v>
      </c>
      <c r="O641" s="46" t="s">
        <v>131</v>
      </c>
      <c r="P641" s="46"/>
    </row>
    <row r="642" spans="1:16">
      <c r="A642" s="37" t="s">
        <v>2509</v>
      </c>
      <c r="B642" s="37" t="s">
        <v>874</v>
      </c>
      <c r="C642" s="37" t="s">
        <v>222</v>
      </c>
      <c r="D642" s="37" t="s">
        <v>156</v>
      </c>
      <c r="E642" s="37" t="s">
        <v>42</v>
      </c>
      <c r="F642" s="37" t="s">
        <v>326</v>
      </c>
      <c r="G642" s="37" t="s">
        <v>89</v>
      </c>
      <c r="H642" s="37" t="s">
        <v>206</v>
      </c>
      <c r="I642" s="37" t="s">
        <v>1720</v>
      </c>
      <c r="J642" s="37" t="s">
        <v>701</v>
      </c>
      <c r="K642" s="37">
        <v>4</v>
      </c>
      <c r="L642" s="37" t="s">
        <v>1032</v>
      </c>
      <c r="M642" s="37" t="s">
        <v>219</v>
      </c>
      <c r="N642" s="37">
        <v>4</v>
      </c>
      <c r="O642" s="37" t="s">
        <v>131</v>
      </c>
      <c r="P642" s="37"/>
    </row>
    <row r="643" spans="1:16">
      <c r="A643" s="46" t="s">
        <v>2510</v>
      </c>
      <c r="B643" s="46" t="s">
        <v>805</v>
      </c>
      <c r="C643" s="46" t="s">
        <v>340</v>
      </c>
      <c r="D643" s="46" t="s">
        <v>184</v>
      </c>
      <c r="E643" s="46" t="s">
        <v>185</v>
      </c>
      <c r="F643" s="46" t="s">
        <v>582</v>
      </c>
      <c r="G643" s="46" t="s">
        <v>380</v>
      </c>
      <c r="H643" s="46" t="s">
        <v>396</v>
      </c>
      <c r="I643" s="46" t="s">
        <v>806</v>
      </c>
      <c r="J643" s="46" t="s">
        <v>2511</v>
      </c>
      <c r="K643" s="46">
        <v>6</v>
      </c>
      <c r="L643" s="46" t="s">
        <v>969</v>
      </c>
      <c r="M643" s="46" t="s">
        <v>117</v>
      </c>
      <c r="N643" s="46">
        <v>4</v>
      </c>
      <c r="O643" s="46" t="s">
        <v>118</v>
      </c>
      <c r="P643" s="46"/>
    </row>
    <row r="644" spans="1:16">
      <c r="A644" s="37" t="s">
        <v>2512</v>
      </c>
      <c r="B644" s="37" t="s">
        <v>1386</v>
      </c>
      <c r="C644" s="37" t="s">
        <v>424</v>
      </c>
      <c r="D644" s="37" t="s">
        <v>213</v>
      </c>
      <c r="E644" s="37" t="s">
        <v>224</v>
      </c>
      <c r="F644" s="37" t="s">
        <v>158</v>
      </c>
      <c r="G644" s="37" t="s">
        <v>264</v>
      </c>
      <c r="H644" s="37" t="s">
        <v>278</v>
      </c>
      <c r="I644" s="37" t="s">
        <v>639</v>
      </c>
      <c r="J644" s="37" t="s">
        <v>2513</v>
      </c>
      <c r="K644" s="37">
        <v>4</v>
      </c>
      <c r="L644" s="37" t="s">
        <v>688</v>
      </c>
      <c r="M644" s="37" t="s">
        <v>105</v>
      </c>
      <c r="N644" s="37">
        <v>3</v>
      </c>
      <c r="O644" s="37" t="s">
        <v>286</v>
      </c>
      <c r="P644" s="37"/>
    </row>
    <row r="645" spans="1:16">
      <c r="A645" s="46" t="s">
        <v>2514</v>
      </c>
      <c r="B645" s="46" t="s">
        <v>1220</v>
      </c>
      <c r="C645" s="46" t="s">
        <v>566</v>
      </c>
      <c r="D645" s="46" t="s">
        <v>544</v>
      </c>
      <c r="E645" s="46" t="s">
        <v>123</v>
      </c>
      <c r="F645" s="46" t="s">
        <v>313</v>
      </c>
      <c r="G645" s="46" t="s">
        <v>92</v>
      </c>
      <c r="H645" s="46" t="s">
        <v>294</v>
      </c>
      <c r="I645" s="46" t="s">
        <v>2515</v>
      </c>
      <c r="J645" s="46" t="s">
        <v>2516</v>
      </c>
      <c r="K645" s="46">
        <v>4</v>
      </c>
      <c r="L645" s="46" t="s">
        <v>2517</v>
      </c>
      <c r="M645" s="46" t="s">
        <v>163</v>
      </c>
      <c r="N645" s="46">
        <v>5</v>
      </c>
      <c r="O645" s="46" t="s">
        <v>131</v>
      </c>
      <c r="P645" s="46"/>
    </row>
    <row r="646" spans="1:16">
      <c r="A646" s="46" t="s">
        <v>2518</v>
      </c>
      <c r="B646" s="46" t="s">
        <v>1032</v>
      </c>
      <c r="C646" s="46" t="s">
        <v>54</v>
      </c>
      <c r="D646" s="46" t="s">
        <v>175</v>
      </c>
      <c r="E646" s="46" t="s">
        <v>123</v>
      </c>
      <c r="F646" s="46" t="s">
        <v>100</v>
      </c>
      <c r="G646" s="46" t="s">
        <v>89</v>
      </c>
      <c r="H646" s="46" t="s">
        <v>187</v>
      </c>
      <c r="I646" s="46" t="s">
        <v>1367</v>
      </c>
      <c r="J646" s="46" t="s">
        <v>2519</v>
      </c>
      <c r="K646" s="46">
        <v>4</v>
      </c>
      <c r="L646" s="46" t="s">
        <v>922</v>
      </c>
      <c r="M646" s="46" t="s">
        <v>105</v>
      </c>
      <c r="N646" s="46">
        <v>3</v>
      </c>
      <c r="O646" s="46" t="s">
        <v>118</v>
      </c>
      <c r="P646" s="46"/>
    </row>
    <row r="647" spans="1:16">
      <c r="A647" s="37" t="s">
        <v>2520</v>
      </c>
      <c r="B647" s="37" t="s">
        <v>882</v>
      </c>
      <c r="C647" s="37" t="s">
        <v>54</v>
      </c>
      <c r="D647" s="37" t="s">
        <v>204</v>
      </c>
      <c r="E647" s="37" t="s">
        <v>137</v>
      </c>
      <c r="F647" s="37" t="s">
        <v>100</v>
      </c>
      <c r="G647" s="37" t="s">
        <v>257</v>
      </c>
      <c r="H647" s="37" t="s">
        <v>206</v>
      </c>
      <c r="I647" s="37" t="s">
        <v>2271</v>
      </c>
      <c r="J647" s="37" t="s">
        <v>2521</v>
      </c>
      <c r="K647" s="37">
        <v>8</v>
      </c>
      <c r="L647" s="37" t="s">
        <v>1370</v>
      </c>
      <c r="M647" s="37" t="s">
        <v>143</v>
      </c>
      <c r="N647" s="37">
        <v>4</v>
      </c>
      <c r="O647" s="37" t="s">
        <v>152</v>
      </c>
      <c r="P647" s="37"/>
    </row>
    <row r="648" spans="1:16">
      <c r="A648" s="46" t="s">
        <v>2522</v>
      </c>
      <c r="B648" s="46" t="s">
        <v>816</v>
      </c>
      <c r="C648" s="46" t="s">
        <v>407</v>
      </c>
      <c r="D648" s="46" t="s">
        <v>184</v>
      </c>
      <c r="E648" s="46" t="s">
        <v>147</v>
      </c>
      <c r="F648" s="46" t="s">
        <v>582</v>
      </c>
      <c r="G648" s="46" t="s">
        <v>92</v>
      </c>
      <c r="H648" s="46" t="s">
        <v>126</v>
      </c>
      <c r="I648" s="46" t="s">
        <v>2523</v>
      </c>
      <c r="J648" s="46" t="s">
        <v>1872</v>
      </c>
      <c r="K648" s="46">
        <v>6</v>
      </c>
      <c r="L648" s="46" t="s">
        <v>2030</v>
      </c>
      <c r="M648" s="46" t="s">
        <v>200</v>
      </c>
      <c r="N648" s="46">
        <v>1</v>
      </c>
      <c r="O648" s="46" t="s">
        <v>118</v>
      </c>
      <c r="P648" s="46"/>
    </row>
    <row r="649" spans="1:16">
      <c r="A649" s="37" t="s">
        <v>2524</v>
      </c>
      <c r="B649" s="37" t="s">
        <v>1931</v>
      </c>
      <c r="C649" s="37" t="s">
        <v>566</v>
      </c>
      <c r="D649" s="37" t="s">
        <v>312</v>
      </c>
      <c r="E649" s="37" t="s">
        <v>440</v>
      </c>
      <c r="F649" s="37" t="s">
        <v>1145</v>
      </c>
      <c r="G649" s="37" t="s">
        <v>51</v>
      </c>
      <c r="H649" s="37" t="s">
        <v>327</v>
      </c>
      <c r="I649" s="37" t="s">
        <v>2525</v>
      </c>
      <c r="J649" s="37" t="s">
        <v>432</v>
      </c>
      <c r="K649" s="37">
        <v>6</v>
      </c>
      <c r="L649" s="37" t="s">
        <v>2526</v>
      </c>
      <c r="M649" s="37" t="s">
        <v>130</v>
      </c>
      <c r="N649" s="37"/>
      <c r="O649" s="37" t="s">
        <v>79</v>
      </c>
      <c r="P649" s="37" t="s">
        <v>132</v>
      </c>
    </row>
    <row r="650" spans="1:16">
      <c r="A650" s="46" t="s">
        <v>2527</v>
      </c>
      <c r="B650" s="46" t="s">
        <v>1195</v>
      </c>
      <c r="C650" s="46" t="s">
        <v>243</v>
      </c>
      <c r="D650" s="46" t="s">
        <v>333</v>
      </c>
      <c r="E650" s="46" t="s">
        <v>99</v>
      </c>
      <c r="F650" s="46" t="s">
        <v>271</v>
      </c>
      <c r="G650" s="46" t="s">
        <v>334</v>
      </c>
      <c r="H650" s="46" t="s">
        <v>215</v>
      </c>
      <c r="I650" s="46" t="s">
        <v>1762</v>
      </c>
      <c r="J650" s="46" t="s">
        <v>2528</v>
      </c>
      <c r="K650" s="46">
        <v>4</v>
      </c>
      <c r="L650" s="46" t="s">
        <v>2529</v>
      </c>
      <c r="M650" s="46" t="s">
        <v>117</v>
      </c>
      <c r="N650" s="46">
        <v>4</v>
      </c>
      <c r="O650" s="46" t="s">
        <v>181</v>
      </c>
      <c r="P650" s="46"/>
    </row>
    <row r="651" spans="1:16">
      <c r="A651" s="37" t="s">
        <v>2530</v>
      </c>
      <c r="B651" s="37" t="s">
        <v>2531</v>
      </c>
      <c r="C651" s="37" t="s">
        <v>155</v>
      </c>
      <c r="D651" s="37" t="s">
        <v>146</v>
      </c>
      <c r="E651" s="37" t="s">
        <v>325</v>
      </c>
      <c r="F651" s="37" t="s">
        <v>100</v>
      </c>
      <c r="G651" s="37" t="s">
        <v>159</v>
      </c>
      <c r="H651" s="37" t="s">
        <v>93</v>
      </c>
      <c r="I651" s="37" t="s">
        <v>2191</v>
      </c>
      <c r="J651" s="37" t="s">
        <v>1748</v>
      </c>
      <c r="K651" s="37">
        <v>2</v>
      </c>
      <c r="L651" s="37" t="s">
        <v>2532</v>
      </c>
      <c r="M651" s="37" t="s">
        <v>337</v>
      </c>
      <c r="N651" s="37"/>
      <c r="O651" s="37" t="s">
        <v>152</v>
      </c>
      <c r="P651" s="37" t="s">
        <v>759</v>
      </c>
    </row>
    <row r="652" spans="1:16">
      <c r="A652" s="46" t="s">
        <v>2533</v>
      </c>
      <c r="B652" s="46" t="s">
        <v>904</v>
      </c>
      <c r="C652" s="46" t="s">
        <v>203</v>
      </c>
      <c r="D652" s="46" t="s">
        <v>204</v>
      </c>
      <c r="E652" s="46" t="s">
        <v>195</v>
      </c>
      <c r="F652" s="46" t="s">
        <v>124</v>
      </c>
      <c r="G652" s="46" t="s">
        <v>401</v>
      </c>
      <c r="H652" s="46" t="s">
        <v>54</v>
      </c>
      <c r="I652" s="46" t="s">
        <v>2534</v>
      </c>
      <c r="J652" s="46" t="s">
        <v>726</v>
      </c>
      <c r="K652" s="46">
        <v>8</v>
      </c>
      <c r="L652" s="46" t="s">
        <v>2535</v>
      </c>
      <c r="M652" s="46" t="s">
        <v>72</v>
      </c>
      <c r="N652" s="46">
        <v>1</v>
      </c>
      <c r="O652" s="46" t="s">
        <v>152</v>
      </c>
      <c r="P652" s="46"/>
    </row>
    <row r="653" spans="1:16">
      <c r="A653" s="37" t="s">
        <v>2536</v>
      </c>
      <c r="B653" s="37" t="s">
        <v>1483</v>
      </c>
      <c r="C653" s="37" t="s">
        <v>166</v>
      </c>
      <c r="D653" s="37" t="s">
        <v>367</v>
      </c>
      <c r="E653" s="37" t="s">
        <v>185</v>
      </c>
      <c r="F653" s="37" t="s">
        <v>263</v>
      </c>
      <c r="G653" s="37" t="s">
        <v>168</v>
      </c>
      <c r="H653" s="37" t="s">
        <v>187</v>
      </c>
      <c r="I653" s="37" t="s">
        <v>2537</v>
      </c>
      <c r="J653" s="37" t="s">
        <v>2538</v>
      </c>
      <c r="K653" s="37">
        <v>6</v>
      </c>
      <c r="L653" s="37" t="s">
        <v>2223</v>
      </c>
      <c r="M653" s="37" t="s">
        <v>143</v>
      </c>
      <c r="N653" s="37">
        <v>2</v>
      </c>
      <c r="O653" s="37" t="s">
        <v>131</v>
      </c>
      <c r="P653" s="37"/>
    </row>
    <row r="654" spans="1:16">
      <c r="A654" s="46" t="s">
        <v>2539</v>
      </c>
      <c r="B654" s="46" t="s">
        <v>2540</v>
      </c>
      <c r="C654" s="46" t="s">
        <v>54</v>
      </c>
      <c r="D654" s="46" t="s">
        <v>175</v>
      </c>
      <c r="E654" s="46" t="s">
        <v>224</v>
      </c>
      <c r="F654" s="46" t="s">
        <v>214</v>
      </c>
      <c r="G654" s="46" t="s">
        <v>470</v>
      </c>
      <c r="H654" s="46" t="s">
        <v>126</v>
      </c>
      <c r="I654" s="46" t="s">
        <v>2541</v>
      </c>
      <c r="J654" s="46" t="s">
        <v>2542</v>
      </c>
      <c r="K654" s="46">
        <v>4</v>
      </c>
      <c r="L654" s="46" t="s">
        <v>2529</v>
      </c>
      <c r="M654" s="46" t="s">
        <v>200</v>
      </c>
      <c r="N654" s="46">
        <v>4</v>
      </c>
      <c r="O654" s="46" t="s">
        <v>181</v>
      </c>
      <c r="P654" s="46"/>
    </row>
    <row r="655" spans="1:16">
      <c r="A655" s="37" t="s">
        <v>2543</v>
      </c>
      <c r="B655" s="37" t="s">
        <v>1366</v>
      </c>
      <c r="C655" s="37" t="s">
        <v>340</v>
      </c>
      <c r="D655" s="37" t="s">
        <v>352</v>
      </c>
      <c r="E655" s="37" t="s">
        <v>123</v>
      </c>
      <c r="F655" s="37" t="s">
        <v>186</v>
      </c>
      <c r="G655" s="37" t="s">
        <v>380</v>
      </c>
      <c r="H655" s="37" t="s">
        <v>294</v>
      </c>
      <c r="I655" s="37" t="s">
        <v>2544</v>
      </c>
      <c r="J655" s="37" t="s">
        <v>2545</v>
      </c>
      <c r="K655" s="37">
        <v>4</v>
      </c>
      <c r="L655" s="37" t="s">
        <v>306</v>
      </c>
      <c r="M655" s="37" t="s">
        <v>163</v>
      </c>
      <c r="N655" s="37">
        <v>2</v>
      </c>
      <c r="O655" s="37" t="s">
        <v>286</v>
      </c>
      <c r="P655" s="37"/>
    </row>
    <row r="656" spans="1:16">
      <c r="A656" s="46" t="s">
        <v>2546</v>
      </c>
      <c r="B656" s="46" t="s">
        <v>2547</v>
      </c>
      <c r="C656" s="46" t="s">
        <v>222</v>
      </c>
      <c r="D656" s="46" t="s">
        <v>146</v>
      </c>
      <c r="E656" s="46" t="s">
        <v>176</v>
      </c>
      <c r="F656" s="46" t="s">
        <v>319</v>
      </c>
      <c r="G656" s="46" t="s">
        <v>401</v>
      </c>
      <c r="H656" s="46" t="s">
        <v>93</v>
      </c>
      <c r="I656" s="46" t="s">
        <v>1608</v>
      </c>
      <c r="J656" s="46" t="s">
        <v>2548</v>
      </c>
      <c r="K656" s="46">
        <v>8</v>
      </c>
      <c r="L656" s="46" t="s">
        <v>1409</v>
      </c>
      <c r="M656" s="46" t="s">
        <v>72</v>
      </c>
      <c r="N656" s="46">
        <v>4</v>
      </c>
      <c r="O656" s="46" t="s">
        <v>286</v>
      </c>
      <c r="P656" s="46"/>
    </row>
    <row r="657" spans="1:16">
      <c r="A657" s="37" t="s">
        <v>2549</v>
      </c>
      <c r="B657" s="37" t="s">
        <v>1998</v>
      </c>
      <c r="C657" s="37" t="s">
        <v>307</v>
      </c>
      <c r="D657" s="37" t="s">
        <v>352</v>
      </c>
      <c r="E657" s="37" t="s">
        <v>99</v>
      </c>
      <c r="F657" s="37" t="s">
        <v>47</v>
      </c>
      <c r="G657" s="37" t="s">
        <v>257</v>
      </c>
      <c r="H657" s="37" t="s">
        <v>278</v>
      </c>
      <c r="I657" s="37" t="s">
        <v>2550</v>
      </c>
      <c r="J657" s="37" t="s">
        <v>2551</v>
      </c>
      <c r="K657" s="37">
        <v>2</v>
      </c>
      <c r="L657" s="37" t="s">
        <v>1045</v>
      </c>
      <c r="M657" s="37" t="s">
        <v>200</v>
      </c>
      <c r="N657" s="37">
        <v>3</v>
      </c>
      <c r="O657" s="37" t="s">
        <v>191</v>
      </c>
      <c r="P657" s="37"/>
    </row>
    <row r="658" spans="1:16">
      <c r="A658" s="46" t="s">
        <v>2552</v>
      </c>
      <c r="B658" s="46" t="s">
        <v>714</v>
      </c>
      <c r="C658" s="46" t="s">
        <v>469</v>
      </c>
      <c r="D658" s="46" t="s">
        <v>37</v>
      </c>
      <c r="E658" s="46" t="s">
        <v>345</v>
      </c>
      <c r="F658" s="46" t="s">
        <v>498</v>
      </c>
      <c r="G658" s="46" t="s">
        <v>401</v>
      </c>
      <c r="H658" s="46" t="s">
        <v>93</v>
      </c>
      <c r="I658" s="46" t="s">
        <v>2553</v>
      </c>
      <c r="J658" s="46" t="s">
        <v>2185</v>
      </c>
      <c r="K658" s="46">
        <v>6</v>
      </c>
      <c r="L658" s="46" t="s">
        <v>1144</v>
      </c>
      <c r="M658" s="46" t="s">
        <v>200</v>
      </c>
      <c r="N658" s="46">
        <v>4</v>
      </c>
      <c r="O658" s="46" t="s">
        <v>181</v>
      </c>
      <c r="P658" s="46"/>
    </row>
    <row r="659" spans="1:16">
      <c r="A659" s="37" t="s">
        <v>2554</v>
      </c>
      <c r="B659" s="37" t="s">
        <v>1230</v>
      </c>
      <c r="C659" s="37" t="s">
        <v>32</v>
      </c>
      <c r="D659" s="37" t="s">
        <v>156</v>
      </c>
      <c r="E659" s="37" t="s">
        <v>123</v>
      </c>
      <c r="F659" s="37" t="s">
        <v>214</v>
      </c>
      <c r="G659" s="37" t="s">
        <v>168</v>
      </c>
      <c r="H659" s="37" t="s">
        <v>278</v>
      </c>
      <c r="I659" s="37" t="s">
        <v>2555</v>
      </c>
      <c r="J659" s="37" t="s">
        <v>815</v>
      </c>
      <c r="K659" s="37">
        <v>4</v>
      </c>
      <c r="L659" s="37" t="s">
        <v>324</v>
      </c>
      <c r="M659" s="37" t="s">
        <v>117</v>
      </c>
      <c r="N659" s="37">
        <v>3</v>
      </c>
      <c r="O659" s="37" t="s">
        <v>191</v>
      </c>
      <c r="P659" s="37"/>
    </row>
    <row r="660" spans="1:16">
      <c r="A660" s="46" t="s">
        <v>2556</v>
      </c>
      <c r="B660" s="46" t="s">
        <v>2557</v>
      </c>
      <c r="C660" s="46" t="s">
        <v>54</v>
      </c>
      <c r="D660" s="46" t="s">
        <v>333</v>
      </c>
      <c r="E660" s="46" t="s">
        <v>224</v>
      </c>
      <c r="F660" s="46" t="s">
        <v>167</v>
      </c>
      <c r="G660" s="46" t="s">
        <v>168</v>
      </c>
      <c r="H660" s="46" t="s">
        <v>206</v>
      </c>
      <c r="I660" s="46" t="s">
        <v>1441</v>
      </c>
      <c r="J660" s="46" t="s">
        <v>2558</v>
      </c>
      <c r="K660" s="46">
        <v>4</v>
      </c>
      <c r="L660" s="46" t="s">
        <v>242</v>
      </c>
      <c r="M660" s="46" t="s">
        <v>219</v>
      </c>
      <c r="N660" s="46">
        <v>4</v>
      </c>
      <c r="O660" s="46" t="s">
        <v>191</v>
      </c>
      <c r="P660" s="46"/>
    </row>
    <row r="661" spans="1:16">
      <c r="A661" s="37" t="s">
        <v>2559</v>
      </c>
      <c r="B661" s="37" t="s">
        <v>2347</v>
      </c>
      <c r="C661" s="37" t="s">
        <v>90</v>
      </c>
      <c r="D661" s="37" t="s">
        <v>352</v>
      </c>
      <c r="E661" s="37" t="s">
        <v>440</v>
      </c>
      <c r="F661" s="37" t="s">
        <v>430</v>
      </c>
      <c r="G661" s="37" t="s">
        <v>159</v>
      </c>
      <c r="H661" s="37" t="s">
        <v>54</v>
      </c>
      <c r="I661" s="37" t="s">
        <v>2560</v>
      </c>
      <c r="J661" s="37" t="s">
        <v>432</v>
      </c>
      <c r="K661" s="37">
        <v>6</v>
      </c>
      <c r="L661" s="37" t="s">
        <v>256</v>
      </c>
      <c r="M661" s="37" t="s">
        <v>200</v>
      </c>
      <c r="N661" s="37">
        <v>4</v>
      </c>
      <c r="O661" s="37" t="s">
        <v>286</v>
      </c>
      <c r="P661" s="37"/>
    </row>
    <row r="662" spans="1:16">
      <c r="A662" s="46" t="s">
        <v>2561</v>
      </c>
      <c r="B662" s="46" t="s">
        <v>2501</v>
      </c>
      <c r="C662" s="46" t="s">
        <v>424</v>
      </c>
      <c r="D662" s="46" t="s">
        <v>352</v>
      </c>
      <c r="E662" s="46" t="s">
        <v>440</v>
      </c>
      <c r="F662" s="46" t="s">
        <v>612</v>
      </c>
      <c r="G662" s="46" t="s">
        <v>302</v>
      </c>
      <c r="H662" s="46" t="s">
        <v>91</v>
      </c>
      <c r="I662" s="46" t="s">
        <v>2562</v>
      </c>
      <c r="J662" s="46" t="s">
        <v>2563</v>
      </c>
      <c r="K662" s="46">
        <v>8</v>
      </c>
      <c r="L662" s="46" t="s">
        <v>699</v>
      </c>
      <c r="M662" s="46" t="s">
        <v>72</v>
      </c>
      <c r="N662" s="46">
        <v>1</v>
      </c>
      <c r="O662" s="46" t="s">
        <v>118</v>
      </c>
      <c r="P662" s="46"/>
    </row>
    <row r="663" spans="1:16">
      <c r="A663" s="37" t="s">
        <v>2564</v>
      </c>
      <c r="B663" s="37" t="s">
        <v>236</v>
      </c>
      <c r="C663" s="37"/>
      <c r="D663" s="37" t="s">
        <v>122</v>
      </c>
      <c r="E663" s="37" t="s">
        <v>99</v>
      </c>
      <c r="F663" s="37" t="s">
        <v>582</v>
      </c>
      <c r="G663" s="37" t="s">
        <v>159</v>
      </c>
      <c r="H663" s="37" t="s">
        <v>327</v>
      </c>
      <c r="I663" s="37" t="s">
        <v>2368</v>
      </c>
      <c r="J663" s="37" t="s">
        <v>2565</v>
      </c>
      <c r="K663" s="37">
        <v>2</v>
      </c>
      <c r="L663" s="37" t="s">
        <v>2356</v>
      </c>
      <c r="M663" s="37" t="s">
        <v>105</v>
      </c>
      <c r="N663" s="37">
        <v>2</v>
      </c>
      <c r="O663" s="37" t="s">
        <v>152</v>
      </c>
      <c r="P663" s="37"/>
    </row>
    <row r="664" spans="1:16">
      <c r="A664" s="46" t="s">
        <v>2566</v>
      </c>
      <c r="B664" s="46" t="s">
        <v>1903</v>
      </c>
      <c r="C664" s="46" t="s">
        <v>166</v>
      </c>
      <c r="D664" s="46" t="s">
        <v>156</v>
      </c>
      <c r="E664" s="46" t="s">
        <v>195</v>
      </c>
      <c r="F664" s="46" t="s">
        <v>158</v>
      </c>
      <c r="G664" s="46" t="s">
        <v>92</v>
      </c>
      <c r="H664" s="46" t="s">
        <v>91</v>
      </c>
      <c r="I664" s="46" t="s">
        <v>1608</v>
      </c>
      <c r="J664" s="46" t="s">
        <v>432</v>
      </c>
      <c r="K664" s="46">
        <v>6</v>
      </c>
      <c r="L664" s="46" t="s">
        <v>632</v>
      </c>
      <c r="M664" s="46" t="s">
        <v>117</v>
      </c>
      <c r="N664" s="46">
        <v>4</v>
      </c>
      <c r="O664" s="46" t="s">
        <v>79</v>
      </c>
      <c r="P664" s="46"/>
    </row>
    <row r="665" spans="1:16">
      <c r="A665" s="37" t="s">
        <v>2567</v>
      </c>
      <c r="B665" s="37" t="s">
        <v>1528</v>
      </c>
      <c r="C665" s="37" t="s">
        <v>121</v>
      </c>
      <c r="D665" s="37" t="s">
        <v>184</v>
      </c>
      <c r="E665" s="37" t="s">
        <v>224</v>
      </c>
      <c r="F665" s="37" t="s">
        <v>592</v>
      </c>
      <c r="G665" s="37" t="s">
        <v>51</v>
      </c>
      <c r="H665" s="37" t="s">
        <v>327</v>
      </c>
      <c r="I665" s="37" t="s">
        <v>2105</v>
      </c>
      <c r="J665" s="37" t="s">
        <v>2062</v>
      </c>
      <c r="K665" s="37">
        <v>4</v>
      </c>
      <c r="L665" s="37" t="s">
        <v>2331</v>
      </c>
      <c r="M665" s="37" t="s">
        <v>143</v>
      </c>
      <c r="N665" s="37">
        <v>1</v>
      </c>
      <c r="O665" s="37" t="s">
        <v>118</v>
      </c>
      <c r="P665" s="37"/>
    </row>
    <row r="666" spans="1:16">
      <c r="A666" s="46" t="s">
        <v>2568</v>
      </c>
      <c r="B666" s="46" t="s">
        <v>478</v>
      </c>
      <c r="C666" s="46" t="s">
        <v>451</v>
      </c>
      <c r="D666" s="46" t="s">
        <v>230</v>
      </c>
      <c r="E666" s="46" t="s">
        <v>99</v>
      </c>
      <c r="F666" s="46" t="s">
        <v>100</v>
      </c>
      <c r="G666" s="46" t="s">
        <v>302</v>
      </c>
      <c r="H666" s="46" t="s">
        <v>126</v>
      </c>
      <c r="I666" s="46" t="s">
        <v>2390</v>
      </c>
      <c r="J666" s="46" t="s">
        <v>2569</v>
      </c>
      <c r="K666" s="46">
        <v>4</v>
      </c>
      <c r="L666" s="46" t="s">
        <v>2160</v>
      </c>
      <c r="M666" s="46" t="s">
        <v>219</v>
      </c>
      <c r="N666" s="46">
        <v>5</v>
      </c>
      <c r="O666" s="46" t="s">
        <v>191</v>
      </c>
      <c r="P666" s="46"/>
    </row>
    <row r="667" spans="1:16">
      <c r="A667" s="37" t="s">
        <v>2570</v>
      </c>
      <c r="B667" s="37" t="s">
        <v>851</v>
      </c>
      <c r="C667" s="37" t="s">
        <v>88</v>
      </c>
      <c r="D667" s="37" t="s">
        <v>919</v>
      </c>
      <c r="E667" s="37" t="s">
        <v>440</v>
      </c>
      <c r="F667" s="37" t="s">
        <v>582</v>
      </c>
      <c r="G667" s="37" t="s">
        <v>380</v>
      </c>
      <c r="H667" s="37" t="s">
        <v>126</v>
      </c>
      <c r="I667" s="37" t="s">
        <v>2571</v>
      </c>
      <c r="J667" s="37" t="s">
        <v>2572</v>
      </c>
      <c r="K667" s="37">
        <v>8</v>
      </c>
      <c r="L667" s="37" t="s">
        <v>1182</v>
      </c>
      <c r="M667" s="37" t="s">
        <v>143</v>
      </c>
      <c r="N667" s="37">
        <v>1</v>
      </c>
      <c r="O667" s="37" t="s">
        <v>131</v>
      </c>
      <c r="P667" s="37"/>
    </row>
    <row r="668" spans="1:16">
      <c r="A668" s="46" t="s">
        <v>2573</v>
      </c>
      <c r="B668" s="46" t="s">
        <v>1622</v>
      </c>
      <c r="C668" s="46" t="s">
        <v>97</v>
      </c>
      <c r="D668" s="46" t="s">
        <v>312</v>
      </c>
      <c r="E668" s="46" t="s">
        <v>176</v>
      </c>
      <c r="F668" s="46" t="s">
        <v>167</v>
      </c>
      <c r="G668" s="46" t="s">
        <v>257</v>
      </c>
      <c r="H668" s="46" t="s">
        <v>278</v>
      </c>
      <c r="I668" s="46" t="s">
        <v>2574</v>
      </c>
      <c r="J668" s="46" t="s">
        <v>2575</v>
      </c>
      <c r="K668" s="46">
        <v>8</v>
      </c>
      <c r="L668" s="46" t="s">
        <v>2576</v>
      </c>
      <c r="M668" s="46" t="s">
        <v>200</v>
      </c>
      <c r="N668" s="46">
        <v>1</v>
      </c>
      <c r="O668" s="46" t="s">
        <v>152</v>
      </c>
      <c r="P668" s="46"/>
    </row>
    <row r="669" spans="1:16">
      <c r="A669" s="37" t="s">
        <v>2577</v>
      </c>
      <c r="B669" s="37" t="s">
        <v>291</v>
      </c>
      <c r="C669" s="37" t="s">
        <v>366</v>
      </c>
      <c r="D669" s="37" t="s">
        <v>122</v>
      </c>
      <c r="E669" s="37" t="s">
        <v>123</v>
      </c>
      <c r="F669" s="37" t="s">
        <v>158</v>
      </c>
      <c r="G669" s="37" t="s">
        <v>401</v>
      </c>
      <c r="H669" s="37" t="s">
        <v>90</v>
      </c>
      <c r="I669" s="37" t="s">
        <v>2578</v>
      </c>
      <c r="J669" s="37" t="s">
        <v>2579</v>
      </c>
      <c r="K669" s="37">
        <v>4</v>
      </c>
      <c r="L669" s="37" t="s">
        <v>415</v>
      </c>
      <c r="M669" s="37" t="s">
        <v>105</v>
      </c>
      <c r="N669" s="37">
        <v>5</v>
      </c>
      <c r="O669" s="37" t="s">
        <v>191</v>
      </c>
      <c r="P669" s="37"/>
    </row>
    <row r="670" spans="1:16">
      <c r="A670" s="46" t="s">
        <v>2580</v>
      </c>
      <c r="B670" s="46" t="s">
        <v>574</v>
      </c>
      <c r="C670" s="46" t="s">
        <v>93</v>
      </c>
      <c r="D670" s="46" t="s">
        <v>136</v>
      </c>
      <c r="E670" s="46" t="s">
        <v>176</v>
      </c>
      <c r="F670" s="46" t="s">
        <v>458</v>
      </c>
      <c r="G670" s="46" t="s">
        <v>89</v>
      </c>
      <c r="H670" s="46" t="s">
        <v>187</v>
      </c>
      <c r="I670" s="46" t="s">
        <v>2581</v>
      </c>
      <c r="J670" s="46" t="s">
        <v>2582</v>
      </c>
      <c r="K670" s="46">
        <v>6</v>
      </c>
      <c r="L670" s="46" t="s">
        <v>2014</v>
      </c>
      <c r="M670" s="46" t="s">
        <v>337</v>
      </c>
      <c r="N670" s="46"/>
      <c r="O670" s="46" t="s">
        <v>106</v>
      </c>
      <c r="P670" s="46" t="s">
        <v>759</v>
      </c>
    </row>
    <row r="671" spans="1:16">
      <c r="A671" s="37" t="s">
        <v>2583</v>
      </c>
      <c r="B671" s="37" t="s">
        <v>487</v>
      </c>
      <c r="C671" s="37" t="s">
        <v>282</v>
      </c>
      <c r="D671" s="37" t="s">
        <v>184</v>
      </c>
      <c r="E671" s="37" t="s">
        <v>440</v>
      </c>
      <c r="F671" s="37" t="s">
        <v>231</v>
      </c>
      <c r="G671" s="37" t="s">
        <v>264</v>
      </c>
      <c r="H671" s="37" t="s">
        <v>88</v>
      </c>
      <c r="I671" s="37" t="s">
        <v>2584</v>
      </c>
      <c r="J671" s="37" t="s">
        <v>2585</v>
      </c>
      <c r="K671" s="37">
        <v>6</v>
      </c>
      <c r="L671" s="37" t="s">
        <v>1485</v>
      </c>
      <c r="M671" s="37" t="s">
        <v>219</v>
      </c>
      <c r="N671" s="37">
        <v>5</v>
      </c>
      <c r="O671" s="37" t="s">
        <v>79</v>
      </c>
      <c r="P671" s="37"/>
    </row>
    <row r="672" spans="1:16">
      <c r="A672" s="46" t="s">
        <v>2586</v>
      </c>
      <c r="B672" s="46" t="s">
        <v>120</v>
      </c>
      <c r="C672" s="46" t="s">
        <v>88</v>
      </c>
      <c r="D672" s="46" t="s">
        <v>146</v>
      </c>
      <c r="E672" s="46" t="s">
        <v>147</v>
      </c>
      <c r="F672" s="46" t="s">
        <v>664</v>
      </c>
      <c r="G672" s="46" t="s">
        <v>418</v>
      </c>
      <c r="H672" s="46" t="s">
        <v>93</v>
      </c>
      <c r="I672" s="46" t="s">
        <v>2587</v>
      </c>
      <c r="J672" s="46" t="s">
        <v>2588</v>
      </c>
      <c r="K672" s="46">
        <v>8</v>
      </c>
      <c r="L672" s="46" t="s">
        <v>2529</v>
      </c>
      <c r="M672" s="46" t="s">
        <v>105</v>
      </c>
      <c r="N672" s="46">
        <v>4</v>
      </c>
      <c r="O672" s="46" t="s">
        <v>152</v>
      </c>
      <c r="P672" s="46"/>
    </row>
    <row r="673" spans="1:16">
      <c r="A673" s="37" t="s">
        <v>2589</v>
      </c>
      <c r="B673" s="37" t="s">
        <v>611</v>
      </c>
      <c r="C673" s="37" t="s">
        <v>121</v>
      </c>
      <c r="D673" s="37" t="s">
        <v>544</v>
      </c>
      <c r="E673" s="37" t="s">
        <v>110</v>
      </c>
      <c r="F673" s="37" t="s">
        <v>263</v>
      </c>
      <c r="G673" s="37" t="s">
        <v>302</v>
      </c>
      <c r="H673" s="37" t="s">
        <v>294</v>
      </c>
      <c r="I673" s="37" t="s">
        <v>2574</v>
      </c>
      <c r="J673" s="37" t="s">
        <v>2590</v>
      </c>
      <c r="K673" s="37">
        <v>6</v>
      </c>
      <c r="L673" s="37" t="s">
        <v>1083</v>
      </c>
      <c r="M673" s="37" t="s">
        <v>117</v>
      </c>
      <c r="N673" s="37">
        <v>4</v>
      </c>
      <c r="O673" s="37" t="s">
        <v>191</v>
      </c>
      <c r="P673" s="37"/>
    </row>
    <row r="674" spans="1:16">
      <c r="A674" s="37" t="s">
        <v>2591</v>
      </c>
      <c r="B674" s="37" t="s">
        <v>623</v>
      </c>
      <c r="C674" s="37"/>
      <c r="D674" s="37" t="s">
        <v>223</v>
      </c>
      <c r="E674" s="37" t="s">
        <v>99</v>
      </c>
      <c r="F674" s="37" t="s">
        <v>313</v>
      </c>
      <c r="G674" s="37" t="s">
        <v>159</v>
      </c>
      <c r="H674" s="37" t="s">
        <v>93</v>
      </c>
      <c r="I674" s="37" t="s">
        <v>2592</v>
      </c>
      <c r="J674" s="37" t="s">
        <v>1246</v>
      </c>
      <c r="K674" s="37">
        <v>4</v>
      </c>
      <c r="L674" s="37" t="s">
        <v>2040</v>
      </c>
      <c r="M674" s="37" t="s">
        <v>163</v>
      </c>
      <c r="N674" s="37">
        <v>4</v>
      </c>
      <c r="O674" s="37" t="s">
        <v>118</v>
      </c>
      <c r="P674" s="37"/>
    </row>
    <row r="675" spans="1:16">
      <c r="A675" s="46" t="s">
        <v>2593</v>
      </c>
      <c r="B675" s="46" t="s">
        <v>714</v>
      </c>
      <c r="C675" s="46" t="s">
        <v>451</v>
      </c>
      <c r="D675" s="46" t="s">
        <v>156</v>
      </c>
      <c r="E675" s="46" t="s">
        <v>325</v>
      </c>
      <c r="F675" s="46" t="s">
        <v>498</v>
      </c>
      <c r="G675" s="46" t="s">
        <v>470</v>
      </c>
      <c r="H675" s="46" t="s">
        <v>294</v>
      </c>
      <c r="I675" s="46" t="s">
        <v>1487</v>
      </c>
      <c r="J675" s="46" t="s">
        <v>2594</v>
      </c>
      <c r="K675" s="46">
        <v>4</v>
      </c>
      <c r="L675" s="46" t="s">
        <v>2595</v>
      </c>
      <c r="M675" s="46" t="s">
        <v>1513</v>
      </c>
      <c r="N675" s="46"/>
      <c r="O675" s="46" t="s">
        <v>118</v>
      </c>
      <c r="P675" s="46" t="s">
        <v>132</v>
      </c>
    </row>
    <row r="676" spans="1:16">
      <c r="A676" s="37" t="s">
        <v>2596</v>
      </c>
      <c r="B676" s="37" t="s">
        <v>2018</v>
      </c>
      <c r="C676" s="37" t="s">
        <v>374</v>
      </c>
      <c r="D676" s="37" t="s">
        <v>213</v>
      </c>
      <c r="E676" s="37" t="s">
        <v>325</v>
      </c>
      <c r="F676" s="37" t="s">
        <v>271</v>
      </c>
      <c r="G676" s="37" t="s">
        <v>401</v>
      </c>
      <c r="H676" s="37" t="s">
        <v>90</v>
      </c>
      <c r="I676" s="37" t="s">
        <v>2248</v>
      </c>
      <c r="J676" s="37" t="s">
        <v>530</v>
      </c>
      <c r="K676" s="37">
        <v>2</v>
      </c>
      <c r="L676" s="37" t="s">
        <v>2030</v>
      </c>
      <c r="M676" s="37" t="s">
        <v>219</v>
      </c>
      <c r="N676" s="37">
        <v>5</v>
      </c>
      <c r="O676" s="37" t="s">
        <v>131</v>
      </c>
      <c r="P676" s="37"/>
    </row>
    <row r="677" spans="1:16">
      <c r="A677" s="46" t="s">
        <v>2597</v>
      </c>
      <c r="B677" s="46" t="s">
        <v>2484</v>
      </c>
      <c r="C677" s="46"/>
      <c r="D677" s="46" t="s">
        <v>136</v>
      </c>
      <c r="E677" s="46" t="s">
        <v>137</v>
      </c>
      <c r="F677" s="46" t="s">
        <v>843</v>
      </c>
      <c r="G677" s="46" t="s">
        <v>125</v>
      </c>
      <c r="H677" s="46" t="s">
        <v>396</v>
      </c>
      <c r="I677" s="46" t="s">
        <v>1196</v>
      </c>
      <c r="J677" s="46" t="s">
        <v>2598</v>
      </c>
      <c r="K677" s="46">
        <v>8</v>
      </c>
      <c r="L677" s="46" t="s">
        <v>1152</v>
      </c>
      <c r="M677" s="46" t="s">
        <v>200</v>
      </c>
      <c r="N677" s="46">
        <v>4</v>
      </c>
      <c r="O677" s="46" t="s">
        <v>131</v>
      </c>
      <c r="P677" s="46"/>
    </row>
    <row r="678" spans="1:16">
      <c r="A678" s="37" t="s">
        <v>2599</v>
      </c>
      <c r="B678" s="37" t="s">
        <v>733</v>
      </c>
      <c r="C678" s="37" t="s">
        <v>407</v>
      </c>
      <c r="D678" s="37" t="s">
        <v>544</v>
      </c>
      <c r="E678" s="37" t="s">
        <v>345</v>
      </c>
      <c r="F678" s="37" t="s">
        <v>283</v>
      </c>
      <c r="G678" s="37" t="s">
        <v>380</v>
      </c>
      <c r="H678" s="37" t="s">
        <v>91</v>
      </c>
      <c r="I678" s="37" t="s">
        <v>838</v>
      </c>
      <c r="J678" s="37" t="s">
        <v>2600</v>
      </c>
      <c r="K678" s="37">
        <v>4</v>
      </c>
      <c r="L678" s="37" t="s">
        <v>602</v>
      </c>
      <c r="M678" s="37" t="s">
        <v>219</v>
      </c>
      <c r="N678" s="37">
        <v>5</v>
      </c>
      <c r="O678" s="37" t="s">
        <v>131</v>
      </c>
      <c r="P678" s="37"/>
    </row>
    <row r="679" spans="1:16">
      <c r="A679" s="46" t="s">
        <v>2601</v>
      </c>
      <c r="B679" s="46" t="s">
        <v>2602</v>
      </c>
      <c r="C679" s="46"/>
      <c r="D679" s="46" t="s">
        <v>270</v>
      </c>
      <c r="E679" s="46" t="s">
        <v>244</v>
      </c>
      <c r="F679" s="46" t="s">
        <v>186</v>
      </c>
      <c r="G679" s="46" t="s">
        <v>302</v>
      </c>
      <c r="H679" s="46" t="s">
        <v>91</v>
      </c>
      <c r="I679" s="46" t="s">
        <v>2603</v>
      </c>
      <c r="J679" s="46" t="s">
        <v>2604</v>
      </c>
      <c r="K679" s="46">
        <v>4</v>
      </c>
      <c r="L679" s="46" t="s">
        <v>2179</v>
      </c>
      <c r="M679" s="46" t="s">
        <v>219</v>
      </c>
      <c r="N679" s="46">
        <v>5</v>
      </c>
      <c r="O679" s="46" t="s">
        <v>152</v>
      </c>
      <c r="P679" s="46"/>
    </row>
    <row r="680" spans="1:16">
      <c r="A680" s="37" t="s">
        <v>2605</v>
      </c>
      <c r="B680" s="37" t="s">
        <v>2059</v>
      </c>
      <c r="C680" s="37" t="s">
        <v>633</v>
      </c>
      <c r="D680" s="37" t="s">
        <v>270</v>
      </c>
      <c r="E680" s="37" t="s">
        <v>42</v>
      </c>
      <c r="F680" s="37" t="s">
        <v>1734</v>
      </c>
      <c r="G680" s="37" t="s">
        <v>197</v>
      </c>
      <c r="H680" s="37" t="s">
        <v>90</v>
      </c>
      <c r="I680" s="37" t="s">
        <v>2606</v>
      </c>
      <c r="J680" s="37" t="s">
        <v>2607</v>
      </c>
      <c r="K680" s="37">
        <v>4</v>
      </c>
      <c r="L680" s="37" t="s">
        <v>1782</v>
      </c>
      <c r="M680" s="37" t="s">
        <v>172</v>
      </c>
      <c r="N680" s="37">
        <v>1</v>
      </c>
      <c r="O680" s="37" t="s">
        <v>152</v>
      </c>
      <c r="P680" s="37"/>
    </row>
    <row r="681" spans="1:16">
      <c r="A681" s="46" t="s">
        <v>2608</v>
      </c>
      <c r="B681" s="46" t="s">
        <v>879</v>
      </c>
      <c r="C681" s="46" t="s">
        <v>407</v>
      </c>
      <c r="D681" s="46" t="s">
        <v>213</v>
      </c>
      <c r="E681" s="46" t="s">
        <v>195</v>
      </c>
      <c r="F681" s="46" t="s">
        <v>124</v>
      </c>
      <c r="G681" s="46" t="s">
        <v>51</v>
      </c>
      <c r="H681" s="46" t="s">
        <v>327</v>
      </c>
      <c r="I681" s="46" t="s">
        <v>2609</v>
      </c>
      <c r="J681" s="46" t="s">
        <v>2610</v>
      </c>
      <c r="K681" s="46">
        <v>8</v>
      </c>
      <c r="L681" s="46" t="s">
        <v>2611</v>
      </c>
      <c r="M681" s="46" t="s">
        <v>117</v>
      </c>
      <c r="N681" s="46">
        <v>2</v>
      </c>
      <c r="O681" s="46" t="s">
        <v>191</v>
      </c>
      <c r="P681" s="46"/>
    </row>
    <row r="682" spans="1:16">
      <c r="A682" s="37" t="s">
        <v>2612</v>
      </c>
      <c r="B682" s="37" t="s">
        <v>936</v>
      </c>
      <c r="C682" s="37" t="s">
        <v>54</v>
      </c>
      <c r="D682" s="37" t="s">
        <v>919</v>
      </c>
      <c r="E682" s="37" t="s">
        <v>325</v>
      </c>
      <c r="F682" s="37" t="s">
        <v>843</v>
      </c>
      <c r="G682" s="37" t="s">
        <v>470</v>
      </c>
      <c r="H682" s="37" t="s">
        <v>91</v>
      </c>
      <c r="I682" s="37" t="s">
        <v>1279</v>
      </c>
      <c r="J682" s="37" t="s">
        <v>2613</v>
      </c>
      <c r="K682" s="37">
        <v>4</v>
      </c>
      <c r="L682" s="37" t="s">
        <v>2005</v>
      </c>
      <c r="M682" s="37" t="s">
        <v>72</v>
      </c>
      <c r="N682" s="37">
        <v>3</v>
      </c>
      <c r="O682" s="37" t="s">
        <v>181</v>
      </c>
      <c r="P682" s="37"/>
    </row>
    <row r="683" spans="1:16">
      <c r="A683" s="46" t="s">
        <v>2614</v>
      </c>
      <c r="B683" s="46" t="s">
        <v>1602</v>
      </c>
      <c r="C683" s="46" t="s">
        <v>222</v>
      </c>
      <c r="D683" s="46" t="s">
        <v>194</v>
      </c>
      <c r="E683" s="46" t="s">
        <v>224</v>
      </c>
      <c r="F683" s="46" t="s">
        <v>158</v>
      </c>
      <c r="G683" s="46" t="s">
        <v>139</v>
      </c>
      <c r="H683" s="46" t="s">
        <v>113</v>
      </c>
      <c r="I683" s="46" t="s">
        <v>639</v>
      </c>
      <c r="J683" s="46" t="s">
        <v>2615</v>
      </c>
      <c r="K683" s="46">
        <v>4</v>
      </c>
      <c r="L683" s="46" t="s">
        <v>1120</v>
      </c>
      <c r="M683" s="46" t="s">
        <v>172</v>
      </c>
      <c r="N683" s="46">
        <v>3</v>
      </c>
      <c r="O683" s="46" t="s">
        <v>191</v>
      </c>
      <c r="P683" s="46"/>
    </row>
    <row r="684" spans="1:16">
      <c r="A684" s="37" t="s">
        <v>2616</v>
      </c>
      <c r="B684" s="37" t="s">
        <v>1224</v>
      </c>
      <c r="C684" s="37" t="s">
        <v>109</v>
      </c>
      <c r="D684" s="37" t="s">
        <v>204</v>
      </c>
      <c r="E684" s="37" t="s">
        <v>147</v>
      </c>
      <c r="F684" s="37" t="s">
        <v>533</v>
      </c>
      <c r="G684" s="37" t="s">
        <v>380</v>
      </c>
      <c r="H684" s="37" t="s">
        <v>396</v>
      </c>
      <c r="I684" s="37" t="s">
        <v>1557</v>
      </c>
      <c r="J684" s="37" t="s">
        <v>2617</v>
      </c>
      <c r="K684" s="37">
        <v>8</v>
      </c>
      <c r="L684" s="37" t="s">
        <v>2618</v>
      </c>
      <c r="M684" s="37" t="s">
        <v>143</v>
      </c>
      <c r="N684" s="37">
        <v>3</v>
      </c>
      <c r="O684" s="37" t="s">
        <v>118</v>
      </c>
      <c r="P684" s="37"/>
    </row>
    <row r="685" spans="1:16">
      <c r="A685" s="46" t="s">
        <v>2619</v>
      </c>
      <c r="B685" s="46" t="s">
        <v>2620</v>
      </c>
      <c r="C685" s="46" t="s">
        <v>212</v>
      </c>
      <c r="D685" s="46" t="s">
        <v>352</v>
      </c>
      <c r="E685" s="46" t="s">
        <v>345</v>
      </c>
      <c r="F685" s="46" t="s">
        <v>177</v>
      </c>
      <c r="G685" s="46" t="s">
        <v>112</v>
      </c>
      <c r="H685" s="46" t="s">
        <v>215</v>
      </c>
      <c r="I685" s="46" t="s">
        <v>900</v>
      </c>
      <c r="J685" s="46" t="s">
        <v>2621</v>
      </c>
      <c r="K685" s="46">
        <v>6</v>
      </c>
      <c r="L685" s="46" t="s">
        <v>1377</v>
      </c>
      <c r="M685" s="46" t="s">
        <v>200</v>
      </c>
      <c r="N685" s="46">
        <v>2</v>
      </c>
      <c r="O685" s="46" t="s">
        <v>118</v>
      </c>
      <c r="P685" s="46"/>
    </row>
    <row r="686" spans="1:16">
      <c r="A686" s="37" t="s">
        <v>2622</v>
      </c>
      <c r="B686" s="37" t="s">
        <v>1142</v>
      </c>
      <c r="C686" s="37" t="s">
        <v>407</v>
      </c>
      <c r="D686" s="37" t="s">
        <v>122</v>
      </c>
      <c r="E686" s="37" t="s">
        <v>110</v>
      </c>
      <c r="F686" s="37" t="s">
        <v>612</v>
      </c>
      <c r="G686" s="37" t="s">
        <v>159</v>
      </c>
      <c r="H686" s="37" t="s">
        <v>54</v>
      </c>
      <c r="I686" s="37" t="s">
        <v>2420</v>
      </c>
      <c r="J686" s="37" t="s">
        <v>2623</v>
      </c>
      <c r="K686" s="37">
        <v>6</v>
      </c>
      <c r="L686" s="37" t="s">
        <v>2160</v>
      </c>
      <c r="M686" s="37" t="s">
        <v>72</v>
      </c>
      <c r="N686" s="37">
        <v>3</v>
      </c>
      <c r="O686" s="37" t="s">
        <v>152</v>
      </c>
      <c r="P686" s="37"/>
    </row>
    <row r="687" spans="1:16">
      <c r="A687" s="46" t="s">
        <v>2624</v>
      </c>
      <c r="B687" s="46" t="s">
        <v>518</v>
      </c>
      <c r="C687" s="46" t="s">
        <v>424</v>
      </c>
      <c r="D687" s="46" t="s">
        <v>37</v>
      </c>
      <c r="E687" s="46" t="s">
        <v>185</v>
      </c>
      <c r="F687" s="46" t="s">
        <v>231</v>
      </c>
      <c r="G687" s="46" t="s">
        <v>418</v>
      </c>
      <c r="H687" s="46" t="s">
        <v>327</v>
      </c>
      <c r="I687" s="46" t="s">
        <v>2625</v>
      </c>
      <c r="J687" s="46" t="s">
        <v>2626</v>
      </c>
      <c r="K687" s="46">
        <v>4</v>
      </c>
      <c r="L687" s="46" t="s">
        <v>2388</v>
      </c>
      <c r="M687" s="46" t="s">
        <v>117</v>
      </c>
      <c r="N687" s="46">
        <v>5</v>
      </c>
      <c r="O687" s="46" t="s">
        <v>131</v>
      </c>
      <c r="P687" s="46"/>
    </row>
    <row r="688" spans="1:16">
      <c r="A688" s="37" t="s">
        <v>2627</v>
      </c>
      <c r="B688" s="37" t="s">
        <v>2595</v>
      </c>
      <c r="C688" s="37" t="s">
        <v>633</v>
      </c>
      <c r="D688" s="37" t="s">
        <v>213</v>
      </c>
      <c r="E688" s="37" t="s">
        <v>99</v>
      </c>
      <c r="F688" s="37" t="s">
        <v>1794</v>
      </c>
      <c r="G688" s="37" t="s">
        <v>401</v>
      </c>
      <c r="H688" s="37" t="s">
        <v>327</v>
      </c>
      <c r="I688" s="37" t="s">
        <v>2628</v>
      </c>
      <c r="J688" s="37" t="s">
        <v>2629</v>
      </c>
      <c r="K688" s="37">
        <v>2</v>
      </c>
      <c r="L688" s="37" t="s">
        <v>267</v>
      </c>
      <c r="M688" s="37" t="s">
        <v>72</v>
      </c>
      <c r="N688" s="37">
        <v>2</v>
      </c>
      <c r="O688" s="37" t="s">
        <v>131</v>
      </c>
      <c r="P688" s="37"/>
    </row>
    <row r="689" spans="1:16">
      <c r="A689" s="46" t="s">
        <v>2630</v>
      </c>
      <c r="B689" s="46" t="s">
        <v>466</v>
      </c>
      <c r="C689" s="46" t="s">
        <v>212</v>
      </c>
      <c r="D689" s="46" t="s">
        <v>194</v>
      </c>
      <c r="E689" s="46" t="s">
        <v>176</v>
      </c>
      <c r="F689" s="46" t="s">
        <v>498</v>
      </c>
      <c r="G689" s="46" t="s">
        <v>418</v>
      </c>
      <c r="H689" s="46" t="s">
        <v>54</v>
      </c>
      <c r="I689" s="46" t="s">
        <v>1993</v>
      </c>
      <c r="J689" s="46" t="s">
        <v>2631</v>
      </c>
      <c r="K689" s="46">
        <v>8</v>
      </c>
      <c r="L689" s="46" t="s">
        <v>2429</v>
      </c>
      <c r="M689" s="46" t="s">
        <v>172</v>
      </c>
      <c r="N689" s="46">
        <v>1</v>
      </c>
      <c r="O689" s="46" t="s">
        <v>131</v>
      </c>
      <c r="P689" s="46"/>
    </row>
    <row r="690" spans="1:16">
      <c r="A690" s="37" t="s">
        <v>2632</v>
      </c>
      <c r="B690" s="37" t="s">
        <v>250</v>
      </c>
      <c r="C690" s="37" t="s">
        <v>174</v>
      </c>
      <c r="D690" s="37" t="s">
        <v>98</v>
      </c>
      <c r="E690" s="37" t="s">
        <v>157</v>
      </c>
      <c r="F690" s="37" t="s">
        <v>283</v>
      </c>
      <c r="G690" s="37" t="s">
        <v>197</v>
      </c>
      <c r="H690" s="37" t="s">
        <v>54</v>
      </c>
      <c r="I690" s="37" t="s">
        <v>2176</v>
      </c>
      <c r="J690" s="37" t="s">
        <v>1063</v>
      </c>
      <c r="K690" s="37">
        <v>6</v>
      </c>
      <c r="L690" s="37" t="s">
        <v>638</v>
      </c>
      <c r="M690" s="37" t="s">
        <v>105</v>
      </c>
      <c r="N690" s="37">
        <v>4</v>
      </c>
      <c r="O690" s="37" t="s">
        <v>152</v>
      </c>
      <c r="P690" s="37"/>
    </row>
    <row r="691" spans="1:16">
      <c r="A691" s="46" t="s">
        <v>2633</v>
      </c>
      <c r="B691" s="46" t="s">
        <v>1745</v>
      </c>
      <c r="C691" s="46" t="s">
        <v>97</v>
      </c>
      <c r="D691" s="46" t="s">
        <v>270</v>
      </c>
      <c r="E691" s="46" t="s">
        <v>185</v>
      </c>
      <c r="F691" s="46" t="s">
        <v>271</v>
      </c>
      <c r="G691" s="46" t="s">
        <v>139</v>
      </c>
      <c r="H691" s="46" t="s">
        <v>215</v>
      </c>
      <c r="I691" s="46" t="s">
        <v>2587</v>
      </c>
      <c r="J691" s="46" t="s">
        <v>2634</v>
      </c>
      <c r="K691" s="46">
        <v>6</v>
      </c>
      <c r="L691" s="46" t="s">
        <v>1903</v>
      </c>
      <c r="M691" s="46" t="s">
        <v>72</v>
      </c>
      <c r="N691" s="46">
        <v>3</v>
      </c>
      <c r="O691" s="46" t="s">
        <v>286</v>
      </c>
      <c r="P691" s="46"/>
    </row>
    <row r="692" spans="1:16">
      <c r="A692" s="37" t="s">
        <v>2635</v>
      </c>
      <c r="B692" s="37" t="s">
        <v>180</v>
      </c>
      <c r="C692" s="37" t="s">
        <v>203</v>
      </c>
      <c r="D692" s="37" t="s">
        <v>156</v>
      </c>
      <c r="E692" s="37" t="s">
        <v>110</v>
      </c>
      <c r="F692" s="37" t="s">
        <v>177</v>
      </c>
      <c r="G692" s="37" t="s">
        <v>168</v>
      </c>
      <c r="H692" s="37" t="s">
        <v>88</v>
      </c>
      <c r="I692" s="37" t="s">
        <v>2636</v>
      </c>
      <c r="J692" s="37" t="s">
        <v>161</v>
      </c>
      <c r="K692" s="37">
        <v>4</v>
      </c>
      <c r="L692" s="37" t="s">
        <v>227</v>
      </c>
      <c r="M692" s="37" t="s">
        <v>105</v>
      </c>
      <c r="N692" s="37">
        <v>3</v>
      </c>
      <c r="O692" s="37" t="s">
        <v>118</v>
      </c>
      <c r="P692" s="37"/>
    </row>
    <row r="693" spans="1:16">
      <c r="A693" s="46" t="s">
        <v>2637</v>
      </c>
      <c r="B693" s="46" t="s">
        <v>564</v>
      </c>
      <c r="C693" s="46" t="s">
        <v>203</v>
      </c>
      <c r="D693" s="46" t="s">
        <v>230</v>
      </c>
      <c r="E693" s="46" t="s">
        <v>110</v>
      </c>
      <c r="F693" s="46" t="s">
        <v>100</v>
      </c>
      <c r="G693" s="46" t="s">
        <v>89</v>
      </c>
      <c r="H693" s="46" t="s">
        <v>278</v>
      </c>
      <c r="I693" s="46" t="s">
        <v>1815</v>
      </c>
      <c r="J693" s="46" t="s">
        <v>2197</v>
      </c>
      <c r="K693" s="46">
        <v>4</v>
      </c>
      <c r="L693" s="46" t="s">
        <v>309</v>
      </c>
      <c r="M693" s="46" t="s">
        <v>105</v>
      </c>
      <c r="N693" s="46">
        <v>4</v>
      </c>
      <c r="O693" s="46" t="s">
        <v>106</v>
      </c>
      <c r="P693" s="46"/>
    </row>
    <row r="694" spans="1:16">
      <c r="A694" s="37" t="s">
        <v>2638</v>
      </c>
      <c r="B694" s="37" t="s">
        <v>744</v>
      </c>
      <c r="C694" s="37" t="s">
        <v>155</v>
      </c>
      <c r="D694" s="37" t="s">
        <v>312</v>
      </c>
      <c r="E694" s="37" t="s">
        <v>137</v>
      </c>
      <c r="F694" s="37" t="s">
        <v>47</v>
      </c>
      <c r="G694" s="37" t="s">
        <v>51</v>
      </c>
      <c r="H694" s="37" t="s">
        <v>54</v>
      </c>
      <c r="I694" s="37" t="s">
        <v>715</v>
      </c>
      <c r="J694" s="37" t="s">
        <v>530</v>
      </c>
      <c r="K694" s="37">
        <v>6</v>
      </c>
      <c r="L694" s="37" t="s">
        <v>1763</v>
      </c>
      <c r="M694" s="37" t="s">
        <v>105</v>
      </c>
      <c r="N694" s="37">
        <v>4</v>
      </c>
      <c r="O694" s="37" t="s">
        <v>79</v>
      </c>
      <c r="P694" s="37"/>
    </row>
    <row r="695" spans="1:16">
      <c r="A695" s="46" t="s">
        <v>2639</v>
      </c>
      <c r="B695" s="46" t="s">
        <v>2640</v>
      </c>
      <c r="C695" s="46" t="s">
        <v>374</v>
      </c>
      <c r="D695" s="46" t="s">
        <v>194</v>
      </c>
      <c r="E695" s="46" t="s">
        <v>195</v>
      </c>
      <c r="F695" s="46" t="s">
        <v>385</v>
      </c>
      <c r="G695" s="46" t="s">
        <v>89</v>
      </c>
      <c r="H695" s="46" t="s">
        <v>88</v>
      </c>
      <c r="I695" s="46" t="s">
        <v>2641</v>
      </c>
      <c r="J695" s="46" t="s">
        <v>2642</v>
      </c>
      <c r="K695" s="46">
        <v>8</v>
      </c>
      <c r="L695" s="46" t="s">
        <v>595</v>
      </c>
      <c r="M695" s="46" t="s">
        <v>172</v>
      </c>
      <c r="N695" s="46">
        <v>1</v>
      </c>
      <c r="O695" s="46" t="s">
        <v>131</v>
      </c>
      <c r="P695" s="46"/>
    </row>
    <row r="696" spans="1:16">
      <c r="A696" s="37" t="s">
        <v>2643</v>
      </c>
      <c r="B696" s="37" t="s">
        <v>1142</v>
      </c>
      <c r="C696" s="37" t="s">
        <v>166</v>
      </c>
      <c r="D696" s="37" t="s">
        <v>230</v>
      </c>
      <c r="E696" s="37" t="s">
        <v>345</v>
      </c>
      <c r="F696" s="37" t="s">
        <v>263</v>
      </c>
      <c r="G696" s="37" t="s">
        <v>168</v>
      </c>
      <c r="H696" s="37" t="s">
        <v>88</v>
      </c>
      <c r="I696" s="37" t="s">
        <v>2012</v>
      </c>
      <c r="J696" s="37" t="s">
        <v>2644</v>
      </c>
      <c r="K696" s="37">
        <v>6</v>
      </c>
      <c r="L696" s="37" t="s">
        <v>2278</v>
      </c>
      <c r="M696" s="37" t="s">
        <v>143</v>
      </c>
      <c r="N696" s="37">
        <v>4</v>
      </c>
      <c r="O696" s="37" t="s">
        <v>118</v>
      </c>
      <c r="P696" s="37"/>
    </row>
    <row r="697" spans="1:16">
      <c r="A697" s="46" t="s">
        <v>2645</v>
      </c>
      <c r="B697" s="46" t="s">
        <v>2646</v>
      </c>
      <c r="C697" s="46" t="s">
        <v>91</v>
      </c>
      <c r="D697" s="46" t="s">
        <v>270</v>
      </c>
      <c r="E697" s="46" t="s">
        <v>224</v>
      </c>
      <c r="F697" s="46" t="s">
        <v>263</v>
      </c>
      <c r="G697" s="46" t="s">
        <v>418</v>
      </c>
      <c r="H697" s="46" t="s">
        <v>327</v>
      </c>
      <c r="I697" s="46" t="s">
        <v>762</v>
      </c>
      <c r="J697" s="46" t="s">
        <v>1690</v>
      </c>
      <c r="K697" s="46">
        <v>4</v>
      </c>
      <c r="L697" s="46" t="s">
        <v>835</v>
      </c>
      <c r="M697" s="46" t="s">
        <v>172</v>
      </c>
      <c r="N697" s="46">
        <v>4</v>
      </c>
      <c r="O697" s="46" t="s">
        <v>118</v>
      </c>
      <c r="P697" s="46"/>
    </row>
    <row r="698" spans="1:16">
      <c r="A698" s="37" t="s">
        <v>2647</v>
      </c>
      <c r="B698" s="37" t="s">
        <v>931</v>
      </c>
      <c r="C698" s="37" t="s">
        <v>222</v>
      </c>
      <c r="D698" s="37" t="s">
        <v>270</v>
      </c>
      <c r="E698" s="37" t="s">
        <v>137</v>
      </c>
      <c r="F698" s="37" t="s">
        <v>612</v>
      </c>
      <c r="G698" s="37" t="s">
        <v>401</v>
      </c>
      <c r="H698" s="37" t="s">
        <v>54</v>
      </c>
      <c r="I698" s="37" t="s">
        <v>2648</v>
      </c>
      <c r="J698" s="37" t="s">
        <v>2649</v>
      </c>
      <c r="K698" s="37">
        <v>8</v>
      </c>
      <c r="L698" s="37" t="s">
        <v>1521</v>
      </c>
      <c r="M698" s="37" t="s">
        <v>72</v>
      </c>
      <c r="N698" s="37">
        <v>3</v>
      </c>
      <c r="O698" s="37" t="s">
        <v>181</v>
      </c>
      <c r="P698" s="37"/>
    </row>
    <row r="699" spans="1:16">
      <c r="A699" s="46" t="s">
        <v>2650</v>
      </c>
      <c r="B699" s="46" t="s">
        <v>269</v>
      </c>
      <c r="C699" s="46" t="s">
        <v>97</v>
      </c>
      <c r="D699" s="46" t="s">
        <v>352</v>
      </c>
      <c r="E699" s="46" t="s">
        <v>345</v>
      </c>
      <c r="F699" s="46" t="s">
        <v>47</v>
      </c>
      <c r="G699" s="46" t="s">
        <v>302</v>
      </c>
      <c r="H699" s="46" t="s">
        <v>91</v>
      </c>
      <c r="I699" s="46" t="s">
        <v>2651</v>
      </c>
      <c r="J699" s="46" t="s">
        <v>2652</v>
      </c>
      <c r="K699" s="46">
        <v>6</v>
      </c>
      <c r="L699" s="46" t="s">
        <v>513</v>
      </c>
      <c r="M699" s="46" t="s">
        <v>163</v>
      </c>
      <c r="N699" s="46">
        <v>3</v>
      </c>
      <c r="O699" s="46" t="s">
        <v>118</v>
      </c>
      <c r="P699" s="46"/>
    </row>
    <row r="700" spans="1:16">
      <c r="A700" s="37" t="s">
        <v>2653</v>
      </c>
      <c r="B700" s="37" t="s">
        <v>357</v>
      </c>
      <c r="C700" s="37" t="s">
        <v>212</v>
      </c>
      <c r="D700" s="37" t="s">
        <v>184</v>
      </c>
      <c r="E700" s="37" t="s">
        <v>99</v>
      </c>
      <c r="F700" s="37" t="s">
        <v>47</v>
      </c>
      <c r="G700" s="37" t="s">
        <v>139</v>
      </c>
      <c r="H700" s="37" t="s">
        <v>32</v>
      </c>
      <c r="I700" s="37" t="s">
        <v>2654</v>
      </c>
      <c r="J700" s="37" t="s">
        <v>2655</v>
      </c>
      <c r="K700" s="37">
        <v>4</v>
      </c>
      <c r="L700" s="37" t="s">
        <v>2656</v>
      </c>
      <c r="M700" s="37" t="s">
        <v>337</v>
      </c>
      <c r="N700" s="37"/>
      <c r="O700" s="37" t="s">
        <v>131</v>
      </c>
      <c r="P700" s="37" t="s">
        <v>759</v>
      </c>
    </row>
    <row r="701" spans="1:16">
      <c r="A701" s="46" t="s">
        <v>2657</v>
      </c>
      <c r="B701" s="46" t="s">
        <v>1289</v>
      </c>
      <c r="C701" s="46" t="s">
        <v>212</v>
      </c>
      <c r="D701" s="46" t="s">
        <v>204</v>
      </c>
      <c r="E701" s="46" t="s">
        <v>345</v>
      </c>
      <c r="F701" s="46" t="s">
        <v>277</v>
      </c>
      <c r="G701" s="46" t="s">
        <v>125</v>
      </c>
      <c r="H701" s="46" t="s">
        <v>294</v>
      </c>
      <c r="I701" s="46" t="s">
        <v>499</v>
      </c>
      <c r="J701" s="46" t="s">
        <v>2658</v>
      </c>
      <c r="K701" s="46">
        <v>6</v>
      </c>
      <c r="L701" s="46" t="s">
        <v>154</v>
      </c>
      <c r="M701" s="46" t="s">
        <v>117</v>
      </c>
      <c r="N701" s="46">
        <v>4</v>
      </c>
      <c r="O701" s="46" t="s">
        <v>118</v>
      </c>
      <c r="P701" s="46"/>
    </row>
    <row r="702" spans="1:16">
      <c r="A702" s="37" t="s">
        <v>2659</v>
      </c>
      <c r="B702" s="37" t="s">
        <v>2007</v>
      </c>
      <c r="C702" s="37" t="s">
        <v>212</v>
      </c>
      <c r="D702" s="37" t="s">
        <v>156</v>
      </c>
      <c r="E702" s="37" t="s">
        <v>325</v>
      </c>
      <c r="F702" s="37" t="s">
        <v>368</v>
      </c>
      <c r="G702" s="37" t="s">
        <v>197</v>
      </c>
      <c r="H702" s="37" t="s">
        <v>93</v>
      </c>
      <c r="I702" s="37" t="s">
        <v>2660</v>
      </c>
      <c r="J702" s="37" t="s">
        <v>2661</v>
      </c>
      <c r="K702" s="37">
        <v>4</v>
      </c>
      <c r="L702" s="37" t="s">
        <v>466</v>
      </c>
      <c r="M702" s="37" t="s">
        <v>117</v>
      </c>
      <c r="N702" s="37">
        <v>5</v>
      </c>
      <c r="O702" s="37" t="s">
        <v>79</v>
      </c>
      <c r="P702" s="37"/>
    </row>
    <row r="703" spans="1:16">
      <c r="A703" s="46" t="s">
        <v>2662</v>
      </c>
      <c r="B703" s="46" t="s">
        <v>285</v>
      </c>
      <c r="C703" s="46" t="s">
        <v>243</v>
      </c>
      <c r="D703" s="46" t="s">
        <v>136</v>
      </c>
      <c r="E703" s="46" t="s">
        <v>110</v>
      </c>
      <c r="F703" s="46" t="s">
        <v>124</v>
      </c>
      <c r="G703" s="46" t="s">
        <v>87</v>
      </c>
      <c r="H703" s="46" t="s">
        <v>32</v>
      </c>
      <c r="I703" s="46" t="s">
        <v>2663</v>
      </c>
      <c r="J703" s="46" t="s">
        <v>2664</v>
      </c>
      <c r="K703" s="46">
        <v>6</v>
      </c>
      <c r="L703" s="46" t="s">
        <v>1370</v>
      </c>
      <c r="M703" s="46" t="s">
        <v>1513</v>
      </c>
      <c r="N703" s="46"/>
      <c r="O703" s="46" t="s">
        <v>181</v>
      </c>
      <c r="P703" s="46" t="s">
        <v>132</v>
      </c>
    </row>
    <row r="704" spans="1:16">
      <c r="A704" s="37" t="s">
        <v>2665</v>
      </c>
      <c r="B704" s="37" t="s">
        <v>2666</v>
      </c>
      <c r="C704" s="37" t="s">
        <v>88</v>
      </c>
      <c r="D704" s="37" t="s">
        <v>270</v>
      </c>
      <c r="E704" s="37" t="s">
        <v>147</v>
      </c>
      <c r="F704" s="37" t="s">
        <v>167</v>
      </c>
      <c r="G704" s="37" t="s">
        <v>139</v>
      </c>
      <c r="H704" s="37" t="s">
        <v>354</v>
      </c>
      <c r="I704" s="37" t="s">
        <v>723</v>
      </c>
      <c r="J704" s="37" t="s">
        <v>731</v>
      </c>
      <c r="K704" s="37">
        <v>8</v>
      </c>
      <c r="L704" s="37" t="s">
        <v>1144</v>
      </c>
      <c r="M704" s="37" t="s">
        <v>72</v>
      </c>
      <c r="N704" s="37">
        <v>2</v>
      </c>
      <c r="O704" s="37" t="s">
        <v>118</v>
      </c>
      <c r="P704" s="37"/>
    </row>
    <row r="705" spans="1:16">
      <c r="A705" s="46" t="s">
        <v>2667</v>
      </c>
      <c r="B705" s="46" t="s">
        <v>332</v>
      </c>
      <c r="C705" s="46" t="s">
        <v>469</v>
      </c>
      <c r="D705" s="46" t="s">
        <v>136</v>
      </c>
      <c r="E705" s="46" t="s">
        <v>244</v>
      </c>
      <c r="F705" s="46" t="s">
        <v>205</v>
      </c>
      <c r="G705" s="46" t="s">
        <v>401</v>
      </c>
      <c r="H705" s="46" t="s">
        <v>93</v>
      </c>
      <c r="I705" s="46" t="s">
        <v>2668</v>
      </c>
      <c r="J705" s="46" t="s">
        <v>2669</v>
      </c>
      <c r="K705" s="46">
        <v>4</v>
      </c>
      <c r="L705" s="46" t="s">
        <v>2670</v>
      </c>
      <c r="M705" s="46" t="s">
        <v>105</v>
      </c>
      <c r="N705" s="46">
        <v>3</v>
      </c>
      <c r="O705" s="46" t="s">
        <v>181</v>
      </c>
      <c r="P705" s="46"/>
    </row>
    <row r="706" spans="1:16">
      <c r="A706" s="37" t="s">
        <v>2671</v>
      </c>
      <c r="B706" s="37" t="s">
        <v>2672</v>
      </c>
      <c r="C706" s="37" t="s">
        <v>121</v>
      </c>
      <c r="D706" s="37" t="s">
        <v>146</v>
      </c>
      <c r="E706" s="37" t="s">
        <v>157</v>
      </c>
      <c r="F706" s="37" t="s">
        <v>368</v>
      </c>
      <c r="G706" s="37" t="s">
        <v>380</v>
      </c>
      <c r="H706" s="37" t="s">
        <v>294</v>
      </c>
      <c r="I706" s="37" t="s">
        <v>2673</v>
      </c>
      <c r="J706" s="37" t="s">
        <v>2674</v>
      </c>
      <c r="K706" s="37">
        <v>6</v>
      </c>
      <c r="L706" s="37" t="s">
        <v>2675</v>
      </c>
      <c r="M706" s="37" t="s">
        <v>219</v>
      </c>
      <c r="N706" s="37">
        <v>5</v>
      </c>
      <c r="O706" s="37" t="s">
        <v>131</v>
      </c>
      <c r="P706" s="37"/>
    </row>
    <row r="707" spans="1:16">
      <c r="A707" s="46" t="s">
        <v>2676</v>
      </c>
      <c r="B707" s="46" t="s">
        <v>969</v>
      </c>
      <c r="C707" s="46" t="s">
        <v>469</v>
      </c>
      <c r="D707" s="46" t="s">
        <v>213</v>
      </c>
      <c r="E707" s="46" t="s">
        <v>244</v>
      </c>
      <c r="F707" s="46" t="s">
        <v>263</v>
      </c>
      <c r="G707" s="46" t="s">
        <v>264</v>
      </c>
      <c r="H707" s="46" t="s">
        <v>206</v>
      </c>
      <c r="I707" s="46" t="s">
        <v>1989</v>
      </c>
      <c r="J707" s="46" t="s">
        <v>2677</v>
      </c>
      <c r="K707" s="46">
        <v>4</v>
      </c>
      <c r="L707" s="46" t="s">
        <v>299</v>
      </c>
      <c r="M707" s="46" t="s">
        <v>817</v>
      </c>
      <c r="N707" s="46"/>
      <c r="O707" s="46" t="s">
        <v>106</v>
      </c>
      <c r="P707" s="46" t="s">
        <v>83</v>
      </c>
    </row>
    <row r="708" spans="1:16">
      <c r="A708" s="37" t="s">
        <v>2678</v>
      </c>
      <c r="B708" s="37" t="s">
        <v>2679</v>
      </c>
      <c r="C708" s="37" t="s">
        <v>97</v>
      </c>
      <c r="D708" s="37" t="s">
        <v>194</v>
      </c>
      <c r="E708" s="37" t="s">
        <v>195</v>
      </c>
      <c r="F708" s="37" t="s">
        <v>271</v>
      </c>
      <c r="G708" s="37" t="s">
        <v>159</v>
      </c>
      <c r="H708" s="37" t="s">
        <v>327</v>
      </c>
      <c r="I708" s="37" t="s">
        <v>2651</v>
      </c>
      <c r="J708" s="37" t="s">
        <v>2680</v>
      </c>
      <c r="K708" s="37">
        <v>6</v>
      </c>
      <c r="L708" s="37" t="s">
        <v>2681</v>
      </c>
      <c r="M708" s="37" t="s">
        <v>143</v>
      </c>
      <c r="N708" s="37">
        <v>5</v>
      </c>
      <c r="O708" s="37" t="s">
        <v>106</v>
      </c>
      <c r="P708" s="37"/>
    </row>
    <row r="709" spans="1:16">
      <c r="A709" s="46" t="s">
        <v>2682</v>
      </c>
      <c r="B709" s="46" t="s">
        <v>2683</v>
      </c>
      <c r="C709" s="46" t="s">
        <v>88</v>
      </c>
      <c r="D709" s="46" t="s">
        <v>156</v>
      </c>
      <c r="E709" s="46" t="s">
        <v>185</v>
      </c>
      <c r="F709" s="46" t="s">
        <v>664</v>
      </c>
      <c r="G709" s="46" t="s">
        <v>257</v>
      </c>
      <c r="H709" s="46" t="s">
        <v>278</v>
      </c>
      <c r="I709" s="46"/>
      <c r="J709" s="46" t="s">
        <v>563</v>
      </c>
      <c r="K709" s="46">
        <v>4</v>
      </c>
      <c r="L709" s="46" t="s">
        <v>965</v>
      </c>
      <c r="M709" s="46" t="s">
        <v>200</v>
      </c>
      <c r="N709" s="46">
        <v>1</v>
      </c>
      <c r="O709" s="46" t="s">
        <v>181</v>
      </c>
      <c r="P709" s="46"/>
    </row>
    <row r="710" spans="1:16">
      <c r="A710" s="37" t="s">
        <v>2684</v>
      </c>
      <c r="B710" s="37" t="s">
        <v>1544</v>
      </c>
      <c r="C710" s="37" t="s">
        <v>174</v>
      </c>
      <c r="D710" s="37" t="s">
        <v>37</v>
      </c>
      <c r="E710" s="37" t="s">
        <v>110</v>
      </c>
      <c r="F710" s="37" t="s">
        <v>231</v>
      </c>
      <c r="G710" s="37" t="s">
        <v>257</v>
      </c>
      <c r="H710" s="37" t="s">
        <v>206</v>
      </c>
      <c r="I710" s="37" t="s">
        <v>2685</v>
      </c>
      <c r="J710" s="37" t="s">
        <v>2686</v>
      </c>
      <c r="K710" s="37">
        <v>4</v>
      </c>
      <c r="L710" s="37" t="s">
        <v>390</v>
      </c>
      <c r="M710" s="37" t="s">
        <v>163</v>
      </c>
      <c r="N710" s="37">
        <v>5</v>
      </c>
      <c r="O710" s="37" t="s">
        <v>181</v>
      </c>
      <c r="P710" s="37"/>
    </row>
    <row r="711" spans="1:16">
      <c r="A711" s="46" t="s">
        <v>2687</v>
      </c>
      <c r="B711" s="46" t="s">
        <v>564</v>
      </c>
      <c r="C711" s="46" t="s">
        <v>469</v>
      </c>
      <c r="D711" s="46" t="s">
        <v>175</v>
      </c>
      <c r="E711" s="46" t="s">
        <v>440</v>
      </c>
      <c r="F711" s="46" t="s">
        <v>158</v>
      </c>
      <c r="G711" s="46" t="s">
        <v>159</v>
      </c>
      <c r="H711" s="46" t="s">
        <v>327</v>
      </c>
      <c r="I711" s="46" t="s">
        <v>1441</v>
      </c>
      <c r="J711" s="46" t="s">
        <v>170</v>
      </c>
      <c r="K711" s="46">
        <v>8</v>
      </c>
      <c r="L711" s="46" t="s">
        <v>1021</v>
      </c>
      <c r="M711" s="46" t="s">
        <v>105</v>
      </c>
      <c r="N711" s="46">
        <v>5</v>
      </c>
      <c r="O711" s="46" t="s">
        <v>191</v>
      </c>
      <c r="P711" s="46"/>
    </row>
    <row r="712" spans="1:16">
      <c r="A712" s="46" t="s">
        <v>2688</v>
      </c>
      <c r="B712" s="46" t="s">
        <v>837</v>
      </c>
      <c r="C712" s="46" t="s">
        <v>633</v>
      </c>
      <c r="D712" s="46" t="s">
        <v>122</v>
      </c>
      <c r="E712" s="46" t="s">
        <v>185</v>
      </c>
      <c r="F712" s="46" t="s">
        <v>283</v>
      </c>
      <c r="G712" s="46" t="s">
        <v>197</v>
      </c>
      <c r="H712" s="46" t="s">
        <v>327</v>
      </c>
      <c r="I712" s="46" t="s">
        <v>2689</v>
      </c>
      <c r="J712" s="46" t="s">
        <v>432</v>
      </c>
      <c r="K712" s="46">
        <v>4</v>
      </c>
      <c r="L712" s="46" t="s">
        <v>383</v>
      </c>
      <c r="M712" s="46" t="s">
        <v>117</v>
      </c>
      <c r="N712" s="46">
        <v>4</v>
      </c>
      <c r="O712" s="46" t="s">
        <v>131</v>
      </c>
      <c r="P712" s="46"/>
    </row>
    <row r="713" spans="1:16">
      <c r="A713" s="37" t="s">
        <v>2690</v>
      </c>
      <c r="B713" s="37" t="s">
        <v>96</v>
      </c>
      <c r="C713" s="37" t="s">
        <v>88</v>
      </c>
      <c r="D713" s="37" t="s">
        <v>230</v>
      </c>
      <c r="E713" s="37" t="s">
        <v>244</v>
      </c>
      <c r="F713" s="37" t="s">
        <v>301</v>
      </c>
      <c r="G713" s="37" t="s">
        <v>112</v>
      </c>
      <c r="H713" s="37" t="s">
        <v>354</v>
      </c>
      <c r="I713" s="37" t="s">
        <v>2691</v>
      </c>
      <c r="J713" s="37" t="s">
        <v>2692</v>
      </c>
      <c r="K713" s="37">
        <v>4</v>
      </c>
      <c r="L713" s="37" t="s">
        <v>1034</v>
      </c>
      <c r="M713" s="37" t="s">
        <v>200</v>
      </c>
      <c r="N713" s="37">
        <v>3</v>
      </c>
      <c r="O713" s="37" t="s">
        <v>181</v>
      </c>
      <c r="P713" s="37"/>
    </row>
    <row r="714" spans="1:16">
      <c r="A714" s="46" t="s">
        <v>2693</v>
      </c>
      <c r="B714" s="46" t="s">
        <v>733</v>
      </c>
      <c r="C714" s="46" t="s">
        <v>32</v>
      </c>
      <c r="D714" s="46" t="s">
        <v>367</v>
      </c>
      <c r="E714" s="46" t="s">
        <v>176</v>
      </c>
      <c r="F714" s="46" t="s">
        <v>47</v>
      </c>
      <c r="G714" s="46" t="s">
        <v>346</v>
      </c>
      <c r="H714" s="46" t="s">
        <v>113</v>
      </c>
      <c r="I714" s="46" t="s">
        <v>1196</v>
      </c>
      <c r="J714" s="46" t="s">
        <v>2694</v>
      </c>
      <c r="K714" s="46">
        <v>6</v>
      </c>
      <c r="L714" s="46" t="s">
        <v>2030</v>
      </c>
      <c r="M714" s="46" t="s">
        <v>117</v>
      </c>
      <c r="N714" s="46">
        <v>5</v>
      </c>
      <c r="O714" s="46" t="s">
        <v>106</v>
      </c>
      <c r="P714" s="46"/>
    </row>
    <row r="715" spans="1:16">
      <c r="A715" s="37" t="s">
        <v>2695</v>
      </c>
      <c r="B715" s="37" t="s">
        <v>1370</v>
      </c>
      <c r="C715" s="37" t="s">
        <v>155</v>
      </c>
      <c r="D715" s="37" t="s">
        <v>194</v>
      </c>
      <c r="E715" s="37" t="s">
        <v>244</v>
      </c>
      <c r="F715" s="37" t="s">
        <v>177</v>
      </c>
      <c r="G715" s="37" t="s">
        <v>257</v>
      </c>
      <c r="H715" s="37" t="s">
        <v>187</v>
      </c>
      <c r="I715" s="37" t="s">
        <v>1780</v>
      </c>
      <c r="J715" s="37" t="s">
        <v>2696</v>
      </c>
      <c r="K715" s="37">
        <v>4</v>
      </c>
      <c r="L715" s="37" t="s">
        <v>1489</v>
      </c>
      <c r="M715" s="37" t="s">
        <v>219</v>
      </c>
      <c r="N715" s="37">
        <v>5</v>
      </c>
      <c r="O715" s="37" t="s">
        <v>79</v>
      </c>
      <c r="P715" s="37"/>
    </row>
    <row r="716" spans="1:16">
      <c r="A716" s="46" t="s">
        <v>2697</v>
      </c>
      <c r="B716" s="46" t="s">
        <v>2526</v>
      </c>
      <c r="C716" s="46" t="s">
        <v>32</v>
      </c>
      <c r="D716" s="46" t="s">
        <v>98</v>
      </c>
      <c r="E716" s="46" t="s">
        <v>224</v>
      </c>
      <c r="F716" s="46" t="s">
        <v>734</v>
      </c>
      <c r="G716" s="46" t="s">
        <v>125</v>
      </c>
      <c r="H716" s="46" t="s">
        <v>294</v>
      </c>
      <c r="I716" s="46" t="s">
        <v>2698</v>
      </c>
      <c r="J716" s="46" t="s">
        <v>2699</v>
      </c>
      <c r="K716" s="46">
        <v>4</v>
      </c>
      <c r="L716" s="46" t="s">
        <v>2700</v>
      </c>
      <c r="M716" s="46" t="s">
        <v>143</v>
      </c>
      <c r="N716" s="46">
        <v>3</v>
      </c>
      <c r="O716" s="46" t="s">
        <v>118</v>
      </c>
      <c r="P716" s="46"/>
    </row>
    <row r="717" spans="1:16">
      <c r="A717" s="37" t="s">
        <v>2701</v>
      </c>
      <c r="B717" s="37" t="s">
        <v>904</v>
      </c>
      <c r="C717" s="37" t="s">
        <v>121</v>
      </c>
      <c r="D717" s="37" t="s">
        <v>175</v>
      </c>
      <c r="E717" s="37" t="s">
        <v>147</v>
      </c>
      <c r="F717" s="37" t="s">
        <v>498</v>
      </c>
      <c r="G717" s="37" t="s">
        <v>159</v>
      </c>
      <c r="H717" s="37" t="s">
        <v>54</v>
      </c>
      <c r="I717" s="37" t="s">
        <v>745</v>
      </c>
      <c r="J717" s="37" t="s">
        <v>1534</v>
      </c>
      <c r="K717" s="37">
        <v>8</v>
      </c>
      <c r="L717" s="37" t="s">
        <v>667</v>
      </c>
      <c r="M717" s="37" t="s">
        <v>117</v>
      </c>
      <c r="N717" s="37">
        <v>1</v>
      </c>
      <c r="O717" s="37" t="s">
        <v>118</v>
      </c>
      <c r="P717" s="37"/>
    </row>
    <row r="718" spans="1:16">
      <c r="A718" s="46" t="s">
        <v>2702</v>
      </c>
      <c r="B718" s="46" t="s">
        <v>636</v>
      </c>
      <c r="C718" s="46" t="s">
        <v>93</v>
      </c>
      <c r="D718" s="46" t="s">
        <v>204</v>
      </c>
      <c r="E718" s="46" t="s">
        <v>99</v>
      </c>
      <c r="F718" s="46" t="s">
        <v>664</v>
      </c>
      <c r="G718" s="46" t="s">
        <v>101</v>
      </c>
      <c r="H718" s="46" t="s">
        <v>278</v>
      </c>
      <c r="I718" s="46" t="s">
        <v>2703</v>
      </c>
      <c r="J718" s="46" t="s">
        <v>2704</v>
      </c>
      <c r="K718" s="46">
        <v>2</v>
      </c>
      <c r="L718" s="46" t="s">
        <v>1083</v>
      </c>
      <c r="M718" s="46" t="s">
        <v>172</v>
      </c>
      <c r="N718" s="46">
        <v>1</v>
      </c>
      <c r="O718" s="46" t="s">
        <v>131</v>
      </c>
      <c r="P718" s="46"/>
    </row>
    <row r="719" spans="1:16">
      <c r="A719" s="37" t="s">
        <v>2705</v>
      </c>
      <c r="B719" s="37" t="s">
        <v>1685</v>
      </c>
      <c r="C719" s="37" t="s">
        <v>251</v>
      </c>
      <c r="D719" s="37" t="s">
        <v>213</v>
      </c>
      <c r="E719" s="37" t="s">
        <v>42</v>
      </c>
      <c r="F719" s="37" t="s">
        <v>430</v>
      </c>
      <c r="G719" s="37" t="s">
        <v>302</v>
      </c>
      <c r="H719" s="37" t="s">
        <v>91</v>
      </c>
      <c r="I719" s="37" t="s">
        <v>613</v>
      </c>
      <c r="J719" s="37" t="s">
        <v>2706</v>
      </c>
      <c r="K719" s="37">
        <v>6</v>
      </c>
      <c r="L719" s="37" t="s">
        <v>1420</v>
      </c>
      <c r="M719" s="37" t="s">
        <v>172</v>
      </c>
      <c r="N719" s="37">
        <v>4</v>
      </c>
      <c r="O719" s="37" t="s">
        <v>118</v>
      </c>
      <c r="P719" s="37"/>
    </row>
    <row r="720" spans="1:16">
      <c r="A720" s="46" t="s">
        <v>2707</v>
      </c>
      <c r="B720" s="46" t="s">
        <v>2383</v>
      </c>
      <c r="C720" s="46" t="s">
        <v>174</v>
      </c>
      <c r="D720" s="46" t="s">
        <v>37</v>
      </c>
      <c r="E720" s="46" t="s">
        <v>147</v>
      </c>
      <c r="F720" s="46" t="s">
        <v>205</v>
      </c>
      <c r="G720" s="46" t="s">
        <v>87</v>
      </c>
      <c r="H720" s="46" t="s">
        <v>32</v>
      </c>
      <c r="I720" s="46" t="s">
        <v>2708</v>
      </c>
      <c r="J720" s="46" t="s">
        <v>2709</v>
      </c>
      <c r="K720" s="46">
        <v>8</v>
      </c>
      <c r="L720" s="46" t="s">
        <v>1269</v>
      </c>
      <c r="M720" s="46" t="s">
        <v>117</v>
      </c>
      <c r="N720" s="46">
        <v>2</v>
      </c>
      <c r="O720" s="46" t="s">
        <v>118</v>
      </c>
      <c r="P720" s="46"/>
    </row>
    <row r="721" spans="1:16">
      <c r="A721" s="37" t="s">
        <v>2710</v>
      </c>
      <c r="B721" s="37" t="s">
        <v>388</v>
      </c>
      <c r="C721" s="37" t="s">
        <v>97</v>
      </c>
      <c r="D721" s="37" t="s">
        <v>156</v>
      </c>
      <c r="E721" s="37" t="s">
        <v>224</v>
      </c>
      <c r="F721" s="37" t="s">
        <v>452</v>
      </c>
      <c r="G721" s="37" t="s">
        <v>89</v>
      </c>
      <c r="H721" s="37" t="s">
        <v>206</v>
      </c>
      <c r="I721" s="37" t="s">
        <v>2711</v>
      </c>
      <c r="J721" s="37" t="s">
        <v>869</v>
      </c>
      <c r="K721" s="37">
        <v>4</v>
      </c>
      <c r="L721" s="37" t="s">
        <v>1015</v>
      </c>
      <c r="M721" s="37" t="s">
        <v>72</v>
      </c>
      <c r="N721" s="37">
        <v>1</v>
      </c>
      <c r="O721" s="37" t="s">
        <v>286</v>
      </c>
      <c r="P721" s="37"/>
    </row>
    <row r="722" spans="1:16">
      <c r="A722" s="46" t="s">
        <v>2712</v>
      </c>
      <c r="B722" s="46" t="s">
        <v>2359</v>
      </c>
      <c r="C722" s="46" t="s">
        <v>88</v>
      </c>
      <c r="D722" s="46" t="s">
        <v>122</v>
      </c>
      <c r="E722" s="46" t="s">
        <v>185</v>
      </c>
      <c r="F722" s="46" t="s">
        <v>186</v>
      </c>
      <c r="G722" s="46" t="s">
        <v>112</v>
      </c>
      <c r="H722" s="46" t="s">
        <v>215</v>
      </c>
      <c r="I722" s="46" t="s">
        <v>2713</v>
      </c>
      <c r="J722" s="46" t="s">
        <v>2714</v>
      </c>
      <c r="K722" s="46">
        <v>6</v>
      </c>
      <c r="L722" s="46" t="s">
        <v>2715</v>
      </c>
      <c r="M722" s="46" t="s">
        <v>219</v>
      </c>
      <c r="N722" s="46">
        <v>5</v>
      </c>
      <c r="O722" s="46" t="s">
        <v>106</v>
      </c>
      <c r="P722" s="46"/>
    </row>
    <row r="723" spans="1:16">
      <c r="A723" s="37" t="s">
        <v>2716</v>
      </c>
      <c r="B723" s="37" t="s">
        <v>1358</v>
      </c>
      <c r="C723" s="37" t="s">
        <v>424</v>
      </c>
      <c r="D723" s="37" t="s">
        <v>312</v>
      </c>
      <c r="E723" s="37" t="s">
        <v>99</v>
      </c>
      <c r="F723" s="37" t="s">
        <v>1145</v>
      </c>
      <c r="G723" s="37" t="s">
        <v>302</v>
      </c>
      <c r="H723" s="37" t="s">
        <v>396</v>
      </c>
      <c r="I723" s="37" t="s">
        <v>2663</v>
      </c>
      <c r="J723" s="37" t="s">
        <v>2717</v>
      </c>
      <c r="K723" s="37">
        <v>4</v>
      </c>
      <c r="L723" s="37" t="s">
        <v>2160</v>
      </c>
      <c r="M723" s="37" t="s">
        <v>105</v>
      </c>
      <c r="N723" s="37">
        <v>4</v>
      </c>
      <c r="O723" s="37" t="s">
        <v>191</v>
      </c>
      <c r="P723" s="37"/>
    </row>
    <row r="724" spans="1:16">
      <c r="A724" s="46" t="s">
        <v>2718</v>
      </c>
      <c r="B724" s="46" t="s">
        <v>1729</v>
      </c>
      <c r="C724" s="46" t="s">
        <v>97</v>
      </c>
      <c r="D724" s="46" t="s">
        <v>146</v>
      </c>
      <c r="E724" s="46" t="s">
        <v>345</v>
      </c>
      <c r="F724" s="46" t="s">
        <v>138</v>
      </c>
      <c r="G724" s="46" t="s">
        <v>168</v>
      </c>
      <c r="H724" s="46" t="s">
        <v>278</v>
      </c>
      <c r="I724" s="46" t="s">
        <v>2085</v>
      </c>
      <c r="J724" s="46" t="s">
        <v>1913</v>
      </c>
      <c r="K724" s="46">
        <v>6</v>
      </c>
      <c r="L724" s="46" t="s">
        <v>796</v>
      </c>
      <c r="M724" s="46" t="s">
        <v>200</v>
      </c>
      <c r="N724" s="46">
        <v>2</v>
      </c>
      <c r="O724" s="46" t="s">
        <v>131</v>
      </c>
      <c r="P724" s="46"/>
    </row>
    <row r="725" spans="1:16">
      <c r="A725" s="37" t="s">
        <v>2719</v>
      </c>
      <c r="B725" s="37" t="s">
        <v>2720</v>
      </c>
      <c r="C725" s="37" t="s">
        <v>251</v>
      </c>
      <c r="D725" s="37" t="s">
        <v>230</v>
      </c>
      <c r="E725" s="37" t="s">
        <v>123</v>
      </c>
      <c r="F725" s="37" t="s">
        <v>100</v>
      </c>
      <c r="G725" s="37" t="s">
        <v>264</v>
      </c>
      <c r="H725" s="37" t="s">
        <v>88</v>
      </c>
      <c r="I725" s="37" t="s">
        <v>2721</v>
      </c>
      <c r="J725" s="37" t="s">
        <v>2722</v>
      </c>
      <c r="K725" s="37">
        <v>4</v>
      </c>
      <c r="L725" s="37" t="s">
        <v>1105</v>
      </c>
      <c r="M725" s="37" t="s">
        <v>143</v>
      </c>
      <c r="N725" s="37">
        <v>2</v>
      </c>
      <c r="O725" s="37" t="s">
        <v>191</v>
      </c>
      <c r="P725" s="37"/>
    </row>
    <row r="726" spans="1:16">
      <c r="A726" s="46" t="s">
        <v>2723</v>
      </c>
      <c r="B726" s="46" t="s">
        <v>1380</v>
      </c>
      <c r="C726" s="46" t="s">
        <v>90</v>
      </c>
      <c r="D726" s="46" t="s">
        <v>544</v>
      </c>
      <c r="E726" s="46" t="s">
        <v>176</v>
      </c>
      <c r="F726" s="46" t="s">
        <v>186</v>
      </c>
      <c r="G726" s="46" t="s">
        <v>401</v>
      </c>
      <c r="H726" s="46" t="s">
        <v>327</v>
      </c>
      <c r="I726" s="46" t="s">
        <v>2724</v>
      </c>
      <c r="J726" s="46" t="s">
        <v>1155</v>
      </c>
      <c r="K726" s="46">
        <v>6</v>
      </c>
      <c r="L726" s="46" t="s">
        <v>972</v>
      </c>
      <c r="M726" s="46" t="s">
        <v>163</v>
      </c>
      <c r="N726" s="46">
        <v>5</v>
      </c>
      <c r="O726" s="46" t="s">
        <v>106</v>
      </c>
      <c r="P726" s="46"/>
    </row>
    <row r="727" spans="1:16">
      <c r="A727" s="37" t="s">
        <v>2725</v>
      </c>
      <c r="B727" s="37" t="s">
        <v>2726</v>
      </c>
      <c r="C727" s="37" t="s">
        <v>174</v>
      </c>
      <c r="D727" s="37" t="s">
        <v>230</v>
      </c>
      <c r="E727" s="37" t="s">
        <v>123</v>
      </c>
      <c r="F727" s="37" t="s">
        <v>237</v>
      </c>
      <c r="G727" s="37" t="s">
        <v>101</v>
      </c>
      <c r="H727" s="37" t="s">
        <v>206</v>
      </c>
      <c r="I727" s="37" t="s">
        <v>2727</v>
      </c>
      <c r="J727" s="37" t="s">
        <v>208</v>
      </c>
      <c r="K727" s="37">
        <v>2</v>
      </c>
      <c r="L727" s="37" t="s">
        <v>1540</v>
      </c>
      <c r="M727" s="37" t="s">
        <v>163</v>
      </c>
      <c r="N727" s="37">
        <v>5</v>
      </c>
      <c r="O727" s="37" t="s">
        <v>131</v>
      </c>
      <c r="P727" s="37"/>
    </row>
    <row r="728" spans="1:16">
      <c r="A728" s="46" t="s">
        <v>2728</v>
      </c>
      <c r="B728" s="46" t="s">
        <v>463</v>
      </c>
      <c r="C728" s="46" t="s">
        <v>469</v>
      </c>
      <c r="D728" s="46" t="s">
        <v>98</v>
      </c>
      <c r="E728" s="46" t="s">
        <v>123</v>
      </c>
      <c r="F728" s="46" t="s">
        <v>664</v>
      </c>
      <c r="G728" s="46" t="s">
        <v>197</v>
      </c>
      <c r="H728" s="46" t="s">
        <v>93</v>
      </c>
      <c r="I728" s="46" t="s">
        <v>2729</v>
      </c>
      <c r="J728" s="46" t="s">
        <v>2730</v>
      </c>
      <c r="K728" s="46">
        <v>4</v>
      </c>
      <c r="L728" s="46" t="s">
        <v>2731</v>
      </c>
      <c r="M728" s="46" t="s">
        <v>72</v>
      </c>
      <c r="N728" s="46">
        <v>1</v>
      </c>
      <c r="O728" s="46" t="s">
        <v>79</v>
      </c>
      <c r="P728" s="46"/>
    </row>
    <row r="729" spans="1:16">
      <c r="A729" s="37" t="s">
        <v>2732</v>
      </c>
      <c r="B729" s="37" t="s">
        <v>2127</v>
      </c>
      <c r="C729" s="37" t="s">
        <v>307</v>
      </c>
      <c r="D729" s="37" t="s">
        <v>230</v>
      </c>
      <c r="E729" s="37" t="s">
        <v>110</v>
      </c>
      <c r="F729" s="37" t="s">
        <v>843</v>
      </c>
      <c r="G729" s="37" t="s">
        <v>380</v>
      </c>
      <c r="H729" s="37" t="s">
        <v>91</v>
      </c>
      <c r="I729" s="37" t="s">
        <v>2733</v>
      </c>
      <c r="J729" s="37" t="s">
        <v>2734</v>
      </c>
      <c r="K729" s="37">
        <v>6</v>
      </c>
      <c r="L729" s="37" t="s">
        <v>609</v>
      </c>
      <c r="M729" s="37" t="s">
        <v>117</v>
      </c>
      <c r="N729" s="37">
        <v>5</v>
      </c>
      <c r="O729" s="37" t="s">
        <v>152</v>
      </c>
      <c r="P729" s="37"/>
    </row>
    <row r="730" spans="1:16">
      <c r="A730" s="46" t="s">
        <v>2735</v>
      </c>
      <c r="B730" s="46" t="s">
        <v>250</v>
      </c>
      <c r="C730" s="46" t="s">
        <v>424</v>
      </c>
      <c r="D730" s="46" t="s">
        <v>367</v>
      </c>
      <c r="E730" s="46" t="s">
        <v>440</v>
      </c>
      <c r="F730" s="46" t="s">
        <v>353</v>
      </c>
      <c r="G730" s="46" t="s">
        <v>334</v>
      </c>
      <c r="H730" s="46" t="s">
        <v>32</v>
      </c>
      <c r="I730" s="46" t="s">
        <v>2736</v>
      </c>
      <c r="J730" s="46" t="s">
        <v>2737</v>
      </c>
      <c r="K730" s="46">
        <v>8</v>
      </c>
      <c r="L730" s="46" t="s">
        <v>1190</v>
      </c>
      <c r="M730" s="46" t="s">
        <v>163</v>
      </c>
      <c r="N730" s="46">
        <v>3</v>
      </c>
      <c r="O730" s="46" t="s">
        <v>191</v>
      </c>
      <c r="P730" s="46"/>
    </row>
    <row r="731" spans="1:16">
      <c r="A731" s="37" t="s">
        <v>2738</v>
      </c>
      <c r="B731" s="37" t="s">
        <v>165</v>
      </c>
      <c r="C731" s="37" t="s">
        <v>91</v>
      </c>
      <c r="D731" s="37" t="s">
        <v>204</v>
      </c>
      <c r="E731" s="37" t="s">
        <v>176</v>
      </c>
      <c r="F731" s="37" t="s">
        <v>158</v>
      </c>
      <c r="G731" s="37" t="s">
        <v>89</v>
      </c>
      <c r="H731" s="37" t="s">
        <v>187</v>
      </c>
      <c r="I731" s="37" t="s">
        <v>2739</v>
      </c>
      <c r="J731" s="37" t="s">
        <v>2740</v>
      </c>
      <c r="K731" s="37">
        <v>8</v>
      </c>
      <c r="L731" s="37" t="s">
        <v>661</v>
      </c>
      <c r="M731" s="37" t="s">
        <v>219</v>
      </c>
      <c r="N731" s="37">
        <v>3</v>
      </c>
      <c r="O731" s="37" t="s">
        <v>181</v>
      </c>
      <c r="P731" s="37"/>
    </row>
    <row r="732" spans="1:16">
      <c r="A732" s="46" t="s">
        <v>2741</v>
      </c>
      <c r="B732" s="46" t="s">
        <v>720</v>
      </c>
      <c r="C732" s="46" t="s">
        <v>93</v>
      </c>
      <c r="D732" s="46" t="s">
        <v>194</v>
      </c>
      <c r="E732" s="46" t="s">
        <v>244</v>
      </c>
      <c r="F732" s="46" t="s">
        <v>177</v>
      </c>
      <c r="G732" s="46" t="s">
        <v>87</v>
      </c>
      <c r="H732" s="46" t="s">
        <v>215</v>
      </c>
      <c r="I732" s="46" t="s">
        <v>2742</v>
      </c>
      <c r="J732" s="46" t="s">
        <v>239</v>
      </c>
      <c r="K732" s="46">
        <v>4</v>
      </c>
      <c r="L732" s="46" t="s">
        <v>2666</v>
      </c>
      <c r="M732" s="46" t="s">
        <v>219</v>
      </c>
      <c r="N732" s="46">
        <v>5</v>
      </c>
      <c r="O732" s="46" t="s">
        <v>152</v>
      </c>
      <c r="P732" s="46"/>
    </row>
    <row r="733" spans="1:16">
      <c r="A733" s="37" t="s">
        <v>2743</v>
      </c>
      <c r="B733" s="37" t="s">
        <v>2744</v>
      </c>
      <c r="C733" s="37" t="s">
        <v>300</v>
      </c>
      <c r="D733" s="37" t="s">
        <v>194</v>
      </c>
      <c r="E733" s="37" t="s">
        <v>325</v>
      </c>
      <c r="F733" s="37" t="s">
        <v>425</v>
      </c>
      <c r="G733" s="37" t="s">
        <v>257</v>
      </c>
      <c r="H733" s="37" t="s">
        <v>206</v>
      </c>
      <c r="I733" s="37" t="s">
        <v>2745</v>
      </c>
      <c r="J733" s="37" t="s">
        <v>2746</v>
      </c>
      <c r="K733" s="37">
        <v>4</v>
      </c>
      <c r="L733" s="37" t="s">
        <v>2747</v>
      </c>
      <c r="M733" s="37" t="s">
        <v>163</v>
      </c>
      <c r="N733" s="37">
        <v>4</v>
      </c>
      <c r="O733" s="37" t="s">
        <v>286</v>
      </c>
      <c r="P733" s="37"/>
    </row>
    <row r="734" spans="1:16">
      <c r="A734" s="46" t="s">
        <v>2748</v>
      </c>
      <c r="B734" s="46" t="s">
        <v>495</v>
      </c>
      <c r="C734" s="46" t="s">
        <v>340</v>
      </c>
      <c r="D734" s="46" t="s">
        <v>312</v>
      </c>
      <c r="E734" s="46" t="s">
        <v>195</v>
      </c>
      <c r="F734" s="46" t="s">
        <v>843</v>
      </c>
      <c r="G734" s="46" t="s">
        <v>112</v>
      </c>
      <c r="H734" s="46" t="s">
        <v>32</v>
      </c>
      <c r="I734" s="46" t="s">
        <v>1136</v>
      </c>
      <c r="J734" s="46" t="s">
        <v>1192</v>
      </c>
      <c r="K734" s="46">
        <v>6</v>
      </c>
      <c r="L734" s="46" t="s">
        <v>2749</v>
      </c>
      <c r="M734" s="46" t="s">
        <v>72</v>
      </c>
      <c r="N734" s="46">
        <v>2</v>
      </c>
      <c r="O734" s="46" t="s">
        <v>286</v>
      </c>
      <c r="P734" s="46"/>
    </row>
    <row r="735" spans="1:16">
      <c r="A735" s="37" t="s">
        <v>2750</v>
      </c>
      <c r="B735" s="37" t="s">
        <v>808</v>
      </c>
      <c r="C735" s="37" t="s">
        <v>243</v>
      </c>
      <c r="D735" s="37" t="s">
        <v>156</v>
      </c>
      <c r="E735" s="37" t="s">
        <v>244</v>
      </c>
      <c r="F735" s="37" t="s">
        <v>111</v>
      </c>
      <c r="G735" s="37" t="s">
        <v>125</v>
      </c>
      <c r="H735" s="37" t="s">
        <v>396</v>
      </c>
      <c r="I735" s="37" t="s">
        <v>493</v>
      </c>
      <c r="J735" s="37" t="s">
        <v>2751</v>
      </c>
      <c r="K735" s="37">
        <v>4</v>
      </c>
      <c r="L735" s="37" t="s">
        <v>1261</v>
      </c>
      <c r="M735" s="37" t="s">
        <v>163</v>
      </c>
      <c r="N735" s="37">
        <v>5</v>
      </c>
      <c r="O735" s="37" t="s">
        <v>106</v>
      </c>
      <c r="P735" s="37"/>
    </row>
    <row r="736" spans="1:16">
      <c r="A736" s="46" t="s">
        <v>2752</v>
      </c>
      <c r="B736" s="46" t="s">
        <v>1864</v>
      </c>
      <c r="C736" s="46" t="s">
        <v>88</v>
      </c>
      <c r="D736" s="46" t="s">
        <v>223</v>
      </c>
      <c r="E736" s="46" t="s">
        <v>157</v>
      </c>
      <c r="F736" s="46" t="s">
        <v>47</v>
      </c>
      <c r="G736" s="46" t="s">
        <v>101</v>
      </c>
      <c r="H736" s="46" t="s">
        <v>187</v>
      </c>
      <c r="I736" s="46" t="s">
        <v>2753</v>
      </c>
      <c r="J736" s="46" t="s">
        <v>1888</v>
      </c>
      <c r="K736" s="46">
        <v>4</v>
      </c>
      <c r="L736" s="46" t="s">
        <v>324</v>
      </c>
      <c r="M736" s="46" t="s">
        <v>172</v>
      </c>
      <c r="N736" s="46">
        <v>2</v>
      </c>
      <c r="O736" s="46" t="s">
        <v>79</v>
      </c>
      <c r="P736" s="46"/>
    </row>
    <row r="737" spans="1:16">
      <c r="A737" s="37" t="s">
        <v>2754</v>
      </c>
      <c r="B737" s="37" t="s">
        <v>330</v>
      </c>
      <c r="C737" s="37" t="s">
        <v>222</v>
      </c>
      <c r="D737" s="37" t="s">
        <v>367</v>
      </c>
      <c r="E737" s="37" t="s">
        <v>110</v>
      </c>
      <c r="F737" s="37" t="s">
        <v>313</v>
      </c>
      <c r="G737" s="37" t="s">
        <v>334</v>
      </c>
      <c r="H737" s="37" t="s">
        <v>354</v>
      </c>
      <c r="I737" s="37" t="s">
        <v>2755</v>
      </c>
      <c r="J737" s="37" t="s">
        <v>2756</v>
      </c>
      <c r="K737" s="37">
        <v>6</v>
      </c>
      <c r="L737" s="37" t="s">
        <v>995</v>
      </c>
      <c r="M737" s="37" t="s">
        <v>117</v>
      </c>
      <c r="N737" s="37">
        <v>4</v>
      </c>
      <c r="O737" s="37" t="s">
        <v>106</v>
      </c>
      <c r="P737" s="37"/>
    </row>
    <row r="738" spans="1:16">
      <c r="A738" s="46" t="s">
        <v>2757</v>
      </c>
      <c r="B738" s="46" t="s">
        <v>663</v>
      </c>
      <c r="C738" s="46" t="s">
        <v>251</v>
      </c>
      <c r="D738" s="46" t="s">
        <v>37</v>
      </c>
      <c r="E738" s="46" t="s">
        <v>123</v>
      </c>
      <c r="F738" s="46" t="s">
        <v>277</v>
      </c>
      <c r="G738" s="46" t="s">
        <v>89</v>
      </c>
      <c r="H738" s="46" t="s">
        <v>88</v>
      </c>
      <c r="I738" s="46" t="s">
        <v>2085</v>
      </c>
      <c r="J738" s="46" t="s">
        <v>2758</v>
      </c>
      <c r="K738" s="46">
        <v>4</v>
      </c>
      <c r="L738" s="46" t="s">
        <v>390</v>
      </c>
      <c r="M738" s="46" t="s">
        <v>219</v>
      </c>
      <c r="N738" s="46">
        <v>5</v>
      </c>
      <c r="O738" s="46" t="s">
        <v>152</v>
      </c>
      <c r="P738" s="46"/>
    </row>
    <row r="739" spans="1:16">
      <c r="A739" s="37" t="s">
        <v>2759</v>
      </c>
      <c r="B739" s="37" t="s">
        <v>2383</v>
      </c>
      <c r="C739" s="37" t="s">
        <v>366</v>
      </c>
      <c r="D739" s="37" t="s">
        <v>136</v>
      </c>
      <c r="E739" s="37" t="s">
        <v>110</v>
      </c>
      <c r="F739" s="37" t="s">
        <v>47</v>
      </c>
      <c r="G739" s="37" t="s">
        <v>89</v>
      </c>
      <c r="H739" s="37" t="s">
        <v>206</v>
      </c>
      <c r="I739" s="37" t="s">
        <v>2760</v>
      </c>
      <c r="J739" s="37" t="s">
        <v>2761</v>
      </c>
      <c r="K739" s="37">
        <v>6</v>
      </c>
      <c r="L739" s="37" t="s">
        <v>1739</v>
      </c>
      <c r="M739" s="37" t="s">
        <v>117</v>
      </c>
      <c r="N739" s="37">
        <v>4</v>
      </c>
      <c r="O739" s="37" t="s">
        <v>131</v>
      </c>
      <c r="P739" s="37"/>
    </row>
    <row r="740" spans="1:16">
      <c r="A740" s="46" t="s">
        <v>2762</v>
      </c>
      <c r="B740" s="46" t="s">
        <v>1264</v>
      </c>
      <c r="C740" s="46" t="s">
        <v>222</v>
      </c>
      <c r="D740" s="46" t="s">
        <v>204</v>
      </c>
      <c r="E740" s="46" t="s">
        <v>147</v>
      </c>
      <c r="F740" s="46" t="s">
        <v>353</v>
      </c>
      <c r="G740" s="46" t="s">
        <v>101</v>
      </c>
      <c r="H740" s="46" t="s">
        <v>187</v>
      </c>
      <c r="I740" s="46" t="s">
        <v>2763</v>
      </c>
      <c r="J740" s="46" t="s">
        <v>2764</v>
      </c>
      <c r="K740" s="46">
        <v>6</v>
      </c>
      <c r="L740" s="46" t="s">
        <v>1786</v>
      </c>
      <c r="M740" s="46" t="s">
        <v>117</v>
      </c>
      <c r="N740" s="46">
        <v>4</v>
      </c>
      <c r="O740" s="46" t="s">
        <v>131</v>
      </c>
      <c r="P740" s="46"/>
    </row>
    <row r="741" spans="1:16">
      <c r="A741" s="37" t="s">
        <v>2765</v>
      </c>
      <c r="B741" s="37" t="s">
        <v>891</v>
      </c>
      <c r="C741" s="37" t="s">
        <v>155</v>
      </c>
      <c r="D741" s="37" t="s">
        <v>367</v>
      </c>
      <c r="E741" s="37" t="s">
        <v>137</v>
      </c>
      <c r="F741" s="37" t="s">
        <v>111</v>
      </c>
      <c r="G741" s="37" t="s">
        <v>334</v>
      </c>
      <c r="H741" s="37" t="s">
        <v>215</v>
      </c>
      <c r="I741" s="37"/>
      <c r="J741" s="37" t="s">
        <v>2766</v>
      </c>
      <c r="K741" s="37">
        <v>8</v>
      </c>
      <c r="L741" s="37" t="s">
        <v>2767</v>
      </c>
      <c r="M741" s="37" t="s">
        <v>117</v>
      </c>
      <c r="N741" s="37">
        <v>5</v>
      </c>
      <c r="O741" s="37" t="s">
        <v>181</v>
      </c>
      <c r="P741" s="37"/>
    </row>
    <row r="742" spans="1:16">
      <c r="A742" s="46" t="s">
        <v>2768</v>
      </c>
      <c r="B742" s="46" t="s">
        <v>931</v>
      </c>
      <c r="C742" s="46" t="s">
        <v>54</v>
      </c>
      <c r="D742" s="46" t="s">
        <v>367</v>
      </c>
      <c r="E742" s="46" t="s">
        <v>325</v>
      </c>
      <c r="F742" s="46" t="s">
        <v>205</v>
      </c>
      <c r="G742" s="46" t="s">
        <v>302</v>
      </c>
      <c r="H742" s="46" t="s">
        <v>126</v>
      </c>
      <c r="I742" s="46" t="s">
        <v>2769</v>
      </c>
      <c r="J742" s="46" t="s">
        <v>2770</v>
      </c>
      <c r="K742" s="46">
        <v>4</v>
      </c>
      <c r="L742" s="46" t="s">
        <v>877</v>
      </c>
      <c r="M742" s="46" t="s">
        <v>105</v>
      </c>
      <c r="N742" s="46">
        <v>5</v>
      </c>
      <c r="O742" s="46" t="s">
        <v>286</v>
      </c>
      <c r="P742" s="46"/>
    </row>
    <row r="743" spans="1:16">
      <c r="A743" s="37" t="s">
        <v>2771</v>
      </c>
      <c r="B743" s="37" t="s">
        <v>1045</v>
      </c>
      <c r="C743" s="37" t="s">
        <v>633</v>
      </c>
      <c r="D743" s="37" t="s">
        <v>194</v>
      </c>
      <c r="E743" s="37" t="s">
        <v>137</v>
      </c>
      <c r="F743" s="37" t="s">
        <v>1112</v>
      </c>
      <c r="G743" s="37" t="s">
        <v>380</v>
      </c>
      <c r="H743" s="37" t="s">
        <v>396</v>
      </c>
      <c r="I743" s="37" t="s">
        <v>2772</v>
      </c>
      <c r="J743" s="37" t="s">
        <v>749</v>
      </c>
      <c r="K743" s="37">
        <v>8</v>
      </c>
      <c r="L743" s="37" t="s">
        <v>2773</v>
      </c>
      <c r="M743" s="37" t="s">
        <v>117</v>
      </c>
      <c r="N743" s="37">
        <v>5</v>
      </c>
      <c r="O743" s="37" t="s">
        <v>191</v>
      </c>
      <c r="P743" s="37"/>
    </row>
    <row r="744" spans="1:16">
      <c r="A744" s="46" t="s">
        <v>2774</v>
      </c>
      <c r="B744" s="46" t="s">
        <v>2243</v>
      </c>
      <c r="C744" s="46" t="s">
        <v>469</v>
      </c>
      <c r="D744" s="46" t="s">
        <v>223</v>
      </c>
      <c r="E744" s="46" t="s">
        <v>147</v>
      </c>
      <c r="F744" s="46" t="s">
        <v>1701</v>
      </c>
      <c r="G744" s="46" t="s">
        <v>125</v>
      </c>
      <c r="H744" s="46" t="s">
        <v>126</v>
      </c>
      <c r="I744" s="46" t="s">
        <v>2775</v>
      </c>
      <c r="J744" s="46" t="s">
        <v>2167</v>
      </c>
      <c r="K744" s="46">
        <v>6</v>
      </c>
      <c r="L744" s="46" t="s">
        <v>2246</v>
      </c>
      <c r="M744" s="46" t="s">
        <v>163</v>
      </c>
      <c r="N744" s="46">
        <v>5</v>
      </c>
      <c r="O744" s="46" t="s">
        <v>106</v>
      </c>
      <c r="P744" s="46"/>
    </row>
    <row r="745" spans="1:16">
      <c r="A745" s="37" t="s">
        <v>2776</v>
      </c>
      <c r="B745" s="37" t="s">
        <v>1361</v>
      </c>
      <c r="C745" s="37" t="s">
        <v>212</v>
      </c>
      <c r="D745" s="37" t="s">
        <v>122</v>
      </c>
      <c r="E745" s="37" t="s">
        <v>157</v>
      </c>
      <c r="F745" s="37" t="s">
        <v>277</v>
      </c>
      <c r="G745" s="37" t="s">
        <v>101</v>
      </c>
      <c r="H745" s="37" t="s">
        <v>278</v>
      </c>
      <c r="I745" s="37" t="s">
        <v>2777</v>
      </c>
      <c r="J745" s="37" t="s">
        <v>2778</v>
      </c>
      <c r="K745" s="37">
        <v>4</v>
      </c>
      <c r="L745" s="37" t="s">
        <v>2110</v>
      </c>
      <c r="M745" s="37" t="s">
        <v>817</v>
      </c>
      <c r="N745" s="37"/>
      <c r="O745" s="37" t="s">
        <v>191</v>
      </c>
      <c r="P745" s="37" t="s">
        <v>1478</v>
      </c>
    </row>
    <row r="746" spans="1:16">
      <c r="A746" s="46" t="s">
        <v>2779</v>
      </c>
      <c r="B746" s="46" t="s">
        <v>1317</v>
      </c>
      <c r="C746" s="46" t="s">
        <v>222</v>
      </c>
      <c r="D746" s="46" t="s">
        <v>122</v>
      </c>
      <c r="E746" s="46" t="s">
        <v>42</v>
      </c>
      <c r="F746" s="46" t="s">
        <v>138</v>
      </c>
      <c r="G746" s="46" t="s">
        <v>101</v>
      </c>
      <c r="H746" s="46" t="s">
        <v>88</v>
      </c>
      <c r="I746" s="46" t="s">
        <v>1741</v>
      </c>
      <c r="J746" s="46" t="s">
        <v>2780</v>
      </c>
      <c r="K746" s="46">
        <v>4</v>
      </c>
      <c r="L746" s="46" t="s">
        <v>679</v>
      </c>
      <c r="M746" s="46" t="s">
        <v>219</v>
      </c>
      <c r="N746" s="46">
        <v>5</v>
      </c>
      <c r="O746" s="46" t="s">
        <v>152</v>
      </c>
      <c r="P746" s="46"/>
    </row>
    <row r="747" spans="1:16">
      <c r="A747" s="37" t="s">
        <v>2781</v>
      </c>
      <c r="B747" s="37" t="s">
        <v>1998</v>
      </c>
      <c r="C747" s="37" t="s">
        <v>407</v>
      </c>
      <c r="D747" s="37" t="s">
        <v>136</v>
      </c>
      <c r="E747" s="37" t="s">
        <v>157</v>
      </c>
      <c r="F747" s="37" t="s">
        <v>301</v>
      </c>
      <c r="G747" s="37" t="s">
        <v>112</v>
      </c>
      <c r="H747" s="37" t="s">
        <v>354</v>
      </c>
      <c r="I747" s="37" t="s">
        <v>2782</v>
      </c>
      <c r="J747" s="37" t="s">
        <v>2783</v>
      </c>
      <c r="K747" s="37">
        <v>6</v>
      </c>
      <c r="L747" s="37" t="s">
        <v>722</v>
      </c>
      <c r="M747" s="37" t="s">
        <v>105</v>
      </c>
      <c r="N747" s="37">
        <v>4</v>
      </c>
      <c r="O747" s="37" t="s">
        <v>181</v>
      </c>
      <c r="P747" s="37"/>
    </row>
    <row r="748" spans="1:16">
      <c r="A748" s="46" t="s">
        <v>2784</v>
      </c>
      <c r="B748" s="46" t="s">
        <v>2024</v>
      </c>
      <c r="C748" s="46" t="s">
        <v>374</v>
      </c>
      <c r="D748" s="46" t="s">
        <v>194</v>
      </c>
      <c r="E748" s="46" t="s">
        <v>345</v>
      </c>
      <c r="F748" s="46" t="s">
        <v>277</v>
      </c>
      <c r="G748" s="46" t="s">
        <v>51</v>
      </c>
      <c r="H748" s="46" t="s">
        <v>54</v>
      </c>
      <c r="I748" s="46" t="s">
        <v>806</v>
      </c>
      <c r="J748" s="46" t="s">
        <v>2785</v>
      </c>
      <c r="K748" s="46">
        <v>4</v>
      </c>
      <c r="L748" s="46" t="s">
        <v>1901</v>
      </c>
      <c r="M748" s="46" t="s">
        <v>163</v>
      </c>
      <c r="N748" s="46">
        <v>5</v>
      </c>
      <c r="O748" s="46" t="s">
        <v>191</v>
      </c>
      <c r="P748" s="46"/>
    </row>
    <row r="749" spans="1:16">
      <c r="A749" s="37" t="s">
        <v>2786</v>
      </c>
      <c r="B749" s="37" t="s">
        <v>1169</v>
      </c>
      <c r="C749" s="37" t="s">
        <v>633</v>
      </c>
      <c r="D749" s="37" t="s">
        <v>146</v>
      </c>
      <c r="E749" s="37" t="s">
        <v>137</v>
      </c>
      <c r="F749" s="37" t="s">
        <v>612</v>
      </c>
      <c r="G749" s="37" t="s">
        <v>87</v>
      </c>
      <c r="H749" s="37" t="s">
        <v>354</v>
      </c>
      <c r="I749" s="37" t="s">
        <v>2787</v>
      </c>
      <c r="J749" s="37" t="s">
        <v>2311</v>
      </c>
      <c r="K749" s="37">
        <v>8</v>
      </c>
      <c r="L749" s="37" t="s">
        <v>1592</v>
      </c>
      <c r="M749" s="37" t="s">
        <v>105</v>
      </c>
      <c r="N749" s="37">
        <v>5</v>
      </c>
      <c r="O749" s="37" t="s">
        <v>152</v>
      </c>
      <c r="P749" s="37"/>
    </row>
    <row r="750" spans="1:16">
      <c r="A750" s="46" t="s">
        <v>2788</v>
      </c>
      <c r="B750" s="46" t="s">
        <v>1144</v>
      </c>
      <c r="C750" s="46" t="s">
        <v>469</v>
      </c>
      <c r="D750" s="46" t="s">
        <v>230</v>
      </c>
      <c r="E750" s="46" t="s">
        <v>345</v>
      </c>
      <c r="F750" s="46" t="s">
        <v>263</v>
      </c>
      <c r="G750" s="46" t="s">
        <v>159</v>
      </c>
      <c r="H750" s="46" t="s">
        <v>90</v>
      </c>
      <c r="I750" s="46" t="s">
        <v>198</v>
      </c>
      <c r="J750" s="46" t="s">
        <v>1975</v>
      </c>
      <c r="K750" s="46">
        <v>6</v>
      </c>
      <c r="L750" s="46" t="s">
        <v>1814</v>
      </c>
      <c r="M750" s="46" t="s">
        <v>105</v>
      </c>
      <c r="N750" s="46">
        <v>5</v>
      </c>
      <c r="O750" s="46" t="s">
        <v>152</v>
      </c>
      <c r="P750" s="46"/>
    </row>
    <row r="751" spans="1:16">
      <c r="A751" s="37" t="s">
        <v>2789</v>
      </c>
      <c r="B751" s="37" t="s">
        <v>597</v>
      </c>
      <c r="C751" s="37" t="s">
        <v>633</v>
      </c>
      <c r="D751" s="37" t="s">
        <v>213</v>
      </c>
      <c r="E751" s="37" t="s">
        <v>99</v>
      </c>
      <c r="F751" s="37" t="s">
        <v>277</v>
      </c>
      <c r="G751" s="37" t="s">
        <v>125</v>
      </c>
      <c r="H751" s="37" t="s">
        <v>91</v>
      </c>
      <c r="I751" s="37" t="s">
        <v>2790</v>
      </c>
      <c r="J751" s="37" t="s">
        <v>2791</v>
      </c>
      <c r="K751" s="37">
        <v>4</v>
      </c>
      <c r="L751" s="37" t="s">
        <v>171</v>
      </c>
      <c r="M751" s="37" t="s">
        <v>219</v>
      </c>
      <c r="N751" s="37">
        <v>5</v>
      </c>
      <c r="O751" s="37" t="s">
        <v>286</v>
      </c>
      <c r="P751" s="37"/>
    </row>
    <row r="752" spans="1:16">
      <c r="A752" s="46" t="s">
        <v>2792</v>
      </c>
      <c r="B752" s="46" t="s">
        <v>104</v>
      </c>
      <c r="C752" s="46" t="s">
        <v>121</v>
      </c>
      <c r="D752" s="46" t="s">
        <v>230</v>
      </c>
      <c r="E752" s="46" t="s">
        <v>440</v>
      </c>
      <c r="F752" s="46" t="s">
        <v>368</v>
      </c>
      <c r="G752" s="46" t="s">
        <v>302</v>
      </c>
      <c r="H752" s="46" t="s">
        <v>396</v>
      </c>
      <c r="I752" s="46" t="s">
        <v>2793</v>
      </c>
      <c r="J752" s="46" t="s">
        <v>2794</v>
      </c>
      <c r="K752" s="46">
        <v>8</v>
      </c>
      <c r="L752" s="46" t="s">
        <v>816</v>
      </c>
      <c r="M752" s="46" t="s">
        <v>172</v>
      </c>
      <c r="N752" s="46">
        <v>4</v>
      </c>
      <c r="O752" s="46" t="s">
        <v>152</v>
      </c>
      <c r="P752" s="46"/>
    </row>
    <row r="753" spans="1:16">
      <c r="A753" s="37" t="s">
        <v>2795</v>
      </c>
      <c r="B753" s="37" t="s">
        <v>1485</v>
      </c>
      <c r="C753" s="37" t="s">
        <v>451</v>
      </c>
      <c r="D753" s="37" t="s">
        <v>146</v>
      </c>
      <c r="E753" s="37" t="s">
        <v>123</v>
      </c>
      <c r="F753" s="37" t="s">
        <v>368</v>
      </c>
      <c r="G753" s="37" t="s">
        <v>302</v>
      </c>
      <c r="H753" s="37" t="s">
        <v>91</v>
      </c>
      <c r="I753" s="37" t="s">
        <v>2796</v>
      </c>
      <c r="J753" s="37" t="s">
        <v>2797</v>
      </c>
      <c r="K753" s="37">
        <v>4</v>
      </c>
      <c r="L753" s="37" t="s">
        <v>1092</v>
      </c>
      <c r="M753" s="37" t="s">
        <v>163</v>
      </c>
      <c r="N753" s="37">
        <v>3</v>
      </c>
      <c r="O753" s="37" t="s">
        <v>152</v>
      </c>
      <c r="P753" s="37"/>
    </row>
    <row r="754" spans="1:16">
      <c r="A754" s="46" t="s">
        <v>2798</v>
      </c>
      <c r="B754" s="46" t="s">
        <v>495</v>
      </c>
      <c r="C754" s="46" t="s">
        <v>469</v>
      </c>
      <c r="D754" s="46" t="s">
        <v>223</v>
      </c>
      <c r="E754" s="46" t="s">
        <v>157</v>
      </c>
      <c r="F754" s="46" t="s">
        <v>319</v>
      </c>
      <c r="G754" s="46" t="s">
        <v>89</v>
      </c>
      <c r="H754" s="46" t="s">
        <v>206</v>
      </c>
      <c r="I754" s="46" t="s">
        <v>2799</v>
      </c>
      <c r="J754" s="46" t="s">
        <v>2800</v>
      </c>
      <c r="K754" s="46">
        <v>6</v>
      </c>
      <c r="L754" s="46" t="s">
        <v>2246</v>
      </c>
      <c r="M754" s="46" t="s">
        <v>143</v>
      </c>
      <c r="N754" s="46">
        <v>4</v>
      </c>
      <c r="O754" s="46" t="s">
        <v>152</v>
      </c>
      <c r="P754" s="46"/>
    </row>
    <row r="755" spans="1:16">
      <c r="A755" s="37" t="s">
        <v>2801</v>
      </c>
      <c r="B755" s="37" t="s">
        <v>2802</v>
      </c>
      <c r="C755" s="37" t="s">
        <v>174</v>
      </c>
      <c r="D755" s="37" t="s">
        <v>37</v>
      </c>
      <c r="E755" s="37" t="s">
        <v>195</v>
      </c>
      <c r="F755" s="37" t="s">
        <v>612</v>
      </c>
      <c r="G755" s="37" t="s">
        <v>112</v>
      </c>
      <c r="H755" s="37" t="s">
        <v>354</v>
      </c>
      <c r="I755" s="37" t="s">
        <v>2401</v>
      </c>
      <c r="J755" s="37" t="s">
        <v>2803</v>
      </c>
      <c r="K755" s="37">
        <v>8</v>
      </c>
      <c r="L755" s="37" t="s">
        <v>2804</v>
      </c>
      <c r="M755" s="37" t="s">
        <v>105</v>
      </c>
      <c r="N755" s="37">
        <v>5</v>
      </c>
      <c r="O755" s="37" t="s">
        <v>286</v>
      </c>
      <c r="P755" s="37"/>
    </row>
    <row r="756" spans="1:16">
      <c r="A756" s="46" t="s">
        <v>2805</v>
      </c>
      <c r="B756" s="46" t="s">
        <v>796</v>
      </c>
      <c r="C756" s="46" t="s">
        <v>91</v>
      </c>
      <c r="D756" s="46" t="s">
        <v>146</v>
      </c>
      <c r="E756" s="46" t="s">
        <v>224</v>
      </c>
      <c r="F756" s="46" t="s">
        <v>111</v>
      </c>
      <c r="G756" s="46" t="s">
        <v>334</v>
      </c>
      <c r="H756" s="46" t="s">
        <v>354</v>
      </c>
      <c r="I756" s="46" t="s">
        <v>1705</v>
      </c>
      <c r="J756" s="46" t="s">
        <v>2301</v>
      </c>
      <c r="K756" s="46">
        <v>4</v>
      </c>
      <c r="L756" s="46" t="s">
        <v>2806</v>
      </c>
      <c r="M756" s="46" t="s">
        <v>172</v>
      </c>
      <c r="N756" s="46">
        <v>4</v>
      </c>
      <c r="O756" s="46" t="s">
        <v>79</v>
      </c>
      <c r="P756" s="46"/>
    </row>
    <row r="757" spans="1:16">
      <c r="A757" s="37" t="s">
        <v>2807</v>
      </c>
      <c r="B757" s="37" t="s">
        <v>2808</v>
      </c>
      <c r="C757" s="37" t="s">
        <v>109</v>
      </c>
      <c r="D757" s="37" t="s">
        <v>136</v>
      </c>
      <c r="E757" s="37" t="s">
        <v>176</v>
      </c>
      <c r="F757" s="37" t="s">
        <v>47</v>
      </c>
      <c r="G757" s="37" t="s">
        <v>264</v>
      </c>
      <c r="H757" s="37" t="s">
        <v>88</v>
      </c>
      <c r="I757" s="37" t="s">
        <v>2703</v>
      </c>
      <c r="J757" s="37" t="s">
        <v>683</v>
      </c>
      <c r="K757" s="37">
        <v>6</v>
      </c>
      <c r="L757" s="37" t="s">
        <v>154</v>
      </c>
      <c r="M757" s="37" t="s">
        <v>105</v>
      </c>
      <c r="N757" s="37">
        <v>4</v>
      </c>
      <c r="O757" s="37" t="s">
        <v>131</v>
      </c>
      <c r="P757" s="37"/>
    </row>
    <row r="758" spans="1:16">
      <c r="A758" s="46" t="s">
        <v>2809</v>
      </c>
      <c r="B758" s="46" t="s">
        <v>733</v>
      </c>
      <c r="C758" s="46" t="s">
        <v>91</v>
      </c>
      <c r="D758" s="46" t="s">
        <v>37</v>
      </c>
      <c r="E758" s="46" t="s">
        <v>137</v>
      </c>
      <c r="F758" s="46" t="s">
        <v>271</v>
      </c>
      <c r="G758" s="46" t="s">
        <v>264</v>
      </c>
      <c r="H758" s="46" t="s">
        <v>88</v>
      </c>
      <c r="I758" s="46" t="s">
        <v>2810</v>
      </c>
      <c r="J758" s="46" t="s">
        <v>2811</v>
      </c>
      <c r="K758" s="46">
        <v>8</v>
      </c>
      <c r="L758" s="46" t="s">
        <v>1614</v>
      </c>
      <c r="M758" s="46" t="s">
        <v>72</v>
      </c>
      <c r="N758" s="46">
        <v>3</v>
      </c>
      <c r="O758" s="46" t="s">
        <v>286</v>
      </c>
      <c r="P758" s="46"/>
    </row>
    <row r="759" spans="1:16">
      <c r="A759" s="37" t="s">
        <v>2812</v>
      </c>
      <c r="B759" s="37" t="s">
        <v>888</v>
      </c>
      <c r="C759" s="37" t="s">
        <v>374</v>
      </c>
      <c r="D759" s="37" t="s">
        <v>184</v>
      </c>
      <c r="E759" s="37" t="s">
        <v>185</v>
      </c>
      <c r="F759" s="37" t="s">
        <v>237</v>
      </c>
      <c r="G759" s="37" t="s">
        <v>380</v>
      </c>
      <c r="H759" s="37" t="s">
        <v>396</v>
      </c>
      <c r="I759" s="37" t="s">
        <v>2813</v>
      </c>
      <c r="J759" s="37" t="s">
        <v>2814</v>
      </c>
      <c r="K759" s="37">
        <v>6</v>
      </c>
      <c r="L759" s="37" t="s">
        <v>1509</v>
      </c>
      <c r="M759" s="37" t="s">
        <v>143</v>
      </c>
      <c r="N759" s="37">
        <v>2</v>
      </c>
      <c r="O759" s="37" t="s">
        <v>286</v>
      </c>
      <c r="P759" s="37"/>
    </row>
    <row r="760" spans="1:16">
      <c r="A760" s="46" t="s">
        <v>2815</v>
      </c>
      <c r="B760" s="46" t="s">
        <v>2371</v>
      </c>
      <c r="C760" s="46" t="s">
        <v>88</v>
      </c>
      <c r="D760" s="46" t="s">
        <v>223</v>
      </c>
      <c r="E760" s="46" t="s">
        <v>176</v>
      </c>
      <c r="F760" s="46" t="s">
        <v>612</v>
      </c>
      <c r="G760" s="46" t="s">
        <v>89</v>
      </c>
      <c r="H760" s="46" t="s">
        <v>278</v>
      </c>
      <c r="I760" s="46" t="s">
        <v>1215</v>
      </c>
      <c r="J760" s="46" t="s">
        <v>2816</v>
      </c>
      <c r="K760" s="46">
        <v>6</v>
      </c>
      <c r="L760" s="46" t="s">
        <v>2817</v>
      </c>
      <c r="M760" s="46" t="s">
        <v>117</v>
      </c>
      <c r="N760" s="46">
        <v>4</v>
      </c>
      <c r="O760" s="46" t="s">
        <v>118</v>
      </c>
      <c r="P760" s="46"/>
    </row>
    <row r="761" spans="1:16">
      <c r="A761" s="37" t="s">
        <v>2818</v>
      </c>
      <c r="B761" s="37" t="s">
        <v>877</v>
      </c>
      <c r="C761" s="37" t="s">
        <v>469</v>
      </c>
      <c r="D761" s="37" t="s">
        <v>136</v>
      </c>
      <c r="E761" s="37" t="s">
        <v>176</v>
      </c>
      <c r="F761" s="37" t="s">
        <v>205</v>
      </c>
      <c r="G761" s="37" t="s">
        <v>197</v>
      </c>
      <c r="H761" s="37" t="s">
        <v>54</v>
      </c>
      <c r="I761" s="37" t="s">
        <v>2819</v>
      </c>
      <c r="J761" s="37" t="s">
        <v>2820</v>
      </c>
      <c r="K761" s="37">
        <v>8</v>
      </c>
      <c r="L761" s="37" t="s">
        <v>379</v>
      </c>
      <c r="M761" s="37" t="s">
        <v>172</v>
      </c>
      <c r="N761" s="37">
        <v>1</v>
      </c>
      <c r="O761" s="37" t="s">
        <v>286</v>
      </c>
      <c r="P761" s="37"/>
    </row>
    <row r="762" spans="1:16">
      <c r="A762" s="46" t="s">
        <v>2821</v>
      </c>
      <c r="B762" s="46" t="s">
        <v>2822</v>
      </c>
      <c r="C762" s="46" t="s">
        <v>469</v>
      </c>
      <c r="D762" s="46" t="s">
        <v>204</v>
      </c>
      <c r="E762" s="46" t="s">
        <v>176</v>
      </c>
      <c r="F762" s="46" t="s">
        <v>277</v>
      </c>
      <c r="G762" s="46" t="s">
        <v>470</v>
      </c>
      <c r="H762" s="46" t="s">
        <v>126</v>
      </c>
      <c r="I762" s="46" t="s">
        <v>1730</v>
      </c>
      <c r="J762" s="46" t="s">
        <v>161</v>
      </c>
      <c r="K762" s="46">
        <v>6</v>
      </c>
      <c r="L762" s="46" t="s">
        <v>902</v>
      </c>
      <c r="M762" s="46" t="s">
        <v>130</v>
      </c>
      <c r="N762" s="46"/>
      <c r="O762" s="46" t="s">
        <v>118</v>
      </c>
      <c r="P762" s="46" t="s">
        <v>759</v>
      </c>
    </row>
    <row r="763" spans="1:16">
      <c r="A763" s="37" t="s">
        <v>2823</v>
      </c>
      <c r="B763" s="37" t="s">
        <v>627</v>
      </c>
      <c r="C763" s="37" t="s">
        <v>93</v>
      </c>
      <c r="D763" s="37" t="s">
        <v>136</v>
      </c>
      <c r="E763" s="37" t="s">
        <v>224</v>
      </c>
      <c r="F763" s="37" t="s">
        <v>205</v>
      </c>
      <c r="G763" s="37" t="s">
        <v>470</v>
      </c>
      <c r="H763" s="37" t="s">
        <v>396</v>
      </c>
      <c r="I763" s="37" t="s">
        <v>2824</v>
      </c>
      <c r="J763" s="37" t="s">
        <v>2825</v>
      </c>
      <c r="K763" s="37">
        <v>4</v>
      </c>
      <c r="L763" s="37" t="s">
        <v>989</v>
      </c>
      <c r="M763" s="37" t="s">
        <v>117</v>
      </c>
      <c r="N763" s="37">
        <v>4</v>
      </c>
      <c r="O763" s="37" t="s">
        <v>131</v>
      </c>
      <c r="P763" s="37"/>
    </row>
    <row r="764" spans="1:16">
      <c r="A764" s="46" t="s">
        <v>2826</v>
      </c>
      <c r="B764" s="46" t="s">
        <v>1085</v>
      </c>
      <c r="C764" s="46" t="s">
        <v>424</v>
      </c>
      <c r="D764" s="46" t="s">
        <v>270</v>
      </c>
      <c r="E764" s="46" t="s">
        <v>157</v>
      </c>
      <c r="F764" s="46" t="s">
        <v>301</v>
      </c>
      <c r="G764" s="46" t="s">
        <v>264</v>
      </c>
      <c r="H764" s="46" t="s">
        <v>206</v>
      </c>
      <c r="I764" s="46" t="s">
        <v>2827</v>
      </c>
      <c r="J764" s="46" t="s">
        <v>2828</v>
      </c>
      <c r="K764" s="46">
        <v>6</v>
      </c>
      <c r="L764" s="46" t="s">
        <v>1017</v>
      </c>
      <c r="M764" s="46" t="s">
        <v>163</v>
      </c>
      <c r="N764" s="46">
        <v>3</v>
      </c>
      <c r="O764" s="46" t="s">
        <v>286</v>
      </c>
      <c r="P764" s="46"/>
    </row>
    <row r="765" spans="1:16">
      <c r="A765" s="37" t="s">
        <v>2829</v>
      </c>
      <c r="B765" s="37" t="s">
        <v>1786</v>
      </c>
      <c r="C765" s="37" t="s">
        <v>155</v>
      </c>
      <c r="D765" s="37" t="s">
        <v>175</v>
      </c>
      <c r="E765" s="37" t="s">
        <v>147</v>
      </c>
      <c r="F765" s="37" t="s">
        <v>271</v>
      </c>
      <c r="G765" s="37" t="s">
        <v>264</v>
      </c>
      <c r="H765" s="37" t="s">
        <v>187</v>
      </c>
      <c r="I765" s="37" t="s">
        <v>639</v>
      </c>
      <c r="J765" s="37" t="s">
        <v>1675</v>
      </c>
      <c r="K765" s="37">
        <v>8</v>
      </c>
      <c r="L765" s="37" t="s">
        <v>2830</v>
      </c>
      <c r="M765" s="37" t="s">
        <v>105</v>
      </c>
      <c r="N765" s="37">
        <v>4</v>
      </c>
      <c r="O765" s="37" t="s">
        <v>286</v>
      </c>
      <c r="P765" s="37"/>
    </row>
    <row r="766" spans="1:16">
      <c r="A766" s="46" t="s">
        <v>2831</v>
      </c>
      <c r="B766" s="46" t="s">
        <v>1034</v>
      </c>
      <c r="C766" s="46" t="s">
        <v>243</v>
      </c>
      <c r="D766" s="46" t="s">
        <v>37</v>
      </c>
      <c r="E766" s="46" t="s">
        <v>244</v>
      </c>
      <c r="F766" s="46" t="s">
        <v>196</v>
      </c>
      <c r="G766" s="46" t="s">
        <v>302</v>
      </c>
      <c r="H766" s="46" t="s">
        <v>91</v>
      </c>
      <c r="I766" s="46" t="s">
        <v>2832</v>
      </c>
      <c r="J766" s="46" t="s">
        <v>2833</v>
      </c>
      <c r="K766" s="46">
        <v>4</v>
      </c>
      <c r="L766" s="46" t="s">
        <v>1642</v>
      </c>
      <c r="M766" s="46" t="s">
        <v>163</v>
      </c>
      <c r="N766" s="46">
        <v>4</v>
      </c>
      <c r="O766" s="46" t="s">
        <v>181</v>
      </c>
      <c r="P766" s="46"/>
    </row>
    <row r="767" spans="1:16">
      <c r="A767" s="37" t="s">
        <v>2834</v>
      </c>
      <c r="B767" s="37" t="s">
        <v>595</v>
      </c>
      <c r="C767" s="37" t="s">
        <v>633</v>
      </c>
      <c r="D767" s="37" t="s">
        <v>156</v>
      </c>
      <c r="E767" s="37" t="s">
        <v>244</v>
      </c>
      <c r="F767" s="37" t="s">
        <v>111</v>
      </c>
      <c r="G767" s="37" t="s">
        <v>92</v>
      </c>
      <c r="H767" s="37" t="s">
        <v>294</v>
      </c>
      <c r="I767" s="37" t="s">
        <v>2835</v>
      </c>
      <c r="J767" s="37" t="s">
        <v>2836</v>
      </c>
      <c r="K767" s="37">
        <v>4</v>
      </c>
      <c r="L767" s="37" t="s">
        <v>796</v>
      </c>
      <c r="M767" s="37" t="s">
        <v>105</v>
      </c>
      <c r="N767" s="37">
        <v>4</v>
      </c>
      <c r="O767" s="37" t="s">
        <v>106</v>
      </c>
      <c r="P767" s="37"/>
    </row>
    <row r="768" spans="1:16">
      <c r="A768" s="46" t="s">
        <v>2837</v>
      </c>
      <c r="B768" s="46" t="s">
        <v>2018</v>
      </c>
      <c r="C768" s="46" t="s">
        <v>243</v>
      </c>
      <c r="D768" s="46" t="s">
        <v>312</v>
      </c>
      <c r="E768" s="46" t="s">
        <v>440</v>
      </c>
      <c r="F768" s="46" t="s">
        <v>167</v>
      </c>
      <c r="G768" s="46" t="s">
        <v>401</v>
      </c>
      <c r="H768" s="46" t="s">
        <v>54</v>
      </c>
      <c r="I768" s="46" t="s">
        <v>2689</v>
      </c>
      <c r="J768" s="46" t="s">
        <v>530</v>
      </c>
      <c r="K768" s="46">
        <v>6</v>
      </c>
      <c r="L768" s="46" t="s">
        <v>947</v>
      </c>
      <c r="M768" s="46" t="s">
        <v>72</v>
      </c>
      <c r="N768" s="46">
        <v>1</v>
      </c>
      <c r="O768" s="46" t="s">
        <v>152</v>
      </c>
      <c r="P768" s="46"/>
    </row>
    <row r="769" spans="1:16">
      <c r="A769" s="37" t="s">
        <v>2838</v>
      </c>
      <c r="B769" s="37" t="s">
        <v>1573</v>
      </c>
      <c r="C769" s="37" t="s">
        <v>424</v>
      </c>
      <c r="D769" s="37" t="s">
        <v>136</v>
      </c>
      <c r="E769" s="37" t="s">
        <v>147</v>
      </c>
      <c r="F769" s="37" t="s">
        <v>353</v>
      </c>
      <c r="G769" s="37" t="s">
        <v>125</v>
      </c>
      <c r="H769" s="37" t="s">
        <v>294</v>
      </c>
      <c r="I769" s="37" t="s">
        <v>2603</v>
      </c>
      <c r="J769" s="37" t="s">
        <v>2839</v>
      </c>
      <c r="K769" s="37">
        <v>8</v>
      </c>
      <c r="L769" s="37" t="s">
        <v>2840</v>
      </c>
      <c r="M769" s="37" t="s">
        <v>130</v>
      </c>
      <c r="N769" s="37"/>
      <c r="O769" s="37" t="s">
        <v>118</v>
      </c>
      <c r="P769" s="37" t="s">
        <v>759</v>
      </c>
    </row>
    <row r="770" spans="1:16">
      <c r="A770" s="46" t="s">
        <v>2841</v>
      </c>
      <c r="B770" s="46" t="s">
        <v>2842</v>
      </c>
      <c r="C770" s="46" t="s">
        <v>155</v>
      </c>
      <c r="D770" s="46" t="s">
        <v>223</v>
      </c>
      <c r="E770" s="46" t="s">
        <v>325</v>
      </c>
      <c r="F770" s="46" t="s">
        <v>47</v>
      </c>
      <c r="G770" s="46" t="s">
        <v>380</v>
      </c>
      <c r="H770" s="46" t="s">
        <v>126</v>
      </c>
      <c r="I770" s="46" t="s">
        <v>2843</v>
      </c>
      <c r="J770" s="46" t="s">
        <v>2844</v>
      </c>
      <c r="K770" s="46">
        <v>4</v>
      </c>
      <c r="L770" s="46" t="s">
        <v>506</v>
      </c>
      <c r="M770" s="46" t="s">
        <v>219</v>
      </c>
      <c r="N770" s="46">
        <v>5</v>
      </c>
      <c r="O770" s="46" t="s">
        <v>152</v>
      </c>
      <c r="P770" s="46"/>
    </row>
    <row r="771" spans="1:16">
      <c r="A771" s="37" t="s">
        <v>2845</v>
      </c>
      <c r="B771" s="37" t="s">
        <v>2080</v>
      </c>
      <c r="C771" s="37" t="s">
        <v>407</v>
      </c>
      <c r="D771" s="37" t="s">
        <v>175</v>
      </c>
      <c r="E771" s="37" t="s">
        <v>345</v>
      </c>
      <c r="F771" s="37" t="s">
        <v>664</v>
      </c>
      <c r="G771" s="37" t="s">
        <v>302</v>
      </c>
      <c r="H771" s="37" t="s">
        <v>396</v>
      </c>
      <c r="I771" s="37" t="s">
        <v>320</v>
      </c>
      <c r="J771" s="37" t="s">
        <v>2846</v>
      </c>
      <c r="K771" s="37">
        <v>4</v>
      </c>
      <c r="L771" s="37" t="s">
        <v>1142</v>
      </c>
      <c r="M771" s="37" t="s">
        <v>163</v>
      </c>
      <c r="N771" s="37">
        <v>3</v>
      </c>
      <c r="O771" s="37" t="s">
        <v>191</v>
      </c>
      <c r="P771" s="37"/>
    </row>
    <row r="772" spans="1:16">
      <c r="A772" s="46" t="s">
        <v>2847</v>
      </c>
      <c r="B772" s="46" t="s">
        <v>2848</v>
      </c>
      <c r="C772" s="46" t="s">
        <v>91</v>
      </c>
      <c r="D772" s="46" t="s">
        <v>352</v>
      </c>
      <c r="E772" s="46" t="s">
        <v>195</v>
      </c>
      <c r="F772" s="46" t="s">
        <v>430</v>
      </c>
      <c r="G772" s="46" t="s">
        <v>51</v>
      </c>
      <c r="H772" s="46" t="s">
        <v>54</v>
      </c>
      <c r="I772" s="46" t="s">
        <v>2849</v>
      </c>
      <c r="J772" s="46" t="s">
        <v>2850</v>
      </c>
      <c r="K772" s="46">
        <v>8</v>
      </c>
      <c r="L772" s="46" t="s">
        <v>406</v>
      </c>
      <c r="M772" s="46" t="s">
        <v>143</v>
      </c>
      <c r="N772" s="46">
        <v>3</v>
      </c>
      <c r="O772" s="46" t="s">
        <v>152</v>
      </c>
      <c r="P772" s="46"/>
    </row>
    <row r="773" spans="1:16">
      <c r="A773" s="37" t="s">
        <v>2851</v>
      </c>
      <c r="B773" s="37" t="s">
        <v>739</v>
      </c>
      <c r="C773" s="37" t="s">
        <v>374</v>
      </c>
      <c r="D773" s="37" t="s">
        <v>352</v>
      </c>
      <c r="E773" s="37" t="s">
        <v>345</v>
      </c>
      <c r="F773" s="37" t="s">
        <v>158</v>
      </c>
      <c r="G773" s="37" t="s">
        <v>334</v>
      </c>
      <c r="H773" s="37" t="s">
        <v>32</v>
      </c>
      <c r="I773" s="37" t="s">
        <v>1090</v>
      </c>
      <c r="J773" s="37" t="s">
        <v>2037</v>
      </c>
      <c r="K773" s="37">
        <v>6</v>
      </c>
      <c r="L773" s="37" t="s">
        <v>2852</v>
      </c>
      <c r="M773" s="37" t="s">
        <v>163</v>
      </c>
      <c r="N773" s="37">
        <v>4</v>
      </c>
      <c r="O773" s="37" t="s">
        <v>191</v>
      </c>
      <c r="P773" s="37"/>
    </row>
    <row r="774" spans="1:16">
      <c r="A774" s="46" t="s">
        <v>2853</v>
      </c>
      <c r="B774" s="46" t="s">
        <v>1892</v>
      </c>
      <c r="C774" s="46" t="s">
        <v>407</v>
      </c>
      <c r="D774" s="46" t="s">
        <v>98</v>
      </c>
      <c r="E774" s="46" t="s">
        <v>176</v>
      </c>
      <c r="F774" s="46" t="s">
        <v>582</v>
      </c>
      <c r="G774" s="46" t="s">
        <v>197</v>
      </c>
      <c r="H774" s="46" t="s">
        <v>93</v>
      </c>
      <c r="I774" s="46" t="s">
        <v>2854</v>
      </c>
      <c r="J774" s="46" t="s">
        <v>1099</v>
      </c>
      <c r="K774" s="46">
        <v>8</v>
      </c>
      <c r="L774" s="46" t="s">
        <v>922</v>
      </c>
      <c r="M774" s="46" t="s">
        <v>200</v>
      </c>
      <c r="N774" s="46">
        <v>3</v>
      </c>
      <c r="O774" s="46" t="s">
        <v>181</v>
      </c>
      <c r="P774" s="46"/>
    </row>
    <row r="775" spans="1:16">
      <c r="A775" s="37" t="s">
        <v>2855</v>
      </c>
      <c r="B775" s="37" t="s">
        <v>874</v>
      </c>
      <c r="C775" s="37" t="s">
        <v>451</v>
      </c>
      <c r="D775" s="37" t="s">
        <v>230</v>
      </c>
      <c r="E775" s="37" t="s">
        <v>176</v>
      </c>
      <c r="F775" s="37" t="s">
        <v>205</v>
      </c>
      <c r="G775" s="37" t="s">
        <v>112</v>
      </c>
      <c r="H775" s="37" t="s">
        <v>113</v>
      </c>
      <c r="I775" s="37" t="s">
        <v>2856</v>
      </c>
      <c r="J775" s="37" t="s">
        <v>2857</v>
      </c>
      <c r="K775" s="37">
        <v>6</v>
      </c>
      <c r="L775" s="37" t="s">
        <v>1434</v>
      </c>
      <c r="M775" s="37" t="s">
        <v>200</v>
      </c>
      <c r="N775" s="37">
        <v>3</v>
      </c>
      <c r="O775" s="37" t="s">
        <v>152</v>
      </c>
      <c r="P775" s="37"/>
    </row>
    <row r="776" spans="1:16">
      <c r="A776" s="46" t="s">
        <v>2858</v>
      </c>
      <c r="B776" s="46" t="s">
        <v>1670</v>
      </c>
      <c r="C776" s="46" t="s">
        <v>633</v>
      </c>
      <c r="D776" s="46" t="s">
        <v>156</v>
      </c>
      <c r="E776" s="46" t="s">
        <v>42</v>
      </c>
      <c r="F776" s="46" t="s">
        <v>592</v>
      </c>
      <c r="G776" s="46" t="s">
        <v>470</v>
      </c>
      <c r="H776" s="46" t="s">
        <v>126</v>
      </c>
      <c r="I776" s="46" t="s">
        <v>2859</v>
      </c>
      <c r="J776" s="46" t="s">
        <v>2860</v>
      </c>
      <c r="K776" s="46">
        <v>6</v>
      </c>
      <c r="L776" s="46" t="s">
        <v>547</v>
      </c>
      <c r="M776" s="46" t="s">
        <v>172</v>
      </c>
      <c r="N776" s="46">
        <v>3</v>
      </c>
      <c r="O776" s="46" t="s">
        <v>181</v>
      </c>
      <c r="P776" s="46"/>
    </row>
    <row r="777" spans="1:16">
      <c r="A777" s="37" t="s">
        <v>2861</v>
      </c>
      <c r="B777" s="37" t="s">
        <v>398</v>
      </c>
      <c r="C777" s="37" t="s">
        <v>88</v>
      </c>
      <c r="D777" s="37" t="s">
        <v>333</v>
      </c>
      <c r="E777" s="37" t="s">
        <v>224</v>
      </c>
      <c r="F777" s="37" t="s">
        <v>271</v>
      </c>
      <c r="G777" s="37" t="s">
        <v>302</v>
      </c>
      <c r="H777" s="37" t="s">
        <v>126</v>
      </c>
      <c r="I777" s="37" t="s">
        <v>2862</v>
      </c>
      <c r="J777" s="37" t="s">
        <v>2863</v>
      </c>
      <c r="K777" s="37">
        <v>4</v>
      </c>
      <c r="L777" s="37" t="s">
        <v>2087</v>
      </c>
      <c r="M777" s="37" t="s">
        <v>143</v>
      </c>
      <c r="N777" s="37">
        <v>2</v>
      </c>
      <c r="O777" s="37" t="s">
        <v>286</v>
      </c>
      <c r="P777" s="37"/>
    </row>
    <row r="778" spans="1:16">
      <c r="A778" s="46" t="s">
        <v>2864</v>
      </c>
      <c r="B778" s="46" t="s">
        <v>704</v>
      </c>
      <c r="C778" s="46" t="s">
        <v>251</v>
      </c>
      <c r="D778" s="46" t="s">
        <v>175</v>
      </c>
      <c r="E778" s="46" t="s">
        <v>195</v>
      </c>
      <c r="F778" s="46" t="s">
        <v>385</v>
      </c>
      <c r="G778" s="46" t="s">
        <v>197</v>
      </c>
      <c r="H778" s="46" t="s">
        <v>327</v>
      </c>
      <c r="I778" s="46" t="s">
        <v>2865</v>
      </c>
      <c r="J778" s="46" t="s">
        <v>2866</v>
      </c>
      <c r="K778" s="46">
        <v>8</v>
      </c>
      <c r="L778" s="46" t="s">
        <v>429</v>
      </c>
      <c r="M778" s="46" t="s">
        <v>172</v>
      </c>
      <c r="N778" s="46">
        <v>2</v>
      </c>
      <c r="O778" s="46" t="s">
        <v>191</v>
      </c>
      <c r="P778" s="46"/>
    </row>
    <row r="779" spans="1:16">
      <c r="A779" s="37" t="s">
        <v>2867</v>
      </c>
      <c r="B779" s="37" t="s">
        <v>400</v>
      </c>
      <c r="C779" s="37" t="s">
        <v>282</v>
      </c>
      <c r="D779" s="37" t="s">
        <v>37</v>
      </c>
      <c r="E779" s="37" t="s">
        <v>137</v>
      </c>
      <c r="F779" s="37" t="s">
        <v>498</v>
      </c>
      <c r="G779" s="37" t="s">
        <v>89</v>
      </c>
      <c r="H779" s="37" t="s">
        <v>187</v>
      </c>
      <c r="I779" s="37" t="s">
        <v>114</v>
      </c>
      <c r="J779" s="37" t="s">
        <v>432</v>
      </c>
      <c r="K779" s="37">
        <v>6</v>
      </c>
      <c r="L779" s="37" t="s">
        <v>1960</v>
      </c>
      <c r="M779" s="37" t="s">
        <v>219</v>
      </c>
      <c r="N779" s="37">
        <v>4</v>
      </c>
      <c r="O779" s="37" t="s">
        <v>79</v>
      </c>
      <c r="P779" s="37"/>
    </row>
    <row r="780" spans="1:16">
      <c r="A780" s="46" t="s">
        <v>2868</v>
      </c>
      <c r="B780" s="46" t="s">
        <v>549</v>
      </c>
      <c r="C780" s="46" t="s">
        <v>251</v>
      </c>
      <c r="D780" s="46" t="s">
        <v>919</v>
      </c>
      <c r="E780" s="46" t="s">
        <v>137</v>
      </c>
      <c r="F780" s="46" t="s">
        <v>301</v>
      </c>
      <c r="G780" s="46" t="s">
        <v>401</v>
      </c>
      <c r="H780" s="46" t="s">
        <v>90</v>
      </c>
      <c r="I780" s="46" t="s">
        <v>2869</v>
      </c>
      <c r="J780" s="46" t="s">
        <v>2870</v>
      </c>
      <c r="K780" s="46">
        <v>8</v>
      </c>
      <c r="L780" s="46" t="s">
        <v>1015</v>
      </c>
      <c r="M780" s="46" t="s">
        <v>200</v>
      </c>
      <c r="N780" s="46">
        <v>2</v>
      </c>
      <c r="O780" s="46" t="s">
        <v>131</v>
      </c>
      <c r="P780" s="46"/>
    </row>
    <row r="781" spans="1:16">
      <c r="A781" s="37" t="s">
        <v>2871</v>
      </c>
      <c r="B781" s="37" t="s">
        <v>1763</v>
      </c>
      <c r="C781" s="37" t="s">
        <v>366</v>
      </c>
      <c r="D781" s="37" t="s">
        <v>156</v>
      </c>
      <c r="E781" s="37" t="s">
        <v>157</v>
      </c>
      <c r="F781" s="37" t="s">
        <v>177</v>
      </c>
      <c r="G781" s="37" t="s">
        <v>470</v>
      </c>
      <c r="H781" s="37" t="s">
        <v>396</v>
      </c>
      <c r="I781" s="37" t="s">
        <v>198</v>
      </c>
      <c r="J781" s="37" t="s">
        <v>2872</v>
      </c>
      <c r="K781" s="37">
        <v>4</v>
      </c>
      <c r="L781" s="37" t="s">
        <v>2221</v>
      </c>
      <c r="M781" s="37" t="s">
        <v>105</v>
      </c>
      <c r="N781" s="37">
        <v>5</v>
      </c>
      <c r="O781" s="37" t="s">
        <v>118</v>
      </c>
      <c r="P781" s="37"/>
    </row>
    <row r="782" spans="1:16">
      <c r="A782" s="46" t="s">
        <v>2873</v>
      </c>
      <c r="B782" s="46" t="s">
        <v>343</v>
      </c>
      <c r="C782" s="46" t="s">
        <v>91</v>
      </c>
      <c r="D782" s="46" t="s">
        <v>270</v>
      </c>
      <c r="E782" s="46" t="s">
        <v>147</v>
      </c>
      <c r="F782" s="46" t="s">
        <v>138</v>
      </c>
      <c r="G782" s="46" t="s">
        <v>51</v>
      </c>
      <c r="H782" s="46" t="s">
        <v>90</v>
      </c>
      <c r="I782" s="46" t="s">
        <v>1487</v>
      </c>
      <c r="J782" s="46" t="s">
        <v>2874</v>
      </c>
      <c r="K782" s="46">
        <v>8</v>
      </c>
      <c r="L782" s="46" t="s">
        <v>2156</v>
      </c>
      <c r="M782" s="46" t="s">
        <v>624</v>
      </c>
      <c r="N782" s="46"/>
      <c r="O782" s="46" t="s">
        <v>191</v>
      </c>
      <c r="P782" s="46" t="s">
        <v>818</v>
      </c>
    </row>
    <row r="783" spans="1:16">
      <c r="A783" s="37" t="s">
        <v>2875</v>
      </c>
      <c r="B783" s="37" t="s">
        <v>2618</v>
      </c>
      <c r="C783" s="37" t="s">
        <v>243</v>
      </c>
      <c r="D783" s="37" t="s">
        <v>213</v>
      </c>
      <c r="E783" s="37" t="s">
        <v>147</v>
      </c>
      <c r="F783" s="37" t="s">
        <v>664</v>
      </c>
      <c r="G783" s="37" t="s">
        <v>346</v>
      </c>
      <c r="H783" s="37" t="s">
        <v>113</v>
      </c>
      <c r="I783" s="37" t="s">
        <v>2876</v>
      </c>
      <c r="J783" s="37" t="s">
        <v>2877</v>
      </c>
      <c r="K783" s="37">
        <v>8</v>
      </c>
      <c r="L783" s="37" t="s">
        <v>1294</v>
      </c>
      <c r="M783" s="37" t="s">
        <v>117</v>
      </c>
      <c r="N783" s="37">
        <v>3</v>
      </c>
      <c r="O783" s="37" t="s">
        <v>191</v>
      </c>
      <c r="P783" s="37"/>
    </row>
    <row r="784" spans="1:16">
      <c r="A784" s="46" t="s">
        <v>2878</v>
      </c>
      <c r="B784" s="46" t="s">
        <v>2879</v>
      </c>
      <c r="C784" s="46" t="s">
        <v>32</v>
      </c>
      <c r="D784" s="46" t="s">
        <v>156</v>
      </c>
      <c r="E784" s="46" t="s">
        <v>42</v>
      </c>
      <c r="F784" s="46" t="s">
        <v>186</v>
      </c>
      <c r="G784" s="46" t="s">
        <v>334</v>
      </c>
      <c r="H784" s="46" t="s">
        <v>32</v>
      </c>
      <c r="I784" s="46" t="s">
        <v>2880</v>
      </c>
      <c r="J784" s="46" t="s">
        <v>2881</v>
      </c>
      <c r="K784" s="46">
        <v>4</v>
      </c>
      <c r="L784" s="46" t="s">
        <v>1828</v>
      </c>
      <c r="M784" s="46" t="s">
        <v>172</v>
      </c>
      <c r="N784" s="46">
        <v>2</v>
      </c>
      <c r="O784" s="46" t="s">
        <v>286</v>
      </c>
      <c r="P784" s="46"/>
    </row>
    <row r="785" spans="1:16">
      <c r="A785" s="37" t="s">
        <v>2882</v>
      </c>
      <c r="B785" s="37" t="s">
        <v>2883</v>
      </c>
      <c r="C785" s="37" t="s">
        <v>340</v>
      </c>
      <c r="D785" s="37" t="s">
        <v>223</v>
      </c>
      <c r="E785" s="37" t="s">
        <v>325</v>
      </c>
      <c r="F785" s="37" t="s">
        <v>425</v>
      </c>
      <c r="G785" s="37" t="s">
        <v>112</v>
      </c>
      <c r="H785" s="37" t="s">
        <v>215</v>
      </c>
      <c r="I785" s="37" t="s">
        <v>2884</v>
      </c>
      <c r="J785" s="37" t="s">
        <v>2885</v>
      </c>
      <c r="K785" s="37">
        <v>2</v>
      </c>
      <c r="L785" s="37" t="s">
        <v>891</v>
      </c>
      <c r="M785" s="37" t="s">
        <v>143</v>
      </c>
      <c r="N785" s="37">
        <v>3</v>
      </c>
      <c r="O785" s="37" t="s">
        <v>118</v>
      </c>
      <c r="P785" s="37"/>
    </row>
    <row r="786" spans="1:16">
      <c r="A786" s="46" t="s">
        <v>2886</v>
      </c>
      <c r="B786" s="46" t="s">
        <v>549</v>
      </c>
      <c r="C786" s="46" t="s">
        <v>222</v>
      </c>
      <c r="D786" s="46" t="s">
        <v>367</v>
      </c>
      <c r="E786" s="46" t="s">
        <v>440</v>
      </c>
      <c r="F786" s="46" t="s">
        <v>1112</v>
      </c>
      <c r="G786" s="46" t="s">
        <v>112</v>
      </c>
      <c r="H786" s="46" t="s">
        <v>32</v>
      </c>
      <c r="I786" s="46" t="s">
        <v>464</v>
      </c>
      <c r="J786" s="46" t="s">
        <v>2887</v>
      </c>
      <c r="K786" s="46">
        <v>8</v>
      </c>
      <c r="L786" s="46" t="s">
        <v>229</v>
      </c>
      <c r="M786" s="46" t="s">
        <v>143</v>
      </c>
      <c r="N786" s="46">
        <v>3</v>
      </c>
      <c r="O786" s="46" t="s">
        <v>131</v>
      </c>
      <c r="P786" s="46"/>
    </row>
    <row r="787" spans="1:16">
      <c r="A787" s="37" t="s">
        <v>2888</v>
      </c>
      <c r="B787" s="37" t="s">
        <v>523</v>
      </c>
      <c r="C787" s="37" t="s">
        <v>88</v>
      </c>
      <c r="D787" s="37" t="s">
        <v>544</v>
      </c>
      <c r="E787" s="37" t="s">
        <v>147</v>
      </c>
      <c r="F787" s="37" t="s">
        <v>368</v>
      </c>
      <c r="G787" s="37" t="s">
        <v>92</v>
      </c>
      <c r="H787" s="37" t="s">
        <v>91</v>
      </c>
      <c r="I787" s="37" t="s">
        <v>2889</v>
      </c>
      <c r="J787" s="37" t="s">
        <v>2890</v>
      </c>
      <c r="K787" s="37">
        <v>8</v>
      </c>
      <c r="L787" s="37" t="s">
        <v>1945</v>
      </c>
      <c r="M787" s="37" t="s">
        <v>163</v>
      </c>
      <c r="N787" s="37">
        <v>5</v>
      </c>
      <c r="O787" s="37" t="s">
        <v>181</v>
      </c>
      <c r="P787" s="37"/>
    </row>
    <row r="788" spans="1:16">
      <c r="A788" s="46" t="s">
        <v>2891</v>
      </c>
      <c r="B788" s="46" t="s">
        <v>933</v>
      </c>
      <c r="C788" s="46" t="s">
        <v>174</v>
      </c>
      <c r="D788" s="46" t="s">
        <v>230</v>
      </c>
      <c r="E788" s="46" t="s">
        <v>185</v>
      </c>
      <c r="F788" s="46" t="s">
        <v>326</v>
      </c>
      <c r="G788" s="46" t="s">
        <v>112</v>
      </c>
      <c r="H788" s="46" t="s">
        <v>354</v>
      </c>
      <c r="I788" s="46" t="s">
        <v>2578</v>
      </c>
      <c r="J788" s="46" t="s">
        <v>2892</v>
      </c>
      <c r="K788" s="46">
        <v>6</v>
      </c>
      <c r="L788" s="46" t="s">
        <v>571</v>
      </c>
      <c r="M788" s="46" t="s">
        <v>219</v>
      </c>
      <c r="N788" s="46">
        <v>5</v>
      </c>
      <c r="O788" s="46" t="s">
        <v>79</v>
      </c>
      <c r="P788" s="46"/>
    </row>
    <row r="789" spans="1:16">
      <c r="A789" s="37" t="s">
        <v>2893</v>
      </c>
      <c r="B789" s="37" t="s">
        <v>2806</v>
      </c>
      <c r="C789" s="37" t="s">
        <v>91</v>
      </c>
      <c r="D789" s="37" t="s">
        <v>213</v>
      </c>
      <c r="E789" s="37" t="s">
        <v>195</v>
      </c>
      <c r="F789" s="37" t="s">
        <v>148</v>
      </c>
      <c r="G789" s="37" t="s">
        <v>380</v>
      </c>
      <c r="H789" s="37" t="s">
        <v>396</v>
      </c>
      <c r="I789" s="37" t="s">
        <v>1140</v>
      </c>
      <c r="J789" s="37" t="s">
        <v>2894</v>
      </c>
      <c r="K789" s="37">
        <v>6</v>
      </c>
      <c r="L789" s="37" t="s">
        <v>2147</v>
      </c>
      <c r="M789" s="37" t="s">
        <v>143</v>
      </c>
      <c r="N789" s="37">
        <v>4</v>
      </c>
      <c r="O789" s="37" t="s">
        <v>79</v>
      </c>
      <c r="P789" s="37"/>
    </row>
    <row r="790" spans="1:16">
      <c r="A790" s="46" t="s">
        <v>2895</v>
      </c>
      <c r="B790" s="46" t="s">
        <v>1801</v>
      </c>
      <c r="C790" s="46" t="s">
        <v>203</v>
      </c>
      <c r="D790" s="46" t="s">
        <v>146</v>
      </c>
      <c r="E790" s="46" t="s">
        <v>137</v>
      </c>
      <c r="F790" s="46" t="s">
        <v>533</v>
      </c>
      <c r="G790" s="46" t="s">
        <v>302</v>
      </c>
      <c r="H790" s="46" t="s">
        <v>126</v>
      </c>
      <c r="I790" s="46" t="s">
        <v>2166</v>
      </c>
      <c r="J790" s="46" t="s">
        <v>2896</v>
      </c>
      <c r="K790" s="46">
        <v>8</v>
      </c>
      <c r="L790" s="46" t="s">
        <v>2354</v>
      </c>
      <c r="M790" s="46" t="s">
        <v>105</v>
      </c>
      <c r="N790" s="46">
        <v>5</v>
      </c>
      <c r="O790" s="46" t="s">
        <v>191</v>
      </c>
      <c r="P790" s="46"/>
    </row>
    <row r="791" spans="1:16">
      <c r="A791" s="37" t="s">
        <v>2897</v>
      </c>
      <c r="B791" s="37" t="s">
        <v>560</v>
      </c>
      <c r="C791" s="37" t="s">
        <v>374</v>
      </c>
      <c r="D791" s="37" t="s">
        <v>213</v>
      </c>
      <c r="E791" s="37" t="s">
        <v>440</v>
      </c>
      <c r="F791" s="37" t="s">
        <v>313</v>
      </c>
      <c r="G791" s="37" t="s">
        <v>264</v>
      </c>
      <c r="H791" s="37" t="s">
        <v>88</v>
      </c>
      <c r="I791" s="37" t="s">
        <v>1118</v>
      </c>
      <c r="J791" s="37" t="s">
        <v>2898</v>
      </c>
      <c r="K791" s="37">
        <v>8</v>
      </c>
      <c r="L791" s="37" t="s">
        <v>1564</v>
      </c>
      <c r="M791" s="37" t="s">
        <v>105</v>
      </c>
      <c r="N791" s="37">
        <v>5</v>
      </c>
      <c r="O791" s="37" t="s">
        <v>118</v>
      </c>
      <c r="P791" s="37"/>
    </row>
    <row r="792" spans="1:16">
      <c r="A792" s="46" t="s">
        <v>2899</v>
      </c>
      <c r="B792" s="46" t="s">
        <v>1978</v>
      </c>
      <c r="C792" s="46" t="s">
        <v>166</v>
      </c>
      <c r="D792" s="46" t="s">
        <v>156</v>
      </c>
      <c r="E792" s="46" t="s">
        <v>325</v>
      </c>
      <c r="F792" s="46" t="s">
        <v>205</v>
      </c>
      <c r="G792" s="46" t="s">
        <v>197</v>
      </c>
      <c r="H792" s="46" t="s">
        <v>327</v>
      </c>
      <c r="I792" s="46" t="s">
        <v>1262</v>
      </c>
      <c r="J792" s="46" t="s">
        <v>2900</v>
      </c>
      <c r="K792" s="46">
        <v>4</v>
      </c>
      <c r="L792" s="46" t="s">
        <v>1475</v>
      </c>
      <c r="M792" s="46" t="s">
        <v>2041</v>
      </c>
      <c r="N792" s="46"/>
      <c r="O792" s="46" t="s">
        <v>152</v>
      </c>
      <c r="P792" s="46" t="s">
        <v>818</v>
      </c>
    </row>
    <row r="793" spans="1:16">
      <c r="A793" s="37" t="s">
        <v>2901</v>
      </c>
      <c r="B793" s="37" t="s">
        <v>2902</v>
      </c>
      <c r="C793" s="37" t="s">
        <v>109</v>
      </c>
      <c r="D793" s="37" t="s">
        <v>312</v>
      </c>
      <c r="E793" s="37" t="s">
        <v>99</v>
      </c>
      <c r="F793" s="37" t="s">
        <v>425</v>
      </c>
      <c r="G793" s="37" t="s">
        <v>418</v>
      </c>
      <c r="H793" s="37" t="s">
        <v>327</v>
      </c>
      <c r="I793" s="37" t="s">
        <v>2903</v>
      </c>
      <c r="J793" s="37" t="s">
        <v>2904</v>
      </c>
      <c r="K793" s="37">
        <v>4</v>
      </c>
      <c r="L793" s="37" t="s">
        <v>2905</v>
      </c>
      <c r="M793" s="37" t="s">
        <v>624</v>
      </c>
      <c r="N793" s="37"/>
      <c r="O793" s="37" t="s">
        <v>152</v>
      </c>
      <c r="P793" s="37" t="s">
        <v>625</v>
      </c>
    </row>
    <row r="794" spans="1:16">
      <c r="A794" s="46" t="s">
        <v>2906</v>
      </c>
      <c r="B794" s="46" t="s">
        <v>2046</v>
      </c>
      <c r="C794" s="46" t="s">
        <v>212</v>
      </c>
      <c r="D794" s="46" t="s">
        <v>270</v>
      </c>
      <c r="E794" s="46" t="s">
        <v>42</v>
      </c>
      <c r="F794" s="46" t="s">
        <v>360</v>
      </c>
      <c r="G794" s="46" t="s">
        <v>346</v>
      </c>
      <c r="H794" s="46" t="s">
        <v>32</v>
      </c>
      <c r="I794" s="46" t="s">
        <v>2907</v>
      </c>
      <c r="J794" s="46" t="s">
        <v>2908</v>
      </c>
      <c r="K794" s="46">
        <v>6</v>
      </c>
      <c r="L794" s="46" t="s">
        <v>1397</v>
      </c>
      <c r="M794" s="46" t="s">
        <v>163</v>
      </c>
      <c r="N794" s="46">
        <v>3</v>
      </c>
      <c r="O794" s="46" t="s">
        <v>106</v>
      </c>
      <c r="P794" s="46"/>
    </row>
    <row r="795" spans="1:16">
      <c r="A795" s="37" t="s">
        <v>2909</v>
      </c>
      <c r="B795" s="37" t="s">
        <v>1224</v>
      </c>
      <c r="C795" s="37" t="s">
        <v>32</v>
      </c>
      <c r="D795" s="37" t="s">
        <v>194</v>
      </c>
      <c r="E795" s="37" t="s">
        <v>325</v>
      </c>
      <c r="F795" s="37" t="s">
        <v>158</v>
      </c>
      <c r="G795" s="37" t="s">
        <v>197</v>
      </c>
      <c r="H795" s="37" t="s">
        <v>93</v>
      </c>
      <c r="I795" s="37" t="s">
        <v>792</v>
      </c>
      <c r="J795" s="37" t="s">
        <v>2588</v>
      </c>
      <c r="K795" s="37">
        <v>4</v>
      </c>
      <c r="L795" s="37" t="s">
        <v>324</v>
      </c>
      <c r="M795" s="37" t="s">
        <v>172</v>
      </c>
      <c r="N795" s="37">
        <v>3</v>
      </c>
      <c r="O795" s="37" t="s">
        <v>131</v>
      </c>
      <c r="P795" s="37"/>
    </row>
    <row r="796" spans="1:16">
      <c r="A796" s="46" t="s">
        <v>2910</v>
      </c>
      <c r="B796" s="46" t="s">
        <v>2911</v>
      </c>
      <c r="C796" s="46" t="s">
        <v>300</v>
      </c>
      <c r="D796" s="46" t="s">
        <v>919</v>
      </c>
      <c r="E796" s="46" t="s">
        <v>176</v>
      </c>
      <c r="F796" s="46" t="s">
        <v>301</v>
      </c>
      <c r="G796" s="46" t="s">
        <v>302</v>
      </c>
      <c r="H796" s="46" t="s">
        <v>126</v>
      </c>
      <c r="I796" s="46" t="s">
        <v>2912</v>
      </c>
      <c r="J796" s="46" t="s">
        <v>2913</v>
      </c>
      <c r="K796" s="46">
        <v>8</v>
      </c>
      <c r="L796" s="46" t="s">
        <v>2531</v>
      </c>
      <c r="M796" s="46" t="s">
        <v>200</v>
      </c>
      <c r="N796" s="46">
        <v>3</v>
      </c>
      <c r="O796" s="46" t="s">
        <v>131</v>
      </c>
      <c r="P796" s="46"/>
    </row>
    <row r="797" spans="1:16">
      <c r="A797" s="37" t="s">
        <v>2914</v>
      </c>
      <c r="B797" s="37" t="s">
        <v>1325</v>
      </c>
      <c r="C797" s="37" t="s">
        <v>90</v>
      </c>
      <c r="D797" s="37" t="s">
        <v>230</v>
      </c>
      <c r="E797" s="37" t="s">
        <v>42</v>
      </c>
      <c r="F797" s="37" t="s">
        <v>205</v>
      </c>
      <c r="G797" s="37" t="s">
        <v>159</v>
      </c>
      <c r="H797" s="37" t="s">
        <v>93</v>
      </c>
      <c r="I797" s="37" t="s">
        <v>2915</v>
      </c>
      <c r="J797" s="37" t="s">
        <v>2916</v>
      </c>
      <c r="K797" s="37">
        <v>4</v>
      </c>
      <c r="L797" s="37" t="s">
        <v>256</v>
      </c>
      <c r="M797" s="37" t="s">
        <v>72</v>
      </c>
      <c r="N797" s="37">
        <v>5</v>
      </c>
      <c r="O797" s="37" t="s">
        <v>131</v>
      </c>
      <c r="P797" s="37"/>
    </row>
    <row r="798" spans="1:16">
      <c r="A798" s="46" t="s">
        <v>2917</v>
      </c>
      <c r="B798" s="46" t="s">
        <v>492</v>
      </c>
      <c r="C798" s="46" t="s">
        <v>282</v>
      </c>
      <c r="D798" s="46" t="s">
        <v>213</v>
      </c>
      <c r="E798" s="46" t="s">
        <v>176</v>
      </c>
      <c r="F798" s="46" t="s">
        <v>148</v>
      </c>
      <c r="G798" s="46" t="s">
        <v>197</v>
      </c>
      <c r="H798" s="46" t="s">
        <v>327</v>
      </c>
      <c r="I798" s="46" t="s">
        <v>583</v>
      </c>
      <c r="J798" s="46" t="s">
        <v>850</v>
      </c>
      <c r="K798" s="46">
        <v>8</v>
      </c>
      <c r="L798" s="46" t="s">
        <v>2918</v>
      </c>
      <c r="M798" s="46" t="s">
        <v>200</v>
      </c>
      <c r="N798" s="46">
        <v>1</v>
      </c>
      <c r="O798" s="46" t="s">
        <v>191</v>
      </c>
      <c r="P798" s="46"/>
    </row>
    <row r="799" spans="1:16">
      <c r="A799" s="37" t="s">
        <v>2919</v>
      </c>
      <c r="B799" s="37" t="s">
        <v>2920</v>
      </c>
      <c r="C799" s="37" t="s">
        <v>374</v>
      </c>
      <c r="D799" s="37" t="s">
        <v>270</v>
      </c>
      <c r="E799" s="37" t="s">
        <v>440</v>
      </c>
      <c r="F799" s="37" t="s">
        <v>186</v>
      </c>
      <c r="G799" s="37" t="s">
        <v>139</v>
      </c>
      <c r="H799" s="37" t="s">
        <v>113</v>
      </c>
      <c r="I799" s="37" t="s">
        <v>2921</v>
      </c>
      <c r="J799" s="37" t="s">
        <v>2922</v>
      </c>
      <c r="K799" s="37">
        <v>8</v>
      </c>
      <c r="L799" s="37" t="s">
        <v>2923</v>
      </c>
      <c r="M799" s="37" t="s">
        <v>117</v>
      </c>
      <c r="N799" s="37">
        <v>5</v>
      </c>
      <c r="O799" s="37" t="s">
        <v>79</v>
      </c>
      <c r="P799" s="37"/>
    </row>
    <row r="800" spans="1:16">
      <c r="A800" s="46" t="s">
        <v>2924</v>
      </c>
      <c r="B800" s="46" t="s">
        <v>267</v>
      </c>
      <c r="C800" s="46" t="s">
        <v>366</v>
      </c>
      <c r="D800" s="46" t="s">
        <v>194</v>
      </c>
      <c r="E800" s="46" t="s">
        <v>440</v>
      </c>
      <c r="F800" s="46" t="s">
        <v>430</v>
      </c>
      <c r="G800" s="46" t="s">
        <v>112</v>
      </c>
      <c r="H800" s="46" t="s">
        <v>113</v>
      </c>
      <c r="I800" s="46" t="s">
        <v>700</v>
      </c>
      <c r="J800" s="46" t="s">
        <v>2925</v>
      </c>
      <c r="K800" s="46">
        <v>8</v>
      </c>
      <c r="L800" s="46" t="s">
        <v>855</v>
      </c>
      <c r="M800" s="46" t="s">
        <v>72</v>
      </c>
      <c r="N800" s="46">
        <v>3</v>
      </c>
      <c r="O800" s="46" t="s">
        <v>131</v>
      </c>
      <c r="P800" s="46"/>
    </row>
    <row r="801" spans="1:16">
      <c r="A801" s="37" t="s">
        <v>2926</v>
      </c>
      <c r="B801" s="37" t="s">
        <v>813</v>
      </c>
      <c r="C801" s="37" t="s">
        <v>135</v>
      </c>
      <c r="D801" s="37" t="s">
        <v>223</v>
      </c>
      <c r="E801" s="37" t="s">
        <v>157</v>
      </c>
      <c r="F801" s="37" t="s">
        <v>368</v>
      </c>
      <c r="G801" s="37" t="s">
        <v>139</v>
      </c>
      <c r="H801" s="37" t="s">
        <v>354</v>
      </c>
      <c r="I801" s="37" t="s">
        <v>2927</v>
      </c>
      <c r="J801" s="37" t="s">
        <v>2928</v>
      </c>
      <c r="K801" s="37">
        <v>6</v>
      </c>
      <c r="L801" s="37" t="s">
        <v>2675</v>
      </c>
      <c r="M801" s="37" t="s">
        <v>72</v>
      </c>
      <c r="N801" s="37">
        <v>3</v>
      </c>
      <c r="O801" s="37" t="s">
        <v>118</v>
      </c>
      <c r="P801" s="37"/>
    </row>
    <row r="802" spans="1:16">
      <c r="A802" s="46" t="s">
        <v>2929</v>
      </c>
      <c r="B802" s="46" t="s">
        <v>1409</v>
      </c>
      <c r="C802" s="46" t="s">
        <v>469</v>
      </c>
      <c r="D802" s="46" t="s">
        <v>230</v>
      </c>
      <c r="E802" s="46" t="s">
        <v>185</v>
      </c>
      <c r="F802" s="46" t="s">
        <v>138</v>
      </c>
      <c r="G802" s="46" t="s">
        <v>418</v>
      </c>
      <c r="H802" s="46" t="s">
        <v>93</v>
      </c>
      <c r="I802" s="46" t="s">
        <v>1199</v>
      </c>
      <c r="J802" s="46" t="s">
        <v>578</v>
      </c>
      <c r="K802" s="46">
        <v>6</v>
      </c>
      <c r="L802" s="46" t="s">
        <v>1501</v>
      </c>
      <c r="M802" s="46" t="s">
        <v>105</v>
      </c>
      <c r="N802" s="46">
        <v>4</v>
      </c>
      <c r="O802" s="46" t="s">
        <v>131</v>
      </c>
      <c r="P802" s="46"/>
    </row>
    <row r="803" spans="1:16">
      <c r="A803" s="37" t="s">
        <v>2930</v>
      </c>
      <c r="B803" s="37" t="s">
        <v>435</v>
      </c>
      <c r="C803" s="37" t="s">
        <v>222</v>
      </c>
      <c r="D803" s="37" t="s">
        <v>194</v>
      </c>
      <c r="E803" s="37" t="s">
        <v>176</v>
      </c>
      <c r="F803" s="37" t="s">
        <v>158</v>
      </c>
      <c r="G803" s="37" t="s">
        <v>125</v>
      </c>
      <c r="H803" s="37" t="s">
        <v>396</v>
      </c>
      <c r="I803" s="37" t="s">
        <v>114</v>
      </c>
      <c r="J803" s="37" t="s">
        <v>2931</v>
      </c>
      <c r="K803" s="37">
        <v>8</v>
      </c>
      <c r="L803" s="37" t="s">
        <v>2462</v>
      </c>
      <c r="M803" s="37" t="s">
        <v>105</v>
      </c>
      <c r="N803" s="37">
        <v>5</v>
      </c>
      <c r="O803" s="37" t="s">
        <v>152</v>
      </c>
      <c r="P803" s="37"/>
    </row>
    <row r="804" spans="1:16">
      <c r="A804" s="46" t="s">
        <v>2932</v>
      </c>
      <c r="B804" s="46" t="s">
        <v>2933</v>
      </c>
      <c r="C804" s="46" t="s">
        <v>307</v>
      </c>
      <c r="D804" s="46" t="s">
        <v>333</v>
      </c>
      <c r="E804" s="46" t="s">
        <v>195</v>
      </c>
      <c r="F804" s="46" t="s">
        <v>582</v>
      </c>
      <c r="G804" s="46" t="s">
        <v>168</v>
      </c>
      <c r="H804" s="46" t="s">
        <v>88</v>
      </c>
      <c r="I804" s="46" t="s">
        <v>1507</v>
      </c>
      <c r="J804" s="46" t="s">
        <v>161</v>
      </c>
      <c r="K804" s="46">
        <v>6</v>
      </c>
      <c r="L804" s="46" t="s">
        <v>526</v>
      </c>
      <c r="M804" s="46" t="s">
        <v>163</v>
      </c>
      <c r="N804" s="46">
        <v>3</v>
      </c>
      <c r="O804" s="46" t="s">
        <v>106</v>
      </c>
      <c r="P804" s="46"/>
    </row>
    <row r="805" spans="1:16">
      <c r="A805" s="37" t="s">
        <v>2934</v>
      </c>
      <c r="B805" s="37" t="s">
        <v>1496</v>
      </c>
      <c r="C805" s="37" t="s">
        <v>121</v>
      </c>
      <c r="D805" s="37" t="s">
        <v>146</v>
      </c>
      <c r="E805" s="37" t="s">
        <v>325</v>
      </c>
      <c r="F805" s="37" t="s">
        <v>177</v>
      </c>
      <c r="G805" s="37" t="s">
        <v>418</v>
      </c>
      <c r="H805" s="37" t="s">
        <v>93</v>
      </c>
      <c r="I805" s="37" t="s">
        <v>2012</v>
      </c>
      <c r="J805" s="37" t="s">
        <v>2935</v>
      </c>
      <c r="K805" s="37">
        <v>4</v>
      </c>
      <c r="L805" s="37" t="s">
        <v>556</v>
      </c>
      <c r="M805" s="37" t="s">
        <v>172</v>
      </c>
      <c r="N805" s="37">
        <v>1</v>
      </c>
      <c r="O805" s="37" t="s">
        <v>106</v>
      </c>
      <c r="P805" s="37"/>
    </row>
    <row r="806" spans="1:16">
      <c r="A806" s="46" t="s">
        <v>2936</v>
      </c>
      <c r="B806" s="46" t="s">
        <v>2715</v>
      </c>
      <c r="C806" s="46" t="s">
        <v>407</v>
      </c>
      <c r="D806" s="46" t="s">
        <v>146</v>
      </c>
      <c r="E806" s="46" t="s">
        <v>440</v>
      </c>
      <c r="F806" s="46" t="s">
        <v>498</v>
      </c>
      <c r="G806" s="46" t="s">
        <v>125</v>
      </c>
      <c r="H806" s="46" t="s">
        <v>126</v>
      </c>
      <c r="I806" s="46" t="s">
        <v>2651</v>
      </c>
      <c r="J806" s="46" t="s">
        <v>432</v>
      </c>
      <c r="K806" s="46">
        <v>6</v>
      </c>
      <c r="L806" s="46" t="s">
        <v>991</v>
      </c>
      <c r="M806" s="46" t="s">
        <v>163</v>
      </c>
      <c r="N806" s="46">
        <v>5</v>
      </c>
      <c r="O806" s="46" t="s">
        <v>131</v>
      </c>
      <c r="P806" s="46"/>
    </row>
    <row r="807" spans="1:16">
      <c r="A807" s="37" t="s">
        <v>2937</v>
      </c>
      <c r="B807" s="37" t="s">
        <v>2938</v>
      </c>
      <c r="C807" s="37" t="s">
        <v>135</v>
      </c>
      <c r="D807" s="37" t="s">
        <v>367</v>
      </c>
      <c r="E807" s="37" t="s">
        <v>195</v>
      </c>
      <c r="F807" s="37" t="s">
        <v>326</v>
      </c>
      <c r="G807" s="37" t="s">
        <v>380</v>
      </c>
      <c r="H807" s="37" t="s">
        <v>396</v>
      </c>
      <c r="I807" s="37" t="s">
        <v>762</v>
      </c>
      <c r="J807" s="37" t="s">
        <v>1947</v>
      </c>
      <c r="K807" s="37">
        <v>8</v>
      </c>
      <c r="L807" s="37" t="s">
        <v>104</v>
      </c>
      <c r="M807" s="37" t="s">
        <v>200</v>
      </c>
      <c r="N807" s="37">
        <v>5</v>
      </c>
      <c r="O807" s="37" t="s">
        <v>106</v>
      </c>
      <c r="P807" s="37"/>
    </row>
    <row r="808" spans="1:16">
      <c r="A808" s="46" t="s">
        <v>2939</v>
      </c>
      <c r="B808" s="46" t="s">
        <v>1998</v>
      </c>
      <c r="C808" s="46" t="s">
        <v>155</v>
      </c>
      <c r="D808" s="46" t="s">
        <v>352</v>
      </c>
      <c r="E808" s="46" t="s">
        <v>99</v>
      </c>
      <c r="F808" s="46" t="s">
        <v>368</v>
      </c>
      <c r="G808" s="46" t="s">
        <v>139</v>
      </c>
      <c r="H808" s="46" t="s">
        <v>32</v>
      </c>
      <c r="I808" s="46" t="s">
        <v>2940</v>
      </c>
      <c r="J808" s="46" t="s">
        <v>2941</v>
      </c>
      <c r="K808" s="46">
        <v>4</v>
      </c>
      <c r="L808" s="46" t="s">
        <v>1353</v>
      </c>
      <c r="M808" s="46" t="s">
        <v>200</v>
      </c>
      <c r="N808" s="46">
        <v>3</v>
      </c>
      <c r="O808" s="46" t="s">
        <v>152</v>
      </c>
      <c r="P808" s="46"/>
    </row>
    <row r="809" spans="1:16">
      <c r="A809" s="37" t="s">
        <v>2942</v>
      </c>
      <c r="B809" s="37" t="s">
        <v>2219</v>
      </c>
      <c r="C809" s="37" t="s">
        <v>155</v>
      </c>
      <c r="D809" s="37" t="s">
        <v>37</v>
      </c>
      <c r="E809" s="37" t="s">
        <v>123</v>
      </c>
      <c r="F809" s="37" t="s">
        <v>205</v>
      </c>
      <c r="G809" s="37" t="s">
        <v>418</v>
      </c>
      <c r="H809" s="37" t="s">
        <v>54</v>
      </c>
      <c r="I809" s="37" t="s">
        <v>2943</v>
      </c>
      <c r="J809" s="37" t="s">
        <v>2944</v>
      </c>
      <c r="K809" s="37">
        <v>2</v>
      </c>
      <c r="L809" s="37" t="s">
        <v>2225</v>
      </c>
      <c r="M809" s="37" t="s">
        <v>200</v>
      </c>
      <c r="N809" s="37">
        <v>2</v>
      </c>
      <c r="O809" s="37" t="s">
        <v>118</v>
      </c>
      <c r="P809" s="37"/>
    </row>
    <row r="810" spans="1:16">
      <c r="A810" s="46" t="s">
        <v>2945</v>
      </c>
      <c r="B810" s="46" t="s">
        <v>1037</v>
      </c>
      <c r="C810" s="46" t="s">
        <v>407</v>
      </c>
      <c r="D810" s="46" t="s">
        <v>98</v>
      </c>
      <c r="E810" s="46" t="s">
        <v>325</v>
      </c>
      <c r="F810" s="46" t="s">
        <v>186</v>
      </c>
      <c r="G810" s="46" t="s">
        <v>51</v>
      </c>
      <c r="H810" s="46" t="s">
        <v>93</v>
      </c>
      <c r="I810" s="46" t="s">
        <v>2946</v>
      </c>
      <c r="J810" s="46" t="s">
        <v>2947</v>
      </c>
      <c r="K810" s="46">
        <v>4</v>
      </c>
      <c r="L810" s="46" t="s">
        <v>227</v>
      </c>
      <c r="M810" s="46" t="s">
        <v>163</v>
      </c>
      <c r="N810" s="46">
        <v>4</v>
      </c>
      <c r="O810" s="46" t="s">
        <v>152</v>
      </c>
      <c r="P810" s="46"/>
    </row>
    <row r="811" spans="1:16">
      <c r="A811" s="37" t="s">
        <v>2948</v>
      </c>
      <c r="B811" s="37" t="s">
        <v>2388</v>
      </c>
      <c r="C811" s="37" t="s">
        <v>109</v>
      </c>
      <c r="D811" s="37" t="s">
        <v>122</v>
      </c>
      <c r="E811" s="37" t="s">
        <v>185</v>
      </c>
      <c r="F811" s="37" t="s">
        <v>271</v>
      </c>
      <c r="G811" s="37" t="s">
        <v>112</v>
      </c>
      <c r="H811" s="37" t="s">
        <v>215</v>
      </c>
      <c r="I811" s="37" t="s">
        <v>446</v>
      </c>
      <c r="J811" s="37" t="s">
        <v>2949</v>
      </c>
      <c r="K811" s="37">
        <v>6</v>
      </c>
      <c r="L811" s="37" t="s">
        <v>1353</v>
      </c>
      <c r="M811" s="37" t="s">
        <v>105</v>
      </c>
      <c r="N811" s="37">
        <v>4</v>
      </c>
      <c r="O811" s="37" t="s">
        <v>191</v>
      </c>
      <c r="P811" s="37"/>
    </row>
    <row r="812" spans="1:16">
      <c r="A812" s="46" t="s">
        <v>2950</v>
      </c>
      <c r="B812" s="46" t="s">
        <v>587</v>
      </c>
      <c r="C812" s="46" t="s">
        <v>633</v>
      </c>
      <c r="D812" s="46" t="s">
        <v>204</v>
      </c>
      <c r="E812" s="46" t="s">
        <v>440</v>
      </c>
      <c r="F812" s="46" t="s">
        <v>138</v>
      </c>
      <c r="G812" s="46" t="s">
        <v>257</v>
      </c>
      <c r="H812" s="46" t="s">
        <v>206</v>
      </c>
      <c r="I812" s="46" t="s">
        <v>2327</v>
      </c>
      <c r="J812" s="46" t="s">
        <v>2951</v>
      </c>
      <c r="K812" s="46">
        <v>8</v>
      </c>
      <c r="L812" s="46" t="s">
        <v>928</v>
      </c>
      <c r="M812" s="46" t="s">
        <v>72</v>
      </c>
      <c r="N812" s="46">
        <v>1</v>
      </c>
      <c r="O812" s="46" t="s">
        <v>286</v>
      </c>
      <c r="P812" s="46"/>
    </row>
    <row r="813" spans="1:16">
      <c r="A813" s="37" t="s">
        <v>2952</v>
      </c>
      <c r="B813" s="37" t="s">
        <v>1361</v>
      </c>
      <c r="C813" s="37" t="s">
        <v>566</v>
      </c>
      <c r="D813" s="37" t="s">
        <v>184</v>
      </c>
      <c r="E813" s="37" t="s">
        <v>224</v>
      </c>
      <c r="F813" s="37" t="s">
        <v>664</v>
      </c>
      <c r="G813" s="37" t="s">
        <v>101</v>
      </c>
      <c r="H813" s="37" t="s">
        <v>206</v>
      </c>
      <c r="I813" s="37" t="s">
        <v>2953</v>
      </c>
      <c r="J813" s="37" t="s">
        <v>2954</v>
      </c>
      <c r="K813" s="37">
        <v>4</v>
      </c>
      <c r="L813" s="37" t="s">
        <v>1236</v>
      </c>
      <c r="M813" s="37" t="s">
        <v>1513</v>
      </c>
      <c r="N813" s="37"/>
      <c r="O813" s="37" t="s">
        <v>131</v>
      </c>
      <c r="P813" s="37" t="s">
        <v>132</v>
      </c>
    </row>
    <row r="814" spans="1:16">
      <c r="A814" s="46" t="s">
        <v>2955</v>
      </c>
      <c r="B814" s="46" t="s">
        <v>904</v>
      </c>
      <c r="C814" s="46" t="s">
        <v>97</v>
      </c>
      <c r="D814" s="46" t="s">
        <v>230</v>
      </c>
      <c r="E814" s="46" t="s">
        <v>99</v>
      </c>
      <c r="F814" s="46" t="s">
        <v>452</v>
      </c>
      <c r="G814" s="46" t="s">
        <v>470</v>
      </c>
      <c r="H814" s="46" t="s">
        <v>294</v>
      </c>
      <c r="I814" s="46" t="s">
        <v>2544</v>
      </c>
      <c r="J814" s="46" t="s">
        <v>2956</v>
      </c>
      <c r="K814" s="46">
        <v>4</v>
      </c>
      <c r="L814" s="46" t="s">
        <v>1377</v>
      </c>
      <c r="M814" s="46" t="s">
        <v>143</v>
      </c>
      <c r="N814" s="46">
        <v>3</v>
      </c>
      <c r="O814" s="46" t="s">
        <v>152</v>
      </c>
      <c r="P814" s="46"/>
    </row>
    <row r="815" spans="1:16">
      <c r="A815" s="37" t="s">
        <v>2957</v>
      </c>
      <c r="B815" s="37" t="s">
        <v>2532</v>
      </c>
      <c r="C815" s="37" t="s">
        <v>203</v>
      </c>
      <c r="D815" s="37" t="s">
        <v>98</v>
      </c>
      <c r="E815" s="37" t="s">
        <v>325</v>
      </c>
      <c r="F815" s="37" t="s">
        <v>186</v>
      </c>
      <c r="G815" s="37" t="s">
        <v>139</v>
      </c>
      <c r="H815" s="37" t="s">
        <v>32</v>
      </c>
      <c r="I815" s="37" t="s">
        <v>2958</v>
      </c>
      <c r="J815" s="37" t="s">
        <v>2959</v>
      </c>
      <c r="K815" s="37">
        <v>4</v>
      </c>
      <c r="L815" s="37" t="s">
        <v>1010</v>
      </c>
      <c r="M815" s="37" t="s">
        <v>200</v>
      </c>
      <c r="N815" s="37">
        <v>2</v>
      </c>
      <c r="O815" s="37" t="s">
        <v>79</v>
      </c>
      <c r="P815" s="37"/>
    </row>
    <row r="816" spans="1:16">
      <c r="A816" s="46" t="s">
        <v>2960</v>
      </c>
      <c r="B816" s="46" t="s">
        <v>1030</v>
      </c>
      <c r="C816" s="46" t="s">
        <v>566</v>
      </c>
      <c r="D816" s="46" t="s">
        <v>184</v>
      </c>
      <c r="E816" s="46" t="s">
        <v>244</v>
      </c>
      <c r="F816" s="46" t="s">
        <v>301</v>
      </c>
      <c r="G816" s="46" t="s">
        <v>334</v>
      </c>
      <c r="H816" s="46" t="s">
        <v>32</v>
      </c>
      <c r="I816" s="46" t="s">
        <v>2961</v>
      </c>
      <c r="J816" s="46" t="s">
        <v>2962</v>
      </c>
      <c r="K816" s="46">
        <v>4</v>
      </c>
      <c r="L816" s="46" t="s">
        <v>1586</v>
      </c>
      <c r="M816" s="46" t="s">
        <v>72</v>
      </c>
      <c r="N816" s="46">
        <v>2</v>
      </c>
      <c r="O816" s="46" t="s">
        <v>131</v>
      </c>
      <c r="P816" s="46"/>
    </row>
    <row r="817" spans="1:16">
      <c r="A817" s="37" t="s">
        <v>2963</v>
      </c>
      <c r="B817" s="37" t="s">
        <v>2852</v>
      </c>
      <c r="C817" s="37" t="s">
        <v>243</v>
      </c>
      <c r="D817" s="37" t="s">
        <v>156</v>
      </c>
      <c r="E817" s="37" t="s">
        <v>244</v>
      </c>
      <c r="F817" s="37" t="s">
        <v>425</v>
      </c>
      <c r="G817" s="37" t="s">
        <v>334</v>
      </c>
      <c r="H817" s="37" t="s">
        <v>215</v>
      </c>
      <c r="I817" s="37" t="s">
        <v>2463</v>
      </c>
      <c r="J817" s="37" t="s">
        <v>2964</v>
      </c>
      <c r="K817" s="37">
        <v>4</v>
      </c>
      <c r="L817" s="37" t="s">
        <v>2965</v>
      </c>
      <c r="M817" s="37" t="s">
        <v>200</v>
      </c>
      <c r="N817" s="37">
        <v>4</v>
      </c>
      <c r="O817" s="37" t="s">
        <v>131</v>
      </c>
      <c r="P817" s="37"/>
    </row>
    <row r="818" spans="1:16">
      <c r="A818" s="46" t="s">
        <v>2966</v>
      </c>
      <c r="B818" s="46" t="s">
        <v>1434</v>
      </c>
      <c r="C818" s="46" t="s">
        <v>135</v>
      </c>
      <c r="D818" s="46" t="s">
        <v>213</v>
      </c>
      <c r="E818" s="46" t="s">
        <v>42</v>
      </c>
      <c r="F818" s="46" t="s">
        <v>277</v>
      </c>
      <c r="G818" s="46" t="s">
        <v>92</v>
      </c>
      <c r="H818" s="46" t="s">
        <v>126</v>
      </c>
      <c r="I818" s="46" t="s">
        <v>1762</v>
      </c>
      <c r="J818" s="46" t="s">
        <v>2967</v>
      </c>
      <c r="K818" s="46">
        <v>6</v>
      </c>
      <c r="L818" s="46" t="s">
        <v>595</v>
      </c>
      <c r="M818" s="46" t="s">
        <v>143</v>
      </c>
      <c r="N818" s="46">
        <v>1</v>
      </c>
      <c r="O818" s="46" t="s">
        <v>152</v>
      </c>
      <c r="P818" s="46"/>
    </row>
    <row r="819" spans="1:16">
      <c r="A819" s="46" t="s">
        <v>2968</v>
      </c>
      <c r="B819" s="46" t="s">
        <v>2969</v>
      </c>
      <c r="C819" s="46" t="s">
        <v>251</v>
      </c>
      <c r="D819" s="46" t="s">
        <v>204</v>
      </c>
      <c r="E819" s="46" t="s">
        <v>157</v>
      </c>
      <c r="F819" s="46" t="s">
        <v>148</v>
      </c>
      <c r="G819" s="46" t="s">
        <v>125</v>
      </c>
      <c r="H819" s="46" t="s">
        <v>126</v>
      </c>
      <c r="I819" s="46" t="s">
        <v>2799</v>
      </c>
      <c r="J819" s="46" t="s">
        <v>2970</v>
      </c>
      <c r="K819" s="46">
        <v>6</v>
      </c>
      <c r="L819" s="46" t="s">
        <v>165</v>
      </c>
      <c r="M819" s="46" t="s">
        <v>200</v>
      </c>
      <c r="N819" s="46">
        <v>5</v>
      </c>
      <c r="O819" s="46" t="s">
        <v>118</v>
      </c>
      <c r="P819" s="46"/>
    </row>
    <row r="820" spans="1:16">
      <c r="A820" s="37" t="s">
        <v>2971</v>
      </c>
      <c r="B820" s="37" t="s">
        <v>1193</v>
      </c>
      <c r="C820" s="37" t="s">
        <v>109</v>
      </c>
      <c r="D820" s="37" t="s">
        <v>270</v>
      </c>
      <c r="E820" s="37" t="s">
        <v>176</v>
      </c>
      <c r="F820" s="37" t="s">
        <v>1682</v>
      </c>
      <c r="G820" s="37" t="s">
        <v>470</v>
      </c>
      <c r="H820" s="37" t="s">
        <v>294</v>
      </c>
      <c r="I820" s="37" t="s">
        <v>2972</v>
      </c>
      <c r="J820" s="37" t="s">
        <v>2973</v>
      </c>
      <c r="K820" s="37">
        <v>8</v>
      </c>
      <c r="L820" s="37" t="s">
        <v>595</v>
      </c>
      <c r="M820" s="37" t="s">
        <v>200</v>
      </c>
      <c r="N820" s="37">
        <v>1</v>
      </c>
      <c r="O820" s="37" t="s">
        <v>191</v>
      </c>
      <c r="P820" s="37"/>
    </row>
    <row r="821" spans="1:16">
      <c r="A821" s="46" t="s">
        <v>2974</v>
      </c>
      <c r="B821" s="46" t="s">
        <v>1358</v>
      </c>
      <c r="C821" s="46" t="s">
        <v>90</v>
      </c>
      <c r="D821" s="46" t="s">
        <v>146</v>
      </c>
      <c r="E821" s="46" t="s">
        <v>137</v>
      </c>
      <c r="F821" s="46" t="s">
        <v>664</v>
      </c>
      <c r="G821" s="46" t="s">
        <v>264</v>
      </c>
      <c r="H821" s="46" t="s">
        <v>88</v>
      </c>
      <c r="I821" s="46" t="s">
        <v>1698</v>
      </c>
      <c r="J821" s="46" t="s">
        <v>2325</v>
      </c>
      <c r="K821" s="46">
        <v>8</v>
      </c>
      <c r="L821" s="46" t="s">
        <v>877</v>
      </c>
      <c r="M821" s="46" t="s">
        <v>200</v>
      </c>
      <c r="N821" s="46">
        <v>2</v>
      </c>
      <c r="O821" s="46" t="s">
        <v>181</v>
      </c>
      <c r="P821" s="46"/>
    </row>
    <row r="822" spans="1:16">
      <c r="A822" s="37" t="s">
        <v>2975</v>
      </c>
      <c r="B822" s="37" t="s">
        <v>474</v>
      </c>
      <c r="C822" s="37" t="s">
        <v>374</v>
      </c>
      <c r="D822" s="37" t="s">
        <v>194</v>
      </c>
      <c r="E822" s="37" t="s">
        <v>176</v>
      </c>
      <c r="F822" s="37" t="s">
        <v>214</v>
      </c>
      <c r="G822" s="37" t="s">
        <v>302</v>
      </c>
      <c r="H822" s="37" t="s">
        <v>126</v>
      </c>
      <c r="I822" s="37" t="s">
        <v>2976</v>
      </c>
      <c r="J822" s="37" t="s">
        <v>2977</v>
      </c>
      <c r="K822" s="37">
        <v>8</v>
      </c>
      <c r="L822" s="37" t="s">
        <v>1685</v>
      </c>
      <c r="M822" s="37" t="s">
        <v>143</v>
      </c>
      <c r="N822" s="37">
        <v>1</v>
      </c>
      <c r="O822" s="37" t="s">
        <v>152</v>
      </c>
      <c r="P822" s="37"/>
    </row>
    <row r="823" spans="1:16">
      <c r="A823" s="46" t="s">
        <v>2978</v>
      </c>
      <c r="B823" s="46" t="s">
        <v>151</v>
      </c>
      <c r="C823" s="46" t="s">
        <v>91</v>
      </c>
      <c r="D823" s="46" t="s">
        <v>919</v>
      </c>
      <c r="E823" s="46" t="s">
        <v>42</v>
      </c>
      <c r="F823" s="46" t="s">
        <v>425</v>
      </c>
      <c r="G823" s="46" t="s">
        <v>418</v>
      </c>
      <c r="H823" s="46" t="s">
        <v>93</v>
      </c>
      <c r="I823" s="46" t="s">
        <v>2976</v>
      </c>
      <c r="J823" s="46" t="s">
        <v>2979</v>
      </c>
      <c r="K823" s="46">
        <v>6</v>
      </c>
      <c r="L823" s="46" t="s">
        <v>1030</v>
      </c>
      <c r="M823" s="46" t="s">
        <v>200</v>
      </c>
      <c r="N823" s="46">
        <v>2</v>
      </c>
      <c r="O823" s="46" t="s">
        <v>131</v>
      </c>
      <c r="P823" s="46"/>
    </row>
    <row r="824" spans="1:16">
      <c r="A824" s="37" t="s">
        <v>2980</v>
      </c>
      <c r="B824" s="37" t="s">
        <v>816</v>
      </c>
      <c r="C824" s="37" t="s">
        <v>566</v>
      </c>
      <c r="D824" s="37" t="s">
        <v>919</v>
      </c>
      <c r="E824" s="37" t="s">
        <v>244</v>
      </c>
      <c r="F824" s="37" t="s">
        <v>177</v>
      </c>
      <c r="G824" s="37" t="s">
        <v>401</v>
      </c>
      <c r="H824" s="37" t="s">
        <v>54</v>
      </c>
      <c r="I824" s="37" t="s">
        <v>1199</v>
      </c>
      <c r="J824" s="37" t="s">
        <v>2981</v>
      </c>
      <c r="K824" s="37">
        <v>2</v>
      </c>
      <c r="L824" s="37" t="s">
        <v>492</v>
      </c>
      <c r="M824" s="37" t="s">
        <v>172</v>
      </c>
      <c r="N824" s="37">
        <v>2</v>
      </c>
      <c r="O824" s="37" t="s">
        <v>131</v>
      </c>
      <c r="P824" s="37"/>
    </row>
    <row r="825" spans="1:16">
      <c r="A825" s="46" t="s">
        <v>2982</v>
      </c>
      <c r="B825" s="46" t="s">
        <v>1339</v>
      </c>
      <c r="C825" s="46" t="s">
        <v>300</v>
      </c>
      <c r="D825" s="46" t="s">
        <v>352</v>
      </c>
      <c r="E825" s="46" t="s">
        <v>224</v>
      </c>
      <c r="F825" s="46" t="s">
        <v>313</v>
      </c>
      <c r="G825" s="46" t="s">
        <v>401</v>
      </c>
      <c r="H825" s="46" t="s">
        <v>54</v>
      </c>
      <c r="I825" s="46" t="s">
        <v>2983</v>
      </c>
      <c r="J825" s="46" t="s">
        <v>2984</v>
      </c>
      <c r="K825" s="46">
        <v>2</v>
      </c>
      <c r="L825" s="46" t="s">
        <v>2985</v>
      </c>
      <c r="M825" s="46" t="s">
        <v>200</v>
      </c>
      <c r="N825" s="46">
        <v>5</v>
      </c>
      <c r="O825" s="46" t="s">
        <v>131</v>
      </c>
      <c r="P825" s="46"/>
    </row>
    <row r="826" spans="1:16">
      <c r="A826" s="37" t="s">
        <v>2986</v>
      </c>
      <c r="B826" s="37" t="s">
        <v>2137</v>
      </c>
      <c r="C826" s="37" t="s">
        <v>300</v>
      </c>
      <c r="D826" s="37" t="s">
        <v>544</v>
      </c>
      <c r="E826" s="37" t="s">
        <v>123</v>
      </c>
      <c r="F826" s="37" t="s">
        <v>167</v>
      </c>
      <c r="G826" s="37" t="s">
        <v>418</v>
      </c>
      <c r="H826" s="37" t="s">
        <v>90</v>
      </c>
      <c r="I826" s="37" t="s">
        <v>1993</v>
      </c>
      <c r="J826" s="37" t="s">
        <v>161</v>
      </c>
      <c r="K826" s="37">
        <v>2</v>
      </c>
      <c r="L826" s="37" t="s">
        <v>269</v>
      </c>
      <c r="M826" s="37" t="s">
        <v>219</v>
      </c>
      <c r="N826" s="37">
        <v>4</v>
      </c>
      <c r="O826" s="37" t="s">
        <v>181</v>
      </c>
      <c r="P826" s="37"/>
    </row>
    <row r="827" spans="1:16">
      <c r="A827" s="46" t="s">
        <v>2987</v>
      </c>
      <c r="B827" s="46" t="s">
        <v>495</v>
      </c>
      <c r="C827" s="46" t="s">
        <v>633</v>
      </c>
      <c r="D827" s="46" t="s">
        <v>194</v>
      </c>
      <c r="E827" s="46" t="s">
        <v>176</v>
      </c>
      <c r="F827" s="46" t="s">
        <v>498</v>
      </c>
      <c r="G827" s="46" t="s">
        <v>139</v>
      </c>
      <c r="H827" s="46" t="s">
        <v>215</v>
      </c>
      <c r="I827" s="46" t="s">
        <v>695</v>
      </c>
      <c r="J827" s="46" t="s">
        <v>1159</v>
      </c>
      <c r="K827" s="46">
        <v>8</v>
      </c>
      <c r="L827" s="46" t="s">
        <v>2618</v>
      </c>
      <c r="M827" s="46" t="s">
        <v>624</v>
      </c>
      <c r="N827" s="46"/>
      <c r="O827" s="46" t="s">
        <v>181</v>
      </c>
      <c r="P827" s="46" t="s">
        <v>625</v>
      </c>
    </row>
    <row r="828" spans="1:16">
      <c r="A828" s="37" t="s">
        <v>2988</v>
      </c>
      <c r="B828" s="37" t="s">
        <v>2347</v>
      </c>
      <c r="C828" s="37" t="s">
        <v>174</v>
      </c>
      <c r="D828" s="37" t="s">
        <v>352</v>
      </c>
      <c r="E828" s="37" t="s">
        <v>345</v>
      </c>
      <c r="F828" s="37" t="s">
        <v>368</v>
      </c>
      <c r="G828" s="37" t="s">
        <v>89</v>
      </c>
      <c r="H828" s="37" t="s">
        <v>206</v>
      </c>
      <c r="I828" s="37" t="s">
        <v>2989</v>
      </c>
      <c r="J828" s="37" t="s">
        <v>2990</v>
      </c>
      <c r="K828" s="37">
        <v>4</v>
      </c>
      <c r="L828" s="37" t="s">
        <v>1325</v>
      </c>
      <c r="M828" s="37" t="s">
        <v>219</v>
      </c>
      <c r="N828" s="37">
        <v>4</v>
      </c>
      <c r="O828" s="37" t="s">
        <v>118</v>
      </c>
      <c r="P828" s="37"/>
    </row>
    <row r="829" spans="1:16">
      <c r="A829" s="46" t="s">
        <v>2991</v>
      </c>
      <c r="B829" s="46" t="s">
        <v>2055</v>
      </c>
      <c r="C829" s="46" t="s">
        <v>340</v>
      </c>
      <c r="D829" s="46" t="s">
        <v>136</v>
      </c>
      <c r="E829" s="46" t="s">
        <v>345</v>
      </c>
      <c r="F829" s="46" t="s">
        <v>385</v>
      </c>
      <c r="G829" s="46" t="s">
        <v>168</v>
      </c>
      <c r="H829" s="46" t="s">
        <v>187</v>
      </c>
      <c r="I829" s="46" t="s">
        <v>2992</v>
      </c>
      <c r="J829" s="46" t="s">
        <v>2993</v>
      </c>
      <c r="K829" s="46">
        <v>6</v>
      </c>
      <c r="L829" s="46" t="s">
        <v>1034</v>
      </c>
      <c r="M829" s="46" t="s">
        <v>163</v>
      </c>
      <c r="N829" s="46">
        <v>5</v>
      </c>
      <c r="O829" s="46" t="s">
        <v>152</v>
      </c>
      <c r="P829" s="46"/>
    </row>
    <row r="830" spans="1:16">
      <c r="A830" s="37" t="s">
        <v>2994</v>
      </c>
      <c r="B830" s="37" t="s">
        <v>536</v>
      </c>
      <c r="C830" s="37" t="s">
        <v>109</v>
      </c>
      <c r="D830" s="37" t="s">
        <v>136</v>
      </c>
      <c r="E830" s="37" t="s">
        <v>42</v>
      </c>
      <c r="F830" s="37" t="s">
        <v>283</v>
      </c>
      <c r="G830" s="37" t="s">
        <v>257</v>
      </c>
      <c r="H830" s="37" t="s">
        <v>187</v>
      </c>
      <c r="I830" s="37" t="s">
        <v>613</v>
      </c>
      <c r="J830" s="37" t="s">
        <v>563</v>
      </c>
      <c r="K830" s="37">
        <v>4</v>
      </c>
      <c r="L830" s="37" t="s">
        <v>2177</v>
      </c>
      <c r="M830" s="37" t="s">
        <v>219</v>
      </c>
      <c r="N830" s="37">
        <v>5</v>
      </c>
      <c r="O830" s="37" t="s">
        <v>131</v>
      </c>
      <c r="P830" s="37"/>
    </row>
    <row r="831" spans="1:16">
      <c r="A831" s="46" t="s">
        <v>2995</v>
      </c>
      <c r="B831" s="46" t="s">
        <v>2933</v>
      </c>
      <c r="C831" s="46" t="s">
        <v>91</v>
      </c>
      <c r="D831" s="46" t="s">
        <v>352</v>
      </c>
      <c r="E831" s="46" t="s">
        <v>185</v>
      </c>
      <c r="F831" s="46" t="s">
        <v>47</v>
      </c>
      <c r="G831" s="46" t="s">
        <v>334</v>
      </c>
      <c r="H831" s="46" t="s">
        <v>113</v>
      </c>
      <c r="I831" s="46" t="s">
        <v>2996</v>
      </c>
      <c r="J831" s="46" t="s">
        <v>2997</v>
      </c>
      <c r="K831" s="46">
        <v>6</v>
      </c>
      <c r="L831" s="46" t="s">
        <v>2998</v>
      </c>
      <c r="M831" s="46" t="s">
        <v>163</v>
      </c>
      <c r="N831" s="46">
        <v>4</v>
      </c>
      <c r="O831" s="46" t="s">
        <v>191</v>
      </c>
      <c r="P831" s="46"/>
    </row>
    <row r="832" spans="1:16">
      <c r="A832" s="37" t="s">
        <v>2999</v>
      </c>
      <c r="B832" s="37" t="s">
        <v>379</v>
      </c>
      <c r="C832" s="37" t="s">
        <v>451</v>
      </c>
      <c r="D832" s="37" t="s">
        <v>544</v>
      </c>
      <c r="E832" s="37" t="s">
        <v>195</v>
      </c>
      <c r="F832" s="37" t="s">
        <v>301</v>
      </c>
      <c r="G832" s="37" t="s">
        <v>159</v>
      </c>
      <c r="H832" s="37" t="s">
        <v>54</v>
      </c>
      <c r="I832" s="37" t="s">
        <v>3000</v>
      </c>
      <c r="J832" s="37" t="s">
        <v>3001</v>
      </c>
      <c r="K832" s="37">
        <v>8</v>
      </c>
      <c r="L832" s="37" t="s">
        <v>2322</v>
      </c>
      <c r="M832" s="37" t="s">
        <v>172</v>
      </c>
      <c r="N832" s="37">
        <v>5</v>
      </c>
      <c r="O832" s="37" t="s">
        <v>118</v>
      </c>
      <c r="P832" s="37"/>
    </row>
    <row r="833" spans="1:16">
      <c r="A833" s="46" t="s">
        <v>3002</v>
      </c>
      <c r="B833" s="46" t="s">
        <v>2127</v>
      </c>
      <c r="C833" s="46" t="s">
        <v>451</v>
      </c>
      <c r="D833" s="46" t="s">
        <v>98</v>
      </c>
      <c r="E833" s="46" t="s">
        <v>157</v>
      </c>
      <c r="F833" s="46" t="s">
        <v>326</v>
      </c>
      <c r="G833" s="46" t="s">
        <v>112</v>
      </c>
      <c r="H833" s="46" t="s">
        <v>354</v>
      </c>
      <c r="I833" s="46" t="s">
        <v>3003</v>
      </c>
      <c r="J833" s="46" t="s">
        <v>2582</v>
      </c>
      <c r="K833" s="46">
        <v>4</v>
      </c>
      <c r="L833" s="46" t="s">
        <v>3004</v>
      </c>
      <c r="M833" s="46" t="s">
        <v>72</v>
      </c>
      <c r="N833" s="46">
        <v>4</v>
      </c>
      <c r="O833" s="46" t="s">
        <v>152</v>
      </c>
      <c r="P833" s="46"/>
    </row>
    <row r="834" spans="1:16">
      <c r="A834" s="37" t="s">
        <v>3005</v>
      </c>
      <c r="B834" s="37" t="s">
        <v>2848</v>
      </c>
      <c r="C834" s="37" t="s">
        <v>97</v>
      </c>
      <c r="D834" s="37" t="s">
        <v>122</v>
      </c>
      <c r="E834" s="37" t="s">
        <v>244</v>
      </c>
      <c r="F834" s="37" t="s">
        <v>177</v>
      </c>
      <c r="G834" s="37" t="s">
        <v>334</v>
      </c>
      <c r="H834" s="37" t="s">
        <v>215</v>
      </c>
      <c r="I834" s="37" t="s">
        <v>787</v>
      </c>
      <c r="J834" s="37" t="s">
        <v>3006</v>
      </c>
      <c r="K834" s="37">
        <v>4</v>
      </c>
      <c r="L834" s="37" t="s">
        <v>1297</v>
      </c>
      <c r="M834" s="37" t="s">
        <v>72</v>
      </c>
      <c r="N834" s="37">
        <v>2</v>
      </c>
      <c r="O834" s="37" t="s">
        <v>131</v>
      </c>
      <c r="P834" s="37"/>
    </row>
    <row r="835" spans="1:16">
      <c r="A835" s="46" t="s">
        <v>3007</v>
      </c>
      <c r="B835" s="46" t="s">
        <v>1252</v>
      </c>
      <c r="C835" s="46" t="s">
        <v>407</v>
      </c>
      <c r="D835" s="46" t="s">
        <v>156</v>
      </c>
      <c r="E835" s="46" t="s">
        <v>195</v>
      </c>
      <c r="F835" s="46" t="s">
        <v>612</v>
      </c>
      <c r="G835" s="46" t="s">
        <v>334</v>
      </c>
      <c r="H835" s="46" t="s">
        <v>32</v>
      </c>
      <c r="I835" s="46" t="s">
        <v>1360</v>
      </c>
      <c r="J835" s="46" t="s">
        <v>2393</v>
      </c>
      <c r="K835" s="46">
        <v>8</v>
      </c>
      <c r="L835" s="46" t="s">
        <v>1895</v>
      </c>
      <c r="M835" s="46" t="s">
        <v>200</v>
      </c>
      <c r="N835" s="46">
        <v>1</v>
      </c>
      <c r="O835" s="46" t="s">
        <v>286</v>
      </c>
      <c r="P835" s="46"/>
    </row>
    <row r="836" spans="1:16">
      <c r="A836" s="37" t="s">
        <v>3008</v>
      </c>
      <c r="B836" s="37" t="s">
        <v>492</v>
      </c>
      <c r="C836" s="37" t="s">
        <v>212</v>
      </c>
      <c r="D836" s="37" t="s">
        <v>37</v>
      </c>
      <c r="E836" s="37" t="s">
        <v>176</v>
      </c>
      <c r="F836" s="37" t="s">
        <v>214</v>
      </c>
      <c r="G836" s="37" t="s">
        <v>139</v>
      </c>
      <c r="H836" s="37" t="s">
        <v>32</v>
      </c>
      <c r="I836" s="37" t="s">
        <v>402</v>
      </c>
      <c r="J836" s="37" t="s">
        <v>3009</v>
      </c>
      <c r="K836" s="37">
        <v>8</v>
      </c>
      <c r="L836" s="37" t="s">
        <v>2918</v>
      </c>
      <c r="M836" s="37" t="s">
        <v>172</v>
      </c>
      <c r="N836" s="37">
        <v>3</v>
      </c>
      <c r="O836" s="37" t="s">
        <v>152</v>
      </c>
      <c r="P836" s="37"/>
    </row>
    <row r="837" spans="1:16">
      <c r="A837" s="46" t="s">
        <v>3010</v>
      </c>
      <c r="B837" s="46" t="s">
        <v>3011</v>
      </c>
      <c r="C837" s="46" t="s">
        <v>174</v>
      </c>
      <c r="D837" s="46" t="s">
        <v>367</v>
      </c>
      <c r="E837" s="46" t="s">
        <v>99</v>
      </c>
      <c r="F837" s="46" t="s">
        <v>138</v>
      </c>
      <c r="G837" s="46" t="s">
        <v>87</v>
      </c>
      <c r="H837" s="46" t="s">
        <v>215</v>
      </c>
      <c r="I837" s="46" t="s">
        <v>567</v>
      </c>
      <c r="J837" s="46" t="s">
        <v>3012</v>
      </c>
      <c r="K837" s="46">
        <v>4</v>
      </c>
      <c r="L837" s="46" t="s">
        <v>652</v>
      </c>
      <c r="M837" s="46" t="s">
        <v>105</v>
      </c>
      <c r="N837" s="46">
        <v>5</v>
      </c>
      <c r="O837" s="46" t="s">
        <v>181</v>
      </c>
      <c r="P837" s="46"/>
    </row>
    <row r="838" spans="1:16">
      <c r="A838" s="37" t="s">
        <v>3013</v>
      </c>
      <c r="B838" s="37" t="s">
        <v>1054</v>
      </c>
      <c r="C838" s="37" t="s">
        <v>366</v>
      </c>
      <c r="D838" s="37" t="s">
        <v>204</v>
      </c>
      <c r="E838" s="37" t="s">
        <v>244</v>
      </c>
      <c r="F838" s="37" t="s">
        <v>263</v>
      </c>
      <c r="G838" s="37" t="s">
        <v>470</v>
      </c>
      <c r="H838" s="37" t="s">
        <v>294</v>
      </c>
      <c r="I838" s="37" t="s">
        <v>1633</v>
      </c>
      <c r="J838" s="37" t="s">
        <v>161</v>
      </c>
      <c r="K838" s="37">
        <v>2</v>
      </c>
      <c r="L838" s="37" t="s">
        <v>2206</v>
      </c>
      <c r="M838" s="37" t="s">
        <v>72</v>
      </c>
      <c r="N838" s="37">
        <v>4</v>
      </c>
      <c r="O838" s="37" t="s">
        <v>131</v>
      </c>
      <c r="P838" s="37"/>
    </row>
    <row r="839" spans="1:16">
      <c r="A839" s="46" t="s">
        <v>3014</v>
      </c>
      <c r="B839" s="46" t="s">
        <v>1653</v>
      </c>
      <c r="C839" s="46" t="s">
        <v>212</v>
      </c>
      <c r="D839" s="46" t="s">
        <v>156</v>
      </c>
      <c r="E839" s="46" t="s">
        <v>42</v>
      </c>
      <c r="F839" s="46" t="s">
        <v>138</v>
      </c>
      <c r="G839" s="46" t="s">
        <v>197</v>
      </c>
      <c r="H839" s="46" t="s">
        <v>327</v>
      </c>
      <c r="I839" s="46" t="s">
        <v>265</v>
      </c>
      <c r="J839" s="46" t="s">
        <v>1159</v>
      </c>
      <c r="K839" s="46">
        <v>6</v>
      </c>
      <c r="L839" s="46" t="s">
        <v>483</v>
      </c>
      <c r="M839" s="46" t="s">
        <v>163</v>
      </c>
      <c r="N839" s="46">
        <v>4</v>
      </c>
      <c r="O839" s="46" t="s">
        <v>286</v>
      </c>
      <c r="P839" s="46"/>
    </row>
    <row r="840" spans="1:16">
      <c r="A840" s="37" t="s">
        <v>3015</v>
      </c>
      <c r="B840" s="37" t="s">
        <v>377</v>
      </c>
      <c r="C840" s="37" t="s">
        <v>174</v>
      </c>
      <c r="D840" s="37" t="s">
        <v>367</v>
      </c>
      <c r="E840" s="37" t="s">
        <v>224</v>
      </c>
      <c r="F840" s="37" t="s">
        <v>313</v>
      </c>
      <c r="G840" s="37" t="s">
        <v>51</v>
      </c>
      <c r="H840" s="37" t="s">
        <v>54</v>
      </c>
      <c r="I840" s="37" t="s">
        <v>57</v>
      </c>
      <c r="J840" s="37" t="s">
        <v>3016</v>
      </c>
      <c r="K840" s="37">
        <v>4</v>
      </c>
      <c r="L840" s="37" t="s">
        <v>363</v>
      </c>
      <c r="M840" s="37" t="s">
        <v>163</v>
      </c>
      <c r="N840" s="37">
        <v>3</v>
      </c>
      <c r="O840" s="37" t="s">
        <v>152</v>
      </c>
      <c r="P840" s="37"/>
    </row>
    <row r="841" spans="1:16">
      <c r="A841" s="46" t="s">
        <v>3017</v>
      </c>
      <c r="B841" s="46" t="s">
        <v>846</v>
      </c>
      <c r="C841" s="46" t="s">
        <v>109</v>
      </c>
      <c r="D841" s="46" t="s">
        <v>919</v>
      </c>
      <c r="E841" s="46" t="s">
        <v>224</v>
      </c>
      <c r="F841" s="46" t="s">
        <v>1701</v>
      </c>
      <c r="G841" s="46" t="s">
        <v>159</v>
      </c>
      <c r="H841" s="46" t="s">
        <v>93</v>
      </c>
      <c r="I841" s="46" t="s">
        <v>3018</v>
      </c>
      <c r="J841" s="46" t="s">
        <v>3019</v>
      </c>
      <c r="K841" s="46">
        <v>4</v>
      </c>
      <c r="L841" s="46" t="s">
        <v>694</v>
      </c>
      <c r="M841" s="46" t="s">
        <v>143</v>
      </c>
      <c r="N841" s="46">
        <v>5</v>
      </c>
      <c r="O841" s="46" t="s">
        <v>131</v>
      </c>
      <c r="P841" s="46"/>
    </row>
    <row r="842" spans="1:16">
      <c r="A842" s="37" t="s">
        <v>3020</v>
      </c>
      <c r="B842" s="37" t="s">
        <v>1333</v>
      </c>
      <c r="C842" s="37" t="s">
        <v>366</v>
      </c>
      <c r="D842" s="37" t="s">
        <v>367</v>
      </c>
      <c r="E842" s="37" t="s">
        <v>176</v>
      </c>
      <c r="F842" s="37" t="s">
        <v>612</v>
      </c>
      <c r="G842" s="37" t="s">
        <v>302</v>
      </c>
      <c r="H842" s="37" t="s">
        <v>294</v>
      </c>
      <c r="I842" s="37" t="s">
        <v>3021</v>
      </c>
      <c r="J842" s="37" t="s">
        <v>432</v>
      </c>
      <c r="K842" s="37">
        <v>6</v>
      </c>
      <c r="L842" s="37" t="s">
        <v>600</v>
      </c>
      <c r="M842" s="37" t="s">
        <v>200</v>
      </c>
      <c r="N842" s="37">
        <v>3</v>
      </c>
      <c r="O842" s="37" t="s">
        <v>106</v>
      </c>
      <c r="P842" s="37"/>
    </row>
    <row r="843" spans="1:16">
      <c r="A843" s="46" t="s">
        <v>3022</v>
      </c>
      <c r="B843" s="46" t="s">
        <v>3023</v>
      </c>
      <c r="C843" s="46" t="s">
        <v>121</v>
      </c>
      <c r="D843" s="46" t="s">
        <v>213</v>
      </c>
      <c r="E843" s="46" t="s">
        <v>185</v>
      </c>
      <c r="F843" s="46" t="s">
        <v>158</v>
      </c>
      <c r="G843" s="46" t="s">
        <v>264</v>
      </c>
      <c r="H843" s="46" t="s">
        <v>187</v>
      </c>
      <c r="I843" s="46" t="s">
        <v>2381</v>
      </c>
      <c r="J843" s="46" t="s">
        <v>3024</v>
      </c>
      <c r="K843" s="46">
        <v>6</v>
      </c>
      <c r="L843" s="46" t="s">
        <v>2305</v>
      </c>
      <c r="M843" s="46" t="s">
        <v>172</v>
      </c>
      <c r="N843" s="46">
        <v>3</v>
      </c>
      <c r="O843" s="46" t="s">
        <v>118</v>
      </c>
      <c r="P843" s="46"/>
    </row>
    <row r="844" spans="1:16">
      <c r="A844" s="37" t="s">
        <v>3025</v>
      </c>
      <c r="B844" s="37" t="s">
        <v>2087</v>
      </c>
      <c r="C844" s="37" t="s">
        <v>212</v>
      </c>
      <c r="D844" s="37" t="s">
        <v>122</v>
      </c>
      <c r="E844" s="37" t="s">
        <v>110</v>
      </c>
      <c r="F844" s="37" t="s">
        <v>231</v>
      </c>
      <c r="G844" s="37" t="s">
        <v>346</v>
      </c>
      <c r="H844" s="37" t="s">
        <v>32</v>
      </c>
      <c r="I844" s="37" t="s">
        <v>3026</v>
      </c>
      <c r="J844" s="37" t="s">
        <v>3027</v>
      </c>
      <c r="K844" s="37">
        <v>6</v>
      </c>
      <c r="L844" s="37" t="s">
        <v>1952</v>
      </c>
      <c r="M844" s="37" t="s">
        <v>1513</v>
      </c>
      <c r="N844" s="37"/>
      <c r="O844" s="37" t="s">
        <v>286</v>
      </c>
      <c r="P844" s="37" t="s">
        <v>132</v>
      </c>
    </row>
    <row r="845" spans="1:16">
      <c r="A845" s="46" t="s">
        <v>3028</v>
      </c>
      <c r="B845" s="46" t="s">
        <v>1152</v>
      </c>
      <c r="C845" s="46" t="s">
        <v>203</v>
      </c>
      <c r="D845" s="46" t="s">
        <v>98</v>
      </c>
      <c r="E845" s="46" t="s">
        <v>42</v>
      </c>
      <c r="F845" s="46" t="s">
        <v>353</v>
      </c>
      <c r="G845" s="46" t="s">
        <v>125</v>
      </c>
      <c r="H845" s="46" t="s">
        <v>91</v>
      </c>
      <c r="I845" s="46" t="s">
        <v>911</v>
      </c>
      <c r="J845" s="46" t="s">
        <v>3029</v>
      </c>
      <c r="K845" s="46">
        <v>6</v>
      </c>
      <c r="L845" s="46" t="s">
        <v>3030</v>
      </c>
      <c r="M845" s="46" t="s">
        <v>72</v>
      </c>
      <c r="N845" s="46">
        <v>4</v>
      </c>
      <c r="O845" s="46" t="s">
        <v>286</v>
      </c>
      <c r="P845" s="46"/>
    </row>
    <row r="846" spans="1:16">
      <c r="A846" s="37" t="s">
        <v>3031</v>
      </c>
      <c r="B846" s="37" t="s">
        <v>667</v>
      </c>
      <c r="C846" s="37" t="s">
        <v>407</v>
      </c>
      <c r="D846" s="37" t="s">
        <v>230</v>
      </c>
      <c r="E846" s="37" t="s">
        <v>110</v>
      </c>
      <c r="F846" s="37" t="s">
        <v>177</v>
      </c>
      <c r="G846" s="37" t="s">
        <v>346</v>
      </c>
      <c r="H846" s="37" t="s">
        <v>215</v>
      </c>
      <c r="I846" s="37" t="s">
        <v>479</v>
      </c>
      <c r="J846" s="37" t="s">
        <v>3032</v>
      </c>
      <c r="K846" s="37">
        <v>6</v>
      </c>
      <c r="L846" s="37" t="s">
        <v>1166</v>
      </c>
      <c r="M846" s="37" t="s">
        <v>143</v>
      </c>
      <c r="N846" s="37">
        <v>5</v>
      </c>
      <c r="O846" s="37" t="s">
        <v>118</v>
      </c>
      <c r="P846" s="37"/>
    </row>
    <row r="847" spans="1:16">
      <c r="A847" s="46" t="s">
        <v>3033</v>
      </c>
      <c r="B847" s="46" t="s">
        <v>729</v>
      </c>
      <c r="C847" s="46" t="s">
        <v>424</v>
      </c>
      <c r="D847" s="46" t="s">
        <v>175</v>
      </c>
      <c r="E847" s="46" t="s">
        <v>185</v>
      </c>
      <c r="F847" s="46" t="s">
        <v>301</v>
      </c>
      <c r="G847" s="46" t="s">
        <v>101</v>
      </c>
      <c r="H847" s="46" t="s">
        <v>187</v>
      </c>
      <c r="I847" s="46" t="s">
        <v>3034</v>
      </c>
      <c r="J847" s="46" t="s">
        <v>3035</v>
      </c>
      <c r="K847" s="46">
        <v>6</v>
      </c>
      <c r="L847" s="46" t="s">
        <v>3036</v>
      </c>
      <c r="M847" s="46" t="s">
        <v>105</v>
      </c>
      <c r="N847" s="46">
        <v>4</v>
      </c>
      <c r="O847" s="46" t="s">
        <v>118</v>
      </c>
      <c r="P847" s="46"/>
    </row>
    <row r="848" spans="1:16">
      <c r="A848" s="37" t="s">
        <v>3037</v>
      </c>
      <c r="B848" s="37" t="s">
        <v>3038</v>
      </c>
      <c r="C848" s="37" t="s">
        <v>633</v>
      </c>
      <c r="D848" s="37" t="s">
        <v>223</v>
      </c>
      <c r="E848" s="37" t="s">
        <v>195</v>
      </c>
      <c r="F848" s="37" t="s">
        <v>353</v>
      </c>
      <c r="G848" s="37" t="s">
        <v>139</v>
      </c>
      <c r="H848" s="37" t="s">
        <v>32</v>
      </c>
      <c r="I848" s="37" t="s">
        <v>2250</v>
      </c>
      <c r="J848" s="37" t="s">
        <v>3039</v>
      </c>
      <c r="K848" s="37">
        <v>8</v>
      </c>
      <c r="L848" s="37" t="s">
        <v>2720</v>
      </c>
      <c r="M848" s="37" t="s">
        <v>105</v>
      </c>
      <c r="N848" s="37">
        <v>4</v>
      </c>
      <c r="O848" s="37" t="s">
        <v>131</v>
      </c>
      <c r="P848" s="37"/>
    </row>
    <row r="849" spans="1:16">
      <c r="A849" s="46" t="s">
        <v>3040</v>
      </c>
      <c r="B849" s="46" t="s">
        <v>600</v>
      </c>
      <c r="C849" s="46" t="s">
        <v>243</v>
      </c>
      <c r="D849" s="46" t="s">
        <v>230</v>
      </c>
      <c r="E849" s="46" t="s">
        <v>185</v>
      </c>
      <c r="F849" s="46" t="s">
        <v>385</v>
      </c>
      <c r="G849" s="46" t="s">
        <v>418</v>
      </c>
      <c r="H849" s="46" t="s">
        <v>327</v>
      </c>
      <c r="I849" s="46" t="s">
        <v>3041</v>
      </c>
      <c r="J849" s="46" t="s">
        <v>3042</v>
      </c>
      <c r="K849" s="46">
        <v>4</v>
      </c>
      <c r="L849" s="46" t="s">
        <v>3043</v>
      </c>
      <c r="M849" s="46" t="s">
        <v>200</v>
      </c>
      <c r="N849" s="46">
        <v>2</v>
      </c>
      <c r="O849" s="46" t="s">
        <v>152</v>
      </c>
      <c r="P849" s="46"/>
    </row>
    <row r="850" spans="1:16">
      <c r="A850" s="37" t="s">
        <v>3044</v>
      </c>
      <c r="B850" s="37" t="s">
        <v>311</v>
      </c>
      <c r="C850" s="37" t="s">
        <v>121</v>
      </c>
      <c r="D850" s="37" t="s">
        <v>122</v>
      </c>
      <c r="E850" s="37" t="s">
        <v>185</v>
      </c>
      <c r="F850" s="37" t="s">
        <v>425</v>
      </c>
      <c r="G850" s="37" t="s">
        <v>380</v>
      </c>
      <c r="H850" s="37" t="s">
        <v>126</v>
      </c>
      <c r="I850" s="37" t="s">
        <v>3045</v>
      </c>
      <c r="J850" s="37" t="s">
        <v>3046</v>
      </c>
      <c r="K850" s="37">
        <v>6</v>
      </c>
      <c r="L850" s="37" t="s">
        <v>1739</v>
      </c>
      <c r="M850" s="37" t="s">
        <v>72</v>
      </c>
      <c r="N850" s="37">
        <v>1</v>
      </c>
      <c r="O850" s="37" t="s">
        <v>152</v>
      </c>
      <c r="P850" s="37"/>
    </row>
    <row r="851" spans="1:16">
      <c r="A851" s="46" t="s">
        <v>3047</v>
      </c>
      <c r="B851" s="46" t="s">
        <v>3048</v>
      </c>
      <c r="C851" s="46" t="s">
        <v>469</v>
      </c>
      <c r="D851" s="46" t="s">
        <v>204</v>
      </c>
      <c r="E851" s="46" t="s">
        <v>224</v>
      </c>
      <c r="F851" s="46" t="s">
        <v>313</v>
      </c>
      <c r="G851" s="46" t="s">
        <v>139</v>
      </c>
      <c r="H851" s="46" t="s">
        <v>113</v>
      </c>
      <c r="I851" s="46" t="s">
        <v>3049</v>
      </c>
      <c r="J851" s="46" t="s">
        <v>3050</v>
      </c>
      <c r="K851" s="46">
        <v>4</v>
      </c>
      <c r="L851" s="46" t="s">
        <v>1914</v>
      </c>
      <c r="M851" s="46" t="s">
        <v>200</v>
      </c>
      <c r="N851" s="46">
        <v>2</v>
      </c>
      <c r="O851" s="46" t="s">
        <v>191</v>
      </c>
      <c r="P851" s="46"/>
    </row>
    <row r="852" spans="1:16">
      <c r="A852" s="37" t="s">
        <v>3051</v>
      </c>
      <c r="B852" s="37" t="s">
        <v>846</v>
      </c>
      <c r="C852" s="37" t="s">
        <v>135</v>
      </c>
      <c r="D852" s="37" t="s">
        <v>156</v>
      </c>
      <c r="E852" s="37" t="s">
        <v>137</v>
      </c>
      <c r="F852" s="37" t="s">
        <v>47</v>
      </c>
      <c r="G852" s="37" t="s">
        <v>380</v>
      </c>
      <c r="H852" s="37" t="s">
        <v>126</v>
      </c>
      <c r="I852" s="37" t="s">
        <v>2075</v>
      </c>
      <c r="J852" s="37" t="s">
        <v>3052</v>
      </c>
      <c r="K852" s="37">
        <v>8</v>
      </c>
      <c r="L852" s="37" t="s">
        <v>609</v>
      </c>
      <c r="M852" s="37" t="s">
        <v>200</v>
      </c>
      <c r="N852" s="37">
        <v>3</v>
      </c>
      <c r="O852" s="37" t="s">
        <v>131</v>
      </c>
      <c r="P852" s="37"/>
    </row>
    <row r="853" spans="1:16">
      <c r="A853" s="46" t="s">
        <v>3053</v>
      </c>
      <c r="B853" s="46" t="s">
        <v>2808</v>
      </c>
      <c r="C853" s="46" t="s">
        <v>155</v>
      </c>
      <c r="D853" s="46" t="s">
        <v>919</v>
      </c>
      <c r="E853" s="46" t="s">
        <v>185</v>
      </c>
      <c r="F853" s="46" t="s">
        <v>582</v>
      </c>
      <c r="G853" s="46" t="s">
        <v>380</v>
      </c>
      <c r="H853" s="46" t="s">
        <v>91</v>
      </c>
      <c r="I853" s="46" t="s">
        <v>2390</v>
      </c>
      <c r="J853" s="46" t="s">
        <v>3054</v>
      </c>
      <c r="K853" s="46">
        <v>6</v>
      </c>
      <c r="L853" s="46" t="s">
        <v>1424</v>
      </c>
      <c r="M853" s="46" t="s">
        <v>219</v>
      </c>
      <c r="N853" s="46">
        <v>5</v>
      </c>
      <c r="O853" s="46" t="s">
        <v>118</v>
      </c>
      <c r="P853" s="46"/>
    </row>
    <row r="854" spans="1:16">
      <c r="A854" s="37" t="s">
        <v>3055</v>
      </c>
      <c r="B854" s="37" t="s">
        <v>822</v>
      </c>
      <c r="C854" s="37" t="s">
        <v>135</v>
      </c>
      <c r="D854" s="37" t="s">
        <v>204</v>
      </c>
      <c r="E854" s="37" t="s">
        <v>157</v>
      </c>
      <c r="F854" s="37" t="s">
        <v>1014</v>
      </c>
      <c r="G854" s="37" t="s">
        <v>92</v>
      </c>
      <c r="H854" s="37" t="s">
        <v>294</v>
      </c>
      <c r="I854" s="37" t="s">
        <v>3056</v>
      </c>
      <c r="J854" s="37" t="s">
        <v>683</v>
      </c>
      <c r="K854" s="37">
        <v>6</v>
      </c>
      <c r="L854" s="37" t="s">
        <v>1415</v>
      </c>
      <c r="M854" s="37" t="s">
        <v>72</v>
      </c>
      <c r="N854" s="37">
        <v>5</v>
      </c>
      <c r="O854" s="37" t="s">
        <v>181</v>
      </c>
      <c r="P854" s="37"/>
    </row>
    <row r="855" spans="1:16">
      <c r="A855" s="46" t="s">
        <v>3057</v>
      </c>
      <c r="B855" s="46" t="s">
        <v>2046</v>
      </c>
      <c r="C855" s="46" t="s">
        <v>109</v>
      </c>
      <c r="D855" s="46" t="s">
        <v>98</v>
      </c>
      <c r="E855" s="46" t="s">
        <v>244</v>
      </c>
      <c r="F855" s="46" t="s">
        <v>313</v>
      </c>
      <c r="G855" s="46" t="s">
        <v>380</v>
      </c>
      <c r="H855" s="46" t="s">
        <v>294</v>
      </c>
      <c r="I855" s="46" t="s">
        <v>3058</v>
      </c>
      <c r="J855" s="46" t="s">
        <v>3059</v>
      </c>
      <c r="K855" s="46">
        <v>4</v>
      </c>
      <c r="L855" s="46" t="s">
        <v>1105</v>
      </c>
      <c r="M855" s="46" t="s">
        <v>143</v>
      </c>
      <c r="N855" s="46">
        <v>4</v>
      </c>
      <c r="O855" s="46" t="s">
        <v>131</v>
      </c>
      <c r="P855" s="46"/>
    </row>
    <row r="856" spans="1:16">
      <c r="A856" s="37" t="s">
        <v>3060</v>
      </c>
      <c r="B856" s="37" t="s">
        <v>2681</v>
      </c>
      <c r="C856" s="37" t="s">
        <v>88</v>
      </c>
      <c r="D856" s="37" t="s">
        <v>194</v>
      </c>
      <c r="E856" s="37" t="s">
        <v>147</v>
      </c>
      <c r="F856" s="37" t="s">
        <v>47</v>
      </c>
      <c r="G856" s="37" t="s">
        <v>112</v>
      </c>
      <c r="H856" s="37" t="s">
        <v>215</v>
      </c>
      <c r="I856" s="37" t="s">
        <v>3061</v>
      </c>
      <c r="J856" s="37" t="s">
        <v>3062</v>
      </c>
      <c r="K856" s="37">
        <v>8</v>
      </c>
      <c r="L856" s="37" t="s">
        <v>654</v>
      </c>
      <c r="M856" s="37" t="s">
        <v>172</v>
      </c>
      <c r="N856" s="37">
        <v>4</v>
      </c>
      <c r="O856" s="37" t="s">
        <v>191</v>
      </c>
      <c r="P856" s="37"/>
    </row>
    <row r="857" spans="1:16">
      <c r="A857" s="46" t="s">
        <v>3063</v>
      </c>
      <c r="B857" s="46" t="s">
        <v>1729</v>
      </c>
      <c r="C857" s="46" t="s">
        <v>407</v>
      </c>
      <c r="D857" s="46" t="s">
        <v>312</v>
      </c>
      <c r="E857" s="46" t="s">
        <v>185</v>
      </c>
      <c r="F857" s="46" t="s">
        <v>100</v>
      </c>
      <c r="G857" s="46" t="s">
        <v>139</v>
      </c>
      <c r="H857" s="46" t="s">
        <v>32</v>
      </c>
      <c r="I857" s="46" t="s">
        <v>3064</v>
      </c>
      <c r="J857" s="46" t="s">
        <v>2758</v>
      </c>
      <c r="K857" s="46">
        <v>6</v>
      </c>
      <c r="L857" s="46" t="s">
        <v>1105</v>
      </c>
      <c r="M857" s="46" t="s">
        <v>117</v>
      </c>
      <c r="N857" s="46">
        <v>4</v>
      </c>
      <c r="O857" s="46" t="s">
        <v>131</v>
      </c>
      <c r="P857" s="46"/>
    </row>
    <row r="858" spans="1:16">
      <c r="A858" s="37" t="s">
        <v>3065</v>
      </c>
      <c r="B858" s="37" t="s">
        <v>2670</v>
      </c>
      <c r="C858" s="37" t="s">
        <v>300</v>
      </c>
      <c r="D858" s="37" t="s">
        <v>270</v>
      </c>
      <c r="E858" s="37" t="s">
        <v>224</v>
      </c>
      <c r="F858" s="37" t="s">
        <v>111</v>
      </c>
      <c r="G858" s="37" t="s">
        <v>92</v>
      </c>
      <c r="H858" s="37" t="s">
        <v>91</v>
      </c>
      <c r="I858" s="37" t="s">
        <v>3066</v>
      </c>
      <c r="J858" s="37" t="s">
        <v>3067</v>
      </c>
      <c r="K858" s="37">
        <v>4</v>
      </c>
      <c r="L858" s="37" t="s">
        <v>2388</v>
      </c>
      <c r="M858" s="37" t="s">
        <v>117</v>
      </c>
      <c r="N858" s="37">
        <v>5</v>
      </c>
      <c r="O858" s="37" t="s">
        <v>181</v>
      </c>
      <c r="P858" s="37"/>
    </row>
    <row r="859" spans="1:16">
      <c r="A859" s="46" t="s">
        <v>3068</v>
      </c>
      <c r="B859" s="46" t="s">
        <v>2020</v>
      </c>
      <c r="C859" s="46" t="s">
        <v>243</v>
      </c>
      <c r="D859" s="46" t="s">
        <v>194</v>
      </c>
      <c r="E859" s="46" t="s">
        <v>157</v>
      </c>
      <c r="F859" s="46" t="s">
        <v>237</v>
      </c>
      <c r="G859" s="46" t="s">
        <v>346</v>
      </c>
      <c r="H859" s="46" t="s">
        <v>113</v>
      </c>
      <c r="I859" s="46" t="s">
        <v>3069</v>
      </c>
      <c r="J859" s="46" t="s">
        <v>3070</v>
      </c>
      <c r="K859" s="46">
        <v>6</v>
      </c>
      <c r="L859" s="46" t="s">
        <v>165</v>
      </c>
      <c r="M859" s="46" t="s">
        <v>72</v>
      </c>
      <c r="N859" s="46">
        <v>2</v>
      </c>
      <c r="O859" s="46" t="s">
        <v>191</v>
      </c>
      <c r="P859" s="46"/>
    </row>
    <row r="860" spans="1:16">
      <c r="A860" s="37" t="s">
        <v>3071</v>
      </c>
      <c r="B860" s="37" t="s">
        <v>2101</v>
      </c>
      <c r="C860" s="37" t="s">
        <v>307</v>
      </c>
      <c r="D860" s="37" t="s">
        <v>230</v>
      </c>
      <c r="E860" s="37" t="s">
        <v>440</v>
      </c>
      <c r="F860" s="37" t="s">
        <v>186</v>
      </c>
      <c r="G860" s="37" t="s">
        <v>380</v>
      </c>
      <c r="H860" s="37" t="s">
        <v>126</v>
      </c>
      <c r="I860" s="37" t="s">
        <v>3072</v>
      </c>
      <c r="J860" s="37" t="s">
        <v>3073</v>
      </c>
      <c r="K860" s="37">
        <v>8</v>
      </c>
      <c r="L860" s="37" t="s">
        <v>623</v>
      </c>
      <c r="M860" s="37" t="s">
        <v>163</v>
      </c>
      <c r="N860" s="37">
        <v>4</v>
      </c>
      <c r="O860" s="37" t="s">
        <v>131</v>
      </c>
      <c r="P860" s="37"/>
    </row>
    <row r="861" spans="1:16">
      <c r="A861" s="46" t="s">
        <v>3074</v>
      </c>
      <c r="B861" s="46" t="s">
        <v>1890</v>
      </c>
      <c r="C861" s="46" t="s">
        <v>93</v>
      </c>
      <c r="D861" s="46" t="s">
        <v>136</v>
      </c>
      <c r="E861" s="46" t="s">
        <v>440</v>
      </c>
      <c r="F861" s="46" t="s">
        <v>582</v>
      </c>
      <c r="G861" s="46" t="s">
        <v>470</v>
      </c>
      <c r="H861" s="46" t="s">
        <v>91</v>
      </c>
      <c r="I861" s="46" t="s">
        <v>238</v>
      </c>
      <c r="J861" s="46" t="s">
        <v>1213</v>
      </c>
      <c r="K861" s="46">
        <v>8</v>
      </c>
      <c r="L861" s="46" t="s">
        <v>712</v>
      </c>
      <c r="M861" s="46" t="s">
        <v>200</v>
      </c>
      <c r="N861" s="46">
        <v>1</v>
      </c>
      <c r="O861" s="46" t="s">
        <v>181</v>
      </c>
      <c r="P861" s="46"/>
    </row>
    <row r="862" spans="1:16">
      <c r="A862" s="37" t="s">
        <v>3075</v>
      </c>
      <c r="B862" s="37" t="s">
        <v>3076</v>
      </c>
      <c r="C862" s="37" t="s">
        <v>451</v>
      </c>
      <c r="D862" s="37" t="s">
        <v>312</v>
      </c>
      <c r="E862" s="37" t="s">
        <v>110</v>
      </c>
      <c r="F862" s="37" t="s">
        <v>283</v>
      </c>
      <c r="G862" s="37" t="s">
        <v>197</v>
      </c>
      <c r="H862" s="37" t="s">
        <v>327</v>
      </c>
      <c r="I862" s="37" t="s">
        <v>2560</v>
      </c>
      <c r="J862" s="37" t="s">
        <v>2446</v>
      </c>
      <c r="K862" s="37">
        <v>6</v>
      </c>
      <c r="L862" s="37" t="s">
        <v>516</v>
      </c>
      <c r="M862" s="37" t="s">
        <v>105</v>
      </c>
      <c r="N862" s="37">
        <v>4</v>
      </c>
      <c r="O862" s="37" t="s">
        <v>118</v>
      </c>
      <c r="P862" s="37"/>
    </row>
    <row r="863" spans="1:16">
      <c r="A863" s="46" t="s">
        <v>3077</v>
      </c>
      <c r="B863" s="46" t="s">
        <v>2087</v>
      </c>
      <c r="C863" s="46" t="s">
        <v>88</v>
      </c>
      <c r="D863" s="46" t="s">
        <v>919</v>
      </c>
      <c r="E863" s="46" t="s">
        <v>157</v>
      </c>
      <c r="F863" s="46" t="s">
        <v>47</v>
      </c>
      <c r="G863" s="46" t="s">
        <v>101</v>
      </c>
      <c r="H863" s="46" t="s">
        <v>88</v>
      </c>
      <c r="I863" s="46" t="s">
        <v>2606</v>
      </c>
      <c r="J863" s="46" t="s">
        <v>3078</v>
      </c>
      <c r="K863" s="46">
        <v>4</v>
      </c>
      <c r="L863" s="46" t="s">
        <v>1015</v>
      </c>
      <c r="M863" s="46" t="s">
        <v>72</v>
      </c>
      <c r="N863" s="46">
        <v>4</v>
      </c>
      <c r="O863" s="46" t="s">
        <v>181</v>
      </c>
      <c r="P863" s="46"/>
    </row>
    <row r="864" spans="1:16">
      <c r="A864" s="37" t="s">
        <v>3079</v>
      </c>
      <c r="B864" s="37" t="s">
        <v>3080</v>
      </c>
      <c r="C864" s="37" t="s">
        <v>307</v>
      </c>
      <c r="D864" s="37" t="s">
        <v>223</v>
      </c>
      <c r="E864" s="37" t="s">
        <v>185</v>
      </c>
      <c r="F864" s="37" t="s">
        <v>277</v>
      </c>
      <c r="G864" s="37" t="s">
        <v>334</v>
      </c>
      <c r="H864" s="37" t="s">
        <v>354</v>
      </c>
      <c r="I864" s="37" t="s">
        <v>558</v>
      </c>
      <c r="J864" s="37" t="s">
        <v>2896</v>
      </c>
      <c r="K864" s="37">
        <v>6</v>
      </c>
      <c r="L864" s="37" t="s">
        <v>679</v>
      </c>
      <c r="M864" s="37" t="s">
        <v>105</v>
      </c>
      <c r="N864" s="37">
        <v>4</v>
      </c>
      <c r="O864" s="37" t="s">
        <v>131</v>
      </c>
      <c r="P864" s="37"/>
    </row>
    <row r="865" spans="1:16">
      <c r="A865" s="46" t="s">
        <v>3081</v>
      </c>
      <c r="B865" s="46" t="s">
        <v>2501</v>
      </c>
      <c r="C865" s="46" t="s">
        <v>366</v>
      </c>
      <c r="D865" s="46" t="s">
        <v>230</v>
      </c>
      <c r="E865" s="46" t="s">
        <v>345</v>
      </c>
      <c r="F865" s="46" t="s">
        <v>368</v>
      </c>
      <c r="G865" s="46" t="s">
        <v>139</v>
      </c>
      <c r="H865" s="46" t="s">
        <v>354</v>
      </c>
      <c r="I865" s="46" t="s">
        <v>3082</v>
      </c>
      <c r="J865" s="46" t="s">
        <v>2959</v>
      </c>
      <c r="K865" s="46">
        <v>6</v>
      </c>
      <c r="L865" s="46" t="s">
        <v>162</v>
      </c>
      <c r="M865" s="46" t="s">
        <v>117</v>
      </c>
      <c r="N865" s="46">
        <v>5</v>
      </c>
      <c r="O865" s="46" t="s">
        <v>118</v>
      </c>
      <c r="P865" s="46"/>
    </row>
    <row r="866" spans="1:16">
      <c r="A866" s="37" t="s">
        <v>3083</v>
      </c>
      <c r="B866" s="37" t="s">
        <v>1739</v>
      </c>
      <c r="C866" s="37" t="s">
        <v>174</v>
      </c>
      <c r="D866" s="37" t="s">
        <v>37</v>
      </c>
      <c r="E866" s="37" t="s">
        <v>176</v>
      </c>
      <c r="F866" s="37" t="s">
        <v>498</v>
      </c>
      <c r="G866" s="37" t="s">
        <v>112</v>
      </c>
      <c r="H866" s="37" t="s">
        <v>354</v>
      </c>
      <c r="I866" s="37" t="s">
        <v>762</v>
      </c>
      <c r="J866" s="37" t="s">
        <v>3084</v>
      </c>
      <c r="K866" s="37">
        <v>8</v>
      </c>
      <c r="L866" s="37" t="s">
        <v>1025</v>
      </c>
      <c r="M866" s="37" t="s">
        <v>163</v>
      </c>
      <c r="N866" s="37">
        <v>5</v>
      </c>
      <c r="O866" s="37" t="s">
        <v>118</v>
      </c>
      <c r="P866" s="37"/>
    </row>
    <row r="867" spans="1:16">
      <c r="A867" s="46" t="s">
        <v>3085</v>
      </c>
      <c r="B867" s="46" t="s">
        <v>1337</v>
      </c>
      <c r="C867" s="46" t="s">
        <v>212</v>
      </c>
      <c r="D867" s="46" t="s">
        <v>919</v>
      </c>
      <c r="E867" s="46" t="s">
        <v>224</v>
      </c>
      <c r="F867" s="46" t="s">
        <v>368</v>
      </c>
      <c r="G867" s="46" t="s">
        <v>51</v>
      </c>
      <c r="H867" s="46" t="s">
        <v>93</v>
      </c>
      <c r="I867" s="46" t="s">
        <v>3086</v>
      </c>
      <c r="J867" s="46" t="s">
        <v>3087</v>
      </c>
      <c r="K867" s="46">
        <v>4</v>
      </c>
      <c r="L867" s="46" t="s">
        <v>2985</v>
      </c>
      <c r="M867" s="46" t="s">
        <v>143</v>
      </c>
      <c r="N867" s="46">
        <v>4</v>
      </c>
      <c r="O867" s="46" t="s">
        <v>152</v>
      </c>
      <c r="P867" s="46"/>
    </row>
    <row r="868" spans="1:16">
      <c r="A868" s="37" t="s">
        <v>3088</v>
      </c>
      <c r="B868" s="37" t="s">
        <v>3089</v>
      </c>
      <c r="C868" s="37" t="s">
        <v>307</v>
      </c>
      <c r="D868" s="37" t="s">
        <v>194</v>
      </c>
      <c r="E868" s="37" t="s">
        <v>147</v>
      </c>
      <c r="F868" s="37" t="s">
        <v>283</v>
      </c>
      <c r="G868" s="37" t="s">
        <v>257</v>
      </c>
      <c r="H868" s="37" t="s">
        <v>187</v>
      </c>
      <c r="I868" s="37" t="s">
        <v>792</v>
      </c>
      <c r="J868" s="37" t="s">
        <v>3090</v>
      </c>
      <c r="K868" s="37">
        <v>6</v>
      </c>
      <c r="L868" s="37" t="s">
        <v>2620</v>
      </c>
      <c r="M868" s="37" t="s">
        <v>143</v>
      </c>
      <c r="N868" s="37">
        <v>2</v>
      </c>
      <c r="O868" s="37" t="s">
        <v>131</v>
      </c>
      <c r="P868" s="37"/>
    </row>
    <row r="869" spans="1:16">
      <c r="A869" s="46" t="s">
        <v>3091</v>
      </c>
      <c r="B869" s="46" t="s">
        <v>2462</v>
      </c>
      <c r="C869" s="46" t="s">
        <v>222</v>
      </c>
      <c r="D869" s="46" t="s">
        <v>333</v>
      </c>
      <c r="E869" s="46" t="s">
        <v>195</v>
      </c>
      <c r="F869" s="46" t="s">
        <v>158</v>
      </c>
      <c r="G869" s="46" t="s">
        <v>92</v>
      </c>
      <c r="H869" s="46" t="s">
        <v>126</v>
      </c>
      <c r="I869" s="46" t="s">
        <v>1090</v>
      </c>
      <c r="J869" s="46" t="s">
        <v>3092</v>
      </c>
      <c r="K869" s="46">
        <v>8</v>
      </c>
      <c r="L869" s="46" t="s">
        <v>2602</v>
      </c>
      <c r="M869" s="46" t="s">
        <v>163</v>
      </c>
      <c r="N869" s="46">
        <v>2</v>
      </c>
      <c r="O869" s="46" t="s">
        <v>191</v>
      </c>
      <c r="P869" s="46"/>
    </row>
    <row r="870" spans="1:16">
      <c r="A870" s="37" t="s">
        <v>3093</v>
      </c>
      <c r="B870" s="37" t="s">
        <v>365</v>
      </c>
      <c r="C870" s="37" t="s">
        <v>174</v>
      </c>
      <c r="D870" s="37" t="s">
        <v>367</v>
      </c>
      <c r="E870" s="37" t="s">
        <v>195</v>
      </c>
      <c r="F870" s="37" t="s">
        <v>301</v>
      </c>
      <c r="G870" s="37" t="s">
        <v>380</v>
      </c>
      <c r="H870" s="37" t="s">
        <v>294</v>
      </c>
      <c r="I870" s="37" t="s">
        <v>3094</v>
      </c>
      <c r="J870" s="37" t="s">
        <v>3095</v>
      </c>
      <c r="K870" s="37">
        <v>8</v>
      </c>
      <c r="L870" s="37" t="s">
        <v>2611</v>
      </c>
      <c r="M870" s="37" t="s">
        <v>72</v>
      </c>
      <c r="N870" s="37">
        <v>1</v>
      </c>
      <c r="O870" s="37" t="s">
        <v>131</v>
      </c>
      <c r="P870" s="37"/>
    </row>
    <row r="871" spans="1:16">
      <c r="A871" s="46" t="s">
        <v>3096</v>
      </c>
      <c r="B871" s="46" t="s">
        <v>779</v>
      </c>
      <c r="C871" s="46" t="s">
        <v>222</v>
      </c>
      <c r="D871" s="46" t="s">
        <v>312</v>
      </c>
      <c r="E871" s="46" t="s">
        <v>137</v>
      </c>
      <c r="F871" s="46" t="s">
        <v>301</v>
      </c>
      <c r="G871" s="46" t="s">
        <v>257</v>
      </c>
      <c r="H871" s="46" t="s">
        <v>88</v>
      </c>
      <c r="I871" s="46" t="s">
        <v>3097</v>
      </c>
      <c r="J871" s="46" t="s">
        <v>3098</v>
      </c>
      <c r="K871" s="46">
        <v>6</v>
      </c>
      <c r="L871" s="46"/>
      <c r="M871" s="46" t="s">
        <v>2073</v>
      </c>
      <c r="N871" s="46"/>
      <c r="O871" s="46" t="s">
        <v>286</v>
      </c>
      <c r="P871" s="46"/>
    </row>
    <row r="872" spans="1:16">
      <c r="A872" s="37" t="s">
        <v>3099</v>
      </c>
      <c r="B872" s="37" t="s">
        <v>1552</v>
      </c>
      <c r="C872" s="37" t="s">
        <v>424</v>
      </c>
      <c r="D872" s="37" t="s">
        <v>98</v>
      </c>
      <c r="E872" s="37" t="s">
        <v>224</v>
      </c>
      <c r="F872" s="37" t="s">
        <v>430</v>
      </c>
      <c r="G872" s="37" t="s">
        <v>101</v>
      </c>
      <c r="H872" s="37" t="s">
        <v>206</v>
      </c>
      <c r="I872" s="37" t="s">
        <v>1291</v>
      </c>
      <c r="J872" s="37" t="s">
        <v>3100</v>
      </c>
      <c r="K872" s="37">
        <v>4</v>
      </c>
      <c r="L872" s="37" t="s">
        <v>1120</v>
      </c>
      <c r="M872" s="37" t="s">
        <v>172</v>
      </c>
      <c r="N872" s="37">
        <v>3</v>
      </c>
      <c r="O872" s="37" t="s">
        <v>152</v>
      </c>
      <c r="P872" s="37"/>
    </row>
    <row r="873" spans="1:16">
      <c r="A873" s="46" t="s">
        <v>3101</v>
      </c>
      <c r="B873" s="46" t="s">
        <v>3102</v>
      </c>
      <c r="C873" s="46" t="s">
        <v>633</v>
      </c>
      <c r="D873" s="46" t="s">
        <v>136</v>
      </c>
      <c r="E873" s="46" t="s">
        <v>157</v>
      </c>
      <c r="F873" s="46" t="s">
        <v>425</v>
      </c>
      <c r="G873" s="46" t="s">
        <v>112</v>
      </c>
      <c r="H873" s="46" t="s">
        <v>354</v>
      </c>
      <c r="I873" s="46" t="s">
        <v>3103</v>
      </c>
      <c r="J873" s="46" t="s">
        <v>3104</v>
      </c>
      <c r="K873" s="46">
        <v>6</v>
      </c>
      <c r="L873" s="46" t="s">
        <v>3105</v>
      </c>
      <c r="M873" s="46" t="s">
        <v>72</v>
      </c>
      <c r="N873" s="46">
        <v>1</v>
      </c>
      <c r="O873" s="46" t="s">
        <v>79</v>
      </c>
      <c r="P873" s="46"/>
    </row>
    <row r="874" spans="1:16">
      <c r="A874" s="37" t="s">
        <v>3106</v>
      </c>
      <c r="B874" s="37" t="s">
        <v>242</v>
      </c>
      <c r="C874" s="37" t="s">
        <v>251</v>
      </c>
      <c r="D874" s="37" t="s">
        <v>37</v>
      </c>
      <c r="E874" s="37" t="s">
        <v>123</v>
      </c>
      <c r="F874" s="37" t="s">
        <v>47</v>
      </c>
      <c r="G874" s="37" t="s">
        <v>101</v>
      </c>
      <c r="H874" s="37" t="s">
        <v>187</v>
      </c>
      <c r="I874" s="37" t="s">
        <v>3107</v>
      </c>
      <c r="J874" s="37" t="s">
        <v>3108</v>
      </c>
      <c r="K874" s="37">
        <v>4</v>
      </c>
      <c r="L874" s="37" t="s">
        <v>497</v>
      </c>
      <c r="M874" s="37" t="s">
        <v>172</v>
      </c>
      <c r="N874" s="37">
        <v>2</v>
      </c>
      <c r="O874" s="37" t="s">
        <v>152</v>
      </c>
      <c r="P874" s="37"/>
    </row>
    <row r="875" spans="1:16">
      <c r="A875" s="46" t="s">
        <v>3109</v>
      </c>
      <c r="B875" s="46" t="s">
        <v>1707</v>
      </c>
      <c r="C875" s="46" t="s">
        <v>203</v>
      </c>
      <c r="D875" s="46" t="s">
        <v>204</v>
      </c>
      <c r="E875" s="46" t="s">
        <v>325</v>
      </c>
      <c r="F875" s="46" t="s">
        <v>100</v>
      </c>
      <c r="G875" s="46" t="s">
        <v>101</v>
      </c>
      <c r="H875" s="46" t="s">
        <v>206</v>
      </c>
      <c r="I875" s="46" t="s">
        <v>1923</v>
      </c>
      <c r="J875" s="46" t="s">
        <v>3110</v>
      </c>
      <c r="K875" s="46">
        <v>2</v>
      </c>
      <c r="L875" s="46" t="s">
        <v>116</v>
      </c>
      <c r="M875" s="46" t="s">
        <v>105</v>
      </c>
      <c r="N875" s="46">
        <v>3</v>
      </c>
      <c r="O875" s="46" t="s">
        <v>181</v>
      </c>
      <c r="P875" s="46"/>
    </row>
    <row r="876" spans="1:16">
      <c r="A876" s="37" t="s">
        <v>3111</v>
      </c>
      <c r="B876" s="37" t="s">
        <v>1571</v>
      </c>
      <c r="C876" s="37" t="s">
        <v>282</v>
      </c>
      <c r="D876" s="37" t="s">
        <v>136</v>
      </c>
      <c r="E876" s="37" t="s">
        <v>157</v>
      </c>
      <c r="F876" s="37" t="s">
        <v>430</v>
      </c>
      <c r="G876" s="37" t="s">
        <v>159</v>
      </c>
      <c r="H876" s="37" t="s">
        <v>327</v>
      </c>
      <c r="I876" s="37" t="s">
        <v>1345</v>
      </c>
      <c r="J876" s="37" t="s">
        <v>3112</v>
      </c>
      <c r="K876" s="37">
        <v>6</v>
      </c>
      <c r="L876" s="37" t="s">
        <v>3113</v>
      </c>
      <c r="M876" s="37" t="s">
        <v>172</v>
      </c>
      <c r="N876" s="37">
        <v>3</v>
      </c>
      <c r="O876" s="37" t="s">
        <v>152</v>
      </c>
      <c r="P876" s="37"/>
    </row>
    <row r="877" spans="1:16">
      <c r="A877" s="46" t="s">
        <v>3114</v>
      </c>
      <c r="B877" s="46" t="s">
        <v>1059</v>
      </c>
      <c r="C877" s="46" t="s">
        <v>243</v>
      </c>
      <c r="D877" s="46" t="s">
        <v>544</v>
      </c>
      <c r="E877" s="46" t="s">
        <v>325</v>
      </c>
      <c r="F877" s="46" t="s">
        <v>186</v>
      </c>
      <c r="G877" s="46" t="s">
        <v>334</v>
      </c>
      <c r="H877" s="46" t="s">
        <v>32</v>
      </c>
      <c r="I877" s="46" t="s">
        <v>3115</v>
      </c>
      <c r="J877" s="46" t="s">
        <v>3116</v>
      </c>
      <c r="K877" s="46">
        <v>4</v>
      </c>
      <c r="L877" s="46" t="s">
        <v>1931</v>
      </c>
      <c r="M877" s="46" t="s">
        <v>143</v>
      </c>
      <c r="N877" s="46">
        <v>2</v>
      </c>
      <c r="O877" s="46" t="s">
        <v>131</v>
      </c>
      <c r="P877" s="46"/>
    </row>
    <row r="878" spans="1:16">
      <c r="A878" s="37" t="s">
        <v>3117</v>
      </c>
      <c r="B878" s="37" t="s">
        <v>349</v>
      </c>
      <c r="C878" s="37" t="s">
        <v>174</v>
      </c>
      <c r="D878" s="37" t="s">
        <v>312</v>
      </c>
      <c r="E878" s="37" t="s">
        <v>137</v>
      </c>
      <c r="F878" s="37" t="s">
        <v>167</v>
      </c>
      <c r="G878" s="37" t="s">
        <v>168</v>
      </c>
      <c r="H878" s="37" t="s">
        <v>88</v>
      </c>
      <c r="I878" s="37" t="s">
        <v>3118</v>
      </c>
      <c r="J878" s="37" t="s">
        <v>161</v>
      </c>
      <c r="K878" s="37">
        <v>6</v>
      </c>
      <c r="L878" s="37" t="s">
        <v>3119</v>
      </c>
      <c r="M878" s="37" t="s">
        <v>143</v>
      </c>
      <c r="N878" s="37">
        <v>2</v>
      </c>
      <c r="O878" s="37" t="s">
        <v>79</v>
      </c>
      <c r="P878" s="37"/>
    </row>
    <row r="879" spans="1:16">
      <c r="A879" s="46" t="s">
        <v>3120</v>
      </c>
      <c r="B879" s="46" t="s">
        <v>1864</v>
      </c>
      <c r="C879" s="46" t="s">
        <v>300</v>
      </c>
      <c r="D879" s="46" t="s">
        <v>223</v>
      </c>
      <c r="E879" s="46" t="s">
        <v>42</v>
      </c>
      <c r="F879" s="46" t="s">
        <v>231</v>
      </c>
      <c r="G879" s="46" t="s">
        <v>257</v>
      </c>
      <c r="H879" s="46" t="s">
        <v>206</v>
      </c>
      <c r="I879" s="46" t="s">
        <v>3121</v>
      </c>
      <c r="J879" s="46" t="s">
        <v>3122</v>
      </c>
      <c r="K879" s="46">
        <v>6</v>
      </c>
      <c r="L879" s="46" t="s">
        <v>1807</v>
      </c>
      <c r="M879" s="46" t="s">
        <v>163</v>
      </c>
      <c r="N879" s="46">
        <v>3</v>
      </c>
      <c r="O879" s="46" t="s">
        <v>181</v>
      </c>
      <c r="P879" s="46"/>
    </row>
    <row r="880" spans="1:16">
      <c r="A880" s="37" t="s">
        <v>3123</v>
      </c>
      <c r="B880" s="37" t="s">
        <v>888</v>
      </c>
      <c r="C880" s="37" t="s">
        <v>243</v>
      </c>
      <c r="D880" s="37" t="s">
        <v>136</v>
      </c>
      <c r="E880" s="37" t="s">
        <v>99</v>
      </c>
      <c r="F880" s="37" t="s">
        <v>167</v>
      </c>
      <c r="G880" s="37" t="s">
        <v>334</v>
      </c>
      <c r="H880" s="37" t="s">
        <v>113</v>
      </c>
      <c r="I880" s="37" t="s">
        <v>3124</v>
      </c>
      <c r="J880" s="37" t="s">
        <v>3125</v>
      </c>
      <c r="K880" s="37">
        <v>4</v>
      </c>
      <c r="L880" s="37" t="s">
        <v>654</v>
      </c>
      <c r="M880" s="37" t="s">
        <v>200</v>
      </c>
      <c r="N880" s="37">
        <v>3</v>
      </c>
      <c r="O880" s="37" t="s">
        <v>191</v>
      </c>
      <c r="P880" s="37"/>
    </row>
    <row r="881" spans="1:16">
      <c r="A881" s="46" t="s">
        <v>3126</v>
      </c>
      <c r="B881" s="46" t="s">
        <v>1304</v>
      </c>
      <c r="C881" s="46"/>
      <c r="D881" s="46" t="s">
        <v>156</v>
      </c>
      <c r="E881" s="46" t="s">
        <v>195</v>
      </c>
      <c r="F881" s="46" t="s">
        <v>353</v>
      </c>
      <c r="G881" s="46" t="s">
        <v>92</v>
      </c>
      <c r="H881" s="46" t="s">
        <v>91</v>
      </c>
      <c r="I881" s="46" t="s">
        <v>3127</v>
      </c>
      <c r="J881" s="46" t="s">
        <v>3128</v>
      </c>
      <c r="K881" s="46">
        <v>8</v>
      </c>
      <c r="L881" s="46" t="s">
        <v>1050</v>
      </c>
      <c r="M881" s="46" t="s">
        <v>200</v>
      </c>
      <c r="N881" s="46">
        <v>4</v>
      </c>
      <c r="O881" s="46" t="s">
        <v>131</v>
      </c>
      <c r="P881" s="46"/>
    </row>
    <row r="882" spans="1:16">
      <c r="A882" s="37" t="s">
        <v>3129</v>
      </c>
      <c r="B882" s="37" t="s">
        <v>1059</v>
      </c>
      <c r="C882" s="37" t="s">
        <v>307</v>
      </c>
      <c r="D882" s="37" t="s">
        <v>333</v>
      </c>
      <c r="E882" s="37" t="s">
        <v>185</v>
      </c>
      <c r="F882" s="37" t="s">
        <v>124</v>
      </c>
      <c r="G882" s="37" t="s">
        <v>101</v>
      </c>
      <c r="H882" s="37" t="s">
        <v>278</v>
      </c>
      <c r="I882" s="37" t="s">
        <v>2983</v>
      </c>
      <c r="J882" s="37" t="s">
        <v>3130</v>
      </c>
      <c r="K882" s="37">
        <v>4</v>
      </c>
      <c r="L882" s="37" t="s">
        <v>2024</v>
      </c>
      <c r="M882" s="37" t="s">
        <v>219</v>
      </c>
      <c r="N882" s="37">
        <v>4</v>
      </c>
      <c r="O882" s="37" t="s">
        <v>131</v>
      </c>
      <c r="P882" s="37"/>
    </row>
    <row r="883" spans="1:16">
      <c r="A883" s="46" t="s">
        <v>3131</v>
      </c>
      <c r="B883" s="46" t="s">
        <v>1978</v>
      </c>
      <c r="C883" s="46" t="s">
        <v>166</v>
      </c>
      <c r="D883" s="46" t="s">
        <v>194</v>
      </c>
      <c r="E883" s="46" t="s">
        <v>345</v>
      </c>
      <c r="F883" s="46" t="s">
        <v>592</v>
      </c>
      <c r="G883" s="46" t="s">
        <v>302</v>
      </c>
      <c r="H883" s="46" t="s">
        <v>126</v>
      </c>
      <c r="I883" s="46" t="s">
        <v>3132</v>
      </c>
      <c r="J883" s="46" t="s">
        <v>3133</v>
      </c>
      <c r="K883" s="46">
        <v>4</v>
      </c>
      <c r="L883" s="46" t="s">
        <v>1685</v>
      </c>
      <c r="M883" s="46" t="s">
        <v>200</v>
      </c>
      <c r="N883" s="46">
        <v>2</v>
      </c>
      <c r="O883" s="46" t="s">
        <v>131</v>
      </c>
      <c r="P883" s="46"/>
    </row>
    <row r="884" spans="1:16">
      <c r="A884" s="37" t="s">
        <v>3134</v>
      </c>
      <c r="B884" s="37" t="s">
        <v>339</v>
      </c>
      <c r="C884" s="37" t="s">
        <v>424</v>
      </c>
      <c r="D884" s="37" t="s">
        <v>213</v>
      </c>
      <c r="E884" s="37" t="s">
        <v>440</v>
      </c>
      <c r="F884" s="37" t="s">
        <v>205</v>
      </c>
      <c r="G884" s="37" t="s">
        <v>380</v>
      </c>
      <c r="H884" s="37" t="s">
        <v>126</v>
      </c>
      <c r="I884" s="37" t="s">
        <v>3135</v>
      </c>
      <c r="J884" s="37" t="s">
        <v>3136</v>
      </c>
      <c r="K884" s="37">
        <v>8</v>
      </c>
      <c r="L884" s="37" t="s">
        <v>784</v>
      </c>
      <c r="M884" s="37" t="s">
        <v>337</v>
      </c>
      <c r="N884" s="37"/>
      <c r="O884" s="37" t="s">
        <v>191</v>
      </c>
      <c r="P884" s="37" t="s">
        <v>759</v>
      </c>
    </row>
    <row r="885" spans="1:16">
      <c r="A885" s="46" t="s">
        <v>3137</v>
      </c>
      <c r="B885" s="46" t="s">
        <v>1405</v>
      </c>
      <c r="C885" s="46" t="s">
        <v>282</v>
      </c>
      <c r="D885" s="46" t="s">
        <v>37</v>
      </c>
      <c r="E885" s="46" t="s">
        <v>147</v>
      </c>
      <c r="F885" s="46" t="s">
        <v>263</v>
      </c>
      <c r="G885" s="46" t="s">
        <v>470</v>
      </c>
      <c r="H885" s="46" t="s">
        <v>91</v>
      </c>
      <c r="I885" s="46" t="s">
        <v>479</v>
      </c>
      <c r="J885" s="46" t="s">
        <v>1423</v>
      </c>
      <c r="K885" s="46">
        <v>8</v>
      </c>
      <c r="L885" s="46" t="s">
        <v>763</v>
      </c>
      <c r="M885" s="46" t="s">
        <v>117</v>
      </c>
      <c r="N885" s="46">
        <v>5</v>
      </c>
      <c r="O885" s="46" t="s">
        <v>79</v>
      </c>
      <c r="P885" s="46"/>
    </row>
    <row r="886" spans="1:16">
      <c r="A886" s="37" t="s">
        <v>3138</v>
      </c>
      <c r="B886" s="37" t="s">
        <v>1960</v>
      </c>
      <c r="C886" s="37" t="s">
        <v>307</v>
      </c>
      <c r="D886" s="37" t="s">
        <v>919</v>
      </c>
      <c r="E886" s="37" t="s">
        <v>137</v>
      </c>
      <c r="F886" s="37" t="s">
        <v>319</v>
      </c>
      <c r="G886" s="37" t="s">
        <v>51</v>
      </c>
      <c r="H886" s="37" t="s">
        <v>93</v>
      </c>
      <c r="I886" s="37" t="s">
        <v>3139</v>
      </c>
      <c r="J886" s="37" t="s">
        <v>2740</v>
      </c>
      <c r="K886" s="37">
        <v>8</v>
      </c>
      <c r="L886" s="37" t="s">
        <v>221</v>
      </c>
      <c r="M886" s="37" t="s">
        <v>219</v>
      </c>
      <c r="N886" s="37">
        <v>5</v>
      </c>
      <c r="O886" s="37" t="s">
        <v>286</v>
      </c>
      <c r="P886" s="37"/>
    </row>
    <row r="887" spans="1:16">
      <c r="A887" s="46" t="s">
        <v>3140</v>
      </c>
      <c r="B887" s="46" t="s">
        <v>3141</v>
      </c>
      <c r="C887" s="46" t="s">
        <v>566</v>
      </c>
      <c r="D887" s="46" t="s">
        <v>312</v>
      </c>
      <c r="E887" s="46" t="s">
        <v>185</v>
      </c>
      <c r="F887" s="46" t="s">
        <v>245</v>
      </c>
      <c r="G887" s="46" t="s">
        <v>257</v>
      </c>
      <c r="H887" s="46" t="s">
        <v>88</v>
      </c>
      <c r="I887" s="46" t="s">
        <v>1191</v>
      </c>
      <c r="J887" s="46" t="s">
        <v>3012</v>
      </c>
      <c r="K887" s="46">
        <v>6</v>
      </c>
      <c r="L887" s="46" t="s">
        <v>720</v>
      </c>
      <c r="M887" s="46" t="s">
        <v>105</v>
      </c>
      <c r="N887" s="46">
        <v>4</v>
      </c>
      <c r="O887" s="46" t="s">
        <v>131</v>
      </c>
      <c r="P887" s="46"/>
    </row>
    <row r="888" spans="1:16">
      <c r="A888" s="37" t="s">
        <v>3142</v>
      </c>
      <c r="B888" s="37" t="s">
        <v>1582</v>
      </c>
      <c r="C888" s="37" t="s">
        <v>91</v>
      </c>
      <c r="D888" s="37" t="s">
        <v>204</v>
      </c>
      <c r="E888" s="37" t="s">
        <v>157</v>
      </c>
      <c r="F888" s="37" t="s">
        <v>734</v>
      </c>
      <c r="G888" s="37" t="s">
        <v>197</v>
      </c>
      <c r="H888" s="37" t="s">
        <v>54</v>
      </c>
      <c r="I888" s="37" t="s">
        <v>3143</v>
      </c>
      <c r="J888" s="37" t="s">
        <v>3144</v>
      </c>
      <c r="K888" s="37">
        <v>6</v>
      </c>
      <c r="L888" s="37" t="s">
        <v>2177</v>
      </c>
      <c r="M888" s="37" t="s">
        <v>143</v>
      </c>
      <c r="N888" s="37">
        <v>2</v>
      </c>
      <c r="O888" s="37" t="s">
        <v>118</v>
      </c>
      <c r="P888" s="37"/>
    </row>
    <row r="889" spans="1:16">
      <c r="A889" s="46" t="s">
        <v>3145</v>
      </c>
      <c r="B889" s="46" t="s">
        <v>2007</v>
      </c>
      <c r="C889" s="46" t="s">
        <v>203</v>
      </c>
      <c r="D889" s="46" t="s">
        <v>213</v>
      </c>
      <c r="E889" s="46" t="s">
        <v>123</v>
      </c>
      <c r="F889" s="46" t="s">
        <v>385</v>
      </c>
      <c r="G889" s="46" t="s">
        <v>334</v>
      </c>
      <c r="H889" s="46" t="s">
        <v>32</v>
      </c>
      <c r="I889" s="46" t="s">
        <v>3146</v>
      </c>
      <c r="J889" s="46" t="s">
        <v>3147</v>
      </c>
      <c r="K889" s="46">
        <v>4</v>
      </c>
      <c r="L889" s="46" t="s">
        <v>1890</v>
      </c>
      <c r="M889" s="46" t="s">
        <v>143</v>
      </c>
      <c r="N889" s="46">
        <v>4</v>
      </c>
      <c r="O889" s="46" t="s">
        <v>118</v>
      </c>
      <c r="P889" s="46"/>
    </row>
    <row r="890" spans="1:16">
      <c r="A890" s="37" t="s">
        <v>3148</v>
      </c>
      <c r="B890" s="37" t="s">
        <v>2611</v>
      </c>
      <c r="C890" s="37" t="s">
        <v>54</v>
      </c>
      <c r="D890" s="37" t="s">
        <v>230</v>
      </c>
      <c r="E890" s="37" t="s">
        <v>185</v>
      </c>
      <c r="F890" s="37" t="s">
        <v>237</v>
      </c>
      <c r="G890" s="37" t="s">
        <v>112</v>
      </c>
      <c r="H890" s="37" t="s">
        <v>354</v>
      </c>
      <c r="I890" s="37" t="s">
        <v>3149</v>
      </c>
      <c r="J890" s="37" t="s">
        <v>3150</v>
      </c>
      <c r="K890" s="37">
        <v>6</v>
      </c>
      <c r="L890" s="37" t="s">
        <v>1304</v>
      </c>
      <c r="M890" s="37" t="s">
        <v>143</v>
      </c>
      <c r="N890" s="37">
        <v>1</v>
      </c>
      <c r="O890" s="37" t="s">
        <v>106</v>
      </c>
      <c r="P890" s="37"/>
    </row>
    <row r="891" spans="1:16">
      <c r="A891" s="46" t="s">
        <v>3151</v>
      </c>
      <c r="B891" s="46" t="s">
        <v>846</v>
      </c>
      <c r="C891" s="46" t="s">
        <v>366</v>
      </c>
      <c r="D891" s="46" t="s">
        <v>184</v>
      </c>
      <c r="E891" s="46" t="s">
        <v>244</v>
      </c>
      <c r="F891" s="46" t="s">
        <v>100</v>
      </c>
      <c r="G891" s="46" t="s">
        <v>264</v>
      </c>
      <c r="H891" s="46" t="s">
        <v>206</v>
      </c>
      <c r="I891" s="46" t="s">
        <v>57</v>
      </c>
      <c r="J891" s="46" t="s">
        <v>1280</v>
      </c>
      <c r="K891" s="46">
        <v>4</v>
      </c>
      <c r="L891" s="46" t="s">
        <v>1610</v>
      </c>
      <c r="M891" s="46" t="s">
        <v>117</v>
      </c>
      <c r="N891" s="46">
        <v>4</v>
      </c>
      <c r="O891" s="46" t="s">
        <v>118</v>
      </c>
      <c r="P891" s="46"/>
    </row>
    <row r="892" spans="1:16">
      <c r="A892" s="37" t="s">
        <v>3152</v>
      </c>
      <c r="B892" s="37" t="s">
        <v>1626</v>
      </c>
      <c r="C892" s="37" t="s">
        <v>282</v>
      </c>
      <c r="D892" s="37" t="s">
        <v>270</v>
      </c>
      <c r="E892" s="37" t="s">
        <v>42</v>
      </c>
      <c r="F892" s="37" t="s">
        <v>277</v>
      </c>
      <c r="G892" s="37" t="s">
        <v>87</v>
      </c>
      <c r="H892" s="37" t="s">
        <v>215</v>
      </c>
      <c r="I892" s="37" t="s">
        <v>1657</v>
      </c>
      <c r="J892" s="37" t="s">
        <v>1599</v>
      </c>
      <c r="K892" s="37">
        <v>6</v>
      </c>
      <c r="L892" s="37" t="s">
        <v>448</v>
      </c>
      <c r="M892" s="37" t="s">
        <v>143</v>
      </c>
      <c r="N892" s="37">
        <v>3</v>
      </c>
      <c r="O892" s="37" t="s">
        <v>118</v>
      </c>
      <c r="P892" s="37"/>
    </row>
    <row r="893" spans="1:16">
      <c r="A893" s="46" t="s">
        <v>3153</v>
      </c>
      <c r="B893" s="46" t="s">
        <v>597</v>
      </c>
      <c r="C893" s="46" t="s">
        <v>121</v>
      </c>
      <c r="D893" s="46" t="s">
        <v>919</v>
      </c>
      <c r="E893" s="46" t="s">
        <v>110</v>
      </c>
      <c r="F893" s="46" t="s">
        <v>843</v>
      </c>
      <c r="G893" s="46" t="s">
        <v>159</v>
      </c>
      <c r="H893" s="46" t="s">
        <v>93</v>
      </c>
      <c r="I893" s="46" t="s">
        <v>2352</v>
      </c>
      <c r="J893" s="46" t="s">
        <v>3154</v>
      </c>
      <c r="K893" s="46">
        <v>6</v>
      </c>
      <c r="L893" s="46" t="s">
        <v>3004</v>
      </c>
      <c r="M893" s="46" t="s">
        <v>72</v>
      </c>
      <c r="N893" s="46">
        <v>4</v>
      </c>
      <c r="O893" s="46" t="s">
        <v>106</v>
      </c>
      <c r="P893" s="46"/>
    </row>
    <row r="894" spans="1:16">
      <c r="A894" s="37" t="s">
        <v>3155</v>
      </c>
      <c r="B894" s="37" t="s">
        <v>1158</v>
      </c>
      <c r="C894" s="37" t="s">
        <v>90</v>
      </c>
      <c r="D894" s="37" t="s">
        <v>367</v>
      </c>
      <c r="E894" s="37" t="s">
        <v>440</v>
      </c>
      <c r="F894" s="37" t="s">
        <v>1701</v>
      </c>
      <c r="G894" s="37" t="s">
        <v>168</v>
      </c>
      <c r="H894" s="37" t="s">
        <v>278</v>
      </c>
      <c r="I894" s="37" t="s">
        <v>2760</v>
      </c>
      <c r="J894" s="37" t="s">
        <v>2164</v>
      </c>
      <c r="K894" s="37">
        <v>8</v>
      </c>
      <c r="L894" s="37" t="s">
        <v>1489</v>
      </c>
      <c r="M894" s="37" t="s">
        <v>172</v>
      </c>
      <c r="N894" s="37">
        <v>4</v>
      </c>
      <c r="O894" s="37" t="s">
        <v>118</v>
      </c>
      <c r="P894" s="37"/>
    </row>
    <row r="895" spans="1:16">
      <c r="A895" s="46" t="s">
        <v>3156</v>
      </c>
      <c r="B895" s="46" t="s">
        <v>851</v>
      </c>
      <c r="C895" s="46" t="s">
        <v>212</v>
      </c>
      <c r="D895" s="46" t="s">
        <v>122</v>
      </c>
      <c r="E895" s="46" t="s">
        <v>325</v>
      </c>
      <c r="F895" s="46" t="s">
        <v>425</v>
      </c>
      <c r="G895" s="46" t="s">
        <v>87</v>
      </c>
      <c r="H895" s="46" t="s">
        <v>32</v>
      </c>
      <c r="I895" s="46" t="s">
        <v>3157</v>
      </c>
      <c r="J895" s="46" t="s">
        <v>3158</v>
      </c>
      <c r="K895" s="46">
        <v>4</v>
      </c>
      <c r="L895" s="46" t="s">
        <v>2367</v>
      </c>
      <c r="M895" s="46" t="s">
        <v>200</v>
      </c>
      <c r="N895" s="46">
        <v>1</v>
      </c>
      <c r="O895" s="46" t="s">
        <v>131</v>
      </c>
      <c r="P895" s="46"/>
    </row>
    <row r="896" spans="1:16">
      <c r="A896" s="37" t="s">
        <v>3159</v>
      </c>
      <c r="B896" s="37" t="s">
        <v>1405</v>
      </c>
      <c r="C896" s="37" t="s">
        <v>307</v>
      </c>
      <c r="D896" s="37" t="s">
        <v>367</v>
      </c>
      <c r="E896" s="37" t="s">
        <v>325</v>
      </c>
      <c r="F896" s="37" t="s">
        <v>111</v>
      </c>
      <c r="G896" s="37" t="s">
        <v>92</v>
      </c>
      <c r="H896" s="37" t="s">
        <v>396</v>
      </c>
      <c r="I896" s="37" t="s">
        <v>3160</v>
      </c>
      <c r="J896" s="37" t="s">
        <v>3161</v>
      </c>
      <c r="K896" s="37">
        <v>4</v>
      </c>
      <c r="L896" s="37" t="s">
        <v>1160</v>
      </c>
      <c r="M896" s="37" t="s">
        <v>172</v>
      </c>
      <c r="N896" s="37">
        <v>4</v>
      </c>
      <c r="O896" s="37" t="s">
        <v>286</v>
      </c>
      <c r="P896" s="37"/>
    </row>
    <row r="897" spans="1:16">
      <c r="A897" s="46" t="s">
        <v>3162</v>
      </c>
      <c r="B897" s="46" t="s">
        <v>1072</v>
      </c>
      <c r="C897" s="46" t="s">
        <v>97</v>
      </c>
      <c r="D897" s="46" t="s">
        <v>146</v>
      </c>
      <c r="E897" s="46" t="s">
        <v>137</v>
      </c>
      <c r="F897" s="46" t="s">
        <v>385</v>
      </c>
      <c r="G897" s="46" t="s">
        <v>89</v>
      </c>
      <c r="H897" s="46" t="s">
        <v>278</v>
      </c>
      <c r="I897" s="46" t="s">
        <v>3163</v>
      </c>
      <c r="J897" s="46" t="s">
        <v>3164</v>
      </c>
      <c r="K897" s="46">
        <v>8</v>
      </c>
      <c r="L897" s="46" t="s">
        <v>1622</v>
      </c>
      <c r="M897" s="46" t="s">
        <v>200</v>
      </c>
      <c r="N897" s="46">
        <v>5</v>
      </c>
      <c r="O897" s="46" t="s">
        <v>152</v>
      </c>
      <c r="P897" s="46"/>
    </row>
    <row r="898" spans="1:16">
      <c r="A898" s="37" t="s">
        <v>3165</v>
      </c>
      <c r="B898" s="37" t="s">
        <v>672</v>
      </c>
      <c r="C898" s="37" t="s">
        <v>407</v>
      </c>
      <c r="D898" s="37" t="s">
        <v>223</v>
      </c>
      <c r="E898" s="37" t="s">
        <v>176</v>
      </c>
      <c r="F898" s="37" t="s">
        <v>326</v>
      </c>
      <c r="G898" s="37" t="s">
        <v>112</v>
      </c>
      <c r="H898" s="37" t="s">
        <v>113</v>
      </c>
      <c r="I898" s="37" t="s">
        <v>3166</v>
      </c>
      <c r="J898" s="37" t="s">
        <v>1687</v>
      </c>
      <c r="K898" s="37">
        <v>8</v>
      </c>
      <c r="L898" s="37" t="s">
        <v>3167</v>
      </c>
      <c r="M898" s="37" t="s">
        <v>117</v>
      </c>
      <c r="N898" s="37">
        <v>4</v>
      </c>
      <c r="O898" s="37" t="s">
        <v>131</v>
      </c>
      <c r="P898" s="37"/>
    </row>
    <row r="899" spans="1:16">
      <c r="A899" s="46" t="s">
        <v>3168</v>
      </c>
      <c r="B899" s="46" t="s">
        <v>1807</v>
      </c>
      <c r="C899" s="46" t="s">
        <v>340</v>
      </c>
      <c r="D899" s="46" t="s">
        <v>194</v>
      </c>
      <c r="E899" s="46" t="s">
        <v>110</v>
      </c>
      <c r="F899" s="46" t="s">
        <v>368</v>
      </c>
      <c r="G899" s="46" t="s">
        <v>380</v>
      </c>
      <c r="H899" s="46" t="s">
        <v>91</v>
      </c>
      <c r="I899" s="46" t="s">
        <v>3169</v>
      </c>
      <c r="J899" s="46" t="s">
        <v>3170</v>
      </c>
      <c r="K899" s="46">
        <v>6</v>
      </c>
      <c r="L899" s="46" t="s">
        <v>1175</v>
      </c>
      <c r="M899" s="46" t="s">
        <v>143</v>
      </c>
      <c r="N899" s="46">
        <v>2</v>
      </c>
      <c r="O899" s="46" t="s">
        <v>152</v>
      </c>
      <c r="P899" s="46"/>
    </row>
    <row r="900" spans="1:16">
      <c r="A900" s="37" t="s">
        <v>3171</v>
      </c>
      <c r="B900" s="37" t="s">
        <v>474</v>
      </c>
      <c r="C900" s="37" t="s">
        <v>633</v>
      </c>
      <c r="D900" s="37" t="s">
        <v>194</v>
      </c>
      <c r="E900" s="37" t="s">
        <v>440</v>
      </c>
      <c r="F900" s="37" t="s">
        <v>430</v>
      </c>
      <c r="G900" s="37" t="s">
        <v>92</v>
      </c>
      <c r="H900" s="37" t="s">
        <v>396</v>
      </c>
      <c r="I900" s="37" t="s">
        <v>3172</v>
      </c>
      <c r="J900" s="37" t="s">
        <v>1473</v>
      </c>
      <c r="K900" s="37">
        <v>8</v>
      </c>
      <c r="L900" s="37" t="s">
        <v>443</v>
      </c>
      <c r="M900" s="37" t="s">
        <v>117</v>
      </c>
      <c r="N900" s="37">
        <v>5</v>
      </c>
      <c r="O900" s="37" t="s">
        <v>191</v>
      </c>
      <c r="P900" s="37"/>
    </row>
    <row r="901" spans="1:16">
      <c r="A901" s="46" t="s">
        <v>3173</v>
      </c>
      <c r="B901" s="46" t="s">
        <v>1256</v>
      </c>
      <c r="C901" s="46" t="s">
        <v>307</v>
      </c>
      <c r="D901" s="46" t="s">
        <v>204</v>
      </c>
      <c r="E901" s="46" t="s">
        <v>123</v>
      </c>
      <c r="F901" s="46" t="s">
        <v>177</v>
      </c>
      <c r="G901" s="46" t="s">
        <v>101</v>
      </c>
      <c r="H901" s="46" t="s">
        <v>88</v>
      </c>
      <c r="I901" s="46" t="s">
        <v>558</v>
      </c>
      <c r="J901" s="46" t="s">
        <v>432</v>
      </c>
      <c r="K901" s="46">
        <v>2</v>
      </c>
      <c r="L901" s="46" t="s">
        <v>755</v>
      </c>
      <c r="M901" s="46" t="s">
        <v>219</v>
      </c>
      <c r="N901" s="46">
        <v>3</v>
      </c>
      <c r="O901" s="46" t="s">
        <v>191</v>
      </c>
      <c r="P901" s="46"/>
    </row>
    <row r="902" spans="1:16">
      <c r="A902" s="37" t="s">
        <v>3174</v>
      </c>
      <c r="B902" s="37" t="s">
        <v>1347</v>
      </c>
      <c r="C902" s="37" t="s">
        <v>166</v>
      </c>
      <c r="D902" s="37" t="s">
        <v>352</v>
      </c>
      <c r="E902" s="37" t="s">
        <v>345</v>
      </c>
      <c r="F902" s="37" t="s">
        <v>283</v>
      </c>
      <c r="G902" s="37" t="s">
        <v>89</v>
      </c>
      <c r="H902" s="37" t="s">
        <v>187</v>
      </c>
      <c r="I902" s="37" t="s">
        <v>2555</v>
      </c>
      <c r="J902" s="37" t="s">
        <v>2558</v>
      </c>
      <c r="K902" s="37">
        <v>6</v>
      </c>
      <c r="L902" s="37" t="s">
        <v>2595</v>
      </c>
      <c r="M902" s="37" t="s">
        <v>105</v>
      </c>
      <c r="N902" s="37">
        <v>4</v>
      </c>
      <c r="O902" s="37" t="s">
        <v>191</v>
      </c>
      <c r="P902" s="37"/>
    </row>
    <row r="903" spans="1:16">
      <c r="A903" s="46" t="s">
        <v>3175</v>
      </c>
      <c r="B903" s="46" t="s">
        <v>3176</v>
      </c>
      <c r="C903" s="46" t="s">
        <v>307</v>
      </c>
      <c r="D903" s="46" t="s">
        <v>270</v>
      </c>
      <c r="E903" s="46" t="s">
        <v>110</v>
      </c>
      <c r="F903" s="46" t="s">
        <v>263</v>
      </c>
      <c r="G903" s="46" t="s">
        <v>197</v>
      </c>
      <c r="H903" s="46" t="s">
        <v>327</v>
      </c>
      <c r="I903" s="46" t="s">
        <v>1633</v>
      </c>
      <c r="J903" s="46" t="s">
        <v>3177</v>
      </c>
      <c r="K903" s="46">
        <v>6</v>
      </c>
      <c r="L903" s="46" t="s">
        <v>3089</v>
      </c>
      <c r="M903" s="46" t="s">
        <v>200</v>
      </c>
      <c r="N903" s="46">
        <v>3</v>
      </c>
      <c r="O903" s="46" t="s">
        <v>118</v>
      </c>
      <c r="P903" s="46"/>
    </row>
    <row r="904" spans="1:16">
      <c r="A904" s="37" t="s">
        <v>3178</v>
      </c>
      <c r="B904" s="37" t="s">
        <v>1681</v>
      </c>
      <c r="C904" s="37" t="s">
        <v>32</v>
      </c>
      <c r="D904" s="37" t="s">
        <v>194</v>
      </c>
      <c r="E904" s="37" t="s">
        <v>325</v>
      </c>
      <c r="F904" s="37" t="s">
        <v>843</v>
      </c>
      <c r="G904" s="37" t="s">
        <v>112</v>
      </c>
      <c r="H904" s="37" t="s">
        <v>32</v>
      </c>
      <c r="I904" s="37" t="s">
        <v>3179</v>
      </c>
      <c r="J904" s="37" t="s">
        <v>3180</v>
      </c>
      <c r="K904" s="37">
        <v>2</v>
      </c>
      <c r="L904" s="37" t="s">
        <v>1475</v>
      </c>
      <c r="M904" s="37" t="s">
        <v>163</v>
      </c>
      <c r="N904" s="37">
        <v>4</v>
      </c>
      <c r="O904" s="37" t="s">
        <v>131</v>
      </c>
      <c r="P904" s="37"/>
    </row>
    <row r="905" spans="1:16">
      <c r="A905" s="46" t="s">
        <v>3181</v>
      </c>
      <c r="B905" s="46" t="s">
        <v>761</v>
      </c>
      <c r="C905" s="46" t="s">
        <v>54</v>
      </c>
      <c r="D905" s="46" t="s">
        <v>230</v>
      </c>
      <c r="E905" s="46" t="s">
        <v>123</v>
      </c>
      <c r="F905" s="46" t="s">
        <v>47</v>
      </c>
      <c r="G905" s="46" t="s">
        <v>401</v>
      </c>
      <c r="H905" s="46" t="s">
        <v>93</v>
      </c>
      <c r="I905" s="46" t="s">
        <v>3182</v>
      </c>
      <c r="J905" s="46" t="s">
        <v>640</v>
      </c>
      <c r="K905" s="46">
        <v>2</v>
      </c>
      <c r="L905" s="46" t="s">
        <v>1034</v>
      </c>
      <c r="M905" s="46" t="s">
        <v>143</v>
      </c>
      <c r="N905" s="46">
        <v>2</v>
      </c>
      <c r="O905" s="46" t="s">
        <v>191</v>
      </c>
      <c r="P905" s="46"/>
    </row>
    <row r="906" spans="1:16">
      <c r="A906" s="37" t="s">
        <v>3183</v>
      </c>
      <c r="B906" s="37" t="s">
        <v>1301</v>
      </c>
      <c r="C906" s="37" t="s">
        <v>451</v>
      </c>
      <c r="D906" s="37" t="s">
        <v>367</v>
      </c>
      <c r="E906" s="37" t="s">
        <v>185</v>
      </c>
      <c r="F906" s="37" t="s">
        <v>1701</v>
      </c>
      <c r="G906" s="37" t="s">
        <v>92</v>
      </c>
      <c r="H906" s="37" t="s">
        <v>126</v>
      </c>
      <c r="I906" s="37" t="s">
        <v>436</v>
      </c>
      <c r="J906" s="37" t="s">
        <v>170</v>
      </c>
      <c r="K906" s="37">
        <v>6</v>
      </c>
      <c r="L906" s="37" t="s">
        <v>589</v>
      </c>
      <c r="M906" s="37" t="s">
        <v>143</v>
      </c>
      <c r="N906" s="37">
        <v>5</v>
      </c>
      <c r="O906" s="37" t="s">
        <v>152</v>
      </c>
      <c r="P906" s="37"/>
    </row>
    <row r="907" spans="1:16">
      <c r="A907" s="46" t="s">
        <v>3184</v>
      </c>
      <c r="B907" s="46" t="s">
        <v>1252</v>
      </c>
      <c r="C907" s="46" t="s">
        <v>32</v>
      </c>
      <c r="D907" s="46" t="s">
        <v>213</v>
      </c>
      <c r="E907" s="46" t="s">
        <v>147</v>
      </c>
      <c r="F907" s="46" t="s">
        <v>205</v>
      </c>
      <c r="G907" s="46" t="s">
        <v>92</v>
      </c>
      <c r="H907" s="46" t="s">
        <v>126</v>
      </c>
      <c r="I907" s="46" t="s">
        <v>3185</v>
      </c>
      <c r="J907" s="46" t="s">
        <v>3186</v>
      </c>
      <c r="K907" s="46">
        <v>8</v>
      </c>
      <c r="L907" s="46" t="s">
        <v>2179</v>
      </c>
      <c r="M907" s="46" t="s">
        <v>337</v>
      </c>
      <c r="N907" s="46"/>
      <c r="O907" s="46" t="s">
        <v>152</v>
      </c>
      <c r="P907" s="46" t="s">
        <v>132</v>
      </c>
    </row>
    <row r="908" spans="1:16">
      <c r="A908" s="37" t="s">
        <v>3187</v>
      </c>
      <c r="B908" s="37" t="s">
        <v>1649</v>
      </c>
      <c r="C908" s="37" t="s">
        <v>374</v>
      </c>
      <c r="D908" s="37" t="s">
        <v>204</v>
      </c>
      <c r="E908" s="37" t="s">
        <v>185</v>
      </c>
      <c r="F908" s="37" t="s">
        <v>368</v>
      </c>
      <c r="G908" s="37" t="s">
        <v>418</v>
      </c>
      <c r="H908" s="37" t="s">
        <v>90</v>
      </c>
      <c r="I908" s="37" t="s">
        <v>3188</v>
      </c>
      <c r="J908" s="37" t="s">
        <v>3189</v>
      </c>
      <c r="K908" s="37">
        <v>4</v>
      </c>
      <c r="L908" s="37" t="s">
        <v>1175</v>
      </c>
      <c r="M908" s="37" t="s">
        <v>105</v>
      </c>
      <c r="N908" s="37">
        <v>2</v>
      </c>
      <c r="O908" s="37" t="s">
        <v>181</v>
      </c>
      <c r="P908" s="37"/>
    </row>
    <row r="909" spans="1:16">
      <c r="A909" s="46" t="s">
        <v>3190</v>
      </c>
      <c r="B909" s="46" t="s">
        <v>685</v>
      </c>
      <c r="C909" s="46" t="s">
        <v>97</v>
      </c>
      <c r="D909" s="46" t="s">
        <v>175</v>
      </c>
      <c r="E909" s="46" t="s">
        <v>123</v>
      </c>
      <c r="F909" s="46" t="s">
        <v>277</v>
      </c>
      <c r="G909" s="46" t="s">
        <v>125</v>
      </c>
      <c r="H909" s="46" t="s">
        <v>126</v>
      </c>
      <c r="I909" s="46" t="s">
        <v>160</v>
      </c>
      <c r="J909" s="46" t="s">
        <v>520</v>
      </c>
      <c r="K909" s="46">
        <v>4</v>
      </c>
      <c r="L909" s="46" t="s">
        <v>1386</v>
      </c>
      <c r="M909" s="46" t="s">
        <v>72</v>
      </c>
      <c r="N909" s="46">
        <v>2</v>
      </c>
      <c r="O909" s="46" t="s">
        <v>286</v>
      </c>
      <c r="P909" s="46"/>
    </row>
    <row r="910" spans="1:16">
      <c r="A910" s="37" t="s">
        <v>3191</v>
      </c>
      <c r="B910" s="37" t="s">
        <v>3192</v>
      </c>
      <c r="C910" s="37" t="s">
        <v>407</v>
      </c>
      <c r="D910" s="37" t="s">
        <v>352</v>
      </c>
      <c r="E910" s="37" t="s">
        <v>147</v>
      </c>
      <c r="F910" s="37" t="s">
        <v>186</v>
      </c>
      <c r="G910" s="37" t="s">
        <v>101</v>
      </c>
      <c r="H910" s="37" t="s">
        <v>187</v>
      </c>
      <c r="I910" s="37" t="s">
        <v>3193</v>
      </c>
      <c r="J910" s="37" t="s">
        <v>472</v>
      </c>
      <c r="K910" s="37">
        <v>8</v>
      </c>
      <c r="L910" s="37" t="s">
        <v>410</v>
      </c>
      <c r="M910" s="37" t="s">
        <v>172</v>
      </c>
      <c r="N910" s="37">
        <v>2</v>
      </c>
      <c r="O910" s="37" t="s">
        <v>131</v>
      </c>
      <c r="P910" s="37"/>
    </row>
    <row r="911" spans="1:16">
      <c r="A911" s="46" t="s">
        <v>3194</v>
      </c>
      <c r="B911" s="46" t="s">
        <v>1039</v>
      </c>
      <c r="C911" s="46" t="s">
        <v>251</v>
      </c>
      <c r="D911" s="46" t="s">
        <v>544</v>
      </c>
      <c r="E911" s="46" t="s">
        <v>440</v>
      </c>
      <c r="F911" s="46" t="s">
        <v>148</v>
      </c>
      <c r="G911" s="46" t="s">
        <v>264</v>
      </c>
      <c r="H911" s="46" t="s">
        <v>187</v>
      </c>
      <c r="I911" s="46" t="s">
        <v>534</v>
      </c>
      <c r="J911" s="46" t="s">
        <v>3195</v>
      </c>
      <c r="K911" s="46">
        <v>8</v>
      </c>
      <c r="L911" s="46" t="s">
        <v>1860</v>
      </c>
      <c r="M911" s="46" t="s">
        <v>117</v>
      </c>
      <c r="N911" s="46">
        <v>1</v>
      </c>
      <c r="O911" s="46" t="s">
        <v>152</v>
      </c>
      <c r="P911" s="46"/>
    </row>
    <row r="912" spans="1:16">
      <c r="A912" s="37" t="s">
        <v>3196</v>
      </c>
      <c r="B912" s="37" t="s">
        <v>1261</v>
      </c>
      <c r="C912" s="37" t="s">
        <v>88</v>
      </c>
      <c r="D912" s="37" t="s">
        <v>213</v>
      </c>
      <c r="E912" s="37" t="s">
        <v>123</v>
      </c>
      <c r="F912" s="37" t="s">
        <v>205</v>
      </c>
      <c r="G912" s="37" t="s">
        <v>197</v>
      </c>
      <c r="H912" s="37" t="s">
        <v>327</v>
      </c>
      <c r="I912" s="37" t="s">
        <v>3197</v>
      </c>
      <c r="J912" s="37" t="s">
        <v>3198</v>
      </c>
      <c r="K912" s="37">
        <v>4</v>
      </c>
      <c r="L912" s="37" t="s">
        <v>2419</v>
      </c>
      <c r="M912" s="37" t="s">
        <v>143</v>
      </c>
      <c r="N912" s="37">
        <v>3</v>
      </c>
      <c r="O912" s="37" t="s">
        <v>191</v>
      </c>
      <c r="P912" s="37"/>
    </row>
    <row r="913" spans="1:16">
      <c r="A913" s="46" t="s">
        <v>3199</v>
      </c>
      <c r="B913" s="46" t="s">
        <v>1028</v>
      </c>
      <c r="C913" s="46" t="s">
        <v>54</v>
      </c>
      <c r="D913" s="46" t="s">
        <v>204</v>
      </c>
      <c r="E913" s="46" t="s">
        <v>99</v>
      </c>
      <c r="F913" s="46" t="s">
        <v>47</v>
      </c>
      <c r="G913" s="46" t="s">
        <v>401</v>
      </c>
      <c r="H913" s="46" t="s">
        <v>54</v>
      </c>
      <c r="I913" s="46" t="s">
        <v>3200</v>
      </c>
      <c r="J913" s="46" t="s">
        <v>3201</v>
      </c>
      <c r="K913" s="46">
        <v>2</v>
      </c>
      <c r="L913" s="46" t="s">
        <v>891</v>
      </c>
      <c r="M913" s="46" t="s">
        <v>117</v>
      </c>
      <c r="N913" s="46">
        <v>4</v>
      </c>
      <c r="O913" s="46" t="s">
        <v>152</v>
      </c>
      <c r="P913" s="46"/>
    </row>
    <row r="914" spans="1:16">
      <c r="A914" s="37" t="s">
        <v>3202</v>
      </c>
      <c r="B914" s="37" t="s">
        <v>3203</v>
      </c>
      <c r="C914" s="37" t="s">
        <v>88</v>
      </c>
      <c r="D914" s="37" t="s">
        <v>544</v>
      </c>
      <c r="E914" s="37" t="s">
        <v>195</v>
      </c>
      <c r="F914" s="37" t="s">
        <v>271</v>
      </c>
      <c r="G914" s="37" t="s">
        <v>125</v>
      </c>
      <c r="H914" s="37" t="s">
        <v>396</v>
      </c>
      <c r="I914" s="37" t="s">
        <v>3204</v>
      </c>
      <c r="J914" s="37" t="s">
        <v>3205</v>
      </c>
      <c r="K914" s="37">
        <v>8</v>
      </c>
      <c r="L914" s="37" t="s">
        <v>1405</v>
      </c>
      <c r="M914" s="37" t="s">
        <v>105</v>
      </c>
      <c r="N914" s="37">
        <v>4</v>
      </c>
      <c r="O914" s="37" t="s">
        <v>191</v>
      </c>
      <c r="P914" s="37"/>
    </row>
    <row r="915" spans="1:16">
      <c r="A915" s="46" t="s">
        <v>3206</v>
      </c>
      <c r="B915" s="46" t="s">
        <v>2501</v>
      </c>
      <c r="C915" s="46" t="s">
        <v>212</v>
      </c>
      <c r="D915" s="46" t="s">
        <v>136</v>
      </c>
      <c r="E915" s="46" t="s">
        <v>137</v>
      </c>
      <c r="F915" s="46" t="s">
        <v>664</v>
      </c>
      <c r="G915" s="46" t="s">
        <v>401</v>
      </c>
      <c r="H915" s="46" t="s">
        <v>327</v>
      </c>
      <c r="I915" s="46" t="s">
        <v>2903</v>
      </c>
      <c r="J915" s="46" t="s">
        <v>3207</v>
      </c>
      <c r="K915" s="46">
        <v>8</v>
      </c>
      <c r="L915" s="46" t="s">
        <v>2132</v>
      </c>
      <c r="M915" s="46" t="s">
        <v>163</v>
      </c>
      <c r="N915" s="46">
        <v>5</v>
      </c>
      <c r="O915" s="46" t="s">
        <v>191</v>
      </c>
      <c r="P915" s="46"/>
    </row>
    <row r="916" spans="1:16">
      <c r="A916" s="37" t="s">
        <v>3208</v>
      </c>
      <c r="B916" s="37" t="s">
        <v>2773</v>
      </c>
      <c r="C916" s="37" t="s">
        <v>307</v>
      </c>
      <c r="D916" s="37" t="s">
        <v>194</v>
      </c>
      <c r="E916" s="37" t="s">
        <v>345</v>
      </c>
      <c r="F916" s="37" t="s">
        <v>205</v>
      </c>
      <c r="G916" s="37" t="s">
        <v>346</v>
      </c>
      <c r="H916" s="37" t="s">
        <v>32</v>
      </c>
      <c r="I916" s="37" t="s">
        <v>3209</v>
      </c>
      <c r="J916" s="37" t="s">
        <v>3210</v>
      </c>
      <c r="K916" s="37">
        <v>6</v>
      </c>
      <c r="L916" s="37" t="s">
        <v>1801</v>
      </c>
      <c r="M916" s="37" t="s">
        <v>200</v>
      </c>
      <c r="N916" s="37">
        <v>2</v>
      </c>
      <c r="O916" s="37" t="s">
        <v>152</v>
      </c>
      <c r="P916" s="37"/>
    </row>
    <row r="917" spans="1:16">
      <c r="A917" s="46" t="s">
        <v>3211</v>
      </c>
      <c r="B917" s="46" t="s">
        <v>781</v>
      </c>
      <c r="C917" s="46" t="s">
        <v>212</v>
      </c>
      <c r="D917" s="46" t="s">
        <v>136</v>
      </c>
      <c r="E917" s="46" t="s">
        <v>325</v>
      </c>
      <c r="F917" s="46" t="s">
        <v>283</v>
      </c>
      <c r="G917" s="46" t="s">
        <v>92</v>
      </c>
      <c r="H917" s="46" t="s">
        <v>396</v>
      </c>
      <c r="I917" s="46" t="s">
        <v>577</v>
      </c>
      <c r="J917" s="46" t="s">
        <v>442</v>
      </c>
      <c r="K917" s="46">
        <v>4</v>
      </c>
      <c r="L917" s="46" t="s">
        <v>1301</v>
      </c>
      <c r="M917" s="46" t="s">
        <v>219</v>
      </c>
      <c r="N917" s="46">
        <v>4</v>
      </c>
      <c r="O917" s="46" t="s">
        <v>191</v>
      </c>
      <c r="P917" s="46"/>
    </row>
    <row r="918" spans="1:16">
      <c r="A918" s="37" t="s">
        <v>3212</v>
      </c>
      <c r="B918" s="37" t="s">
        <v>1592</v>
      </c>
      <c r="C918" s="37" t="s">
        <v>243</v>
      </c>
      <c r="D918" s="37" t="s">
        <v>270</v>
      </c>
      <c r="E918" s="37" t="s">
        <v>110</v>
      </c>
      <c r="F918" s="37" t="s">
        <v>353</v>
      </c>
      <c r="G918" s="37" t="s">
        <v>346</v>
      </c>
      <c r="H918" s="37" t="s">
        <v>215</v>
      </c>
      <c r="I918" s="37" t="s">
        <v>3213</v>
      </c>
      <c r="J918" s="37" t="s">
        <v>3214</v>
      </c>
      <c r="K918" s="37">
        <v>6</v>
      </c>
      <c r="L918" s="37" t="s">
        <v>1739</v>
      </c>
      <c r="M918" s="37" t="s">
        <v>172</v>
      </c>
      <c r="N918" s="37">
        <v>4</v>
      </c>
      <c r="O918" s="37" t="s">
        <v>118</v>
      </c>
      <c r="P918" s="37"/>
    </row>
    <row r="919" spans="1:16">
      <c r="A919" s="46" t="s">
        <v>3215</v>
      </c>
      <c r="B919" s="46" t="s">
        <v>1901</v>
      </c>
      <c r="C919" s="46" t="s">
        <v>32</v>
      </c>
      <c r="D919" s="46" t="s">
        <v>270</v>
      </c>
      <c r="E919" s="46" t="s">
        <v>185</v>
      </c>
      <c r="F919" s="46" t="s">
        <v>326</v>
      </c>
      <c r="G919" s="46" t="s">
        <v>257</v>
      </c>
      <c r="H919" s="46" t="s">
        <v>187</v>
      </c>
      <c r="I919" s="46" t="s">
        <v>3216</v>
      </c>
      <c r="J919" s="46" t="s">
        <v>3217</v>
      </c>
      <c r="K919" s="46">
        <v>6</v>
      </c>
      <c r="L919" s="46" t="s">
        <v>2347</v>
      </c>
      <c r="M919" s="46" t="s">
        <v>172</v>
      </c>
      <c r="N919" s="46">
        <v>3</v>
      </c>
      <c r="O919" s="46" t="s">
        <v>118</v>
      </c>
      <c r="P919" s="46"/>
    </row>
    <row r="920" spans="1:16">
      <c r="A920" s="37" t="s">
        <v>3218</v>
      </c>
      <c r="B920" s="37" t="s">
        <v>412</v>
      </c>
      <c r="C920" s="37" t="s">
        <v>251</v>
      </c>
      <c r="D920" s="37" t="s">
        <v>156</v>
      </c>
      <c r="E920" s="37" t="s">
        <v>42</v>
      </c>
      <c r="F920" s="37" t="s">
        <v>319</v>
      </c>
      <c r="G920" s="37" t="s">
        <v>470</v>
      </c>
      <c r="H920" s="37" t="s">
        <v>91</v>
      </c>
      <c r="I920" s="37" t="s">
        <v>3219</v>
      </c>
      <c r="J920" s="37" t="s">
        <v>3220</v>
      </c>
      <c r="K920" s="37">
        <v>6</v>
      </c>
      <c r="L920" s="37" t="s">
        <v>579</v>
      </c>
      <c r="M920" s="37" t="s">
        <v>105</v>
      </c>
      <c r="N920" s="37">
        <v>5</v>
      </c>
      <c r="O920" s="37" t="s">
        <v>181</v>
      </c>
      <c r="P920" s="37"/>
    </row>
    <row r="921" spans="1:16">
      <c r="A921" s="46" t="s">
        <v>3221</v>
      </c>
      <c r="B921" s="46" t="s">
        <v>3011</v>
      </c>
      <c r="C921" s="46" t="s">
        <v>300</v>
      </c>
      <c r="D921" s="46" t="s">
        <v>312</v>
      </c>
      <c r="E921" s="46" t="s">
        <v>224</v>
      </c>
      <c r="F921" s="46" t="s">
        <v>205</v>
      </c>
      <c r="G921" s="46" t="s">
        <v>89</v>
      </c>
      <c r="H921" s="46" t="s">
        <v>206</v>
      </c>
      <c r="I921" s="46" t="s">
        <v>3222</v>
      </c>
      <c r="J921" s="46" t="s">
        <v>3223</v>
      </c>
      <c r="K921" s="46">
        <v>4</v>
      </c>
      <c r="L921" s="46" t="s">
        <v>2225</v>
      </c>
      <c r="M921" s="46" t="s">
        <v>172</v>
      </c>
      <c r="N921" s="46">
        <v>3</v>
      </c>
      <c r="O921" s="46" t="s">
        <v>106</v>
      </c>
      <c r="P921" s="46"/>
    </row>
    <row r="922" spans="1:16">
      <c r="A922" s="37" t="s">
        <v>3224</v>
      </c>
      <c r="B922" s="37" t="s">
        <v>183</v>
      </c>
      <c r="C922" s="37" t="s">
        <v>366</v>
      </c>
      <c r="D922" s="37" t="s">
        <v>136</v>
      </c>
      <c r="E922" s="37" t="s">
        <v>99</v>
      </c>
      <c r="F922" s="37" t="s">
        <v>353</v>
      </c>
      <c r="G922" s="37" t="s">
        <v>264</v>
      </c>
      <c r="H922" s="37" t="s">
        <v>88</v>
      </c>
      <c r="I922" s="37" t="s">
        <v>3225</v>
      </c>
      <c r="J922" s="37" t="s">
        <v>3226</v>
      </c>
      <c r="K922" s="37">
        <v>4</v>
      </c>
      <c r="L922" s="37" t="s">
        <v>518</v>
      </c>
      <c r="M922" s="37" t="s">
        <v>163</v>
      </c>
      <c r="N922" s="37">
        <v>2</v>
      </c>
      <c r="O922" s="37" t="s">
        <v>286</v>
      </c>
      <c r="P922" s="37"/>
    </row>
    <row r="923" spans="1:16">
      <c r="A923" s="46" t="s">
        <v>3227</v>
      </c>
      <c r="B923" s="46" t="s">
        <v>2462</v>
      </c>
      <c r="C923" s="46" t="s">
        <v>203</v>
      </c>
      <c r="D923" s="46" t="s">
        <v>333</v>
      </c>
      <c r="E923" s="46" t="s">
        <v>147</v>
      </c>
      <c r="F923" s="46" t="s">
        <v>177</v>
      </c>
      <c r="G923" s="46" t="s">
        <v>89</v>
      </c>
      <c r="H923" s="46" t="s">
        <v>206</v>
      </c>
      <c r="I923" s="46" t="s">
        <v>558</v>
      </c>
      <c r="J923" s="46" t="s">
        <v>530</v>
      </c>
      <c r="K923" s="46">
        <v>6</v>
      </c>
      <c r="L923" s="46" t="s">
        <v>3228</v>
      </c>
      <c r="M923" s="46" t="s">
        <v>117</v>
      </c>
      <c r="N923" s="46">
        <v>5</v>
      </c>
      <c r="O923" s="46" t="s">
        <v>118</v>
      </c>
      <c r="P923" s="46"/>
    </row>
    <row r="924" spans="1:16">
      <c r="A924" s="37" t="s">
        <v>3229</v>
      </c>
      <c r="B924" s="37" t="s">
        <v>564</v>
      </c>
      <c r="C924" s="37" t="s">
        <v>566</v>
      </c>
      <c r="D924" s="37" t="s">
        <v>352</v>
      </c>
      <c r="E924" s="37" t="s">
        <v>157</v>
      </c>
      <c r="F924" s="37" t="s">
        <v>368</v>
      </c>
      <c r="G924" s="37" t="s">
        <v>418</v>
      </c>
      <c r="H924" s="37" t="s">
        <v>93</v>
      </c>
      <c r="I924" s="37" t="s">
        <v>2769</v>
      </c>
      <c r="J924" s="37" t="s">
        <v>3230</v>
      </c>
      <c r="K924" s="37">
        <v>4</v>
      </c>
      <c r="L924" s="37" t="s">
        <v>1294</v>
      </c>
      <c r="M924" s="37" t="s">
        <v>219</v>
      </c>
      <c r="N924" s="37">
        <v>5</v>
      </c>
      <c r="O924" s="37" t="s">
        <v>79</v>
      </c>
      <c r="P924" s="37"/>
    </row>
    <row r="925" spans="1:16">
      <c r="A925" s="46" t="s">
        <v>3231</v>
      </c>
      <c r="B925" s="46" t="s">
        <v>877</v>
      </c>
      <c r="C925" s="46" t="s">
        <v>212</v>
      </c>
      <c r="D925" s="46" t="s">
        <v>37</v>
      </c>
      <c r="E925" s="46" t="s">
        <v>195</v>
      </c>
      <c r="F925" s="46" t="s">
        <v>47</v>
      </c>
      <c r="G925" s="46" t="s">
        <v>334</v>
      </c>
      <c r="H925" s="46" t="s">
        <v>113</v>
      </c>
      <c r="I925" s="46" t="s">
        <v>1788</v>
      </c>
      <c r="J925" s="46" t="s">
        <v>3232</v>
      </c>
      <c r="K925" s="46">
        <v>8</v>
      </c>
      <c r="L925" s="46" t="s">
        <v>379</v>
      </c>
      <c r="M925" s="46" t="s">
        <v>200</v>
      </c>
      <c r="N925" s="46">
        <v>4</v>
      </c>
      <c r="O925" s="46" t="s">
        <v>106</v>
      </c>
      <c r="P925" s="46"/>
    </row>
    <row r="926" spans="1:16">
      <c r="A926" s="37" t="s">
        <v>3233</v>
      </c>
      <c r="B926" s="37" t="s">
        <v>763</v>
      </c>
      <c r="C926" s="37" t="s">
        <v>203</v>
      </c>
      <c r="D926" s="37" t="s">
        <v>919</v>
      </c>
      <c r="E926" s="37" t="s">
        <v>123</v>
      </c>
      <c r="F926" s="37" t="s">
        <v>385</v>
      </c>
      <c r="G926" s="37" t="s">
        <v>470</v>
      </c>
      <c r="H926" s="37" t="s">
        <v>396</v>
      </c>
      <c r="I926" s="37" t="s">
        <v>3234</v>
      </c>
      <c r="J926" s="37" t="s">
        <v>3235</v>
      </c>
      <c r="K926" s="37">
        <v>4</v>
      </c>
      <c r="L926" s="37" t="s">
        <v>1034</v>
      </c>
      <c r="M926" s="37" t="s">
        <v>105</v>
      </c>
      <c r="N926" s="37">
        <v>1</v>
      </c>
      <c r="O926" s="37" t="s">
        <v>106</v>
      </c>
      <c r="P926" s="37"/>
    </row>
    <row r="927" spans="1:16">
      <c r="A927" s="46" t="s">
        <v>3236</v>
      </c>
      <c r="B927" s="46" t="s">
        <v>1343</v>
      </c>
      <c r="C927" s="46" t="s">
        <v>135</v>
      </c>
      <c r="D927" s="46" t="s">
        <v>146</v>
      </c>
      <c r="E927" s="46" t="s">
        <v>244</v>
      </c>
      <c r="F927" s="46" t="s">
        <v>582</v>
      </c>
      <c r="G927" s="46" t="s">
        <v>51</v>
      </c>
      <c r="H927" s="46" t="s">
        <v>93</v>
      </c>
      <c r="I927" s="46" t="s">
        <v>3237</v>
      </c>
      <c r="J927" s="46" t="s">
        <v>3238</v>
      </c>
      <c r="K927" s="46">
        <v>4</v>
      </c>
      <c r="L927" s="46" t="s">
        <v>1814</v>
      </c>
      <c r="M927" s="46" t="s">
        <v>143</v>
      </c>
      <c r="N927" s="46">
        <v>3</v>
      </c>
      <c r="O927" s="46" t="s">
        <v>152</v>
      </c>
      <c r="P927" s="46"/>
    </row>
    <row r="928" spans="1:16">
      <c r="A928" s="37" t="s">
        <v>3239</v>
      </c>
      <c r="B928" s="37" t="s">
        <v>1864</v>
      </c>
      <c r="C928" s="37" t="s">
        <v>366</v>
      </c>
      <c r="D928" s="37" t="s">
        <v>37</v>
      </c>
      <c r="E928" s="37" t="s">
        <v>195</v>
      </c>
      <c r="F928" s="37" t="s">
        <v>271</v>
      </c>
      <c r="G928" s="37" t="s">
        <v>346</v>
      </c>
      <c r="H928" s="37" t="s">
        <v>32</v>
      </c>
      <c r="I928" s="37" t="s">
        <v>3240</v>
      </c>
      <c r="J928" s="37" t="s">
        <v>2408</v>
      </c>
      <c r="K928" s="37">
        <v>8</v>
      </c>
      <c r="L928" s="37" t="s">
        <v>899</v>
      </c>
      <c r="M928" s="37" t="s">
        <v>117</v>
      </c>
      <c r="N928" s="37">
        <v>5</v>
      </c>
      <c r="O928" s="37" t="s">
        <v>131</v>
      </c>
      <c r="P928" s="37"/>
    </row>
    <row r="929" spans="1:16">
      <c r="A929" s="46" t="s">
        <v>3241</v>
      </c>
      <c r="B929" s="46" t="s">
        <v>3030</v>
      </c>
      <c r="C929" s="46" t="s">
        <v>203</v>
      </c>
      <c r="D929" s="46" t="s">
        <v>156</v>
      </c>
      <c r="E929" s="46" t="s">
        <v>224</v>
      </c>
      <c r="F929" s="46" t="s">
        <v>148</v>
      </c>
      <c r="G929" s="46" t="s">
        <v>334</v>
      </c>
      <c r="H929" s="46" t="s">
        <v>215</v>
      </c>
      <c r="I929" s="46" t="s">
        <v>1752</v>
      </c>
      <c r="J929" s="46" t="s">
        <v>3242</v>
      </c>
      <c r="K929" s="46">
        <v>4</v>
      </c>
      <c r="L929" s="46" t="s">
        <v>285</v>
      </c>
      <c r="M929" s="46" t="s">
        <v>117</v>
      </c>
      <c r="N929" s="46">
        <v>1</v>
      </c>
      <c r="O929" s="46" t="s">
        <v>191</v>
      </c>
      <c r="P929" s="46"/>
    </row>
    <row r="930" spans="1:16">
      <c r="A930" s="37" t="s">
        <v>3243</v>
      </c>
      <c r="B930" s="37" t="s">
        <v>702</v>
      </c>
      <c r="C930" s="37" t="s">
        <v>91</v>
      </c>
      <c r="D930" s="37" t="s">
        <v>333</v>
      </c>
      <c r="E930" s="37" t="s">
        <v>224</v>
      </c>
      <c r="F930" s="37" t="s">
        <v>458</v>
      </c>
      <c r="G930" s="37" t="s">
        <v>401</v>
      </c>
      <c r="H930" s="37" t="s">
        <v>327</v>
      </c>
      <c r="I930" s="37" t="s">
        <v>1989</v>
      </c>
      <c r="J930" s="37" t="s">
        <v>3244</v>
      </c>
      <c r="K930" s="37">
        <v>4</v>
      </c>
      <c r="L930" s="37" t="s">
        <v>145</v>
      </c>
      <c r="M930" s="37" t="s">
        <v>200</v>
      </c>
      <c r="N930" s="37">
        <v>3</v>
      </c>
      <c r="O930" s="37" t="s">
        <v>79</v>
      </c>
      <c r="P930" s="37"/>
    </row>
    <row r="931" spans="1:16">
      <c r="A931" s="46" t="s">
        <v>3245</v>
      </c>
      <c r="B931" s="46" t="s">
        <v>322</v>
      </c>
      <c r="C931" s="46" t="s">
        <v>633</v>
      </c>
      <c r="D931" s="46" t="s">
        <v>352</v>
      </c>
      <c r="E931" s="46" t="s">
        <v>224</v>
      </c>
      <c r="F931" s="46" t="s">
        <v>271</v>
      </c>
      <c r="G931" s="46" t="s">
        <v>197</v>
      </c>
      <c r="H931" s="46" t="s">
        <v>54</v>
      </c>
      <c r="I931" s="46" t="s">
        <v>3246</v>
      </c>
      <c r="J931" s="46" t="s">
        <v>530</v>
      </c>
      <c r="K931" s="46">
        <v>2</v>
      </c>
      <c r="L931" s="46" t="s">
        <v>2670</v>
      </c>
      <c r="M931" s="46" t="s">
        <v>117</v>
      </c>
      <c r="N931" s="46">
        <v>4</v>
      </c>
      <c r="O931" s="46" t="s">
        <v>131</v>
      </c>
      <c r="P931" s="46"/>
    </row>
    <row r="932" spans="1:16">
      <c r="A932" s="37" t="s">
        <v>3247</v>
      </c>
      <c r="B932" s="37" t="s">
        <v>2057</v>
      </c>
      <c r="C932" s="37" t="s">
        <v>340</v>
      </c>
      <c r="D932" s="37" t="s">
        <v>37</v>
      </c>
      <c r="E932" s="37" t="s">
        <v>195</v>
      </c>
      <c r="F932" s="37" t="s">
        <v>237</v>
      </c>
      <c r="G932" s="37" t="s">
        <v>125</v>
      </c>
      <c r="H932" s="37" t="s">
        <v>126</v>
      </c>
      <c r="I932" s="37" t="s">
        <v>3248</v>
      </c>
      <c r="J932" s="37" t="s">
        <v>3249</v>
      </c>
      <c r="K932" s="37">
        <v>8</v>
      </c>
      <c r="L932" s="37" t="s">
        <v>652</v>
      </c>
      <c r="M932" s="37" t="s">
        <v>624</v>
      </c>
      <c r="N932" s="37"/>
      <c r="O932" s="37" t="s">
        <v>106</v>
      </c>
      <c r="P932" s="37" t="s">
        <v>83</v>
      </c>
    </row>
    <row r="933" spans="1:16">
      <c r="A933" s="46" t="s">
        <v>3250</v>
      </c>
      <c r="B933" s="46" t="s">
        <v>2840</v>
      </c>
      <c r="C933" s="46" t="s">
        <v>88</v>
      </c>
      <c r="D933" s="46" t="s">
        <v>213</v>
      </c>
      <c r="E933" s="46" t="s">
        <v>137</v>
      </c>
      <c r="F933" s="46" t="s">
        <v>843</v>
      </c>
      <c r="G933" s="46" t="s">
        <v>168</v>
      </c>
      <c r="H933" s="46" t="s">
        <v>278</v>
      </c>
      <c r="I933" s="46" t="s">
        <v>3251</v>
      </c>
      <c r="J933" s="46" t="s">
        <v>3252</v>
      </c>
      <c r="K933" s="46">
        <v>6</v>
      </c>
      <c r="L933" s="46" t="s">
        <v>274</v>
      </c>
      <c r="M933" s="46" t="s">
        <v>163</v>
      </c>
      <c r="N933" s="46">
        <v>5</v>
      </c>
      <c r="O933" s="46" t="s">
        <v>152</v>
      </c>
      <c r="P933" s="46"/>
    </row>
    <row r="934" spans="1:16">
      <c r="A934" s="37" t="s">
        <v>3253</v>
      </c>
      <c r="B934" s="37" t="s">
        <v>1001</v>
      </c>
      <c r="C934" s="37" t="s">
        <v>424</v>
      </c>
      <c r="D934" s="37" t="s">
        <v>367</v>
      </c>
      <c r="E934" s="37" t="s">
        <v>110</v>
      </c>
      <c r="F934" s="37" t="s">
        <v>186</v>
      </c>
      <c r="G934" s="37" t="s">
        <v>87</v>
      </c>
      <c r="H934" s="37" t="s">
        <v>32</v>
      </c>
      <c r="I934" s="37" t="s">
        <v>493</v>
      </c>
      <c r="J934" s="37" t="s">
        <v>3254</v>
      </c>
      <c r="K934" s="37">
        <v>6</v>
      </c>
      <c r="L934" s="37" t="s">
        <v>1377</v>
      </c>
      <c r="M934" s="37" t="s">
        <v>105</v>
      </c>
      <c r="N934" s="37">
        <v>5</v>
      </c>
      <c r="O934" s="37" t="s">
        <v>152</v>
      </c>
      <c r="P934" s="37"/>
    </row>
    <row r="935" spans="1:16">
      <c r="A935" s="46" t="s">
        <v>3255</v>
      </c>
      <c r="B935" s="46" t="s">
        <v>1823</v>
      </c>
      <c r="C935" s="46" t="s">
        <v>109</v>
      </c>
      <c r="D935" s="46" t="s">
        <v>367</v>
      </c>
      <c r="E935" s="46" t="s">
        <v>325</v>
      </c>
      <c r="F935" s="46" t="s">
        <v>301</v>
      </c>
      <c r="G935" s="46" t="s">
        <v>401</v>
      </c>
      <c r="H935" s="46" t="s">
        <v>54</v>
      </c>
      <c r="I935" s="46" t="s">
        <v>2090</v>
      </c>
      <c r="J935" s="46" t="s">
        <v>3256</v>
      </c>
      <c r="K935" s="46">
        <v>4</v>
      </c>
      <c r="L935" s="46" t="s">
        <v>3257</v>
      </c>
      <c r="M935" s="46" t="s">
        <v>200</v>
      </c>
      <c r="N935" s="46">
        <v>4</v>
      </c>
      <c r="O935" s="46" t="s">
        <v>152</v>
      </c>
      <c r="P935" s="46"/>
    </row>
    <row r="936" spans="1:16">
      <c r="A936" s="37" t="s">
        <v>3258</v>
      </c>
      <c r="B936" s="37" t="s">
        <v>808</v>
      </c>
      <c r="C936" s="37" t="s">
        <v>203</v>
      </c>
      <c r="D936" s="37" t="s">
        <v>136</v>
      </c>
      <c r="E936" s="37" t="s">
        <v>110</v>
      </c>
      <c r="F936" s="37" t="s">
        <v>385</v>
      </c>
      <c r="G936" s="37" t="s">
        <v>112</v>
      </c>
      <c r="H936" s="37" t="s">
        <v>32</v>
      </c>
      <c r="I936" s="37" t="s">
        <v>3259</v>
      </c>
      <c r="J936" s="37" t="s">
        <v>3260</v>
      </c>
      <c r="K936" s="37">
        <v>6</v>
      </c>
      <c r="L936" s="37" t="s">
        <v>162</v>
      </c>
      <c r="M936" s="37" t="s">
        <v>337</v>
      </c>
      <c r="N936" s="37"/>
      <c r="O936" s="37" t="s">
        <v>191</v>
      </c>
      <c r="P936" s="37" t="s">
        <v>759</v>
      </c>
    </row>
    <row r="937" spans="1:16">
      <c r="A937" s="46" t="s">
        <v>3261</v>
      </c>
      <c r="B937" s="46" t="s">
        <v>933</v>
      </c>
      <c r="C937" s="46" t="s">
        <v>54</v>
      </c>
      <c r="D937" s="46" t="s">
        <v>98</v>
      </c>
      <c r="E937" s="46" t="s">
        <v>137</v>
      </c>
      <c r="F937" s="46" t="s">
        <v>498</v>
      </c>
      <c r="G937" s="46" t="s">
        <v>346</v>
      </c>
      <c r="H937" s="46" t="s">
        <v>32</v>
      </c>
      <c r="I937" s="46" t="s">
        <v>1057</v>
      </c>
      <c r="J937" s="46" t="s">
        <v>3262</v>
      </c>
      <c r="K937" s="46">
        <v>8</v>
      </c>
      <c r="L937" s="46" t="s">
        <v>1550</v>
      </c>
      <c r="M937" s="46" t="s">
        <v>817</v>
      </c>
      <c r="N937" s="46"/>
      <c r="O937" s="46" t="s">
        <v>79</v>
      </c>
      <c r="P937" s="46" t="s">
        <v>818</v>
      </c>
    </row>
    <row r="938" spans="1:16">
      <c r="A938" s="37" t="s">
        <v>3263</v>
      </c>
      <c r="B938" s="37" t="s">
        <v>1610</v>
      </c>
      <c r="C938" s="37" t="s">
        <v>155</v>
      </c>
      <c r="D938" s="37" t="s">
        <v>156</v>
      </c>
      <c r="E938" s="37" t="s">
        <v>147</v>
      </c>
      <c r="F938" s="37" t="s">
        <v>283</v>
      </c>
      <c r="G938" s="37" t="s">
        <v>346</v>
      </c>
      <c r="H938" s="37" t="s">
        <v>215</v>
      </c>
      <c r="I938" s="37" t="s">
        <v>3264</v>
      </c>
      <c r="J938" s="37" t="s">
        <v>1724</v>
      </c>
      <c r="K938" s="37">
        <v>8</v>
      </c>
      <c r="L938" s="37" t="s">
        <v>699</v>
      </c>
      <c r="M938" s="37" t="s">
        <v>172</v>
      </c>
      <c r="N938" s="37">
        <v>3</v>
      </c>
      <c r="O938" s="37" t="s">
        <v>131</v>
      </c>
      <c r="P938" s="37"/>
    </row>
    <row r="939" spans="1:16">
      <c r="A939" s="46" t="s">
        <v>3265</v>
      </c>
      <c r="B939" s="46" t="s">
        <v>1164</v>
      </c>
      <c r="C939" s="46" t="s">
        <v>407</v>
      </c>
      <c r="D939" s="46" t="s">
        <v>544</v>
      </c>
      <c r="E939" s="46" t="s">
        <v>147</v>
      </c>
      <c r="F939" s="46" t="s">
        <v>319</v>
      </c>
      <c r="G939" s="46" t="s">
        <v>139</v>
      </c>
      <c r="H939" s="46" t="s">
        <v>215</v>
      </c>
      <c r="I939" s="46" t="s">
        <v>1808</v>
      </c>
      <c r="J939" s="46" t="s">
        <v>3266</v>
      </c>
      <c r="K939" s="46">
        <v>8</v>
      </c>
      <c r="L939" s="46" t="s">
        <v>808</v>
      </c>
      <c r="M939" s="46" t="s">
        <v>624</v>
      </c>
      <c r="N939" s="46"/>
      <c r="O939" s="46" t="s">
        <v>106</v>
      </c>
      <c r="P939" s="46" t="s">
        <v>83</v>
      </c>
    </row>
    <row r="940" spans="1:16">
      <c r="A940" s="37" t="s">
        <v>3267</v>
      </c>
      <c r="B940" s="37" t="s">
        <v>3268</v>
      </c>
      <c r="C940" s="37" t="s">
        <v>340</v>
      </c>
      <c r="D940" s="37" t="s">
        <v>122</v>
      </c>
      <c r="E940" s="37" t="s">
        <v>110</v>
      </c>
      <c r="F940" s="37" t="s">
        <v>430</v>
      </c>
      <c r="G940" s="37" t="s">
        <v>112</v>
      </c>
      <c r="H940" s="37" t="s">
        <v>113</v>
      </c>
      <c r="I940" s="37" t="s">
        <v>1633</v>
      </c>
      <c r="J940" s="37" t="s">
        <v>530</v>
      </c>
      <c r="K940" s="37">
        <v>4</v>
      </c>
      <c r="L940" s="37" t="s">
        <v>2219</v>
      </c>
      <c r="M940" s="37" t="s">
        <v>143</v>
      </c>
      <c r="N940" s="37">
        <v>1</v>
      </c>
      <c r="O940" s="37" t="s">
        <v>191</v>
      </c>
      <c r="P940" s="37"/>
    </row>
    <row r="941" spans="1:16">
      <c r="A941" s="46" t="s">
        <v>3269</v>
      </c>
      <c r="B941" s="46" t="s">
        <v>2531</v>
      </c>
      <c r="C941" s="46" t="s">
        <v>407</v>
      </c>
      <c r="D941" s="46" t="s">
        <v>213</v>
      </c>
      <c r="E941" s="46" t="s">
        <v>195</v>
      </c>
      <c r="F941" s="46" t="s">
        <v>301</v>
      </c>
      <c r="G941" s="46" t="s">
        <v>346</v>
      </c>
      <c r="H941" s="46" t="s">
        <v>354</v>
      </c>
      <c r="I941" s="46" t="s">
        <v>3270</v>
      </c>
      <c r="J941" s="46" t="s">
        <v>3271</v>
      </c>
      <c r="K941" s="46">
        <v>8</v>
      </c>
      <c r="L941" s="46" t="s">
        <v>1597</v>
      </c>
      <c r="M941" s="46" t="s">
        <v>72</v>
      </c>
      <c r="N941" s="46">
        <v>1</v>
      </c>
      <c r="O941" s="46" t="s">
        <v>191</v>
      </c>
      <c r="P941" s="46"/>
    </row>
    <row r="942" spans="1:16">
      <c r="A942" s="37" t="s">
        <v>3272</v>
      </c>
      <c r="B942" s="37" t="s">
        <v>1544</v>
      </c>
      <c r="C942" s="37" t="s">
        <v>203</v>
      </c>
      <c r="D942" s="37" t="s">
        <v>213</v>
      </c>
      <c r="E942" s="37" t="s">
        <v>147</v>
      </c>
      <c r="F942" s="37" t="s">
        <v>177</v>
      </c>
      <c r="G942" s="37" t="s">
        <v>257</v>
      </c>
      <c r="H942" s="37" t="s">
        <v>88</v>
      </c>
      <c r="I942" s="37" t="s">
        <v>2226</v>
      </c>
      <c r="J942" s="37" t="s">
        <v>161</v>
      </c>
      <c r="K942" s="37">
        <v>6</v>
      </c>
      <c r="L942" s="37" t="s">
        <v>165</v>
      </c>
      <c r="M942" s="37" t="s">
        <v>105</v>
      </c>
      <c r="N942" s="37">
        <v>5</v>
      </c>
      <c r="O942" s="37" t="s">
        <v>79</v>
      </c>
      <c r="P942" s="37"/>
    </row>
    <row r="943" spans="1:16">
      <c r="A943" s="46" t="s">
        <v>3273</v>
      </c>
      <c r="B943" s="46" t="s">
        <v>383</v>
      </c>
      <c r="C943" s="46" t="s">
        <v>93</v>
      </c>
      <c r="D943" s="46" t="s">
        <v>156</v>
      </c>
      <c r="E943" s="46" t="s">
        <v>157</v>
      </c>
      <c r="F943" s="46" t="s">
        <v>533</v>
      </c>
      <c r="G943" s="46" t="s">
        <v>87</v>
      </c>
      <c r="H943" s="46" t="s">
        <v>215</v>
      </c>
      <c r="I943" s="46" t="s">
        <v>509</v>
      </c>
      <c r="J943" s="46" t="s">
        <v>3084</v>
      </c>
      <c r="K943" s="46">
        <v>6</v>
      </c>
      <c r="L943" s="46" t="s">
        <v>2349</v>
      </c>
      <c r="M943" s="46" t="s">
        <v>72</v>
      </c>
      <c r="N943" s="46">
        <v>1</v>
      </c>
      <c r="O943" s="46" t="s">
        <v>106</v>
      </c>
      <c r="P943" s="46"/>
    </row>
    <row r="944" spans="1:16">
      <c r="A944" s="37" t="s">
        <v>3274</v>
      </c>
      <c r="B944" s="37" t="s">
        <v>1716</v>
      </c>
      <c r="C944" s="37" t="s">
        <v>109</v>
      </c>
      <c r="D944" s="37" t="s">
        <v>333</v>
      </c>
      <c r="E944" s="37" t="s">
        <v>147</v>
      </c>
      <c r="F944" s="37" t="s">
        <v>360</v>
      </c>
      <c r="G944" s="37" t="s">
        <v>139</v>
      </c>
      <c r="H944" s="37" t="s">
        <v>354</v>
      </c>
      <c r="I944" s="37" t="s">
        <v>2736</v>
      </c>
      <c r="J944" s="37" t="s">
        <v>3275</v>
      </c>
      <c r="K944" s="37">
        <v>8</v>
      </c>
      <c r="L944" s="37" t="s">
        <v>3036</v>
      </c>
      <c r="M944" s="37" t="s">
        <v>200</v>
      </c>
      <c r="N944" s="37">
        <v>1</v>
      </c>
      <c r="O944" s="37" t="s">
        <v>191</v>
      </c>
      <c r="P944" s="37"/>
    </row>
    <row r="945" spans="1:16">
      <c r="A945" s="46" t="s">
        <v>3276</v>
      </c>
      <c r="B945" s="46" t="s">
        <v>694</v>
      </c>
      <c r="C945" s="46" t="s">
        <v>93</v>
      </c>
      <c r="D945" s="46" t="s">
        <v>37</v>
      </c>
      <c r="E945" s="46" t="s">
        <v>137</v>
      </c>
      <c r="F945" s="46" t="s">
        <v>245</v>
      </c>
      <c r="G945" s="46" t="s">
        <v>197</v>
      </c>
      <c r="H945" s="46" t="s">
        <v>54</v>
      </c>
      <c r="I945" s="46" t="s">
        <v>3277</v>
      </c>
      <c r="J945" s="46" t="s">
        <v>3278</v>
      </c>
      <c r="K945" s="46">
        <v>8</v>
      </c>
      <c r="L945" s="46" t="s">
        <v>1768</v>
      </c>
      <c r="M945" s="46" t="s">
        <v>172</v>
      </c>
      <c r="N945" s="46">
        <v>5</v>
      </c>
      <c r="O945" s="46" t="s">
        <v>118</v>
      </c>
      <c r="P945" s="46"/>
    </row>
    <row r="946" spans="1:16">
      <c r="A946" s="37" t="s">
        <v>3279</v>
      </c>
      <c r="B946" s="37" t="s">
        <v>199</v>
      </c>
      <c r="C946" s="37" t="s">
        <v>174</v>
      </c>
      <c r="D946" s="37" t="s">
        <v>270</v>
      </c>
      <c r="E946" s="37" t="s">
        <v>244</v>
      </c>
      <c r="F946" s="37" t="s">
        <v>186</v>
      </c>
      <c r="G946" s="37" t="s">
        <v>159</v>
      </c>
      <c r="H946" s="37" t="s">
        <v>90</v>
      </c>
      <c r="I946" s="37" t="s">
        <v>3280</v>
      </c>
      <c r="J946" s="37" t="s">
        <v>1930</v>
      </c>
      <c r="K946" s="37">
        <v>4</v>
      </c>
      <c r="L946" s="37" t="s">
        <v>936</v>
      </c>
      <c r="M946" s="37" t="s">
        <v>219</v>
      </c>
      <c r="N946" s="37">
        <v>4</v>
      </c>
      <c r="O946" s="37" t="s">
        <v>191</v>
      </c>
      <c r="P946" s="37"/>
    </row>
    <row r="947" spans="1:16">
      <c r="A947" s="46" t="s">
        <v>3281</v>
      </c>
      <c r="B947" s="46" t="s">
        <v>1409</v>
      </c>
      <c r="C947" s="46" t="s">
        <v>203</v>
      </c>
      <c r="D947" s="46" t="s">
        <v>98</v>
      </c>
      <c r="E947" s="46" t="s">
        <v>99</v>
      </c>
      <c r="F947" s="46" t="s">
        <v>205</v>
      </c>
      <c r="G947" s="46" t="s">
        <v>89</v>
      </c>
      <c r="H947" s="46" t="s">
        <v>88</v>
      </c>
      <c r="I947" s="46" t="s">
        <v>3282</v>
      </c>
      <c r="J947" s="46" t="s">
        <v>3283</v>
      </c>
      <c r="K947" s="46">
        <v>2</v>
      </c>
      <c r="L947" s="46" t="s">
        <v>1619</v>
      </c>
      <c r="M947" s="46" t="s">
        <v>105</v>
      </c>
      <c r="N947" s="46">
        <v>5</v>
      </c>
      <c r="O947" s="46" t="s">
        <v>286</v>
      </c>
      <c r="P947" s="46"/>
    </row>
    <row r="948" spans="1:16">
      <c r="A948" s="37" t="s">
        <v>3284</v>
      </c>
      <c r="B948" s="37" t="s">
        <v>3192</v>
      </c>
      <c r="C948" s="37" t="s">
        <v>88</v>
      </c>
      <c r="D948" s="37" t="s">
        <v>156</v>
      </c>
      <c r="E948" s="37" t="s">
        <v>110</v>
      </c>
      <c r="F948" s="37" t="s">
        <v>353</v>
      </c>
      <c r="G948" s="37" t="s">
        <v>125</v>
      </c>
      <c r="H948" s="37" t="s">
        <v>126</v>
      </c>
      <c r="I948" s="37" t="s">
        <v>3285</v>
      </c>
      <c r="J948" s="37" t="s">
        <v>348</v>
      </c>
      <c r="K948" s="37">
        <v>6</v>
      </c>
      <c r="L948" s="37" t="s">
        <v>410</v>
      </c>
      <c r="M948" s="37" t="s">
        <v>72</v>
      </c>
      <c r="N948" s="37">
        <v>4</v>
      </c>
      <c r="O948" s="37" t="s">
        <v>106</v>
      </c>
      <c r="P948" s="37"/>
    </row>
    <row r="949" spans="1:16">
      <c r="A949" s="46" t="s">
        <v>3286</v>
      </c>
      <c r="B949" s="46" t="s">
        <v>120</v>
      </c>
      <c r="C949" s="46" t="s">
        <v>109</v>
      </c>
      <c r="D949" s="46" t="s">
        <v>98</v>
      </c>
      <c r="E949" s="46" t="s">
        <v>345</v>
      </c>
      <c r="F949" s="46" t="s">
        <v>301</v>
      </c>
      <c r="G949" s="46" t="s">
        <v>168</v>
      </c>
      <c r="H949" s="46" t="s">
        <v>88</v>
      </c>
      <c r="I949" s="46" t="s">
        <v>2300</v>
      </c>
      <c r="J949" s="46" t="s">
        <v>3287</v>
      </c>
      <c r="K949" s="46">
        <v>4</v>
      </c>
      <c r="L949" s="46" t="s">
        <v>1361</v>
      </c>
      <c r="M949" s="46" t="s">
        <v>105</v>
      </c>
      <c r="N949" s="46">
        <v>5</v>
      </c>
      <c r="O949" s="46" t="s">
        <v>118</v>
      </c>
      <c r="P949" s="46"/>
    </row>
    <row r="950" spans="1:16">
      <c r="A950" s="37" t="s">
        <v>3288</v>
      </c>
      <c r="B950" s="37" t="s">
        <v>902</v>
      </c>
      <c r="C950" s="37" t="s">
        <v>109</v>
      </c>
      <c r="D950" s="37" t="s">
        <v>122</v>
      </c>
      <c r="E950" s="37" t="s">
        <v>42</v>
      </c>
      <c r="F950" s="37" t="s">
        <v>498</v>
      </c>
      <c r="G950" s="37" t="s">
        <v>168</v>
      </c>
      <c r="H950" s="37" t="s">
        <v>187</v>
      </c>
      <c r="I950" s="37" t="s">
        <v>3289</v>
      </c>
      <c r="J950" s="37" t="s">
        <v>170</v>
      </c>
      <c r="K950" s="37">
        <v>4</v>
      </c>
      <c r="L950" s="37" t="s">
        <v>1021</v>
      </c>
      <c r="M950" s="37" t="s">
        <v>200</v>
      </c>
      <c r="N950" s="37">
        <v>2</v>
      </c>
      <c r="O950" s="37" t="s">
        <v>118</v>
      </c>
      <c r="P950" s="37"/>
    </row>
    <row r="951" spans="1:16">
      <c r="A951" s="46" t="s">
        <v>3290</v>
      </c>
      <c r="B951" s="46" t="s">
        <v>3291</v>
      </c>
      <c r="C951" s="46" t="s">
        <v>424</v>
      </c>
      <c r="D951" s="46" t="s">
        <v>367</v>
      </c>
      <c r="E951" s="46" t="s">
        <v>244</v>
      </c>
      <c r="F951" s="46" t="s">
        <v>277</v>
      </c>
      <c r="G951" s="46" t="s">
        <v>168</v>
      </c>
      <c r="H951" s="46" t="s">
        <v>187</v>
      </c>
      <c r="I951" s="46" t="s">
        <v>1382</v>
      </c>
      <c r="J951" s="46" t="s">
        <v>3292</v>
      </c>
      <c r="K951" s="46">
        <v>4</v>
      </c>
      <c r="L951" s="46" t="s">
        <v>1120</v>
      </c>
      <c r="M951" s="46" t="s">
        <v>200</v>
      </c>
      <c r="N951" s="46">
        <v>5</v>
      </c>
      <c r="O951" s="46" t="s">
        <v>152</v>
      </c>
      <c r="P951" s="46"/>
    </row>
    <row r="952" spans="1:16">
      <c r="A952" s="37" t="s">
        <v>3293</v>
      </c>
      <c r="B952" s="37" t="s">
        <v>1080</v>
      </c>
      <c r="C952" s="37" t="s">
        <v>88</v>
      </c>
      <c r="D952" s="37" t="s">
        <v>146</v>
      </c>
      <c r="E952" s="37" t="s">
        <v>440</v>
      </c>
      <c r="F952" s="37" t="s">
        <v>664</v>
      </c>
      <c r="G952" s="37" t="s">
        <v>92</v>
      </c>
      <c r="H952" s="37" t="s">
        <v>294</v>
      </c>
      <c r="I952" s="37" t="s">
        <v>1741</v>
      </c>
      <c r="J952" s="37" t="s">
        <v>640</v>
      </c>
      <c r="K952" s="37">
        <v>8</v>
      </c>
      <c r="L952" s="37" t="s">
        <v>1917</v>
      </c>
      <c r="M952" s="37" t="s">
        <v>143</v>
      </c>
      <c r="N952" s="37">
        <v>3</v>
      </c>
      <c r="O952" s="37" t="s">
        <v>181</v>
      </c>
      <c r="P952" s="37"/>
    </row>
    <row r="953" spans="1:16">
      <c r="A953" s="46" t="s">
        <v>3294</v>
      </c>
      <c r="B953" s="46" t="s">
        <v>457</v>
      </c>
      <c r="C953" s="46" t="s">
        <v>633</v>
      </c>
      <c r="D953" s="46" t="s">
        <v>230</v>
      </c>
      <c r="E953" s="46" t="s">
        <v>157</v>
      </c>
      <c r="F953" s="46" t="s">
        <v>205</v>
      </c>
      <c r="G953" s="46" t="s">
        <v>470</v>
      </c>
      <c r="H953" s="46" t="s">
        <v>91</v>
      </c>
      <c r="I953" s="46" t="s">
        <v>3295</v>
      </c>
      <c r="J953" s="46" t="s">
        <v>3296</v>
      </c>
      <c r="K953" s="46">
        <v>6</v>
      </c>
      <c r="L953" s="46" t="s">
        <v>1358</v>
      </c>
      <c r="M953" s="46" t="s">
        <v>163</v>
      </c>
      <c r="N953" s="46">
        <v>4</v>
      </c>
      <c r="O953" s="46" t="s">
        <v>191</v>
      </c>
      <c r="P953" s="46"/>
    </row>
    <row r="954" spans="1:16">
      <c r="A954" s="37" t="s">
        <v>3297</v>
      </c>
      <c r="B954" s="37" t="s">
        <v>860</v>
      </c>
      <c r="C954" s="37" t="s">
        <v>340</v>
      </c>
      <c r="D954" s="37" t="s">
        <v>312</v>
      </c>
      <c r="E954" s="37" t="s">
        <v>42</v>
      </c>
      <c r="F954" s="37" t="s">
        <v>283</v>
      </c>
      <c r="G954" s="37" t="s">
        <v>92</v>
      </c>
      <c r="H954" s="37" t="s">
        <v>91</v>
      </c>
      <c r="I954" s="37" t="s">
        <v>730</v>
      </c>
      <c r="J954" s="37" t="s">
        <v>3298</v>
      </c>
      <c r="K954" s="37">
        <v>6</v>
      </c>
      <c r="L954" s="37" t="s">
        <v>3299</v>
      </c>
      <c r="M954" s="37" t="s">
        <v>163</v>
      </c>
      <c r="N954" s="37">
        <v>4</v>
      </c>
      <c r="O954" s="37" t="s">
        <v>181</v>
      </c>
      <c r="P954" s="37"/>
    </row>
    <row r="955" spans="1:16">
      <c r="A955" s="46" t="s">
        <v>3300</v>
      </c>
      <c r="B955" s="46" t="s">
        <v>796</v>
      </c>
      <c r="C955" s="46" t="s">
        <v>451</v>
      </c>
      <c r="D955" s="46" t="s">
        <v>213</v>
      </c>
      <c r="E955" s="46" t="s">
        <v>147</v>
      </c>
      <c r="F955" s="46" t="s">
        <v>214</v>
      </c>
      <c r="G955" s="46" t="s">
        <v>334</v>
      </c>
      <c r="H955" s="46" t="s">
        <v>354</v>
      </c>
      <c r="I955" s="46" t="s">
        <v>3301</v>
      </c>
      <c r="J955" s="46" t="s">
        <v>2162</v>
      </c>
      <c r="K955" s="46">
        <v>6</v>
      </c>
      <c r="L955" s="46" t="s">
        <v>267</v>
      </c>
      <c r="M955" s="46" t="s">
        <v>72</v>
      </c>
      <c r="N955" s="46">
        <v>3</v>
      </c>
      <c r="O955" s="46" t="s">
        <v>131</v>
      </c>
      <c r="P955" s="46"/>
    </row>
    <row r="956" spans="1:16">
      <c r="A956" s="37" t="s">
        <v>3302</v>
      </c>
      <c r="B956" s="37" t="s">
        <v>1782</v>
      </c>
      <c r="C956" s="37" t="s">
        <v>340</v>
      </c>
      <c r="D956" s="37" t="s">
        <v>37</v>
      </c>
      <c r="E956" s="37" t="s">
        <v>123</v>
      </c>
      <c r="F956" s="37" t="s">
        <v>158</v>
      </c>
      <c r="G956" s="37" t="s">
        <v>257</v>
      </c>
      <c r="H956" s="37" t="s">
        <v>88</v>
      </c>
      <c r="I956" s="37" t="s">
        <v>279</v>
      </c>
      <c r="J956" s="37" t="s">
        <v>3303</v>
      </c>
      <c r="K956" s="37">
        <v>4</v>
      </c>
      <c r="L956" s="37" t="s">
        <v>676</v>
      </c>
      <c r="M956" s="37" t="s">
        <v>117</v>
      </c>
      <c r="N956" s="37">
        <v>2</v>
      </c>
      <c r="O956" s="37" t="s">
        <v>152</v>
      </c>
      <c r="P956" s="37"/>
    </row>
    <row r="957" spans="1:16">
      <c r="A957" s="46" t="s">
        <v>3304</v>
      </c>
      <c r="B957" s="46" t="s">
        <v>714</v>
      </c>
      <c r="C957" s="46" t="s">
        <v>97</v>
      </c>
      <c r="D957" s="46" t="s">
        <v>184</v>
      </c>
      <c r="E957" s="46" t="s">
        <v>137</v>
      </c>
      <c r="F957" s="46" t="s">
        <v>277</v>
      </c>
      <c r="G957" s="46" t="s">
        <v>125</v>
      </c>
      <c r="H957" s="46" t="s">
        <v>126</v>
      </c>
      <c r="I957" s="46" t="s">
        <v>1199</v>
      </c>
      <c r="J957" s="46" t="s">
        <v>3305</v>
      </c>
      <c r="K957" s="46">
        <v>8</v>
      </c>
      <c r="L957" s="46" t="s">
        <v>229</v>
      </c>
      <c r="M957" s="46" t="s">
        <v>172</v>
      </c>
      <c r="N957" s="46">
        <v>4</v>
      </c>
      <c r="O957" s="46" t="s">
        <v>131</v>
      </c>
      <c r="P957" s="46"/>
    </row>
    <row r="958" spans="1:16">
      <c r="A958" s="37" t="s">
        <v>3306</v>
      </c>
      <c r="B958" s="37" t="s">
        <v>848</v>
      </c>
      <c r="C958" s="37" t="s">
        <v>222</v>
      </c>
      <c r="D958" s="37" t="s">
        <v>156</v>
      </c>
      <c r="E958" s="37" t="s">
        <v>42</v>
      </c>
      <c r="F958" s="37" t="s">
        <v>100</v>
      </c>
      <c r="G958" s="37" t="s">
        <v>470</v>
      </c>
      <c r="H958" s="37" t="s">
        <v>294</v>
      </c>
      <c r="I958" s="37" t="s">
        <v>2698</v>
      </c>
      <c r="J958" s="37" t="s">
        <v>3307</v>
      </c>
      <c r="K958" s="37">
        <v>6</v>
      </c>
      <c r="L958" s="37" t="s">
        <v>134</v>
      </c>
      <c r="M958" s="37" t="s">
        <v>72</v>
      </c>
      <c r="N958" s="37">
        <v>3</v>
      </c>
      <c r="O958" s="37" t="s">
        <v>118</v>
      </c>
      <c r="P958" s="37"/>
    </row>
    <row r="959" spans="1:16">
      <c r="A959" s="46" t="s">
        <v>3308</v>
      </c>
      <c r="B959" s="46" t="s">
        <v>2455</v>
      </c>
      <c r="C959" s="46" t="s">
        <v>90</v>
      </c>
      <c r="D959" s="46" t="s">
        <v>230</v>
      </c>
      <c r="E959" s="46" t="s">
        <v>440</v>
      </c>
      <c r="F959" s="46" t="s">
        <v>271</v>
      </c>
      <c r="G959" s="46" t="s">
        <v>125</v>
      </c>
      <c r="H959" s="46" t="s">
        <v>91</v>
      </c>
      <c r="I959" s="46" t="s">
        <v>3309</v>
      </c>
      <c r="J959" s="46" t="s">
        <v>2106</v>
      </c>
      <c r="K959" s="46">
        <v>8</v>
      </c>
      <c r="L959" s="46" t="s">
        <v>1297</v>
      </c>
      <c r="M959" s="46" t="s">
        <v>200</v>
      </c>
      <c r="N959" s="46">
        <v>2</v>
      </c>
      <c r="O959" s="46" t="s">
        <v>79</v>
      </c>
      <c r="P959" s="46"/>
    </row>
    <row r="960" spans="1:16">
      <c r="A960" s="37" t="s">
        <v>3310</v>
      </c>
      <c r="B960" s="37" t="s">
        <v>1606</v>
      </c>
      <c r="C960" s="37" t="s">
        <v>32</v>
      </c>
      <c r="D960" s="37" t="s">
        <v>204</v>
      </c>
      <c r="E960" s="37" t="s">
        <v>176</v>
      </c>
      <c r="F960" s="37" t="s">
        <v>138</v>
      </c>
      <c r="G960" s="37" t="s">
        <v>197</v>
      </c>
      <c r="H960" s="37" t="s">
        <v>93</v>
      </c>
      <c r="I960" s="37" t="s">
        <v>2170</v>
      </c>
      <c r="J960" s="37" t="s">
        <v>2623</v>
      </c>
      <c r="K960" s="37">
        <v>8</v>
      </c>
      <c r="L960" s="37" t="s">
        <v>1034</v>
      </c>
      <c r="M960" s="37" t="s">
        <v>817</v>
      </c>
      <c r="N960" s="37"/>
      <c r="O960" s="37" t="s">
        <v>106</v>
      </c>
      <c r="P960" s="37" t="s">
        <v>1478</v>
      </c>
    </row>
    <row r="961" spans="1:16">
      <c r="A961" s="46" t="s">
        <v>3311</v>
      </c>
      <c r="B961" s="46" t="s">
        <v>1304</v>
      </c>
      <c r="C961" s="46" t="s">
        <v>307</v>
      </c>
      <c r="D961" s="46" t="s">
        <v>213</v>
      </c>
      <c r="E961" s="46" t="s">
        <v>110</v>
      </c>
      <c r="F961" s="46" t="s">
        <v>313</v>
      </c>
      <c r="G961" s="46" t="s">
        <v>112</v>
      </c>
      <c r="H961" s="46" t="s">
        <v>354</v>
      </c>
      <c r="I961" s="46" t="s">
        <v>2733</v>
      </c>
      <c r="J961" s="46" t="s">
        <v>3312</v>
      </c>
      <c r="K961" s="46">
        <v>6</v>
      </c>
      <c r="L961" s="46" t="s">
        <v>2154</v>
      </c>
      <c r="M961" s="46" t="s">
        <v>163</v>
      </c>
      <c r="N961" s="46">
        <v>3</v>
      </c>
      <c r="O961" s="46" t="s">
        <v>79</v>
      </c>
      <c r="P961" s="46"/>
    </row>
    <row r="962" spans="1:16">
      <c r="A962" s="37" t="s">
        <v>3313</v>
      </c>
      <c r="B962" s="37" t="s">
        <v>1134</v>
      </c>
      <c r="C962" s="37" t="s">
        <v>166</v>
      </c>
      <c r="D962" s="37" t="s">
        <v>230</v>
      </c>
      <c r="E962" s="37" t="s">
        <v>440</v>
      </c>
      <c r="F962" s="37" t="s">
        <v>138</v>
      </c>
      <c r="G962" s="37" t="s">
        <v>168</v>
      </c>
      <c r="H962" s="37" t="s">
        <v>187</v>
      </c>
      <c r="I962" s="37" t="s">
        <v>583</v>
      </c>
      <c r="J962" s="37" t="s">
        <v>3314</v>
      </c>
      <c r="K962" s="37">
        <v>8</v>
      </c>
      <c r="L962" s="37" t="s">
        <v>3291</v>
      </c>
      <c r="M962" s="37" t="s">
        <v>105</v>
      </c>
      <c r="N962" s="37">
        <v>5</v>
      </c>
      <c r="O962" s="37" t="s">
        <v>79</v>
      </c>
      <c r="P962" s="37"/>
    </row>
    <row r="963" spans="1:16">
      <c r="A963" s="46" t="s">
        <v>3315</v>
      </c>
      <c r="B963" s="46" t="s">
        <v>1144</v>
      </c>
      <c r="C963" s="46" t="s">
        <v>451</v>
      </c>
      <c r="D963" s="46" t="s">
        <v>98</v>
      </c>
      <c r="E963" s="46" t="s">
        <v>244</v>
      </c>
      <c r="F963" s="46" t="s">
        <v>283</v>
      </c>
      <c r="G963" s="46" t="s">
        <v>89</v>
      </c>
      <c r="H963" s="46" t="s">
        <v>206</v>
      </c>
      <c r="I963" s="46" t="s">
        <v>2068</v>
      </c>
      <c r="J963" s="46" t="s">
        <v>3316</v>
      </c>
      <c r="K963" s="46">
        <v>4</v>
      </c>
      <c r="L963" s="46" t="s">
        <v>1638</v>
      </c>
      <c r="M963" s="46" t="s">
        <v>143</v>
      </c>
      <c r="N963" s="46">
        <v>1</v>
      </c>
      <c r="O963" s="46" t="s">
        <v>118</v>
      </c>
      <c r="P963" s="46"/>
    </row>
    <row r="964" spans="1:16">
      <c r="A964" s="37" t="s">
        <v>3317</v>
      </c>
      <c r="B964" s="37" t="s">
        <v>1008</v>
      </c>
      <c r="C964" s="37" t="s">
        <v>212</v>
      </c>
      <c r="D964" s="37" t="s">
        <v>544</v>
      </c>
      <c r="E964" s="37" t="s">
        <v>195</v>
      </c>
      <c r="F964" s="37" t="s">
        <v>319</v>
      </c>
      <c r="G964" s="37" t="s">
        <v>380</v>
      </c>
      <c r="H964" s="37" t="s">
        <v>396</v>
      </c>
      <c r="I964" s="37" t="s">
        <v>3318</v>
      </c>
      <c r="J964" s="37" t="s">
        <v>1637</v>
      </c>
      <c r="K964" s="37">
        <v>8</v>
      </c>
      <c r="L964" s="37" t="s">
        <v>1243</v>
      </c>
      <c r="M964" s="37" t="s">
        <v>105</v>
      </c>
      <c r="N964" s="37">
        <v>3</v>
      </c>
      <c r="O964" s="37" t="s">
        <v>191</v>
      </c>
      <c r="P964" s="37"/>
    </row>
    <row r="965" spans="1:16">
      <c r="A965" s="46" t="s">
        <v>3319</v>
      </c>
      <c r="B965" s="46" t="s">
        <v>709</v>
      </c>
      <c r="C965" s="46" t="s">
        <v>166</v>
      </c>
      <c r="D965" s="46" t="s">
        <v>367</v>
      </c>
      <c r="E965" s="46" t="s">
        <v>345</v>
      </c>
      <c r="F965" s="46" t="s">
        <v>138</v>
      </c>
      <c r="G965" s="46" t="s">
        <v>380</v>
      </c>
      <c r="H965" s="46" t="s">
        <v>294</v>
      </c>
      <c r="I965" s="46" t="s">
        <v>3320</v>
      </c>
      <c r="J965" s="46" t="s">
        <v>3321</v>
      </c>
      <c r="K965" s="46">
        <v>4</v>
      </c>
      <c r="L965" s="46" t="s">
        <v>250</v>
      </c>
      <c r="M965" s="46" t="s">
        <v>200</v>
      </c>
      <c r="N965" s="46">
        <v>4</v>
      </c>
      <c r="O965" s="46" t="s">
        <v>191</v>
      </c>
      <c r="P965" s="46"/>
    </row>
    <row r="966" spans="1:16">
      <c r="A966" s="37" t="s">
        <v>3322</v>
      </c>
      <c r="B966" s="37" t="s">
        <v>1610</v>
      </c>
      <c r="C966" s="37" t="s">
        <v>109</v>
      </c>
      <c r="D966" s="37" t="s">
        <v>98</v>
      </c>
      <c r="E966" s="37" t="s">
        <v>123</v>
      </c>
      <c r="F966" s="37" t="s">
        <v>582</v>
      </c>
      <c r="G966" s="37" t="s">
        <v>125</v>
      </c>
      <c r="H966" s="37" t="s">
        <v>294</v>
      </c>
      <c r="I966" s="37" t="s">
        <v>3323</v>
      </c>
      <c r="J966" s="37" t="s">
        <v>2904</v>
      </c>
      <c r="K966" s="37">
        <v>4</v>
      </c>
      <c r="L966" s="37" t="s">
        <v>2501</v>
      </c>
      <c r="M966" s="37" t="s">
        <v>172</v>
      </c>
      <c r="N966" s="37">
        <v>2</v>
      </c>
      <c r="O966" s="37" t="s">
        <v>152</v>
      </c>
      <c r="P966" s="37"/>
    </row>
    <row r="967" spans="1:16">
      <c r="A967" s="46" t="s">
        <v>3324</v>
      </c>
      <c r="B967" s="46" t="s">
        <v>1826</v>
      </c>
      <c r="C967" s="46" t="s">
        <v>91</v>
      </c>
      <c r="D967" s="46" t="s">
        <v>270</v>
      </c>
      <c r="E967" s="46" t="s">
        <v>176</v>
      </c>
      <c r="F967" s="46" t="s">
        <v>612</v>
      </c>
      <c r="G967" s="46" t="s">
        <v>401</v>
      </c>
      <c r="H967" s="46" t="s">
        <v>90</v>
      </c>
      <c r="I967" s="46" t="s">
        <v>1484</v>
      </c>
      <c r="J967" s="46" t="s">
        <v>500</v>
      </c>
      <c r="K967" s="46">
        <v>8</v>
      </c>
      <c r="L967" s="46" t="s">
        <v>831</v>
      </c>
      <c r="M967" s="46" t="s">
        <v>72</v>
      </c>
      <c r="N967" s="46">
        <v>4</v>
      </c>
      <c r="O967" s="46" t="s">
        <v>152</v>
      </c>
      <c r="P967" s="46"/>
    </row>
    <row r="968" spans="1:16">
      <c r="A968" s="37" t="s">
        <v>3325</v>
      </c>
      <c r="B968" s="37" t="s">
        <v>569</v>
      </c>
      <c r="C968" s="37" t="s">
        <v>633</v>
      </c>
      <c r="D968" s="37" t="s">
        <v>184</v>
      </c>
      <c r="E968" s="37" t="s">
        <v>195</v>
      </c>
      <c r="F968" s="37" t="s">
        <v>1701</v>
      </c>
      <c r="G968" s="37" t="s">
        <v>101</v>
      </c>
      <c r="H968" s="37" t="s">
        <v>278</v>
      </c>
      <c r="I968" s="37" t="s">
        <v>3326</v>
      </c>
      <c r="J968" s="37" t="s">
        <v>2325</v>
      </c>
      <c r="K968" s="37">
        <v>8</v>
      </c>
      <c r="L968" s="37" t="s">
        <v>737</v>
      </c>
      <c r="M968" s="37" t="s">
        <v>337</v>
      </c>
      <c r="N968" s="37"/>
      <c r="O968" s="37" t="s">
        <v>118</v>
      </c>
      <c r="P968" s="37" t="s">
        <v>759</v>
      </c>
    </row>
    <row r="969" spans="1:16">
      <c r="A969" s="46" t="s">
        <v>3327</v>
      </c>
      <c r="B969" s="46" t="s">
        <v>2246</v>
      </c>
      <c r="C969" s="46" t="s">
        <v>566</v>
      </c>
      <c r="D969" s="46" t="s">
        <v>98</v>
      </c>
      <c r="E969" s="46" t="s">
        <v>110</v>
      </c>
      <c r="F969" s="46" t="s">
        <v>1794</v>
      </c>
      <c r="G969" s="46" t="s">
        <v>418</v>
      </c>
      <c r="H969" s="46" t="s">
        <v>54</v>
      </c>
      <c r="I969" s="46" t="s">
        <v>3328</v>
      </c>
      <c r="J969" s="46" t="s">
        <v>530</v>
      </c>
      <c r="K969" s="46">
        <v>4</v>
      </c>
      <c r="L969" s="46" t="s">
        <v>2646</v>
      </c>
      <c r="M969" s="46" t="s">
        <v>163</v>
      </c>
      <c r="N969" s="46">
        <v>5</v>
      </c>
      <c r="O969" s="46" t="s">
        <v>106</v>
      </c>
      <c r="P969" s="46"/>
    </row>
    <row r="970" spans="1:16">
      <c r="A970" s="37" t="s">
        <v>3329</v>
      </c>
      <c r="B970" s="37" t="s">
        <v>1798</v>
      </c>
      <c r="C970" s="37" t="s">
        <v>203</v>
      </c>
      <c r="D970" s="37" t="s">
        <v>146</v>
      </c>
      <c r="E970" s="37" t="s">
        <v>123</v>
      </c>
      <c r="F970" s="37" t="s">
        <v>430</v>
      </c>
      <c r="G970" s="37" t="s">
        <v>257</v>
      </c>
      <c r="H970" s="37" t="s">
        <v>88</v>
      </c>
      <c r="I970" s="37" t="s">
        <v>3330</v>
      </c>
      <c r="J970" s="37" t="s">
        <v>3331</v>
      </c>
      <c r="K970" s="37">
        <v>2</v>
      </c>
      <c r="L970" s="37" t="s">
        <v>1729</v>
      </c>
      <c r="M970" s="37" t="s">
        <v>219</v>
      </c>
      <c r="N970" s="37">
        <v>5</v>
      </c>
      <c r="O970" s="37" t="s">
        <v>181</v>
      </c>
      <c r="P970" s="37"/>
    </row>
    <row r="971" spans="1:16">
      <c r="A971" s="46" t="s">
        <v>3332</v>
      </c>
      <c r="B971" s="46" t="s">
        <v>924</v>
      </c>
      <c r="C971" s="46" t="s">
        <v>251</v>
      </c>
      <c r="D971" s="46" t="s">
        <v>184</v>
      </c>
      <c r="E971" s="46" t="s">
        <v>123</v>
      </c>
      <c r="F971" s="46" t="s">
        <v>1014</v>
      </c>
      <c r="G971" s="46" t="s">
        <v>418</v>
      </c>
      <c r="H971" s="46" t="s">
        <v>54</v>
      </c>
      <c r="I971" s="46" t="s">
        <v>1557</v>
      </c>
      <c r="J971" s="46" t="s">
        <v>3333</v>
      </c>
      <c r="K971" s="46">
        <v>4</v>
      </c>
      <c r="L971" s="46" t="s">
        <v>2656</v>
      </c>
      <c r="M971" s="46" t="s">
        <v>117</v>
      </c>
      <c r="N971" s="46">
        <v>5</v>
      </c>
      <c r="O971" s="46" t="s">
        <v>286</v>
      </c>
      <c r="P971" s="46"/>
    </row>
    <row r="972" spans="1:16">
      <c r="A972" s="37" t="s">
        <v>3334</v>
      </c>
      <c r="B972" s="37" t="s">
        <v>1264</v>
      </c>
      <c r="C972" s="37" t="s">
        <v>166</v>
      </c>
      <c r="D972" s="37"/>
      <c r="E972" s="37" t="s">
        <v>345</v>
      </c>
      <c r="F972" s="37" t="s">
        <v>612</v>
      </c>
      <c r="G972" s="37" t="s">
        <v>87</v>
      </c>
      <c r="H972" s="37" t="s">
        <v>215</v>
      </c>
      <c r="I972" s="37" t="s">
        <v>3335</v>
      </c>
      <c r="J972" s="37" t="s">
        <v>3336</v>
      </c>
      <c r="K972" s="37">
        <v>6</v>
      </c>
      <c r="L972" s="37" t="s">
        <v>2731</v>
      </c>
      <c r="M972" s="37" t="s">
        <v>200</v>
      </c>
      <c r="N972" s="37">
        <v>3</v>
      </c>
      <c r="O972" s="37" t="s">
        <v>118</v>
      </c>
      <c r="P972" s="37"/>
    </row>
    <row r="973" spans="1:16">
      <c r="A973" s="46" t="s">
        <v>3337</v>
      </c>
      <c r="B973" s="46" t="s">
        <v>600</v>
      </c>
      <c r="C973" s="46" t="s">
        <v>32</v>
      </c>
      <c r="D973" s="46" t="s">
        <v>184</v>
      </c>
      <c r="E973" s="46" t="s">
        <v>185</v>
      </c>
      <c r="F973" s="46" t="s">
        <v>1112</v>
      </c>
      <c r="G973" s="46" t="s">
        <v>264</v>
      </c>
      <c r="H973" s="46" t="s">
        <v>88</v>
      </c>
      <c r="I973" s="46" t="s">
        <v>3338</v>
      </c>
      <c r="J973" s="46" t="s">
        <v>3339</v>
      </c>
      <c r="K973" s="46">
        <v>6</v>
      </c>
      <c r="L973" s="46" t="s">
        <v>1456</v>
      </c>
      <c r="M973" s="46" t="s">
        <v>172</v>
      </c>
      <c r="N973" s="46">
        <v>5</v>
      </c>
      <c r="O973" s="46" t="s">
        <v>118</v>
      </c>
      <c r="P973" s="46"/>
    </row>
    <row r="974" spans="1:16">
      <c r="A974" s="37" t="s">
        <v>3340</v>
      </c>
      <c r="B974" s="37" t="s">
        <v>1422</v>
      </c>
      <c r="C974" s="37" t="s">
        <v>54</v>
      </c>
      <c r="D974" s="37" t="s">
        <v>213</v>
      </c>
      <c r="E974" s="37" t="s">
        <v>244</v>
      </c>
      <c r="F974" s="37" t="s">
        <v>231</v>
      </c>
      <c r="G974" s="37" t="s">
        <v>125</v>
      </c>
      <c r="H974" s="37" t="s">
        <v>396</v>
      </c>
      <c r="I974" s="37" t="s">
        <v>3341</v>
      </c>
      <c r="J974" s="37" t="s">
        <v>3342</v>
      </c>
      <c r="K974" s="37">
        <v>4</v>
      </c>
      <c r="L974" s="37" t="s">
        <v>543</v>
      </c>
      <c r="M974" s="37" t="s">
        <v>143</v>
      </c>
      <c r="N974" s="37">
        <v>3</v>
      </c>
      <c r="O974" s="37" t="s">
        <v>152</v>
      </c>
      <c r="P974" s="37"/>
    </row>
    <row r="975" spans="1:16">
      <c r="A975" s="46" t="s">
        <v>3343</v>
      </c>
      <c r="B975" s="46" t="s">
        <v>3344</v>
      </c>
      <c r="C975" s="46" t="s">
        <v>88</v>
      </c>
      <c r="D975" s="46" t="s">
        <v>352</v>
      </c>
      <c r="E975" s="46" t="s">
        <v>123</v>
      </c>
      <c r="F975" s="46" t="s">
        <v>425</v>
      </c>
      <c r="G975" s="46" t="s">
        <v>334</v>
      </c>
      <c r="H975" s="46" t="s">
        <v>215</v>
      </c>
      <c r="I975" s="46" t="s">
        <v>2673</v>
      </c>
      <c r="J975" s="46" t="s">
        <v>3345</v>
      </c>
      <c r="K975" s="46">
        <v>4</v>
      </c>
      <c r="L975" s="46" t="s">
        <v>574</v>
      </c>
      <c r="M975" s="46" t="s">
        <v>72</v>
      </c>
      <c r="N975" s="46">
        <v>5</v>
      </c>
      <c r="O975" s="46" t="s">
        <v>79</v>
      </c>
      <c r="P975" s="46"/>
    </row>
    <row r="976" spans="1:16">
      <c r="A976" s="37" t="s">
        <v>3346</v>
      </c>
      <c r="B976" s="37" t="s">
        <v>3347</v>
      </c>
      <c r="C976" s="37" t="s">
        <v>93</v>
      </c>
      <c r="D976" s="37" t="s">
        <v>544</v>
      </c>
      <c r="E976" s="37" t="s">
        <v>110</v>
      </c>
      <c r="F976" s="37" t="s">
        <v>664</v>
      </c>
      <c r="G976" s="37" t="s">
        <v>168</v>
      </c>
      <c r="H976" s="37" t="s">
        <v>187</v>
      </c>
      <c r="I976" s="37" t="s">
        <v>810</v>
      </c>
      <c r="J976" s="37" t="s">
        <v>3348</v>
      </c>
      <c r="K976" s="37">
        <v>4</v>
      </c>
      <c r="L976" s="37" t="s">
        <v>2920</v>
      </c>
      <c r="M976" s="37" t="s">
        <v>117</v>
      </c>
      <c r="N976" s="37">
        <v>4</v>
      </c>
      <c r="O976" s="37" t="s">
        <v>131</v>
      </c>
      <c r="P976" s="37"/>
    </row>
    <row r="977" spans="1:16">
      <c r="A977" s="46" t="s">
        <v>3349</v>
      </c>
      <c r="B977" s="46" t="s">
        <v>2681</v>
      </c>
      <c r="C977" s="46" t="s">
        <v>54</v>
      </c>
      <c r="D977" s="46" t="s">
        <v>122</v>
      </c>
      <c r="E977" s="46" t="s">
        <v>224</v>
      </c>
      <c r="F977" s="46" t="s">
        <v>326</v>
      </c>
      <c r="G977" s="46" t="s">
        <v>89</v>
      </c>
      <c r="H977" s="46" t="s">
        <v>278</v>
      </c>
      <c r="I977" s="46" t="s">
        <v>3280</v>
      </c>
      <c r="J977" s="46" t="s">
        <v>3350</v>
      </c>
      <c r="K977" s="46">
        <v>4</v>
      </c>
      <c r="L977" s="46" t="s">
        <v>1550</v>
      </c>
      <c r="M977" s="46" t="s">
        <v>105</v>
      </c>
      <c r="N977" s="46">
        <v>5</v>
      </c>
      <c r="O977" s="46" t="s">
        <v>286</v>
      </c>
      <c r="P977" s="46"/>
    </row>
    <row r="978" spans="1:16">
      <c r="A978" s="37" t="s">
        <v>3351</v>
      </c>
      <c r="B978" s="37" t="s">
        <v>791</v>
      </c>
      <c r="C978" s="37" t="s">
        <v>407</v>
      </c>
      <c r="D978" s="37" t="s">
        <v>98</v>
      </c>
      <c r="E978" s="37" t="s">
        <v>99</v>
      </c>
      <c r="F978" s="37" t="s">
        <v>326</v>
      </c>
      <c r="G978" s="37" t="s">
        <v>401</v>
      </c>
      <c r="H978" s="37" t="s">
        <v>54</v>
      </c>
      <c r="I978" s="37" t="s">
        <v>905</v>
      </c>
      <c r="J978" s="37" t="s">
        <v>442</v>
      </c>
      <c r="K978" s="37">
        <v>4</v>
      </c>
      <c r="L978" s="37" t="s">
        <v>1034</v>
      </c>
      <c r="M978" s="37" t="s">
        <v>219</v>
      </c>
      <c r="N978" s="37">
        <v>3</v>
      </c>
      <c r="O978" s="37" t="s">
        <v>191</v>
      </c>
      <c r="P978" s="37"/>
    </row>
    <row r="979" spans="1:16">
      <c r="A979" s="46" t="s">
        <v>3352</v>
      </c>
      <c r="B979" s="46" t="s">
        <v>1480</v>
      </c>
      <c r="C979" s="46" t="s">
        <v>366</v>
      </c>
      <c r="D979" s="46" t="s">
        <v>175</v>
      </c>
      <c r="E979" s="46" t="s">
        <v>147</v>
      </c>
      <c r="F979" s="46" t="s">
        <v>177</v>
      </c>
      <c r="G979" s="46" t="s">
        <v>92</v>
      </c>
      <c r="H979" s="46" t="s">
        <v>396</v>
      </c>
      <c r="I979" s="46" t="s">
        <v>974</v>
      </c>
      <c r="J979" s="46" t="s">
        <v>3353</v>
      </c>
      <c r="K979" s="46">
        <v>6</v>
      </c>
      <c r="L979" s="46" t="s">
        <v>3354</v>
      </c>
      <c r="M979" s="46" t="s">
        <v>105</v>
      </c>
      <c r="N979" s="46">
        <v>4</v>
      </c>
      <c r="O979" s="46" t="s">
        <v>191</v>
      </c>
      <c r="P979" s="46"/>
    </row>
    <row r="980" spans="1:16">
      <c r="A980" s="37" t="s">
        <v>3355</v>
      </c>
      <c r="B980" s="37" t="s">
        <v>972</v>
      </c>
      <c r="C980" s="37" t="s">
        <v>424</v>
      </c>
      <c r="D980" s="37" t="s">
        <v>213</v>
      </c>
      <c r="E980" s="37" t="s">
        <v>195</v>
      </c>
      <c r="F980" s="37" t="s">
        <v>158</v>
      </c>
      <c r="G980" s="37" t="s">
        <v>139</v>
      </c>
      <c r="H980" s="37" t="s">
        <v>354</v>
      </c>
      <c r="I980" s="37" t="s">
        <v>2026</v>
      </c>
      <c r="J980" s="37" t="s">
        <v>3356</v>
      </c>
      <c r="K980" s="37">
        <v>8</v>
      </c>
      <c r="L980" s="37" t="s">
        <v>2494</v>
      </c>
      <c r="M980" s="37" t="s">
        <v>143</v>
      </c>
      <c r="N980" s="37">
        <v>3</v>
      </c>
      <c r="O980" s="37" t="s">
        <v>118</v>
      </c>
      <c r="P980" s="37"/>
    </row>
    <row r="981" spans="1:16">
      <c r="A981" s="46" t="s">
        <v>3357</v>
      </c>
      <c r="B981" s="46" t="s">
        <v>658</v>
      </c>
      <c r="C981" s="46" t="s">
        <v>91</v>
      </c>
      <c r="D981" s="46" t="s">
        <v>122</v>
      </c>
      <c r="E981" s="46" t="s">
        <v>325</v>
      </c>
      <c r="F981" s="46" t="s">
        <v>385</v>
      </c>
      <c r="G981" s="46" t="s">
        <v>470</v>
      </c>
      <c r="H981" s="46" t="s">
        <v>126</v>
      </c>
      <c r="I981" s="46" t="s">
        <v>3358</v>
      </c>
      <c r="J981" s="46" t="s">
        <v>3359</v>
      </c>
      <c r="K981" s="46">
        <v>2</v>
      </c>
      <c r="L981" s="46" t="s">
        <v>165</v>
      </c>
      <c r="M981" s="46" t="s">
        <v>117</v>
      </c>
      <c r="N981" s="46">
        <v>5</v>
      </c>
      <c r="O981" s="46" t="s">
        <v>79</v>
      </c>
      <c r="P981" s="46"/>
    </row>
    <row r="982" spans="1:16">
      <c r="A982" s="37" t="s">
        <v>3360</v>
      </c>
      <c r="B982" s="37" t="s">
        <v>3361</v>
      </c>
      <c r="C982" s="37" t="s">
        <v>121</v>
      </c>
      <c r="D982" s="37" t="s">
        <v>184</v>
      </c>
      <c r="E982" s="37" t="s">
        <v>99</v>
      </c>
      <c r="F982" s="37" t="s">
        <v>138</v>
      </c>
      <c r="G982" s="37" t="s">
        <v>334</v>
      </c>
      <c r="H982" s="37" t="s">
        <v>354</v>
      </c>
      <c r="I982" s="37" t="s">
        <v>3362</v>
      </c>
      <c r="J982" s="37" t="s">
        <v>3363</v>
      </c>
      <c r="K982" s="37">
        <v>2</v>
      </c>
      <c r="L982" s="37" t="s">
        <v>1758</v>
      </c>
      <c r="M982" s="37" t="s">
        <v>72</v>
      </c>
      <c r="N982" s="37">
        <v>5</v>
      </c>
      <c r="O982" s="37" t="s">
        <v>79</v>
      </c>
      <c r="P982" s="37"/>
    </row>
    <row r="983" spans="1:16">
      <c r="A983" s="46" t="s">
        <v>3364</v>
      </c>
      <c r="B983" s="46" t="s">
        <v>3365</v>
      </c>
      <c r="C983" s="46" t="s">
        <v>155</v>
      </c>
      <c r="D983" s="46" t="s">
        <v>213</v>
      </c>
      <c r="E983" s="46" t="s">
        <v>176</v>
      </c>
      <c r="F983" s="46" t="s">
        <v>263</v>
      </c>
      <c r="G983" s="46" t="s">
        <v>264</v>
      </c>
      <c r="H983" s="46" t="s">
        <v>187</v>
      </c>
      <c r="I983" s="46" t="s">
        <v>3366</v>
      </c>
      <c r="J983" s="46" t="s">
        <v>2896</v>
      </c>
      <c r="K983" s="46">
        <v>8</v>
      </c>
      <c r="L983" s="46" t="s">
        <v>1337</v>
      </c>
      <c r="M983" s="46" t="s">
        <v>163</v>
      </c>
      <c r="N983" s="46">
        <v>4</v>
      </c>
      <c r="O983" s="46" t="s">
        <v>191</v>
      </c>
      <c r="P983" s="46"/>
    </row>
    <row r="984" spans="1:16">
      <c r="A984" s="37" t="s">
        <v>3367</v>
      </c>
      <c r="B984" s="37" t="s">
        <v>104</v>
      </c>
      <c r="C984" s="37" t="s">
        <v>97</v>
      </c>
      <c r="D984" s="37" t="s">
        <v>122</v>
      </c>
      <c r="E984" s="37" t="s">
        <v>137</v>
      </c>
      <c r="F984" s="37" t="s">
        <v>186</v>
      </c>
      <c r="G984" s="37" t="s">
        <v>139</v>
      </c>
      <c r="H984" s="37" t="s">
        <v>354</v>
      </c>
      <c r="I984" s="37" t="s">
        <v>3368</v>
      </c>
      <c r="J984" s="37" t="s">
        <v>3369</v>
      </c>
      <c r="K984" s="37">
        <v>8</v>
      </c>
      <c r="L984" s="37" t="s">
        <v>3048</v>
      </c>
      <c r="M984" s="37" t="s">
        <v>163</v>
      </c>
      <c r="N984" s="37">
        <v>4</v>
      </c>
      <c r="O984" s="37" t="s">
        <v>152</v>
      </c>
      <c r="P984" s="37"/>
    </row>
    <row r="985" spans="1:16">
      <c r="A985" s="46" t="s">
        <v>3370</v>
      </c>
      <c r="B985" s="46" t="s">
        <v>1521</v>
      </c>
      <c r="C985" s="46" t="s">
        <v>174</v>
      </c>
      <c r="D985" s="46" t="s">
        <v>367</v>
      </c>
      <c r="E985" s="46" t="s">
        <v>99</v>
      </c>
      <c r="F985" s="46" t="s">
        <v>458</v>
      </c>
      <c r="G985" s="46" t="s">
        <v>89</v>
      </c>
      <c r="H985" s="46" t="s">
        <v>187</v>
      </c>
      <c r="I985" s="46" t="s">
        <v>2176</v>
      </c>
      <c r="J985" s="46" t="s">
        <v>3371</v>
      </c>
      <c r="K985" s="46">
        <v>2</v>
      </c>
      <c r="L985" s="46" t="s">
        <v>1105</v>
      </c>
      <c r="M985" s="46" t="s">
        <v>172</v>
      </c>
      <c r="N985" s="46">
        <v>3</v>
      </c>
      <c r="O985" s="46" t="s">
        <v>191</v>
      </c>
      <c r="P985" s="46"/>
    </row>
    <row r="986" spans="1:16">
      <c r="A986" s="37" t="s">
        <v>3372</v>
      </c>
      <c r="B986" s="37" t="s">
        <v>1571</v>
      </c>
      <c r="C986" s="37" t="s">
        <v>222</v>
      </c>
      <c r="D986" s="37" t="s">
        <v>544</v>
      </c>
      <c r="E986" s="37" t="s">
        <v>110</v>
      </c>
      <c r="F986" s="37" t="s">
        <v>319</v>
      </c>
      <c r="G986" s="37" t="s">
        <v>101</v>
      </c>
      <c r="H986" s="37" t="s">
        <v>278</v>
      </c>
      <c r="I986" s="37" t="s">
        <v>3373</v>
      </c>
      <c r="J986" s="37" t="s">
        <v>3374</v>
      </c>
      <c r="K986" s="37">
        <v>4</v>
      </c>
      <c r="L986" s="37" t="s">
        <v>151</v>
      </c>
      <c r="M986" s="37" t="s">
        <v>105</v>
      </c>
      <c r="N986" s="37">
        <v>3</v>
      </c>
      <c r="O986" s="37" t="s">
        <v>152</v>
      </c>
      <c r="P986" s="37"/>
    </row>
    <row r="987" spans="1:16">
      <c r="A987" s="46" t="s">
        <v>3375</v>
      </c>
      <c r="B987" s="46" t="s">
        <v>236</v>
      </c>
      <c r="C987" s="46" t="s">
        <v>90</v>
      </c>
      <c r="D987" s="46" t="s">
        <v>230</v>
      </c>
      <c r="E987" s="46" t="s">
        <v>147</v>
      </c>
      <c r="F987" s="46" t="s">
        <v>277</v>
      </c>
      <c r="G987" s="46" t="s">
        <v>302</v>
      </c>
      <c r="H987" s="46" t="s">
        <v>294</v>
      </c>
      <c r="I987" s="46" t="s">
        <v>3246</v>
      </c>
      <c r="J987" s="46" t="s">
        <v>3376</v>
      </c>
      <c r="K987" s="46">
        <v>8</v>
      </c>
      <c r="L987" s="46" t="s">
        <v>3377</v>
      </c>
      <c r="M987" s="46" t="s">
        <v>172</v>
      </c>
      <c r="N987" s="46">
        <v>2</v>
      </c>
      <c r="O987" s="46" t="s">
        <v>152</v>
      </c>
      <c r="P987" s="46"/>
    </row>
    <row r="988" spans="1:16">
      <c r="A988" s="37" t="s">
        <v>3378</v>
      </c>
      <c r="B988" s="37" t="s">
        <v>2152</v>
      </c>
      <c r="C988" s="37" t="s">
        <v>166</v>
      </c>
      <c r="D988" s="37" t="s">
        <v>98</v>
      </c>
      <c r="E988" s="37" t="s">
        <v>110</v>
      </c>
      <c r="F988" s="37" t="s">
        <v>158</v>
      </c>
      <c r="G988" s="37" t="s">
        <v>159</v>
      </c>
      <c r="H988" s="37" t="s">
        <v>327</v>
      </c>
      <c r="I988" s="37" t="s">
        <v>2560</v>
      </c>
      <c r="J988" s="37" t="s">
        <v>1082</v>
      </c>
      <c r="K988" s="37">
        <v>6</v>
      </c>
      <c r="L988" s="37" t="s">
        <v>891</v>
      </c>
      <c r="M988" s="37" t="s">
        <v>163</v>
      </c>
      <c r="N988" s="37">
        <v>5</v>
      </c>
      <c r="O988" s="37" t="s">
        <v>79</v>
      </c>
      <c r="P988" s="37"/>
    </row>
    <row r="989" spans="1:16">
      <c r="A989" s="46" t="s">
        <v>3379</v>
      </c>
      <c r="B989" s="46" t="s">
        <v>1087</v>
      </c>
      <c r="C989" s="46" t="s">
        <v>135</v>
      </c>
      <c r="D989" s="46" t="s">
        <v>213</v>
      </c>
      <c r="E989" s="46" t="s">
        <v>195</v>
      </c>
      <c r="F989" s="46" t="s">
        <v>283</v>
      </c>
      <c r="G989" s="46" t="s">
        <v>51</v>
      </c>
      <c r="H989" s="46" t="s">
        <v>93</v>
      </c>
      <c r="I989" s="46" t="s">
        <v>863</v>
      </c>
      <c r="J989" s="46" t="s">
        <v>3380</v>
      </c>
      <c r="K989" s="46">
        <v>8</v>
      </c>
      <c r="L989" s="46" t="s">
        <v>1386</v>
      </c>
      <c r="M989" s="46" t="s">
        <v>172</v>
      </c>
      <c r="N989" s="46">
        <v>4</v>
      </c>
      <c r="O989" s="46" t="s">
        <v>191</v>
      </c>
      <c r="P989" s="46"/>
    </row>
    <row r="990" spans="1:16">
      <c r="A990" s="37" t="s">
        <v>3381</v>
      </c>
      <c r="B990" s="37" t="s">
        <v>1085</v>
      </c>
      <c r="C990" s="37" t="s">
        <v>307</v>
      </c>
      <c r="D990" s="37" t="s">
        <v>333</v>
      </c>
      <c r="E990" s="37" t="s">
        <v>440</v>
      </c>
      <c r="F990" s="37" t="s">
        <v>177</v>
      </c>
      <c r="G990" s="37" t="s">
        <v>380</v>
      </c>
      <c r="H990" s="37" t="s">
        <v>396</v>
      </c>
      <c r="I990" s="37" t="s">
        <v>2381</v>
      </c>
      <c r="J990" s="37" t="s">
        <v>3382</v>
      </c>
      <c r="K990" s="37">
        <v>8</v>
      </c>
      <c r="L990" s="37" t="s">
        <v>506</v>
      </c>
      <c r="M990" s="37" t="s">
        <v>163</v>
      </c>
      <c r="N990" s="37">
        <v>5</v>
      </c>
      <c r="O990" s="37" t="s">
        <v>191</v>
      </c>
      <c r="P990" s="37"/>
    </row>
    <row r="991" spans="1:16">
      <c r="A991" s="46" t="s">
        <v>3383</v>
      </c>
      <c r="B991" s="46" t="s">
        <v>3048</v>
      </c>
      <c r="C991" s="46" t="s">
        <v>633</v>
      </c>
      <c r="D991" s="46" t="s">
        <v>204</v>
      </c>
      <c r="E991" s="46" t="s">
        <v>224</v>
      </c>
      <c r="F991" s="46" t="s">
        <v>277</v>
      </c>
      <c r="G991" s="46" t="s">
        <v>92</v>
      </c>
      <c r="H991" s="46" t="s">
        <v>396</v>
      </c>
      <c r="I991" s="46" t="s">
        <v>3384</v>
      </c>
      <c r="J991" s="46" t="s">
        <v>3385</v>
      </c>
      <c r="K991" s="46">
        <v>4</v>
      </c>
      <c r="L991" s="46" t="s">
        <v>1961</v>
      </c>
      <c r="M991" s="46" t="s">
        <v>172</v>
      </c>
      <c r="N991" s="46">
        <v>1</v>
      </c>
      <c r="O991" s="46" t="s">
        <v>181</v>
      </c>
      <c r="P991" s="46"/>
    </row>
    <row r="992" spans="1:16">
      <c r="A992" s="37" t="s">
        <v>3386</v>
      </c>
      <c r="B992" s="37" t="s">
        <v>609</v>
      </c>
      <c r="C992" s="37" t="s">
        <v>121</v>
      </c>
      <c r="D992" s="37" t="s">
        <v>204</v>
      </c>
      <c r="E992" s="37" t="s">
        <v>99</v>
      </c>
      <c r="F992" s="37" t="s">
        <v>231</v>
      </c>
      <c r="G992" s="37" t="s">
        <v>125</v>
      </c>
      <c r="H992" s="37" t="s">
        <v>91</v>
      </c>
      <c r="I992" s="37" t="s">
        <v>3387</v>
      </c>
      <c r="J992" s="37" t="s">
        <v>3388</v>
      </c>
      <c r="K992" s="37">
        <v>4</v>
      </c>
      <c r="L992" s="37" t="s">
        <v>3389</v>
      </c>
      <c r="M992" s="37" t="s">
        <v>72</v>
      </c>
      <c r="N992" s="37">
        <v>2</v>
      </c>
      <c r="O992" s="37" t="s">
        <v>191</v>
      </c>
      <c r="P992" s="37"/>
    </row>
    <row r="993" spans="1:16">
      <c r="A993" s="46" t="s">
        <v>3390</v>
      </c>
      <c r="B993" s="46" t="s">
        <v>801</v>
      </c>
      <c r="C993" s="46" t="s">
        <v>91</v>
      </c>
      <c r="D993" s="46" t="s">
        <v>352</v>
      </c>
      <c r="E993" s="46" t="s">
        <v>157</v>
      </c>
      <c r="F993" s="46" t="s">
        <v>47</v>
      </c>
      <c r="G993" s="46" t="s">
        <v>112</v>
      </c>
      <c r="H993" s="46" t="s">
        <v>354</v>
      </c>
      <c r="I993" s="46" t="s">
        <v>2777</v>
      </c>
      <c r="J993" s="46" t="s">
        <v>3391</v>
      </c>
      <c r="K993" s="46">
        <v>6</v>
      </c>
      <c r="L993" s="46" t="s">
        <v>316</v>
      </c>
      <c r="M993" s="46" t="s">
        <v>105</v>
      </c>
      <c r="N993" s="46">
        <v>4</v>
      </c>
      <c r="O993" s="46" t="s">
        <v>191</v>
      </c>
      <c r="P993" s="46"/>
    </row>
    <row r="994" spans="1:16">
      <c r="A994" s="37" t="s">
        <v>3392</v>
      </c>
      <c r="B994" s="37" t="s">
        <v>129</v>
      </c>
      <c r="C994" s="37" t="s">
        <v>88</v>
      </c>
      <c r="D994" s="37" t="s">
        <v>230</v>
      </c>
      <c r="E994" s="37" t="s">
        <v>345</v>
      </c>
      <c r="F994" s="37" t="s">
        <v>533</v>
      </c>
      <c r="G994" s="37" t="s">
        <v>380</v>
      </c>
      <c r="H994" s="37" t="s">
        <v>126</v>
      </c>
      <c r="I994" s="37" t="s">
        <v>858</v>
      </c>
      <c r="J994" s="37" t="s">
        <v>1981</v>
      </c>
      <c r="K994" s="37">
        <v>6</v>
      </c>
      <c r="L994" s="37" t="s">
        <v>267</v>
      </c>
      <c r="M994" s="37" t="s">
        <v>105</v>
      </c>
      <c r="N994" s="37">
        <v>4</v>
      </c>
      <c r="O994" s="37" t="s">
        <v>79</v>
      </c>
      <c r="P994" s="37"/>
    </row>
    <row r="995" spans="1:16">
      <c r="A995" s="46" t="s">
        <v>3393</v>
      </c>
      <c r="B995" s="46" t="s">
        <v>2087</v>
      </c>
      <c r="C995" s="46" t="s">
        <v>121</v>
      </c>
      <c r="D995" s="46" t="s">
        <v>367</v>
      </c>
      <c r="E995" s="46" t="s">
        <v>440</v>
      </c>
      <c r="F995" s="46" t="s">
        <v>277</v>
      </c>
      <c r="G995" s="46" t="s">
        <v>346</v>
      </c>
      <c r="H995" s="46" t="s">
        <v>32</v>
      </c>
      <c r="I995" s="46" t="s">
        <v>1360</v>
      </c>
      <c r="J995" s="46" t="s">
        <v>3394</v>
      </c>
      <c r="K995" s="46">
        <v>6</v>
      </c>
      <c r="L995" s="46" t="s">
        <v>1236</v>
      </c>
      <c r="M995" s="46" t="s">
        <v>172</v>
      </c>
      <c r="N995" s="46">
        <v>3</v>
      </c>
      <c r="O995" s="46" t="s">
        <v>106</v>
      </c>
      <c r="P995" s="46"/>
    </row>
    <row r="996" spans="1:16">
      <c r="A996" s="37" t="s">
        <v>3395</v>
      </c>
      <c r="B996" s="37" t="s">
        <v>1285</v>
      </c>
      <c r="C996" s="37" t="s">
        <v>174</v>
      </c>
      <c r="D996" s="37" t="s">
        <v>146</v>
      </c>
      <c r="E996" s="37" t="s">
        <v>244</v>
      </c>
      <c r="F996" s="37" t="s">
        <v>47</v>
      </c>
      <c r="G996" s="37" t="s">
        <v>470</v>
      </c>
      <c r="H996" s="37" t="s">
        <v>126</v>
      </c>
      <c r="I996" s="37" t="s">
        <v>149</v>
      </c>
      <c r="J996" s="37" t="s">
        <v>3396</v>
      </c>
      <c r="K996" s="37">
        <v>4</v>
      </c>
      <c r="L996" s="37" t="s">
        <v>2429</v>
      </c>
      <c r="M996" s="37" t="s">
        <v>105</v>
      </c>
      <c r="N996" s="37">
        <v>4</v>
      </c>
      <c r="O996" s="37" t="s">
        <v>131</v>
      </c>
      <c r="P996" s="37"/>
    </row>
    <row r="997" spans="1:16">
      <c r="A997" s="46" t="s">
        <v>3397</v>
      </c>
      <c r="B997" s="46" t="s">
        <v>2169</v>
      </c>
      <c r="C997" s="46" t="s">
        <v>243</v>
      </c>
      <c r="D997" s="46" t="s">
        <v>270</v>
      </c>
      <c r="E997" s="46" t="s">
        <v>110</v>
      </c>
      <c r="F997" s="46" t="s">
        <v>664</v>
      </c>
      <c r="G997" s="46" t="s">
        <v>346</v>
      </c>
      <c r="H997" s="46" t="s">
        <v>32</v>
      </c>
      <c r="I997" s="46" t="s">
        <v>3398</v>
      </c>
      <c r="J997" s="46" t="s">
        <v>3399</v>
      </c>
      <c r="K997" s="46">
        <v>6</v>
      </c>
      <c r="L997" s="46" t="s">
        <v>1485</v>
      </c>
      <c r="M997" s="46" t="s">
        <v>163</v>
      </c>
      <c r="N997" s="46">
        <v>3</v>
      </c>
      <c r="O997" s="46" t="s">
        <v>79</v>
      </c>
      <c r="P997" s="46"/>
    </row>
    <row r="998" spans="1:16">
      <c r="A998" s="37" t="s">
        <v>3400</v>
      </c>
      <c r="B998" s="37" t="s">
        <v>3401</v>
      </c>
      <c r="C998" s="37" t="s">
        <v>300</v>
      </c>
      <c r="D998" s="37" t="s">
        <v>223</v>
      </c>
      <c r="E998" s="37" t="s">
        <v>176</v>
      </c>
      <c r="F998" s="37" t="s">
        <v>283</v>
      </c>
      <c r="G998" s="37" t="s">
        <v>89</v>
      </c>
      <c r="H998" s="37" t="s">
        <v>88</v>
      </c>
      <c r="I998" s="37" t="s">
        <v>2176</v>
      </c>
      <c r="J998" s="37" t="s">
        <v>3195</v>
      </c>
      <c r="K998" s="37">
        <v>8</v>
      </c>
      <c r="L998" s="37" t="s">
        <v>714</v>
      </c>
      <c r="M998" s="37" t="s">
        <v>172</v>
      </c>
      <c r="N998" s="37">
        <v>4</v>
      </c>
      <c r="O998" s="37" t="s">
        <v>118</v>
      </c>
      <c r="P998" s="37"/>
    </row>
    <row r="999" spans="1:16">
      <c r="A999" s="46" t="s">
        <v>3402</v>
      </c>
      <c r="B999" s="46" t="s">
        <v>481</v>
      </c>
      <c r="C999" s="46" t="s">
        <v>633</v>
      </c>
      <c r="D999" s="46" t="s">
        <v>223</v>
      </c>
      <c r="E999" s="46" t="s">
        <v>110</v>
      </c>
      <c r="F999" s="46" t="s">
        <v>100</v>
      </c>
      <c r="G999" s="46" t="s">
        <v>470</v>
      </c>
      <c r="H999" s="46" t="s">
        <v>126</v>
      </c>
      <c r="I999" s="46" t="s">
        <v>2068</v>
      </c>
      <c r="J999" s="46" t="s">
        <v>3403</v>
      </c>
      <c r="K999" s="46">
        <v>6</v>
      </c>
      <c r="L999" s="46" t="s">
        <v>1588</v>
      </c>
      <c r="M999" s="46" t="s">
        <v>163</v>
      </c>
      <c r="N999" s="46">
        <v>2</v>
      </c>
      <c r="O999" s="46" t="s">
        <v>106</v>
      </c>
      <c r="P999" s="46"/>
    </row>
    <row r="1000" spans="1:16">
      <c r="A1000" s="37" t="s">
        <v>3404</v>
      </c>
      <c r="B1000" s="37" t="s">
        <v>3354</v>
      </c>
      <c r="C1000" s="37" t="s">
        <v>424</v>
      </c>
      <c r="D1000" s="37" t="s">
        <v>146</v>
      </c>
      <c r="E1000" s="37" t="s">
        <v>157</v>
      </c>
      <c r="F1000" s="37" t="s">
        <v>277</v>
      </c>
      <c r="G1000" s="37" t="s">
        <v>51</v>
      </c>
      <c r="H1000" s="37" t="s">
        <v>54</v>
      </c>
      <c r="I1000" s="37" t="s">
        <v>169</v>
      </c>
      <c r="J1000" s="37" t="s">
        <v>432</v>
      </c>
      <c r="K1000" s="37">
        <v>4</v>
      </c>
      <c r="L1000" s="37" t="s">
        <v>145</v>
      </c>
      <c r="M1000" s="37" t="s">
        <v>219</v>
      </c>
      <c r="N1000" s="37">
        <v>2</v>
      </c>
      <c r="O1000" s="37" t="s">
        <v>191</v>
      </c>
      <c r="P1000" s="37"/>
    </row>
    <row r="1001" spans="1:16">
      <c r="A1001" s="46" t="s">
        <v>3405</v>
      </c>
      <c r="B1001" s="46" t="s">
        <v>2501</v>
      </c>
      <c r="C1001" s="46" t="s">
        <v>88</v>
      </c>
      <c r="D1001" s="46" t="s">
        <v>544</v>
      </c>
      <c r="E1001" s="46" t="s">
        <v>147</v>
      </c>
      <c r="F1001" s="46" t="s">
        <v>283</v>
      </c>
      <c r="G1001" s="46" t="s">
        <v>92</v>
      </c>
      <c r="H1001" s="46" t="s">
        <v>126</v>
      </c>
      <c r="I1001" s="46" t="s">
        <v>2151</v>
      </c>
      <c r="J1001" s="46" t="s">
        <v>2421</v>
      </c>
      <c r="K1001" s="46">
        <v>8</v>
      </c>
      <c r="L1001" s="46" t="s">
        <v>2132</v>
      </c>
      <c r="M1001" s="46" t="s">
        <v>117</v>
      </c>
      <c r="N1001" s="46">
        <v>4</v>
      </c>
      <c r="O1001" s="46" t="s">
        <v>191</v>
      </c>
      <c r="P1001" s="46"/>
    </row>
    <row r="1002" spans="1:16">
      <c r="A1002" s="37" t="s">
        <v>3406</v>
      </c>
      <c r="B1002" s="37" t="s">
        <v>2156</v>
      </c>
      <c r="C1002" s="37" t="s">
        <v>32</v>
      </c>
      <c r="D1002" s="37" t="s">
        <v>367</v>
      </c>
      <c r="E1002" s="37" t="s">
        <v>123</v>
      </c>
      <c r="F1002" s="37" t="s">
        <v>664</v>
      </c>
      <c r="G1002" s="37" t="s">
        <v>139</v>
      </c>
      <c r="H1002" s="37" t="s">
        <v>113</v>
      </c>
      <c r="I1002" s="37" t="s">
        <v>2787</v>
      </c>
      <c r="J1002" s="37" t="s">
        <v>3407</v>
      </c>
      <c r="K1002" s="37">
        <v>2</v>
      </c>
      <c r="L1002" s="37" t="s">
        <v>1716</v>
      </c>
      <c r="M1002" s="37" t="s">
        <v>117</v>
      </c>
      <c r="N1002" s="37">
        <v>3</v>
      </c>
      <c r="O1002" s="37" t="s">
        <v>118</v>
      </c>
      <c r="P1002" s="37"/>
    </row>
    <row r="1003" spans="1:16">
      <c r="A1003" s="46" t="s">
        <v>3408</v>
      </c>
      <c r="B1003" s="46" t="s">
        <v>398</v>
      </c>
      <c r="C1003" s="46" t="s">
        <v>307</v>
      </c>
      <c r="D1003" s="46" t="s">
        <v>352</v>
      </c>
      <c r="E1003" s="46" t="s">
        <v>42</v>
      </c>
      <c r="F1003" s="46" t="s">
        <v>843</v>
      </c>
      <c r="G1003" s="46" t="s">
        <v>302</v>
      </c>
      <c r="H1003" s="46" t="s">
        <v>91</v>
      </c>
      <c r="I1003" s="46" t="s">
        <v>3409</v>
      </c>
      <c r="J1003" s="46" t="s">
        <v>3410</v>
      </c>
      <c r="K1003" s="46">
        <v>6</v>
      </c>
      <c r="L1003" s="46" t="s">
        <v>423</v>
      </c>
      <c r="M1003" s="46" t="s">
        <v>117</v>
      </c>
      <c r="N1003" s="46">
        <v>4</v>
      </c>
      <c r="O1003" s="46" t="s">
        <v>191</v>
      </c>
      <c r="P1003" s="46"/>
    </row>
    <row r="1004" spans="1:16">
      <c r="A1004" s="37" t="s">
        <v>3411</v>
      </c>
      <c r="B1004" s="37" t="s">
        <v>2367</v>
      </c>
      <c r="C1004" s="37" t="s">
        <v>203</v>
      </c>
      <c r="D1004" s="37" t="s">
        <v>333</v>
      </c>
      <c r="E1004" s="37" t="s">
        <v>110</v>
      </c>
      <c r="F1004" s="37" t="s">
        <v>231</v>
      </c>
      <c r="G1004" s="37" t="s">
        <v>139</v>
      </c>
      <c r="H1004" s="37" t="s">
        <v>354</v>
      </c>
      <c r="I1004" s="37" t="s">
        <v>3412</v>
      </c>
      <c r="J1004" s="37" t="s">
        <v>3413</v>
      </c>
      <c r="K1004" s="37">
        <v>6</v>
      </c>
      <c r="L1004" s="37" t="s">
        <v>763</v>
      </c>
      <c r="M1004" s="37" t="s">
        <v>117</v>
      </c>
      <c r="N1004" s="37">
        <v>4</v>
      </c>
      <c r="O1004" s="37" t="s">
        <v>286</v>
      </c>
      <c r="P1004" s="37"/>
    </row>
    <row r="1005" spans="1:16">
      <c r="A1005" s="46" t="s">
        <v>3414</v>
      </c>
      <c r="B1005" s="46" t="s">
        <v>1415</v>
      </c>
      <c r="C1005" s="46" t="s">
        <v>424</v>
      </c>
      <c r="D1005" s="46" t="s">
        <v>230</v>
      </c>
      <c r="E1005" s="46" t="s">
        <v>99</v>
      </c>
      <c r="F1005" s="46" t="s">
        <v>271</v>
      </c>
      <c r="G1005" s="46" t="s">
        <v>264</v>
      </c>
      <c r="H1005" s="46" t="s">
        <v>206</v>
      </c>
      <c r="I1005" s="46" t="s">
        <v>2032</v>
      </c>
      <c r="J1005" s="46" t="s">
        <v>3415</v>
      </c>
      <c r="K1005" s="46">
        <v>4</v>
      </c>
      <c r="L1005" s="46" t="s">
        <v>1961</v>
      </c>
      <c r="M1005" s="46" t="s">
        <v>143</v>
      </c>
      <c r="N1005" s="46">
        <v>1</v>
      </c>
      <c r="O1005" s="46" t="s">
        <v>106</v>
      </c>
      <c r="P1005" s="46"/>
    </row>
    <row r="1006" spans="1:16">
      <c r="A1006" s="37" t="s">
        <v>3416</v>
      </c>
      <c r="B1006" s="37" t="s">
        <v>1564</v>
      </c>
      <c r="C1006" s="37" t="s">
        <v>451</v>
      </c>
      <c r="D1006" s="37" t="s">
        <v>270</v>
      </c>
      <c r="E1006" s="37" t="s">
        <v>123</v>
      </c>
      <c r="F1006" s="37" t="s">
        <v>100</v>
      </c>
      <c r="G1006" s="37" t="s">
        <v>401</v>
      </c>
      <c r="H1006" s="37" t="s">
        <v>90</v>
      </c>
      <c r="I1006" s="37" t="s">
        <v>3417</v>
      </c>
      <c r="J1006" s="37" t="s">
        <v>3418</v>
      </c>
      <c r="K1006" s="37">
        <v>4</v>
      </c>
      <c r="L1006" s="37" t="s">
        <v>1164</v>
      </c>
      <c r="M1006" s="37" t="s">
        <v>219</v>
      </c>
      <c r="N1006" s="37">
        <v>5</v>
      </c>
      <c r="O1006" s="37" t="s">
        <v>118</v>
      </c>
      <c r="P1006" s="37"/>
    </row>
    <row r="1007" spans="1:16">
      <c r="A1007" s="46" t="s">
        <v>3419</v>
      </c>
      <c r="B1007" s="46" t="s">
        <v>737</v>
      </c>
      <c r="C1007" s="46" t="s">
        <v>203</v>
      </c>
      <c r="D1007" s="46" t="s">
        <v>544</v>
      </c>
      <c r="E1007" s="46" t="s">
        <v>137</v>
      </c>
      <c r="F1007" s="46" t="s">
        <v>231</v>
      </c>
      <c r="G1007" s="46" t="s">
        <v>125</v>
      </c>
      <c r="H1007" s="46" t="s">
        <v>294</v>
      </c>
      <c r="I1007" s="46" t="s">
        <v>3420</v>
      </c>
      <c r="J1007" s="46" t="s">
        <v>3421</v>
      </c>
      <c r="K1007" s="46">
        <v>8</v>
      </c>
      <c r="L1007" s="46" t="s">
        <v>786</v>
      </c>
      <c r="M1007" s="46" t="s">
        <v>219</v>
      </c>
      <c r="N1007" s="46">
        <v>4</v>
      </c>
      <c r="O1007" s="46" t="s">
        <v>152</v>
      </c>
      <c r="P1007" s="46"/>
    </row>
    <row r="1008" spans="1:16">
      <c r="A1008" s="37" t="s">
        <v>3422</v>
      </c>
      <c r="B1008" s="37" t="s">
        <v>3361</v>
      </c>
      <c r="C1008" s="37" t="s">
        <v>155</v>
      </c>
      <c r="D1008" s="37" t="s">
        <v>122</v>
      </c>
      <c r="E1008" s="37" t="s">
        <v>110</v>
      </c>
      <c r="F1008" s="37" t="s">
        <v>498</v>
      </c>
      <c r="G1008" s="37" t="s">
        <v>51</v>
      </c>
      <c r="H1008" s="37" t="s">
        <v>90</v>
      </c>
      <c r="I1008" s="37" t="s">
        <v>2176</v>
      </c>
      <c r="J1008" s="37" t="s">
        <v>530</v>
      </c>
      <c r="K1008" s="37">
        <v>4</v>
      </c>
      <c r="L1008" s="37" t="s">
        <v>2160</v>
      </c>
      <c r="M1008" s="37" t="s">
        <v>219</v>
      </c>
      <c r="N1008" s="37">
        <v>4</v>
      </c>
      <c r="O1008" s="37" t="s">
        <v>131</v>
      </c>
      <c r="P1008" s="37"/>
    </row>
    <row r="1009" spans="1:16">
      <c r="A1009" s="46" t="s">
        <v>3423</v>
      </c>
      <c r="B1009" s="46" t="s">
        <v>720</v>
      </c>
      <c r="C1009" s="46" t="s">
        <v>307</v>
      </c>
      <c r="D1009" s="46" t="s">
        <v>367</v>
      </c>
      <c r="E1009" s="46" t="s">
        <v>176</v>
      </c>
      <c r="F1009" s="46" t="s">
        <v>158</v>
      </c>
      <c r="G1009" s="46" t="s">
        <v>101</v>
      </c>
      <c r="H1009" s="46" t="s">
        <v>88</v>
      </c>
      <c r="I1009" s="46" t="s">
        <v>1557</v>
      </c>
      <c r="J1009" s="46" t="s">
        <v>1043</v>
      </c>
      <c r="K1009" s="46">
        <v>6</v>
      </c>
      <c r="L1009" s="46" t="s">
        <v>1039</v>
      </c>
      <c r="M1009" s="46" t="s">
        <v>172</v>
      </c>
      <c r="N1009" s="46">
        <v>4</v>
      </c>
      <c r="O1009" s="46" t="s">
        <v>79</v>
      </c>
      <c r="P1009" s="46"/>
    </row>
    <row r="1010" spans="1:16">
      <c r="A1010" s="37" t="s">
        <v>3424</v>
      </c>
      <c r="B1010" s="37" t="s">
        <v>1998</v>
      </c>
      <c r="C1010" s="37" t="s">
        <v>155</v>
      </c>
      <c r="D1010" s="37" t="s">
        <v>194</v>
      </c>
      <c r="E1010" s="37" t="s">
        <v>110</v>
      </c>
      <c r="F1010" s="37" t="s">
        <v>138</v>
      </c>
      <c r="G1010" s="37" t="s">
        <v>264</v>
      </c>
      <c r="H1010" s="37" t="s">
        <v>278</v>
      </c>
      <c r="I1010" s="37" t="s">
        <v>1086</v>
      </c>
      <c r="J1010" s="37" t="s">
        <v>3425</v>
      </c>
      <c r="K1010" s="37">
        <v>6</v>
      </c>
      <c r="L1010" s="37" t="s">
        <v>1311</v>
      </c>
      <c r="M1010" s="37" t="s">
        <v>143</v>
      </c>
      <c r="N1010" s="37">
        <v>4</v>
      </c>
      <c r="O1010" s="37" t="s">
        <v>131</v>
      </c>
      <c r="P1010" s="37"/>
    </row>
    <row r="1011" spans="1:16">
      <c r="A1011" s="46" t="s">
        <v>3426</v>
      </c>
      <c r="B1011" s="46" t="s">
        <v>2347</v>
      </c>
      <c r="C1011" s="46" t="s">
        <v>91</v>
      </c>
      <c r="D1011" s="46" t="s">
        <v>223</v>
      </c>
      <c r="E1011" s="46" t="s">
        <v>110</v>
      </c>
      <c r="F1011" s="46" t="s">
        <v>319</v>
      </c>
      <c r="G1011" s="46" t="s">
        <v>51</v>
      </c>
      <c r="H1011" s="46" t="s">
        <v>327</v>
      </c>
      <c r="I1011" s="46" t="s">
        <v>1640</v>
      </c>
      <c r="J1011" s="46" t="s">
        <v>3427</v>
      </c>
      <c r="K1011" s="46">
        <v>6</v>
      </c>
      <c r="L1011" s="46" t="s">
        <v>1468</v>
      </c>
      <c r="M1011" s="46" t="s">
        <v>117</v>
      </c>
      <c r="N1011" s="46">
        <v>5</v>
      </c>
      <c r="O1011" s="46" t="s">
        <v>152</v>
      </c>
      <c r="P1011" s="46"/>
    </row>
    <row r="1012" spans="1:16">
      <c r="A1012" s="37" t="s">
        <v>3428</v>
      </c>
      <c r="B1012" s="37" t="s">
        <v>744</v>
      </c>
      <c r="C1012" s="37" t="s">
        <v>121</v>
      </c>
      <c r="D1012" s="37" t="s">
        <v>367</v>
      </c>
      <c r="E1012" s="37" t="s">
        <v>123</v>
      </c>
      <c r="F1012" s="37" t="s">
        <v>231</v>
      </c>
      <c r="G1012" s="37" t="s">
        <v>125</v>
      </c>
      <c r="H1012" s="37" t="s">
        <v>126</v>
      </c>
      <c r="I1012" s="37" t="s">
        <v>3429</v>
      </c>
      <c r="J1012" s="37" t="s">
        <v>3430</v>
      </c>
      <c r="K1012" s="37">
        <v>4</v>
      </c>
      <c r="L1012" s="37" t="s">
        <v>991</v>
      </c>
      <c r="M1012" s="37" t="s">
        <v>172</v>
      </c>
      <c r="N1012" s="37">
        <v>5</v>
      </c>
      <c r="O1012" s="37" t="s">
        <v>79</v>
      </c>
      <c r="P1012" s="37"/>
    </row>
    <row r="1013" spans="1:16">
      <c r="A1013" s="46" t="s">
        <v>3431</v>
      </c>
      <c r="B1013" s="46" t="s">
        <v>3432</v>
      </c>
      <c r="C1013" s="46" t="s">
        <v>174</v>
      </c>
      <c r="D1013" s="46" t="s">
        <v>156</v>
      </c>
      <c r="E1013" s="46" t="s">
        <v>224</v>
      </c>
      <c r="F1013" s="46" t="s">
        <v>326</v>
      </c>
      <c r="G1013" s="46" t="s">
        <v>87</v>
      </c>
      <c r="H1013" s="46" t="s">
        <v>32</v>
      </c>
      <c r="I1013" s="46" t="s">
        <v>279</v>
      </c>
      <c r="J1013" s="46" t="s">
        <v>3433</v>
      </c>
      <c r="K1013" s="46">
        <v>4</v>
      </c>
      <c r="L1013" s="46" t="s">
        <v>3434</v>
      </c>
      <c r="M1013" s="46" t="s">
        <v>163</v>
      </c>
      <c r="N1013" s="46">
        <v>5</v>
      </c>
      <c r="O1013" s="46" t="s">
        <v>79</v>
      </c>
      <c r="P1013" s="46"/>
    </row>
    <row r="1014" spans="1:16">
      <c r="A1014" s="37" t="s">
        <v>3435</v>
      </c>
      <c r="B1014" s="37" t="s">
        <v>3299</v>
      </c>
      <c r="C1014" s="37" t="s">
        <v>340</v>
      </c>
      <c r="D1014" s="37" t="s">
        <v>230</v>
      </c>
      <c r="E1014" s="37" t="s">
        <v>224</v>
      </c>
      <c r="F1014" s="37" t="s">
        <v>277</v>
      </c>
      <c r="G1014" s="37" t="s">
        <v>470</v>
      </c>
      <c r="H1014" s="37" t="s">
        <v>91</v>
      </c>
      <c r="I1014" s="37" t="s">
        <v>3436</v>
      </c>
      <c r="J1014" s="37" t="s">
        <v>1969</v>
      </c>
      <c r="K1014" s="37">
        <v>4</v>
      </c>
      <c r="L1014" s="37" t="s">
        <v>602</v>
      </c>
      <c r="M1014" s="37" t="s">
        <v>163</v>
      </c>
      <c r="N1014" s="37">
        <v>3</v>
      </c>
      <c r="O1014" s="37" t="s">
        <v>118</v>
      </c>
      <c r="P1014" s="37"/>
    </row>
    <row r="1015" spans="1:16">
      <c r="A1015" s="46" t="s">
        <v>3437</v>
      </c>
      <c r="B1015" s="46" t="s">
        <v>1166</v>
      </c>
      <c r="C1015" s="46" t="s">
        <v>135</v>
      </c>
      <c r="D1015" s="46" t="s">
        <v>146</v>
      </c>
      <c r="E1015" s="46" t="s">
        <v>157</v>
      </c>
      <c r="F1015" s="46" t="s">
        <v>301</v>
      </c>
      <c r="G1015" s="46" t="s">
        <v>92</v>
      </c>
      <c r="H1015" s="46" t="s">
        <v>126</v>
      </c>
      <c r="I1015" s="46" t="s">
        <v>1766</v>
      </c>
      <c r="J1015" s="46" t="s">
        <v>3438</v>
      </c>
      <c r="K1015" s="46">
        <v>6</v>
      </c>
      <c r="L1015" s="46" t="s">
        <v>697</v>
      </c>
      <c r="M1015" s="46" t="s">
        <v>172</v>
      </c>
      <c r="N1015" s="46">
        <v>1</v>
      </c>
      <c r="O1015" s="46" t="s">
        <v>106</v>
      </c>
      <c r="P1015" s="46"/>
    </row>
    <row r="1016" spans="1:16">
      <c r="A1016" s="37" t="s">
        <v>3439</v>
      </c>
      <c r="B1016" s="37" t="s">
        <v>2429</v>
      </c>
      <c r="C1016" s="37" t="s">
        <v>135</v>
      </c>
      <c r="D1016" s="37" t="s">
        <v>175</v>
      </c>
      <c r="E1016" s="37" t="s">
        <v>224</v>
      </c>
      <c r="F1016" s="37" t="s">
        <v>664</v>
      </c>
      <c r="G1016" s="37" t="s">
        <v>51</v>
      </c>
      <c r="H1016" s="37" t="s">
        <v>93</v>
      </c>
      <c r="I1016" s="37" t="s">
        <v>3320</v>
      </c>
      <c r="J1016" s="37" t="s">
        <v>956</v>
      </c>
      <c r="K1016" s="37">
        <v>4</v>
      </c>
      <c r="L1016" s="37" t="s">
        <v>1056</v>
      </c>
      <c r="M1016" s="37" t="s">
        <v>219</v>
      </c>
      <c r="N1016" s="37">
        <v>5</v>
      </c>
      <c r="O1016" s="37" t="s">
        <v>191</v>
      </c>
      <c r="P1016" s="37"/>
    </row>
    <row r="1017" spans="1:16">
      <c r="A1017" s="46" t="s">
        <v>3440</v>
      </c>
      <c r="B1017" s="46" t="s">
        <v>234</v>
      </c>
      <c r="C1017" s="46" t="s">
        <v>222</v>
      </c>
      <c r="D1017" s="46" t="s">
        <v>333</v>
      </c>
      <c r="E1017" s="46" t="s">
        <v>195</v>
      </c>
      <c r="F1017" s="46" t="s">
        <v>664</v>
      </c>
      <c r="G1017" s="46" t="s">
        <v>87</v>
      </c>
      <c r="H1017" s="46" t="s">
        <v>32</v>
      </c>
      <c r="I1017" s="46" t="s">
        <v>1046</v>
      </c>
      <c r="J1017" s="46" t="s">
        <v>3441</v>
      </c>
      <c r="K1017" s="46">
        <v>8</v>
      </c>
      <c r="L1017" s="46" t="s">
        <v>1485</v>
      </c>
      <c r="M1017" s="46" t="s">
        <v>117</v>
      </c>
      <c r="N1017" s="46">
        <v>4</v>
      </c>
      <c r="O1017" s="46" t="s">
        <v>106</v>
      </c>
      <c r="P1017" s="46"/>
    </row>
    <row r="1018" spans="1:16">
      <c r="A1018" s="37" t="s">
        <v>3442</v>
      </c>
      <c r="B1018" s="37" t="s">
        <v>1152</v>
      </c>
      <c r="C1018" s="37" t="s">
        <v>469</v>
      </c>
      <c r="D1018" s="37" t="s">
        <v>156</v>
      </c>
      <c r="E1018" s="37" t="s">
        <v>42</v>
      </c>
      <c r="F1018" s="37" t="s">
        <v>111</v>
      </c>
      <c r="G1018" s="37" t="s">
        <v>264</v>
      </c>
      <c r="H1018" s="37" t="s">
        <v>278</v>
      </c>
      <c r="I1018" s="37" t="s">
        <v>607</v>
      </c>
      <c r="J1018" s="37" t="s">
        <v>1580</v>
      </c>
      <c r="K1018" s="37">
        <v>6</v>
      </c>
      <c r="L1018" s="37" t="s">
        <v>676</v>
      </c>
      <c r="M1018" s="37" t="s">
        <v>105</v>
      </c>
      <c r="N1018" s="37">
        <v>4</v>
      </c>
      <c r="O1018" s="37" t="s">
        <v>181</v>
      </c>
      <c r="P1018" s="37"/>
    </row>
    <row r="1019" spans="1:16">
      <c r="A1019" s="46" t="s">
        <v>3443</v>
      </c>
      <c r="B1019" s="46" t="s">
        <v>1571</v>
      </c>
      <c r="C1019" s="46" t="s">
        <v>54</v>
      </c>
      <c r="D1019" s="46" t="s">
        <v>37</v>
      </c>
      <c r="E1019" s="46" t="s">
        <v>42</v>
      </c>
      <c r="F1019" s="46" t="s">
        <v>167</v>
      </c>
      <c r="G1019" s="46" t="s">
        <v>89</v>
      </c>
      <c r="H1019" s="46" t="s">
        <v>187</v>
      </c>
      <c r="I1019" s="46" t="s">
        <v>1730</v>
      </c>
      <c r="J1019" s="46" t="s">
        <v>1792</v>
      </c>
      <c r="K1019" s="46">
        <v>6</v>
      </c>
      <c r="L1019" s="46" t="s">
        <v>1142</v>
      </c>
      <c r="M1019" s="46" t="s">
        <v>117</v>
      </c>
      <c r="N1019" s="46">
        <v>5</v>
      </c>
      <c r="O1019" s="46" t="s">
        <v>286</v>
      </c>
      <c r="P1019" s="46"/>
    </row>
    <row r="1020" spans="1:16">
      <c r="A1020" s="37" t="s">
        <v>3444</v>
      </c>
      <c r="B1020" s="37" t="s">
        <v>587</v>
      </c>
      <c r="C1020" s="37" t="s">
        <v>203</v>
      </c>
      <c r="D1020" s="37" t="s">
        <v>312</v>
      </c>
      <c r="E1020" s="37" t="s">
        <v>325</v>
      </c>
      <c r="F1020" s="37" t="s">
        <v>47</v>
      </c>
      <c r="G1020" s="37" t="s">
        <v>125</v>
      </c>
      <c r="H1020" s="37" t="s">
        <v>294</v>
      </c>
      <c r="I1020" s="37" t="s">
        <v>3445</v>
      </c>
      <c r="J1020" s="37" t="s">
        <v>3446</v>
      </c>
      <c r="K1020" s="37">
        <v>4</v>
      </c>
      <c r="L1020" s="37" t="s">
        <v>979</v>
      </c>
      <c r="M1020" s="37" t="s">
        <v>143</v>
      </c>
      <c r="N1020" s="37">
        <v>2</v>
      </c>
      <c r="O1020" s="37" t="s">
        <v>152</v>
      </c>
      <c r="P1020" s="37"/>
    </row>
    <row r="1021" spans="1:16">
      <c r="A1021" s="46" t="s">
        <v>3447</v>
      </c>
      <c r="B1021" s="46" t="s">
        <v>417</v>
      </c>
      <c r="C1021" s="46" t="s">
        <v>109</v>
      </c>
      <c r="D1021" s="46" t="s">
        <v>544</v>
      </c>
      <c r="E1021" s="46" t="s">
        <v>110</v>
      </c>
      <c r="F1021" s="46" t="s">
        <v>353</v>
      </c>
      <c r="G1021" s="46" t="s">
        <v>125</v>
      </c>
      <c r="H1021" s="46" t="s">
        <v>126</v>
      </c>
      <c r="I1021" s="46" t="s">
        <v>3448</v>
      </c>
      <c r="J1021" s="46" t="s">
        <v>2947</v>
      </c>
      <c r="K1021" s="46">
        <v>6</v>
      </c>
      <c r="L1021" s="46" t="s">
        <v>835</v>
      </c>
      <c r="M1021" s="46" t="s">
        <v>72</v>
      </c>
      <c r="N1021" s="46">
        <v>1</v>
      </c>
      <c r="O1021" s="46" t="s">
        <v>152</v>
      </c>
      <c r="P1021" s="46"/>
    </row>
    <row r="1022" spans="1:16">
      <c r="A1022" s="37" t="s">
        <v>3449</v>
      </c>
      <c r="B1022" s="37" t="s">
        <v>1089</v>
      </c>
      <c r="C1022" s="37" t="s">
        <v>633</v>
      </c>
      <c r="D1022" s="37" t="s">
        <v>146</v>
      </c>
      <c r="E1022" s="37" t="s">
        <v>440</v>
      </c>
      <c r="F1022" s="37" t="s">
        <v>425</v>
      </c>
      <c r="G1022" s="37" t="s">
        <v>168</v>
      </c>
      <c r="H1022" s="37" t="s">
        <v>278</v>
      </c>
      <c r="I1022" s="37" t="s">
        <v>3450</v>
      </c>
      <c r="J1022" s="37" t="s">
        <v>1742</v>
      </c>
      <c r="K1022" s="37">
        <v>8</v>
      </c>
      <c r="L1022" s="37"/>
      <c r="M1022" s="37" t="s">
        <v>1439</v>
      </c>
      <c r="N1022" s="37"/>
      <c r="O1022" s="37" t="s">
        <v>152</v>
      </c>
      <c r="P1022" s="37"/>
    </row>
    <row r="1023" spans="1:16">
      <c r="A1023" s="46" t="s">
        <v>3451</v>
      </c>
      <c r="B1023" s="46" t="s">
        <v>2817</v>
      </c>
      <c r="C1023" s="46" t="s">
        <v>109</v>
      </c>
      <c r="D1023" s="46" t="s">
        <v>352</v>
      </c>
      <c r="E1023" s="46" t="s">
        <v>345</v>
      </c>
      <c r="F1023" s="46" t="s">
        <v>353</v>
      </c>
      <c r="G1023" s="46" t="s">
        <v>401</v>
      </c>
      <c r="H1023" s="46" t="s">
        <v>93</v>
      </c>
      <c r="I1023" s="46" t="s">
        <v>3452</v>
      </c>
      <c r="J1023" s="46" t="s">
        <v>3453</v>
      </c>
      <c r="K1023" s="46">
        <v>6</v>
      </c>
      <c r="L1023" s="46" t="s">
        <v>828</v>
      </c>
      <c r="M1023" s="46" t="s">
        <v>72</v>
      </c>
      <c r="N1023" s="46">
        <v>3</v>
      </c>
      <c r="O1023" s="46" t="s">
        <v>286</v>
      </c>
      <c r="P1023" s="46"/>
    </row>
    <row r="1024" spans="1:16">
      <c r="A1024" s="37" t="s">
        <v>3454</v>
      </c>
      <c r="B1024" s="37" t="s">
        <v>604</v>
      </c>
      <c r="C1024" s="37" t="s">
        <v>155</v>
      </c>
      <c r="D1024" s="37" t="s">
        <v>194</v>
      </c>
      <c r="E1024" s="37" t="s">
        <v>137</v>
      </c>
      <c r="F1024" s="37" t="s">
        <v>214</v>
      </c>
      <c r="G1024" s="37" t="s">
        <v>92</v>
      </c>
      <c r="H1024" s="37" t="s">
        <v>91</v>
      </c>
      <c r="I1024" s="37" t="s">
        <v>3362</v>
      </c>
      <c r="J1024" s="37" t="s">
        <v>170</v>
      </c>
      <c r="K1024" s="37">
        <v>8</v>
      </c>
      <c r="L1024" s="37" t="s">
        <v>324</v>
      </c>
      <c r="M1024" s="37" t="s">
        <v>117</v>
      </c>
      <c r="N1024" s="37">
        <v>5</v>
      </c>
      <c r="O1024" s="37" t="s">
        <v>286</v>
      </c>
      <c r="P1024" s="37"/>
    </row>
    <row r="1025" spans="1:16">
      <c r="A1025" s="46" t="s">
        <v>3455</v>
      </c>
      <c r="B1025" s="46" t="s">
        <v>2331</v>
      </c>
      <c r="C1025" s="46" t="s">
        <v>282</v>
      </c>
      <c r="D1025" s="46" t="s">
        <v>194</v>
      </c>
      <c r="E1025" s="46" t="s">
        <v>99</v>
      </c>
      <c r="F1025" s="46" t="s">
        <v>277</v>
      </c>
      <c r="G1025" s="46" t="s">
        <v>112</v>
      </c>
      <c r="H1025" s="46" t="s">
        <v>32</v>
      </c>
      <c r="I1025" s="46" t="s">
        <v>1999</v>
      </c>
      <c r="J1025" s="46" t="s">
        <v>3456</v>
      </c>
      <c r="K1025" s="46">
        <v>4</v>
      </c>
      <c r="L1025" s="46" t="s">
        <v>1056</v>
      </c>
      <c r="M1025" s="46" t="s">
        <v>163</v>
      </c>
      <c r="N1025" s="46">
        <v>2</v>
      </c>
      <c r="O1025" s="46" t="s">
        <v>131</v>
      </c>
      <c r="P1025" s="46"/>
    </row>
    <row r="1026" spans="1:16">
      <c r="A1026" s="37" t="s">
        <v>3457</v>
      </c>
      <c r="B1026" s="37" t="s">
        <v>1372</v>
      </c>
      <c r="C1026" s="37" t="s">
        <v>424</v>
      </c>
      <c r="D1026" s="37" t="s">
        <v>156</v>
      </c>
      <c r="E1026" s="37" t="s">
        <v>224</v>
      </c>
      <c r="F1026" s="37" t="s">
        <v>237</v>
      </c>
      <c r="G1026" s="37" t="s">
        <v>302</v>
      </c>
      <c r="H1026" s="37" t="s">
        <v>396</v>
      </c>
      <c r="I1026" s="37" t="s">
        <v>3458</v>
      </c>
      <c r="J1026" s="37" t="s">
        <v>3459</v>
      </c>
      <c r="K1026" s="37">
        <v>4</v>
      </c>
      <c r="L1026" s="37" t="s">
        <v>1826</v>
      </c>
      <c r="M1026" s="37" t="s">
        <v>143</v>
      </c>
      <c r="N1026" s="37">
        <v>3</v>
      </c>
      <c r="O1026" s="37" t="s">
        <v>106</v>
      </c>
      <c r="P1026" s="37"/>
    </row>
    <row r="1027" spans="1:16">
      <c r="A1027" s="46" t="s">
        <v>3460</v>
      </c>
      <c r="B1027" s="46" t="s">
        <v>388</v>
      </c>
      <c r="C1027" s="46" t="s">
        <v>469</v>
      </c>
      <c r="D1027" s="46" t="s">
        <v>37</v>
      </c>
      <c r="E1027" s="46" t="s">
        <v>137</v>
      </c>
      <c r="F1027" s="46" t="s">
        <v>385</v>
      </c>
      <c r="G1027" s="46" t="s">
        <v>197</v>
      </c>
      <c r="H1027" s="46" t="s">
        <v>54</v>
      </c>
      <c r="I1027" s="46" t="s">
        <v>2835</v>
      </c>
      <c r="J1027" s="46" t="s">
        <v>2642</v>
      </c>
      <c r="K1027" s="46">
        <v>8</v>
      </c>
      <c r="L1027" s="46" t="s">
        <v>3461</v>
      </c>
      <c r="M1027" s="46" t="s">
        <v>117</v>
      </c>
      <c r="N1027" s="46">
        <v>1</v>
      </c>
      <c r="O1027" s="46" t="s">
        <v>106</v>
      </c>
      <c r="P1027" s="46"/>
    </row>
    <row r="1028" spans="1:16">
      <c r="A1028" s="37" t="s">
        <v>3462</v>
      </c>
      <c r="B1028" s="37" t="s">
        <v>959</v>
      </c>
      <c r="C1028" s="37" t="s">
        <v>32</v>
      </c>
      <c r="D1028" s="37" t="s">
        <v>98</v>
      </c>
      <c r="E1028" s="37" t="s">
        <v>195</v>
      </c>
      <c r="F1028" s="37" t="s">
        <v>283</v>
      </c>
      <c r="G1028" s="37" t="s">
        <v>51</v>
      </c>
      <c r="H1028" s="37" t="s">
        <v>54</v>
      </c>
      <c r="I1028" s="37" t="s">
        <v>1788</v>
      </c>
      <c r="J1028" s="37" t="s">
        <v>2274</v>
      </c>
      <c r="K1028" s="37">
        <v>8</v>
      </c>
      <c r="L1028" s="37" t="s">
        <v>154</v>
      </c>
      <c r="M1028" s="37" t="s">
        <v>143</v>
      </c>
      <c r="N1028" s="37">
        <v>1</v>
      </c>
      <c r="O1028" s="37" t="s">
        <v>152</v>
      </c>
      <c r="P1028" s="37"/>
    </row>
    <row r="1029" spans="1:16">
      <c r="A1029" s="46" t="s">
        <v>3463</v>
      </c>
      <c r="B1029" s="46" t="s">
        <v>365</v>
      </c>
      <c r="C1029" s="46" t="s">
        <v>91</v>
      </c>
      <c r="D1029" s="46" t="s">
        <v>194</v>
      </c>
      <c r="E1029" s="46" t="s">
        <v>325</v>
      </c>
      <c r="F1029" s="46" t="s">
        <v>186</v>
      </c>
      <c r="G1029" s="46" t="s">
        <v>92</v>
      </c>
      <c r="H1029" s="46" t="s">
        <v>294</v>
      </c>
      <c r="I1029" s="46" t="s">
        <v>3464</v>
      </c>
      <c r="J1029" s="46" t="s">
        <v>3465</v>
      </c>
      <c r="K1029" s="46">
        <v>2</v>
      </c>
      <c r="L1029" s="46" t="s">
        <v>1480</v>
      </c>
      <c r="M1029" s="46" t="s">
        <v>163</v>
      </c>
      <c r="N1029" s="46">
        <v>5</v>
      </c>
      <c r="O1029" s="46" t="s">
        <v>181</v>
      </c>
      <c r="P1029" s="46"/>
    </row>
    <row r="1030" spans="1:16">
      <c r="A1030" s="37" t="s">
        <v>3466</v>
      </c>
      <c r="B1030" s="37" t="s">
        <v>3467</v>
      </c>
      <c r="C1030" s="37" t="s">
        <v>109</v>
      </c>
      <c r="D1030" s="37" t="s">
        <v>919</v>
      </c>
      <c r="E1030" s="37" t="s">
        <v>195</v>
      </c>
      <c r="F1030" s="37" t="s">
        <v>612</v>
      </c>
      <c r="G1030" s="37" t="s">
        <v>334</v>
      </c>
      <c r="H1030" s="37" t="s">
        <v>113</v>
      </c>
      <c r="I1030" s="37" t="s">
        <v>2116</v>
      </c>
      <c r="J1030" s="37" t="s">
        <v>3468</v>
      </c>
      <c r="K1030" s="37">
        <v>8</v>
      </c>
      <c r="L1030" s="37" t="s">
        <v>707</v>
      </c>
      <c r="M1030" s="37" t="s">
        <v>105</v>
      </c>
      <c r="N1030" s="37">
        <v>4</v>
      </c>
      <c r="O1030" s="37" t="s">
        <v>286</v>
      </c>
      <c r="P1030" s="37"/>
    </row>
    <row r="1031" spans="1:16">
      <c r="A1031" s="46" t="s">
        <v>3469</v>
      </c>
      <c r="B1031" s="46" t="s">
        <v>3470</v>
      </c>
      <c r="C1031" s="46" t="s">
        <v>54</v>
      </c>
      <c r="D1031" s="46" t="s">
        <v>213</v>
      </c>
      <c r="E1031" s="46" t="s">
        <v>345</v>
      </c>
      <c r="F1031" s="46" t="s">
        <v>498</v>
      </c>
      <c r="G1031" s="46" t="s">
        <v>302</v>
      </c>
      <c r="H1031" s="46" t="s">
        <v>126</v>
      </c>
      <c r="I1031" s="46" t="s">
        <v>1410</v>
      </c>
      <c r="J1031" s="46" t="s">
        <v>2551</v>
      </c>
      <c r="K1031" s="46">
        <v>6</v>
      </c>
      <c r="L1031" s="46" t="s">
        <v>933</v>
      </c>
      <c r="M1031" s="46" t="s">
        <v>163</v>
      </c>
      <c r="N1031" s="46">
        <v>4</v>
      </c>
      <c r="O1031" s="46" t="s">
        <v>191</v>
      </c>
      <c r="P1031" s="46"/>
    </row>
    <row r="1032" spans="1:16">
      <c r="A1032" s="37" t="s">
        <v>3471</v>
      </c>
      <c r="B1032" s="37" t="s">
        <v>1144</v>
      </c>
      <c r="C1032" s="37" t="s">
        <v>135</v>
      </c>
      <c r="D1032" s="37" t="s">
        <v>194</v>
      </c>
      <c r="E1032" s="37" t="s">
        <v>157</v>
      </c>
      <c r="F1032" s="37" t="s">
        <v>664</v>
      </c>
      <c r="G1032" s="37" t="s">
        <v>346</v>
      </c>
      <c r="H1032" s="37" t="s">
        <v>215</v>
      </c>
      <c r="I1032" s="37" t="s">
        <v>3289</v>
      </c>
      <c r="J1032" s="37" t="s">
        <v>3472</v>
      </c>
      <c r="K1032" s="37">
        <v>6</v>
      </c>
      <c r="L1032" s="37" t="s">
        <v>632</v>
      </c>
      <c r="M1032" s="37" t="s">
        <v>117</v>
      </c>
      <c r="N1032" s="37">
        <v>5</v>
      </c>
      <c r="O1032" s="37" t="s">
        <v>79</v>
      </c>
      <c r="P1032" s="37"/>
    </row>
    <row r="1033" spans="1:16">
      <c r="A1033" s="46" t="s">
        <v>3473</v>
      </c>
      <c r="B1033" s="46" t="s">
        <v>487</v>
      </c>
      <c r="C1033" s="46" t="s">
        <v>300</v>
      </c>
      <c r="D1033" s="46" t="s">
        <v>213</v>
      </c>
      <c r="E1033" s="46" t="s">
        <v>99</v>
      </c>
      <c r="F1033" s="46" t="s">
        <v>196</v>
      </c>
      <c r="G1033" s="46" t="s">
        <v>264</v>
      </c>
      <c r="H1033" s="46" t="s">
        <v>206</v>
      </c>
      <c r="I1033" s="46" t="s">
        <v>446</v>
      </c>
      <c r="J1033" s="46" t="s">
        <v>2334</v>
      </c>
      <c r="K1033" s="46">
        <v>4</v>
      </c>
      <c r="L1033" s="46" t="s">
        <v>936</v>
      </c>
      <c r="M1033" s="46" t="s">
        <v>105</v>
      </c>
      <c r="N1033" s="46">
        <v>5</v>
      </c>
      <c r="O1033" s="46" t="s">
        <v>118</v>
      </c>
      <c r="P1033" s="46"/>
    </row>
    <row r="1034" spans="1:16">
      <c r="A1034" s="37" t="s">
        <v>3474</v>
      </c>
      <c r="B1034" s="37" t="s">
        <v>3475</v>
      </c>
      <c r="C1034" s="37" t="s">
        <v>451</v>
      </c>
      <c r="D1034" s="37" t="s">
        <v>156</v>
      </c>
      <c r="E1034" s="37" t="s">
        <v>185</v>
      </c>
      <c r="F1034" s="37" t="s">
        <v>353</v>
      </c>
      <c r="G1034" s="37" t="s">
        <v>101</v>
      </c>
      <c r="H1034" s="37" t="s">
        <v>88</v>
      </c>
      <c r="I1034" s="37" t="s">
        <v>3476</v>
      </c>
      <c r="J1034" s="37" t="s">
        <v>2213</v>
      </c>
      <c r="K1034" s="37">
        <v>6</v>
      </c>
      <c r="L1034" s="37"/>
      <c r="M1034" s="37" t="s">
        <v>1555</v>
      </c>
      <c r="N1034" s="37"/>
      <c r="O1034" s="37" t="s">
        <v>181</v>
      </c>
      <c r="P1034" s="37"/>
    </row>
    <row r="1035" spans="1:16">
      <c r="A1035" s="46" t="s">
        <v>3477</v>
      </c>
      <c r="B1035" s="46" t="s">
        <v>1386</v>
      </c>
      <c r="C1035" s="46" t="s">
        <v>407</v>
      </c>
      <c r="D1035" s="46" t="s">
        <v>919</v>
      </c>
      <c r="E1035" s="46" t="s">
        <v>157</v>
      </c>
      <c r="F1035" s="46" t="s">
        <v>138</v>
      </c>
      <c r="G1035" s="46" t="s">
        <v>264</v>
      </c>
      <c r="H1035" s="46" t="s">
        <v>187</v>
      </c>
      <c r="I1035" s="46" t="s">
        <v>1123</v>
      </c>
      <c r="J1035" s="46" t="s">
        <v>1702</v>
      </c>
      <c r="K1035" s="46">
        <v>6</v>
      </c>
      <c r="L1035" s="46" t="s">
        <v>227</v>
      </c>
      <c r="M1035" s="46" t="s">
        <v>105</v>
      </c>
      <c r="N1035" s="46">
        <v>5</v>
      </c>
      <c r="O1035" s="46" t="s">
        <v>152</v>
      </c>
      <c r="P1035" s="46"/>
    </row>
    <row r="1036" spans="1:16">
      <c r="A1036" s="37" t="s">
        <v>3478</v>
      </c>
      <c r="B1036" s="37" t="s">
        <v>3167</v>
      </c>
      <c r="C1036" s="37" t="s">
        <v>243</v>
      </c>
      <c r="D1036" s="37" t="s">
        <v>122</v>
      </c>
      <c r="E1036" s="37" t="s">
        <v>147</v>
      </c>
      <c r="F1036" s="37" t="s">
        <v>326</v>
      </c>
      <c r="G1036" s="37" t="s">
        <v>302</v>
      </c>
      <c r="H1036" s="37" t="s">
        <v>91</v>
      </c>
      <c r="I1036" s="37" t="s">
        <v>2555</v>
      </c>
      <c r="J1036" s="37" t="s">
        <v>2548</v>
      </c>
      <c r="K1036" s="37">
        <v>8</v>
      </c>
      <c r="L1036" s="37" t="s">
        <v>324</v>
      </c>
      <c r="M1036" s="37" t="s">
        <v>163</v>
      </c>
      <c r="N1036" s="37">
        <v>4</v>
      </c>
      <c r="O1036" s="37" t="s">
        <v>191</v>
      </c>
      <c r="P1036" s="37"/>
    </row>
    <row r="1037" spans="1:16">
      <c r="A1037" s="46" t="s">
        <v>3479</v>
      </c>
      <c r="B1037" s="46" t="s">
        <v>318</v>
      </c>
      <c r="C1037" s="46" t="s">
        <v>282</v>
      </c>
      <c r="D1037" s="46" t="s">
        <v>146</v>
      </c>
      <c r="E1037" s="46" t="s">
        <v>99</v>
      </c>
      <c r="F1037" s="46" t="s">
        <v>1701</v>
      </c>
      <c r="G1037" s="46" t="s">
        <v>112</v>
      </c>
      <c r="H1037" s="46" t="s">
        <v>32</v>
      </c>
      <c r="I1037" s="46" t="s">
        <v>1855</v>
      </c>
      <c r="J1037" s="46" t="s">
        <v>3480</v>
      </c>
      <c r="K1037" s="46">
        <v>4</v>
      </c>
      <c r="L1037" s="46" t="s">
        <v>1489</v>
      </c>
      <c r="M1037" s="46" t="s">
        <v>200</v>
      </c>
      <c r="N1037" s="46">
        <v>1</v>
      </c>
      <c r="O1037" s="46" t="s">
        <v>191</v>
      </c>
      <c r="P1037" s="46"/>
    </row>
    <row r="1038" spans="1:16">
      <c r="A1038" s="37" t="s">
        <v>3481</v>
      </c>
      <c r="B1038" s="37" t="s">
        <v>879</v>
      </c>
      <c r="C1038" s="37" t="s">
        <v>32</v>
      </c>
      <c r="D1038" s="37" t="s">
        <v>213</v>
      </c>
      <c r="E1038" s="37" t="s">
        <v>185</v>
      </c>
      <c r="F1038" s="37" t="s">
        <v>263</v>
      </c>
      <c r="G1038" s="37" t="s">
        <v>125</v>
      </c>
      <c r="H1038" s="37" t="s">
        <v>396</v>
      </c>
      <c r="I1038" s="37" t="s">
        <v>1146</v>
      </c>
      <c r="J1038" s="37" t="s">
        <v>3482</v>
      </c>
      <c r="K1038" s="37">
        <v>6</v>
      </c>
      <c r="L1038" s="37" t="s">
        <v>646</v>
      </c>
      <c r="M1038" s="37" t="s">
        <v>117</v>
      </c>
      <c r="N1038" s="37">
        <v>4</v>
      </c>
      <c r="O1038" s="37" t="s">
        <v>191</v>
      </c>
      <c r="P1038" s="37"/>
    </row>
    <row r="1039" spans="1:16">
      <c r="A1039" s="46" t="s">
        <v>3483</v>
      </c>
      <c r="B1039" s="46" t="s">
        <v>1828</v>
      </c>
      <c r="C1039" s="46" t="s">
        <v>222</v>
      </c>
      <c r="D1039" s="46" t="s">
        <v>919</v>
      </c>
      <c r="E1039" s="46" t="s">
        <v>137</v>
      </c>
      <c r="F1039" s="46" t="s">
        <v>237</v>
      </c>
      <c r="G1039" s="46" t="s">
        <v>302</v>
      </c>
      <c r="H1039" s="46" t="s">
        <v>294</v>
      </c>
      <c r="I1039" s="46" t="s">
        <v>3484</v>
      </c>
      <c r="J1039" s="46" t="s">
        <v>2565</v>
      </c>
      <c r="K1039" s="46">
        <v>8</v>
      </c>
      <c r="L1039" s="46" t="s">
        <v>615</v>
      </c>
      <c r="M1039" s="46" t="s">
        <v>200</v>
      </c>
      <c r="N1039" s="46">
        <v>3</v>
      </c>
      <c r="O1039" s="46" t="s">
        <v>191</v>
      </c>
      <c r="P1039" s="46"/>
    </row>
    <row r="1040" spans="1:16">
      <c r="A1040" s="37" t="s">
        <v>3485</v>
      </c>
      <c r="B1040" s="37" t="s">
        <v>531</v>
      </c>
      <c r="C1040" s="37" t="s">
        <v>251</v>
      </c>
      <c r="D1040" s="37" t="s">
        <v>919</v>
      </c>
      <c r="E1040" s="37" t="s">
        <v>147</v>
      </c>
      <c r="F1040" s="37" t="s">
        <v>138</v>
      </c>
      <c r="G1040" s="37" t="s">
        <v>401</v>
      </c>
      <c r="H1040" s="37" t="s">
        <v>90</v>
      </c>
      <c r="I1040" s="37" t="s">
        <v>1818</v>
      </c>
      <c r="J1040" s="37" t="s">
        <v>1159</v>
      </c>
      <c r="K1040" s="37">
        <v>8</v>
      </c>
      <c r="L1040" s="37" t="s">
        <v>707</v>
      </c>
      <c r="M1040" s="37" t="s">
        <v>219</v>
      </c>
      <c r="N1040" s="37">
        <v>5</v>
      </c>
      <c r="O1040" s="37" t="s">
        <v>152</v>
      </c>
      <c r="P1040" s="37"/>
    </row>
    <row r="1041" spans="1:16">
      <c r="A1041" s="46" t="s">
        <v>3486</v>
      </c>
      <c r="B1041" s="46" t="s">
        <v>2034</v>
      </c>
      <c r="C1041" s="46" t="s">
        <v>135</v>
      </c>
      <c r="D1041" s="46" t="s">
        <v>333</v>
      </c>
      <c r="E1041" s="46" t="s">
        <v>147</v>
      </c>
      <c r="F1041" s="46" t="s">
        <v>430</v>
      </c>
      <c r="G1041" s="46" t="s">
        <v>380</v>
      </c>
      <c r="H1041" s="46" t="s">
        <v>294</v>
      </c>
      <c r="I1041" s="46" t="s">
        <v>787</v>
      </c>
      <c r="J1041" s="46" t="s">
        <v>1418</v>
      </c>
      <c r="K1041" s="46">
        <v>8</v>
      </c>
      <c r="L1041" s="46" t="s">
        <v>116</v>
      </c>
      <c r="M1041" s="46" t="s">
        <v>72</v>
      </c>
      <c r="N1041" s="46">
        <v>2</v>
      </c>
      <c r="O1041" s="46" t="s">
        <v>181</v>
      </c>
      <c r="P1041" s="46"/>
    </row>
    <row r="1042" spans="1:16">
      <c r="A1042" s="37" t="s">
        <v>3487</v>
      </c>
      <c r="B1042" s="37" t="s">
        <v>1072</v>
      </c>
      <c r="C1042" s="37" t="s">
        <v>93</v>
      </c>
      <c r="D1042" s="37" t="s">
        <v>98</v>
      </c>
      <c r="E1042" s="37" t="s">
        <v>185</v>
      </c>
      <c r="F1042" s="37" t="s">
        <v>167</v>
      </c>
      <c r="G1042" s="37" t="s">
        <v>380</v>
      </c>
      <c r="H1042" s="37" t="s">
        <v>396</v>
      </c>
      <c r="I1042" s="37" t="s">
        <v>2226</v>
      </c>
      <c r="J1042" s="37" t="s">
        <v>3488</v>
      </c>
      <c r="K1042" s="37">
        <v>6</v>
      </c>
      <c r="L1042" s="37" t="s">
        <v>2063</v>
      </c>
      <c r="M1042" s="37" t="s">
        <v>219</v>
      </c>
      <c r="N1042" s="37">
        <v>4</v>
      </c>
      <c r="O1042" s="37" t="s">
        <v>118</v>
      </c>
      <c r="P1042" s="37"/>
    </row>
    <row r="1043" spans="1:16">
      <c r="A1043" s="46" t="s">
        <v>3489</v>
      </c>
      <c r="B1043" s="46" t="s">
        <v>781</v>
      </c>
      <c r="C1043" s="46" t="s">
        <v>251</v>
      </c>
      <c r="D1043" s="46" t="s">
        <v>175</v>
      </c>
      <c r="E1043" s="46" t="s">
        <v>123</v>
      </c>
      <c r="F1043" s="46" t="s">
        <v>664</v>
      </c>
      <c r="G1043" s="46" t="s">
        <v>139</v>
      </c>
      <c r="H1043" s="46" t="s">
        <v>215</v>
      </c>
      <c r="I1043" s="46" t="s">
        <v>3490</v>
      </c>
      <c r="J1043" s="46" t="s">
        <v>3491</v>
      </c>
      <c r="K1043" s="46">
        <v>2</v>
      </c>
      <c r="L1043" s="46" t="s">
        <v>2611</v>
      </c>
      <c r="M1043" s="46" t="s">
        <v>200</v>
      </c>
      <c r="N1043" s="46">
        <v>4</v>
      </c>
      <c r="O1043" s="46" t="s">
        <v>118</v>
      </c>
      <c r="P1043" s="46"/>
    </row>
    <row r="1044" spans="1:16">
      <c r="A1044" s="37" t="s">
        <v>3492</v>
      </c>
      <c r="B1044" s="37" t="s">
        <v>1968</v>
      </c>
      <c r="C1044" s="37" t="s">
        <v>366</v>
      </c>
      <c r="D1044" s="37" t="s">
        <v>544</v>
      </c>
      <c r="E1044" s="37" t="s">
        <v>123</v>
      </c>
      <c r="F1044" s="37" t="s">
        <v>158</v>
      </c>
      <c r="G1044" s="37" t="s">
        <v>470</v>
      </c>
      <c r="H1044" s="37" t="s">
        <v>396</v>
      </c>
      <c r="I1044" s="37" t="s">
        <v>2166</v>
      </c>
      <c r="J1044" s="37" t="s">
        <v>432</v>
      </c>
      <c r="K1044" s="37">
        <v>2</v>
      </c>
      <c r="L1044" s="37" t="s">
        <v>1361</v>
      </c>
      <c r="M1044" s="37" t="s">
        <v>163</v>
      </c>
      <c r="N1044" s="37">
        <v>5</v>
      </c>
      <c r="O1044" s="37" t="s">
        <v>181</v>
      </c>
      <c r="P1044" s="37"/>
    </row>
    <row r="1045" spans="1:16">
      <c r="A1045" s="46" t="s">
        <v>3493</v>
      </c>
      <c r="B1045" s="46" t="s">
        <v>1960</v>
      </c>
      <c r="C1045" s="46" t="s">
        <v>469</v>
      </c>
      <c r="D1045" s="46" t="s">
        <v>223</v>
      </c>
      <c r="E1045" s="46" t="s">
        <v>110</v>
      </c>
      <c r="F1045" s="46" t="s">
        <v>582</v>
      </c>
      <c r="G1045" s="46" t="s">
        <v>401</v>
      </c>
      <c r="H1045" s="46" t="s">
        <v>327</v>
      </c>
      <c r="I1045" s="46" t="s">
        <v>3494</v>
      </c>
      <c r="J1045" s="46" t="s">
        <v>370</v>
      </c>
      <c r="K1045" s="46">
        <v>6</v>
      </c>
      <c r="L1045" s="46" t="s">
        <v>1559</v>
      </c>
      <c r="M1045" s="46" t="s">
        <v>163</v>
      </c>
      <c r="N1045" s="46">
        <v>3</v>
      </c>
      <c r="O1045" s="46" t="s">
        <v>191</v>
      </c>
      <c r="P1045" s="46"/>
    </row>
    <row r="1046" spans="1:16">
      <c r="A1046" s="37" t="s">
        <v>3495</v>
      </c>
      <c r="B1046" s="37" t="s">
        <v>1372</v>
      </c>
      <c r="C1046" s="37" t="s">
        <v>32</v>
      </c>
      <c r="D1046" s="37" t="s">
        <v>544</v>
      </c>
      <c r="E1046" s="37" t="s">
        <v>345</v>
      </c>
      <c r="F1046" s="37" t="s">
        <v>430</v>
      </c>
      <c r="G1046" s="37" t="s">
        <v>418</v>
      </c>
      <c r="H1046" s="37" t="s">
        <v>90</v>
      </c>
      <c r="I1046" s="37" t="s">
        <v>1291</v>
      </c>
      <c r="J1046" s="37" t="s">
        <v>3496</v>
      </c>
      <c r="K1046" s="37">
        <v>6</v>
      </c>
      <c r="L1046" s="37" t="s">
        <v>2817</v>
      </c>
      <c r="M1046" s="37" t="s">
        <v>117</v>
      </c>
      <c r="N1046" s="37">
        <v>4</v>
      </c>
      <c r="O1046" s="37" t="s">
        <v>191</v>
      </c>
      <c r="P1046" s="37"/>
    </row>
    <row r="1047" spans="1:16">
      <c r="A1047" s="46" t="s">
        <v>3497</v>
      </c>
      <c r="B1047" s="46" t="s">
        <v>1814</v>
      </c>
      <c r="C1047" s="46" t="s">
        <v>300</v>
      </c>
      <c r="D1047" s="46" t="s">
        <v>367</v>
      </c>
      <c r="E1047" s="46" t="s">
        <v>185</v>
      </c>
      <c r="F1047" s="46" t="s">
        <v>100</v>
      </c>
      <c r="G1047" s="46" t="s">
        <v>159</v>
      </c>
      <c r="H1047" s="46" t="s">
        <v>54</v>
      </c>
      <c r="I1047" s="46" t="s">
        <v>431</v>
      </c>
      <c r="J1047" s="46" t="s">
        <v>161</v>
      </c>
      <c r="K1047" s="46">
        <v>4</v>
      </c>
      <c r="L1047" s="46" t="s">
        <v>1147</v>
      </c>
      <c r="M1047" s="46" t="s">
        <v>117</v>
      </c>
      <c r="N1047" s="46">
        <v>5</v>
      </c>
      <c r="O1047" s="46" t="s">
        <v>181</v>
      </c>
      <c r="P1047" s="46"/>
    </row>
    <row r="1048" spans="1:16">
      <c r="A1048" s="37" t="s">
        <v>3498</v>
      </c>
      <c r="B1048" s="37" t="s">
        <v>1294</v>
      </c>
      <c r="C1048" s="37" t="s">
        <v>32</v>
      </c>
      <c r="D1048" s="37" t="s">
        <v>175</v>
      </c>
      <c r="E1048" s="37" t="s">
        <v>42</v>
      </c>
      <c r="F1048" s="37" t="s">
        <v>498</v>
      </c>
      <c r="G1048" s="37" t="s">
        <v>470</v>
      </c>
      <c r="H1048" s="37" t="s">
        <v>294</v>
      </c>
      <c r="I1048" s="37" t="s">
        <v>2534</v>
      </c>
      <c r="J1048" s="37" t="s">
        <v>3207</v>
      </c>
      <c r="K1048" s="37">
        <v>6</v>
      </c>
      <c r="L1048" s="37" t="s">
        <v>1380</v>
      </c>
      <c r="M1048" s="37" t="s">
        <v>72</v>
      </c>
      <c r="N1048" s="37">
        <v>3</v>
      </c>
      <c r="O1048" s="37" t="s">
        <v>106</v>
      </c>
      <c r="P1048" s="37"/>
    </row>
    <row r="1049" spans="1:16">
      <c r="A1049" s="46" t="s">
        <v>3499</v>
      </c>
      <c r="B1049" s="46" t="s">
        <v>1010</v>
      </c>
      <c r="C1049" s="46" t="s">
        <v>155</v>
      </c>
      <c r="D1049" s="46" t="s">
        <v>136</v>
      </c>
      <c r="E1049" s="46" t="s">
        <v>123</v>
      </c>
      <c r="F1049" s="46" t="s">
        <v>981</v>
      </c>
      <c r="G1049" s="46" t="s">
        <v>264</v>
      </c>
      <c r="H1049" s="46" t="s">
        <v>88</v>
      </c>
      <c r="I1049" s="46" t="s">
        <v>3384</v>
      </c>
      <c r="J1049" s="46" t="s">
        <v>3500</v>
      </c>
      <c r="K1049" s="46">
        <v>4</v>
      </c>
      <c r="L1049" s="46" t="s">
        <v>1001</v>
      </c>
      <c r="M1049" s="46" t="s">
        <v>105</v>
      </c>
      <c r="N1049" s="46">
        <v>4</v>
      </c>
      <c r="O1049" s="46" t="s">
        <v>181</v>
      </c>
      <c r="P1049" s="46"/>
    </row>
    <row r="1050" spans="1:16">
      <c r="A1050" s="37" t="s">
        <v>3501</v>
      </c>
      <c r="B1050" s="37" t="s">
        <v>581</v>
      </c>
      <c r="C1050" s="37" t="s">
        <v>88</v>
      </c>
      <c r="D1050" s="37" t="s">
        <v>122</v>
      </c>
      <c r="E1050" s="37" t="s">
        <v>325</v>
      </c>
      <c r="F1050" s="37" t="s">
        <v>167</v>
      </c>
      <c r="G1050" s="37" t="s">
        <v>89</v>
      </c>
      <c r="H1050" s="37" t="s">
        <v>206</v>
      </c>
      <c r="I1050" s="37" t="s">
        <v>1777</v>
      </c>
      <c r="J1050" s="37" t="s">
        <v>161</v>
      </c>
      <c r="K1050" s="37">
        <v>2</v>
      </c>
      <c r="L1050" s="37" t="s">
        <v>1096</v>
      </c>
      <c r="M1050" s="37" t="s">
        <v>200</v>
      </c>
      <c r="N1050" s="37">
        <v>3</v>
      </c>
      <c r="O1050" s="37" t="s">
        <v>181</v>
      </c>
      <c r="P1050" s="37"/>
    </row>
    <row r="1051" spans="1:16">
      <c r="A1051" s="46" t="s">
        <v>3502</v>
      </c>
      <c r="B1051" s="46" t="s">
        <v>2046</v>
      </c>
      <c r="C1051" s="46" t="s">
        <v>90</v>
      </c>
      <c r="D1051" s="46" t="s">
        <v>223</v>
      </c>
      <c r="E1051" s="46" t="s">
        <v>440</v>
      </c>
      <c r="F1051" s="46" t="s">
        <v>368</v>
      </c>
      <c r="G1051" s="46" t="s">
        <v>264</v>
      </c>
      <c r="H1051" s="46" t="s">
        <v>206</v>
      </c>
      <c r="I1051" s="46" t="s">
        <v>3503</v>
      </c>
      <c r="J1051" s="46" t="s">
        <v>3504</v>
      </c>
      <c r="K1051" s="46">
        <v>8</v>
      </c>
      <c r="L1051" s="46" t="s">
        <v>1233</v>
      </c>
      <c r="M1051" s="46" t="s">
        <v>117</v>
      </c>
      <c r="N1051" s="46">
        <v>5</v>
      </c>
      <c r="O1051" s="46" t="s">
        <v>118</v>
      </c>
      <c r="P1051" s="46"/>
    </row>
    <row r="1052" spans="1:16">
      <c r="A1052" s="37" t="s">
        <v>3505</v>
      </c>
      <c r="B1052" s="37" t="s">
        <v>690</v>
      </c>
      <c r="C1052" s="37" t="s">
        <v>93</v>
      </c>
      <c r="D1052" s="37" t="s">
        <v>367</v>
      </c>
      <c r="E1052" s="37" t="s">
        <v>440</v>
      </c>
      <c r="F1052" s="37" t="s">
        <v>533</v>
      </c>
      <c r="G1052" s="37" t="s">
        <v>92</v>
      </c>
      <c r="H1052" s="37" t="s">
        <v>396</v>
      </c>
      <c r="I1052" s="37" t="s">
        <v>2654</v>
      </c>
      <c r="J1052" s="37" t="s">
        <v>170</v>
      </c>
      <c r="K1052" s="37">
        <v>8</v>
      </c>
      <c r="L1052" s="37" t="s">
        <v>1105</v>
      </c>
      <c r="M1052" s="37" t="s">
        <v>163</v>
      </c>
      <c r="N1052" s="37">
        <v>4</v>
      </c>
      <c r="O1052" s="37" t="s">
        <v>106</v>
      </c>
      <c r="P1052" s="37"/>
    </row>
    <row r="1053" spans="1:16">
      <c r="A1053" s="46" t="s">
        <v>3506</v>
      </c>
      <c r="B1053" s="46" t="s">
        <v>528</v>
      </c>
      <c r="C1053" s="46" t="s">
        <v>174</v>
      </c>
      <c r="D1053" s="46" t="s">
        <v>136</v>
      </c>
      <c r="E1053" s="46" t="s">
        <v>123</v>
      </c>
      <c r="F1053" s="46" t="s">
        <v>214</v>
      </c>
      <c r="G1053" s="46" t="s">
        <v>334</v>
      </c>
      <c r="H1053" s="46" t="s">
        <v>215</v>
      </c>
      <c r="I1053" s="46" t="s">
        <v>3507</v>
      </c>
      <c r="J1053" s="46" t="s">
        <v>3508</v>
      </c>
      <c r="K1053" s="46">
        <v>4</v>
      </c>
      <c r="L1053" s="46" t="s">
        <v>1343</v>
      </c>
      <c r="M1053" s="46" t="s">
        <v>117</v>
      </c>
      <c r="N1053" s="46">
        <v>5</v>
      </c>
      <c r="O1053" s="46" t="s">
        <v>181</v>
      </c>
      <c r="P1053" s="46"/>
    </row>
    <row r="1054" spans="1:16">
      <c r="A1054" s="37" t="s">
        <v>3509</v>
      </c>
      <c r="B1054" s="37" t="s">
        <v>828</v>
      </c>
      <c r="C1054" s="37" t="s">
        <v>469</v>
      </c>
      <c r="D1054" s="37" t="s">
        <v>194</v>
      </c>
      <c r="E1054" s="37" t="s">
        <v>99</v>
      </c>
      <c r="F1054" s="37" t="s">
        <v>100</v>
      </c>
      <c r="G1054" s="37" t="s">
        <v>470</v>
      </c>
      <c r="H1054" s="37" t="s">
        <v>126</v>
      </c>
      <c r="I1054" s="37" t="s">
        <v>1402</v>
      </c>
      <c r="J1054" s="37" t="s">
        <v>2304</v>
      </c>
      <c r="K1054" s="37">
        <v>2</v>
      </c>
      <c r="L1054" s="37" t="s">
        <v>3432</v>
      </c>
      <c r="M1054" s="37" t="s">
        <v>143</v>
      </c>
      <c r="N1054" s="37">
        <v>3</v>
      </c>
      <c r="O1054" s="37" t="s">
        <v>181</v>
      </c>
      <c r="P1054" s="37"/>
    </row>
    <row r="1055" spans="1:16">
      <c r="A1055" s="46" t="s">
        <v>3510</v>
      </c>
      <c r="B1055" s="46" t="s">
        <v>3268</v>
      </c>
      <c r="C1055" s="46" t="s">
        <v>212</v>
      </c>
      <c r="D1055" s="46" t="s">
        <v>136</v>
      </c>
      <c r="E1055" s="46" t="s">
        <v>137</v>
      </c>
      <c r="F1055" s="46" t="s">
        <v>385</v>
      </c>
      <c r="G1055" s="46" t="s">
        <v>470</v>
      </c>
      <c r="H1055" s="46" t="s">
        <v>396</v>
      </c>
      <c r="I1055" s="46" t="s">
        <v>3511</v>
      </c>
      <c r="J1055" s="46" t="s">
        <v>3512</v>
      </c>
      <c r="K1055" s="46">
        <v>8</v>
      </c>
      <c r="L1055" s="46" t="s">
        <v>3203</v>
      </c>
      <c r="M1055" s="46" t="s">
        <v>117</v>
      </c>
      <c r="N1055" s="46">
        <v>5</v>
      </c>
      <c r="O1055" s="46" t="s">
        <v>118</v>
      </c>
      <c r="P1055" s="46"/>
    </row>
    <row r="1056" spans="1:16">
      <c r="A1056" s="37" t="s">
        <v>3513</v>
      </c>
      <c r="B1056" s="37" t="s">
        <v>3203</v>
      </c>
      <c r="C1056" s="37" t="s">
        <v>340</v>
      </c>
      <c r="D1056" s="37" t="s">
        <v>146</v>
      </c>
      <c r="E1056" s="37" t="s">
        <v>137</v>
      </c>
      <c r="F1056" s="37" t="s">
        <v>385</v>
      </c>
      <c r="G1056" s="37" t="s">
        <v>418</v>
      </c>
      <c r="H1056" s="37" t="s">
        <v>90</v>
      </c>
      <c r="I1056" s="37" t="s">
        <v>3514</v>
      </c>
      <c r="J1056" s="37" t="s">
        <v>3515</v>
      </c>
      <c r="K1056" s="37">
        <v>8</v>
      </c>
      <c r="L1056" s="37" t="s">
        <v>822</v>
      </c>
      <c r="M1056" s="37" t="s">
        <v>143</v>
      </c>
      <c r="N1056" s="37">
        <v>1</v>
      </c>
      <c r="O1056" s="37" t="s">
        <v>118</v>
      </c>
      <c r="P1056" s="37"/>
    </row>
    <row r="1057" spans="1:16">
      <c r="A1057" s="46" t="s">
        <v>3516</v>
      </c>
      <c r="B1057" s="46" t="s">
        <v>1080</v>
      </c>
      <c r="C1057" s="46" t="s">
        <v>93</v>
      </c>
      <c r="D1057" s="46" t="s">
        <v>367</v>
      </c>
      <c r="E1057" s="46" t="s">
        <v>440</v>
      </c>
      <c r="F1057" s="46" t="s">
        <v>148</v>
      </c>
      <c r="G1057" s="46" t="s">
        <v>87</v>
      </c>
      <c r="H1057" s="46" t="s">
        <v>32</v>
      </c>
      <c r="I1057" s="46" t="s">
        <v>3517</v>
      </c>
      <c r="J1057" s="46" t="s">
        <v>966</v>
      </c>
      <c r="K1057" s="46">
        <v>8</v>
      </c>
      <c r="L1057" s="46" t="s">
        <v>2177</v>
      </c>
      <c r="M1057" s="46" t="s">
        <v>117</v>
      </c>
      <c r="N1057" s="46">
        <v>5</v>
      </c>
      <c r="O1057" s="46" t="s">
        <v>152</v>
      </c>
      <c r="P1057" s="46"/>
    </row>
    <row r="1058" spans="1:16">
      <c r="A1058" s="37" t="s">
        <v>3518</v>
      </c>
      <c r="B1058" s="37" t="s">
        <v>2842</v>
      </c>
      <c r="C1058" s="37" t="s">
        <v>88</v>
      </c>
      <c r="D1058" s="37" t="s">
        <v>184</v>
      </c>
      <c r="E1058" s="37" t="s">
        <v>224</v>
      </c>
      <c r="F1058" s="37" t="s">
        <v>425</v>
      </c>
      <c r="G1058" s="37" t="s">
        <v>401</v>
      </c>
      <c r="H1058" s="37" t="s">
        <v>327</v>
      </c>
      <c r="I1058" s="37" t="s">
        <v>3519</v>
      </c>
      <c r="J1058" s="37" t="s">
        <v>3520</v>
      </c>
      <c r="K1058" s="37">
        <v>4</v>
      </c>
      <c r="L1058" s="37" t="s">
        <v>1420</v>
      </c>
      <c r="M1058" s="37" t="s">
        <v>117</v>
      </c>
      <c r="N1058" s="37">
        <v>5</v>
      </c>
      <c r="O1058" s="37" t="s">
        <v>191</v>
      </c>
      <c r="P1058" s="37"/>
    </row>
    <row r="1059" spans="1:16">
      <c r="A1059" s="46" t="s">
        <v>3521</v>
      </c>
      <c r="B1059" s="46" t="s">
        <v>786</v>
      </c>
      <c r="C1059" s="46" t="s">
        <v>243</v>
      </c>
      <c r="D1059" s="46" t="s">
        <v>367</v>
      </c>
      <c r="E1059" s="46" t="s">
        <v>137</v>
      </c>
      <c r="F1059" s="46" t="s">
        <v>100</v>
      </c>
      <c r="G1059" s="46" t="s">
        <v>264</v>
      </c>
      <c r="H1059" s="46" t="s">
        <v>206</v>
      </c>
      <c r="I1059" s="46" t="s">
        <v>3450</v>
      </c>
      <c r="J1059" s="46" t="s">
        <v>3266</v>
      </c>
      <c r="K1059" s="46">
        <v>8</v>
      </c>
      <c r="L1059" s="46" t="s">
        <v>330</v>
      </c>
      <c r="M1059" s="46" t="s">
        <v>1513</v>
      </c>
      <c r="N1059" s="46"/>
      <c r="O1059" s="46" t="s">
        <v>79</v>
      </c>
      <c r="P1059" s="46" t="s">
        <v>759</v>
      </c>
    </row>
    <row r="1060" spans="1:16">
      <c r="A1060" s="37" t="s">
        <v>3522</v>
      </c>
      <c r="B1060" s="37" t="s">
        <v>1401</v>
      </c>
      <c r="C1060" s="37" t="s">
        <v>109</v>
      </c>
      <c r="D1060" s="37" t="s">
        <v>223</v>
      </c>
      <c r="E1060" s="37" t="s">
        <v>99</v>
      </c>
      <c r="F1060" s="37" t="s">
        <v>205</v>
      </c>
      <c r="G1060" s="37" t="s">
        <v>168</v>
      </c>
      <c r="H1060" s="37" t="s">
        <v>206</v>
      </c>
      <c r="I1060" s="37" t="s">
        <v>3523</v>
      </c>
      <c r="J1060" s="37" t="s">
        <v>3524</v>
      </c>
      <c r="K1060" s="37">
        <v>2</v>
      </c>
      <c r="L1060" s="37" t="s">
        <v>984</v>
      </c>
      <c r="M1060" s="37" t="s">
        <v>105</v>
      </c>
      <c r="N1060" s="37">
        <v>4</v>
      </c>
      <c r="O1060" s="37" t="s">
        <v>191</v>
      </c>
      <c r="P1060" s="37"/>
    </row>
    <row r="1061" spans="1:16">
      <c r="A1061" s="46" t="s">
        <v>3525</v>
      </c>
      <c r="B1061" s="46" t="s">
        <v>828</v>
      </c>
      <c r="C1061" s="46" t="s">
        <v>203</v>
      </c>
      <c r="D1061" s="46" t="s">
        <v>98</v>
      </c>
      <c r="E1061" s="46" t="s">
        <v>137</v>
      </c>
      <c r="F1061" s="46" t="s">
        <v>177</v>
      </c>
      <c r="G1061" s="46" t="s">
        <v>168</v>
      </c>
      <c r="H1061" s="46" t="s">
        <v>278</v>
      </c>
      <c r="I1061" s="46" t="s">
        <v>1070</v>
      </c>
      <c r="J1061" s="46" t="s">
        <v>3526</v>
      </c>
      <c r="K1061" s="46">
        <v>6</v>
      </c>
      <c r="L1061" s="46" t="s">
        <v>306</v>
      </c>
      <c r="M1061" s="46" t="s">
        <v>117</v>
      </c>
      <c r="N1061" s="46">
        <v>4</v>
      </c>
      <c r="O1061" s="46" t="s">
        <v>152</v>
      </c>
      <c r="P1061" s="46"/>
    </row>
    <row r="1062" spans="1:16">
      <c r="A1062" s="37" t="s">
        <v>3527</v>
      </c>
      <c r="B1062" s="37" t="s">
        <v>1240</v>
      </c>
      <c r="C1062" s="37" t="s">
        <v>90</v>
      </c>
      <c r="D1062" s="37" t="s">
        <v>352</v>
      </c>
      <c r="E1062" s="37" t="s">
        <v>157</v>
      </c>
      <c r="F1062" s="37" t="s">
        <v>430</v>
      </c>
      <c r="G1062" s="37" t="s">
        <v>197</v>
      </c>
      <c r="H1062" s="37" t="s">
        <v>90</v>
      </c>
      <c r="I1062" s="37" t="s">
        <v>1360</v>
      </c>
      <c r="J1062" s="37" t="s">
        <v>3528</v>
      </c>
      <c r="K1062" s="37">
        <v>4</v>
      </c>
      <c r="L1062" s="37" t="s">
        <v>1030</v>
      </c>
      <c r="M1062" s="37" t="s">
        <v>172</v>
      </c>
      <c r="N1062" s="37">
        <v>3</v>
      </c>
      <c r="O1062" s="37" t="s">
        <v>181</v>
      </c>
      <c r="P1062" s="37"/>
    </row>
    <row r="1063" spans="1:16">
      <c r="A1063" s="46" t="s">
        <v>3529</v>
      </c>
      <c r="B1063" s="46" t="s">
        <v>2177</v>
      </c>
      <c r="C1063" s="46" t="s">
        <v>212</v>
      </c>
      <c r="D1063" s="46" t="s">
        <v>223</v>
      </c>
      <c r="E1063" s="46" t="s">
        <v>157</v>
      </c>
      <c r="F1063" s="46" t="s">
        <v>277</v>
      </c>
      <c r="G1063" s="46" t="s">
        <v>159</v>
      </c>
      <c r="H1063" s="46" t="s">
        <v>93</v>
      </c>
      <c r="I1063" s="46" t="s">
        <v>3280</v>
      </c>
      <c r="J1063" s="46" t="s">
        <v>3100</v>
      </c>
      <c r="K1063" s="46">
        <v>6</v>
      </c>
      <c r="L1063" s="46" t="s">
        <v>3530</v>
      </c>
      <c r="M1063" s="46" t="s">
        <v>117</v>
      </c>
      <c r="N1063" s="46">
        <v>4</v>
      </c>
      <c r="O1063" s="46" t="s">
        <v>131</v>
      </c>
      <c r="P1063" s="46"/>
    </row>
    <row r="1064" spans="1:16">
      <c r="A1064" s="37" t="s">
        <v>3531</v>
      </c>
      <c r="B1064" s="37" t="s">
        <v>737</v>
      </c>
      <c r="C1064" s="37" t="s">
        <v>91</v>
      </c>
      <c r="D1064" s="37" t="s">
        <v>146</v>
      </c>
      <c r="E1064" s="37" t="s">
        <v>440</v>
      </c>
      <c r="F1064" s="37" t="s">
        <v>319</v>
      </c>
      <c r="G1064" s="37" t="s">
        <v>334</v>
      </c>
      <c r="H1064" s="37" t="s">
        <v>215</v>
      </c>
      <c r="I1064" s="37" t="s">
        <v>3532</v>
      </c>
      <c r="J1064" s="37" t="s">
        <v>1830</v>
      </c>
      <c r="K1064" s="37">
        <v>8</v>
      </c>
      <c r="L1064" s="37" t="s">
        <v>786</v>
      </c>
      <c r="M1064" s="37" t="s">
        <v>219</v>
      </c>
      <c r="N1064" s="37">
        <v>3</v>
      </c>
      <c r="O1064" s="37" t="s">
        <v>79</v>
      </c>
      <c r="P1064" s="37"/>
    </row>
    <row r="1065" spans="1:16">
      <c r="A1065" s="46" t="s">
        <v>3533</v>
      </c>
      <c r="B1065" s="46" t="s">
        <v>2683</v>
      </c>
      <c r="C1065" s="46" t="s">
        <v>282</v>
      </c>
      <c r="D1065" s="46" t="s">
        <v>122</v>
      </c>
      <c r="E1065" s="46" t="s">
        <v>157</v>
      </c>
      <c r="F1065" s="46" t="s">
        <v>277</v>
      </c>
      <c r="G1065" s="46" t="s">
        <v>159</v>
      </c>
      <c r="H1065" s="46" t="s">
        <v>54</v>
      </c>
      <c r="I1065" s="46" t="s">
        <v>3534</v>
      </c>
      <c r="J1065" s="46" t="s">
        <v>3535</v>
      </c>
      <c r="K1065" s="46">
        <v>6</v>
      </c>
      <c r="L1065" s="46" t="s">
        <v>2715</v>
      </c>
      <c r="M1065" s="46" t="s">
        <v>117</v>
      </c>
      <c r="N1065" s="46">
        <v>4</v>
      </c>
      <c r="O1065" s="46" t="s">
        <v>79</v>
      </c>
      <c r="P1065" s="46"/>
    </row>
    <row r="1066" spans="1:16">
      <c r="A1066" s="37" t="s">
        <v>3536</v>
      </c>
      <c r="B1066" s="37" t="s">
        <v>933</v>
      </c>
      <c r="C1066" s="37" t="s">
        <v>91</v>
      </c>
      <c r="D1066" s="37" t="s">
        <v>230</v>
      </c>
      <c r="E1066" s="37" t="s">
        <v>195</v>
      </c>
      <c r="F1066" s="37" t="s">
        <v>231</v>
      </c>
      <c r="G1066" s="37" t="s">
        <v>264</v>
      </c>
      <c r="H1066" s="37" t="s">
        <v>88</v>
      </c>
      <c r="I1066" s="37" t="s">
        <v>3537</v>
      </c>
      <c r="J1066" s="37" t="s">
        <v>3538</v>
      </c>
      <c r="K1066" s="37">
        <v>8</v>
      </c>
      <c r="L1066" s="37" t="s">
        <v>1127</v>
      </c>
      <c r="M1066" s="37" t="s">
        <v>2041</v>
      </c>
      <c r="N1066" s="37"/>
      <c r="O1066" s="37" t="s">
        <v>191</v>
      </c>
      <c r="P1066" s="37" t="s">
        <v>1478</v>
      </c>
    </row>
    <row r="1067" spans="1:16">
      <c r="A1067" s="46" t="s">
        <v>3539</v>
      </c>
      <c r="B1067" s="46" t="s">
        <v>543</v>
      </c>
      <c r="C1067" s="46" t="s">
        <v>203</v>
      </c>
      <c r="D1067" s="46" t="s">
        <v>156</v>
      </c>
      <c r="E1067" s="46" t="s">
        <v>244</v>
      </c>
      <c r="F1067" s="46" t="s">
        <v>283</v>
      </c>
      <c r="G1067" s="46" t="s">
        <v>51</v>
      </c>
      <c r="H1067" s="46" t="s">
        <v>93</v>
      </c>
      <c r="I1067" s="46" t="s">
        <v>1146</v>
      </c>
      <c r="J1067" s="46" t="s">
        <v>3540</v>
      </c>
      <c r="K1067" s="46">
        <v>4</v>
      </c>
      <c r="L1067" s="46" t="s">
        <v>468</v>
      </c>
      <c r="M1067" s="46" t="s">
        <v>105</v>
      </c>
      <c r="N1067" s="46">
        <v>4</v>
      </c>
      <c r="O1067" s="46" t="s">
        <v>181</v>
      </c>
      <c r="P1067" s="46"/>
    </row>
    <row r="1068" spans="1:16">
      <c r="A1068" s="46" t="s">
        <v>3541</v>
      </c>
      <c r="B1068" s="46" t="s">
        <v>1786</v>
      </c>
      <c r="C1068" s="46" t="s">
        <v>633</v>
      </c>
      <c r="D1068" s="46" t="s">
        <v>184</v>
      </c>
      <c r="E1068" s="46" t="s">
        <v>244</v>
      </c>
      <c r="F1068" s="46" t="s">
        <v>313</v>
      </c>
      <c r="G1068" s="46" t="s">
        <v>418</v>
      </c>
      <c r="H1068" s="46" t="s">
        <v>93</v>
      </c>
      <c r="I1068" s="46" t="s">
        <v>3542</v>
      </c>
      <c r="J1068" s="46" t="s">
        <v>3543</v>
      </c>
      <c r="K1068" s="46">
        <v>2</v>
      </c>
      <c r="L1068" s="46" t="s">
        <v>547</v>
      </c>
      <c r="M1068" s="46" t="s">
        <v>143</v>
      </c>
      <c r="N1068" s="46">
        <v>2</v>
      </c>
      <c r="O1068" s="46" t="s">
        <v>286</v>
      </c>
      <c r="P1068" s="46"/>
    </row>
    <row r="1069" spans="1:16">
      <c r="A1069" s="37" t="s">
        <v>3544</v>
      </c>
      <c r="B1069" s="37" t="s">
        <v>663</v>
      </c>
      <c r="C1069" s="37" t="s">
        <v>300</v>
      </c>
      <c r="D1069" s="37" t="s">
        <v>146</v>
      </c>
      <c r="E1069" s="37" t="s">
        <v>440</v>
      </c>
      <c r="F1069" s="37" t="s">
        <v>47</v>
      </c>
      <c r="G1069" s="37" t="s">
        <v>418</v>
      </c>
      <c r="H1069" s="37" t="s">
        <v>90</v>
      </c>
      <c r="I1069" s="37" t="s">
        <v>2094</v>
      </c>
      <c r="J1069" s="37" t="s">
        <v>3545</v>
      </c>
      <c r="K1069" s="37">
        <v>6</v>
      </c>
      <c r="L1069" s="37" t="s">
        <v>597</v>
      </c>
      <c r="M1069" s="37" t="s">
        <v>143</v>
      </c>
      <c r="N1069" s="37">
        <v>4</v>
      </c>
      <c r="O1069" s="37" t="s">
        <v>191</v>
      </c>
      <c r="P1069" s="37"/>
    </row>
    <row r="1070" spans="1:16">
      <c r="A1070" s="46" t="s">
        <v>3546</v>
      </c>
      <c r="B1070" s="46" t="s">
        <v>288</v>
      </c>
      <c r="C1070" s="46" t="s">
        <v>633</v>
      </c>
      <c r="D1070" s="46" t="s">
        <v>223</v>
      </c>
      <c r="E1070" s="46" t="s">
        <v>224</v>
      </c>
      <c r="F1070" s="46" t="s">
        <v>205</v>
      </c>
      <c r="G1070" s="46" t="s">
        <v>302</v>
      </c>
      <c r="H1070" s="46" t="s">
        <v>294</v>
      </c>
      <c r="I1070" s="46" t="s">
        <v>3547</v>
      </c>
      <c r="J1070" s="46" t="s">
        <v>3548</v>
      </c>
      <c r="K1070" s="46">
        <v>4</v>
      </c>
      <c r="L1070" s="46" t="s">
        <v>506</v>
      </c>
      <c r="M1070" s="46" t="s">
        <v>143</v>
      </c>
      <c r="N1070" s="46">
        <v>2</v>
      </c>
      <c r="O1070" s="46" t="s">
        <v>118</v>
      </c>
      <c r="P1070" s="46"/>
    </row>
    <row r="1071" spans="1:16">
      <c r="A1071" s="37" t="s">
        <v>3549</v>
      </c>
      <c r="B1071" s="37" t="s">
        <v>240</v>
      </c>
      <c r="C1071" s="37" t="s">
        <v>155</v>
      </c>
      <c r="D1071" s="37" t="s">
        <v>270</v>
      </c>
      <c r="E1071" s="37" t="s">
        <v>42</v>
      </c>
      <c r="F1071" s="37" t="s">
        <v>205</v>
      </c>
      <c r="G1071" s="37" t="s">
        <v>470</v>
      </c>
      <c r="H1071" s="37" t="s">
        <v>126</v>
      </c>
      <c r="I1071" s="37" t="s">
        <v>3550</v>
      </c>
      <c r="J1071" s="37" t="s">
        <v>3551</v>
      </c>
      <c r="K1071" s="37">
        <v>6</v>
      </c>
      <c r="L1071" s="37" t="s">
        <v>1401</v>
      </c>
      <c r="M1071" s="37" t="s">
        <v>105</v>
      </c>
      <c r="N1071" s="37">
        <v>4</v>
      </c>
      <c r="O1071" s="37" t="s">
        <v>286</v>
      </c>
      <c r="P1071" s="37"/>
    </row>
    <row r="1072" spans="1:16">
      <c r="A1072" s="46" t="s">
        <v>3552</v>
      </c>
      <c r="B1072" s="46" t="s">
        <v>3089</v>
      </c>
      <c r="C1072" s="46" t="s">
        <v>633</v>
      </c>
      <c r="D1072" s="46" t="s">
        <v>919</v>
      </c>
      <c r="E1072" s="46" t="s">
        <v>110</v>
      </c>
      <c r="F1072" s="46" t="s">
        <v>430</v>
      </c>
      <c r="G1072" s="46" t="s">
        <v>302</v>
      </c>
      <c r="H1072" s="46" t="s">
        <v>294</v>
      </c>
      <c r="I1072" s="46" t="s">
        <v>1818</v>
      </c>
      <c r="J1072" s="46" t="s">
        <v>3553</v>
      </c>
      <c r="K1072" s="46">
        <v>6</v>
      </c>
      <c r="L1072" s="46" t="s">
        <v>1322</v>
      </c>
      <c r="M1072" s="46" t="s">
        <v>143</v>
      </c>
      <c r="N1072" s="46">
        <v>2</v>
      </c>
      <c r="O1072" s="46" t="s">
        <v>106</v>
      </c>
      <c r="P1072" s="46"/>
    </row>
    <row r="1073" spans="1:16">
      <c r="A1073" s="37" t="s">
        <v>3554</v>
      </c>
      <c r="B1073" s="37" t="s">
        <v>2123</v>
      </c>
      <c r="C1073" s="37" t="s">
        <v>174</v>
      </c>
      <c r="D1073" s="37" t="s">
        <v>919</v>
      </c>
      <c r="E1073" s="37" t="s">
        <v>185</v>
      </c>
      <c r="F1073" s="37" t="s">
        <v>148</v>
      </c>
      <c r="G1073" s="37" t="s">
        <v>92</v>
      </c>
      <c r="H1073" s="37" t="s">
        <v>396</v>
      </c>
      <c r="I1073" s="37" t="s">
        <v>1452</v>
      </c>
      <c r="J1073" s="37" t="s">
        <v>3555</v>
      </c>
      <c r="K1073" s="37">
        <v>6</v>
      </c>
      <c r="L1073" s="37" t="s">
        <v>750</v>
      </c>
      <c r="M1073" s="37" t="s">
        <v>72</v>
      </c>
      <c r="N1073" s="37">
        <v>2</v>
      </c>
      <c r="O1073" s="37" t="s">
        <v>152</v>
      </c>
      <c r="P1073" s="37"/>
    </row>
    <row r="1074" spans="1:16">
      <c r="A1074" s="46" t="s">
        <v>3556</v>
      </c>
      <c r="B1074" s="46" t="s">
        <v>805</v>
      </c>
      <c r="C1074" s="46" t="s">
        <v>166</v>
      </c>
      <c r="D1074" s="46" t="s">
        <v>175</v>
      </c>
      <c r="E1074" s="46" t="s">
        <v>137</v>
      </c>
      <c r="F1074" s="46" t="s">
        <v>301</v>
      </c>
      <c r="G1074" s="46" t="s">
        <v>92</v>
      </c>
      <c r="H1074" s="46" t="s">
        <v>91</v>
      </c>
      <c r="I1074" s="46" t="s">
        <v>3557</v>
      </c>
      <c r="J1074" s="46" t="s">
        <v>3558</v>
      </c>
      <c r="K1074" s="46">
        <v>6</v>
      </c>
      <c r="L1074" s="46" t="s">
        <v>1380</v>
      </c>
      <c r="M1074" s="46" t="s">
        <v>163</v>
      </c>
      <c r="N1074" s="46">
        <v>3</v>
      </c>
      <c r="O1074" s="46" t="s">
        <v>79</v>
      </c>
      <c r="P1074" s="46"/>
    </row>
    <row r="1075" spans="1:16">
      <c r="A1075" s="37" t="s">
        <v>3559</v>
      </c>
      <c r="B1075" s="37" t="s">
        <v>1635</v>
      </c>
      <c r="C1075" s="37" t="s">
        <v>91</v>
      </c>
      <c r="D1075" s="37" t="s">
        <v>312</v>
      </c>
      <c r="E1075" s="37" t="s">
        <v>123</v>
      </c>
      <c r="F1075" s="37" t="s">
        <v>177</v>
      </c>
      <c r="G1075" s="37" t="s">
        <v>264</v>
      </c>
      <c r="H1075" s="37" t="s">
        <v>206</v>
      </c>
      <c r="I1075" s="37" t="s">
        <v>436</v>
      </c>
      <c r="J1075" s="37" t="s">
        <v>3560</v>
      </c>
      <c r="K1075" s="37">
        <v>4</v>
      </c>
      <c r="L1075" s="37" t="s">
        <v>1638</v>
      </c>
      <c r="M1075" s="37" t="s">
        <v>163</v>
      </c>
      <c r="N1075" s="37">
        <v>5</v>
      </c>
      <c r="O1075" s="37" t="s">
        <v>191</v>
      </c>
      <c r="P1075" s="37"/>
    </row>
    <row r="1076" spans="1:16">
      <c r="A1076" s="46" t="s">
        <v>3561</v>
      </c>
      <c r="B1076" s="46" t="s">
        <v>904</v>
      </c>
      <c r="C1076" s="46" t="s">
        <v>407</v>
      </c>
      <c r="D1076" s="46" t="s">
        <v>223</v>
      </c>
      <c r="E1076" s="46" t="s">
        <v>224</v>
      </c>
      <c r="F1076" s="46" t="s">
        <v>313</v>
      </c>
      <c r="G1076" s="46" t="s">
        <v>257</v>
      </c>
      <c r="H1076" s="46" t="s">
        <v>206</v>
      </c>
      <c r="I1076" s="46" t="s">
        <v>3562</v>
      </c>
      <c r="J1076" s="46" t="s">
        <v>3563</v>
      </c>
      <c r="K1076" s="46">
        <v>4</v>
      </c>
      <c r="L1076" s="46" t="s">
        <v>1838</v>
      </c>
      <c r="M1076" s="46" t="s">
        <v>163</v>
      </c>
      <c r="N1076" s="46">
        <v>4</v>
      </c>
      <c r="O1076" s="46" t="s">
        <v>152</v>
      </c>
      <c r="P1076" s="46"/>
    </row>
    <row r="1077" spans="1:16">
      <c r="A1077" s="37" t="s">
        <v>3564</v>
      </c>
      <c r="B1077" s="37" t="s">
        <v>1544</v>
      </c>
      <c r="C1077" s="37" t="s">
        <v>300</v>
      </c>
      <c r="D1077" s="37" t="s">
        <v>136</v>
      </c>
      <c r="E1077" s="37" t="s">
        <v>157</v>
      </c>
      <c r="F1077" s="37" t="s">
        <v>214</v>
      </c>
      <c r="G1077" s="37" t="s">
        <v>418</v>
      </c>
      <c r="H1077" s="37" t="s">
        <v>327</v>
      </c>
      <c r="I1077" s="37" t="s">
        <v>2689</v>
      </c>
      <c r="J1077" s="37" t="s">
        <v>432</v>
      </c>
      <c r="K1077" s="37">
        <v>4</v>
      </c>
      <c r="L1077" s="37" t="s">
        <v>846</v>
      </c>
      <c r="M1077" s="37" t="s">
        <v>200</v>
      </c>
      <c r="N1077" s="37">
        <v>3</v>
      </c>
      <c r="O1077" s="37" t="s">
        <v>106</v>
      </c>
      <c r="P1077" s="37"/>
    </row>
    <row r="1078" spans="1:16">
      <c r="A1078" s="46" t="s">
        <v>3565</v>
      </c>
      <c r="B1078" s="46" t="s">
        <v>576</v>
      </c>
      <c r="C1078" s="46" t="s">
        <v>109</v>
      </c>
      <c r="D1078" s="46" t="s">
        <v>98</v>
      </c>
      <c r="E1078" s="46" t="s">
        <v>440</v>
      </c>
      <c r="F1078" s="46" t="s">
        <v>167</v>
      </c>
      <c r="G1078" s="46" t="s">
        <v>418</v>
      </c>
      <c r="H1078" s="46" t="s">
        <v>54</v>
      </c>
      <c r="I1078" s="46" t="s">
        <v>3517</v>
      </c>
      <c r="J1078" s="46" t="s">
        <v>1731</v>
      </c>
      <c r="K1078" s="46">
        <v>8</v>
      </c>
      <c r="L1078" s="46" t="s">
        <v>443</v>
      </c>
      <c r="M1078" s="46" t="s">
        <v>172</v>
      </c>
      <c r="N1078" s="46">
        <v>3</v>
      </c>
      <c r="O1078" s="46" t="s">
        <v>131</v>
      </c>
      <c r="P1078" s="46"/>
    </row>
    <row r="1079" spans="1:16">
      <c r="A1079" s="37" t="s">
        <v>3566</v>
      </c>
      <c r="B1079" s="37" t="s">
        <v>1890</v>
      </c>
      <c r="C1079" s="37" t="s">
        <v>121</v>
      </c>
      <c r="D1079" s="37" t="s">
        <v>544</v>
      </c>
      <c r="E1079" s="37" t="s">
        <v>99</v>
      </c>
      <c r="F1079" s="37" t="s">
        <v>167</v>
      </c>
      <c r="G1079" s="37" t="s">
        <v>168</v>
      </c>
      <c r="H1079" s="37" t="s">
        <v>88</v>
      </c>
      <c r="I1079" s="37" t="s">
        <v>2555</v>
      </c>
      <c r="J1079" s="37" t="s">
        <v>3217</v>
      </c>
      <c r="K1079" s="37">
        <v>4</v>
      </c>
      <c r="L1079" s="37" t="s">
        <v>1285</v>
      </c>
      <c r="M1079" s="37" t="s">
        <v>219</v>
      </c>
      <c r="N1079" s="37">
        <v>3</v>
      </c>
      <c r="O1079" s="37" t="s">
        <v>191</v>
      </c>
      <c r="P1079" s="37"/>
    </row>
    <row r="1080" spans="1:16">
      <c r="A1080" s="46" t="s">
        <v>3567</v>
      </c>
      <c r="B1080" s="46" t="s">
        <v>2379</v>
      </c>
      <c r="C1080" s="46" t="s">
        <v>93</v>
      </c>
      <c r="D1080" s="46" t="s">
        <v>312</v>
      </c>
      <c r="E1080" s="46" t="s">
        <v>325</v>
      </c>
      <c r="F1080" s="46" t="s">
        <v>313</v>
      </c>
      <c r="G1080" s="46" t="s">
        <v>92</v>
      </c>
      <c r="H1080" s="46" t="s">
        <v>91</v>
      </c>
      <c r="I1080" s="46" t="s">
        <v>992</v>
      </c>
      <c r="J1080" s="46" t="s">
        <v>3568</v>
      </c>
      <c r="K1080" s="46">
        <v>4</v>
      </c>
      <c r="L1080" s="46" t="s">
        <v>2830</v>
      </c>
      <c r="M1080" s="46" t="s">
        <v>817</v>
      </c>
      <c r="N1080" s="46"/>
      <c r="O1080" s="46" t="s">
        <v>106</v>
      </c>
      <c r="P1080" s="46" t="s">
        <v>1478</v>
      </c>
    </row>
    <row r="1081" spans="1:16">
      <c r="A1081" s="37" t="s">
        <v>3569</v>
      </c>
      <c r="B1081" s="37" t="s">
        <v>1592</v>
      </c>
      <c r="C1081" s="37" t="s">
        <v>54</v>
      </c>
      <c r="D1081" s="37" t="s">
        <v>213</v>
      </c>
      <c r="E1081" s="37" t="s">
        <v>185</v>
      </c>
      <c r="F1081" s="37" t="s">
        <v>612</v>
      </c>
      <c r="G1081" s="37" t="s">
        <v>334</v>
      </c>
      <c r="H1081" s="37" t="s">
        <v>215</v>
      </c>
      <c r="I1081" s="37" t="s">
        <v>3264</v>
      </c>
      <c r="J1081" s="37" t="s">
        <v>2000</v>
      </c>
      <c r="K1081" s="37">
        <v>6</v>
      </c>
      <c r="L1081" s="37" t="s">
        <v>2611</v>
      </c>
      <c r="M1081" s="37" t="s">
        <v>72</v>
      </c>
      <c r="N1081" s="37">
        <v>2</v>
      </c>
      <c r="O1081" s="37" t="s">
        <v>191</v>
      </c>
      <c r="P1081" s="37"/>
    </row>
    <row r="1082" spans="1:16">
      <c r="A1082" s="46" t="s">
        <v>3570</v>
      </c>
      <c r="B1082" s="46" t="s">
        <v>2030</v>
      </c>
      <c r="C1082" s="46" t="s">
        <v>222</v>
      </c>
      <c r="D1082" s="46" t="s">
        <v>919</v>
      </c>
      <c r="E1082" s="46" t="s">
        <v>325</v>
      </c>
      <c r="F1082" s="46" t="s">
        <v>313</v>
      </c>
      <c r="G1082" s="46" t="s">
        <v>401</v>
      </c>
      <c r="H1082" s="46" t="s">
        <v>327</v>
      </c>
      <c r="I1082" s="46" t="s">
        <v>3571</v>
      </c>
      <c r="J1082" s="46" t="s">
        <v>3572</v>
      </c>
      <c r="K1082" s="46">
        <v>4</v>
      </c>
      <c r="L1082" s="46" t="s">
        <v>828</v>
      </c>
      <c r="M1082" s="46" t="s">
        <v>200</v>
      </c>
      <c r="N1082" s="46">
        <v>2</v>
      </c>
      <c r="O1082" s="46" t="s">
        <v>131</v>
      </c>
      <c r="P1082" s="46"/>
    </row>
    <row r="1083" spans="1:16">
      <c r="A1083" s="37" t="s">
        <v>3573</v>
      </c>
      <c r="B1083" s="37" t="s">
        <v>2681</v>
      </c>
      <c r="C1083" s="37" t="s">
        <v>121</v>
      </c>
      <c r="D1083" s="37" t="s">
        <v>194</v>
      </c>
      <c r="E1083" s="37" t="s">
        <v>176</v>
      </c>
      <c r="F1083" s="37" t="s">
        <v>582</v>
      </c>
      <c r="G1083" s="37" t="s">
        <v>168</v>
      </c>
      <c r="H1083" s="37" t="s">
        <v>278</v>
      </c>
      <c r="I1083" s="37" t="s">
        <v>1146</v>
      </c>
      <c r="J1083" s="37" t="s">
        <v>1789</v>
      </c>
      <c r="K1083" s="37">
        <v>8</v>
      </c>
      <c r="L1083" s="37" t="s">
        <v>3475</v>
      </c>
      <c r="M1083" s="37" t="s">
        <v>172</v>
      </c>
      <c r="N1083" s="37">
        <v>1</v>
      </c>
      <c r="O1083" s="37" t="s">
        <v>286</v>
      </c>
      <c r="P1083" s="37"/>
    </row>
    <row r="1084" spans="1:16">
      <c r="A1084" s="46" t="s">
        <v>3574</v>
      </c>
      <c r="B1084" s="46" t="s">
        <v>2020</v>
      </c>
      <c r="C1084" s="46" t="s">
        <v>407</v>
      </c>
      <c r="D1084" s="46" t="s">
        <v>270</v>
      </c>
      <c r="E1084" s="46" t="s">
        <v>147</v>
      </c>
      <c r="F1084" s="46" t="s">
        <v>1701</v>
      </c>
      <c r="G1084" s="46" t="s">
        <v>257</v>
      </c>
      <c r="H1084" s="46" t="s">
        <v>278</v>
      </c>
      <c r="I1084" s="46" t="s">
        <v>2482</v>
      </c>
      <c r="J1084" s="46" t="s">
        <v>3575</v>
      </c>
      <c r="K1084" s="46">
        <v>8</v>
      </c>
      <c r="L1084" s="46" t="s">
        <v>755</v>
      </c>
      <c r="M1084" s="46" t="s">
        <v>200</v>
      </c>
      <c r="N1084" s="46">
        <v>1</v>
      </c>
      <c r="O1084" s="46" t="s">
        <v>181</v>
      </c>
      <c r="P1084" s="46"/>
    </row>
    <row r="1085" spans="1:16">
      <c r="A1085" s="37" t="s">
        <v>3576</v>
      </c>
      <c r="B1085" s="37" t="s">
        <v>609</v>
      </c>
      <c r="C1085" s="37" t="s">
        <v>88</v>
      </c>
      <c r="D1085" s="37" t="s">
        <v>333</v>
      </c>
      <c r="E1085" s="37" t="s">
        <v>185</v>
      </c>
      <c r="F1085" s="37" t="s">
        <v>177</v>
      </c>
      <c r="G1085" s="37" t="s">
        <v>87</v>
      </c>
      <c r="H1085" s="37" t="s">
        <v>354</v>
      </c>
      <c r="I1085" s="37" t="s">
        <v>2012</v>
      </c>
      <c r="J1085" s="37" t="s">
        <v>3577</v>
      </c>
      <c r="K1085" s="37">
        <v>6</v>
      </c>
      <c r="L1085" s="37" t="s">
        <v>468</v>
      </c>
      <c r="M1085" s="37" t="s">
        <v>219</v>
      </c>
      <c r="N1085" s="37">
        <v>4</v>
      </c>
      <c r="O1085" s="37" t="s">
        <v>131</v>
      </c>
      <c r="P1085" s="37"/>
    </row>
    <row r="1086" spans="1:16">
      <c r="A1086" s="46" t="s">
        <v>3578</v>
      </c>
      <c r="B1086" s="46" t="s">
        <v>2024</v>
      </c>
      <c r="C1086" s="46" t="s">
        <v>212</v>
      </c>
      <c r="D1086" s="46" t="s">
        <v>333</v>
      </c>
      <c r="E1086" s="46" t="s">
        <v>99</v>
      </c>
      <c r="F1086" s="46" t="s">
        <v>1734</v>
      </c>
      <c r="G1086" s="46" t="s">
        <v>112</v>
      </c>
      <c r="H1086" s="46" t="s">
        <v>32</v>
      </c>
      <c r="I1086" s="46" t="s">
        <v>1046</v>
      </c>
      <c r="J1086" s="46" t="s">
        <v>2500</v>
      </c>
      <c r="K1086" s="46">
        <v>4</v>
      </c>
      <c r="L1086" s="46" t="s">
        <v>1901</v>
      </c>
      <c r="M1086" s="46" t="s">
        <v>117</v>
      </c>
      <c r="N1086" s="46">
        <v>4</v>
      </c>
      <c r="O1086" s="46" t="s">
        <v>131</v>
      </c>
      <c r="P1086" s="46"/>
    </row>
    <row r="1087" spans="1:16">
      <c r="A1087" s="37" t="s">
        <v>3579</v>
      </c>
      <c r="B1087" s="37" t="s">
        <v>116</v>
      </c>
      <c r="C1087" s="37" t="s">
        <v>203</v>
      </c>
      <c r="D1087" s="37" t="s">
        <v>37</v>
      </c>
      <c r="E1087" s="37" t="s">
        <v>325</v>
      </c>
      <c r="F1087" s="37" t="s">
        <v>231</v>
      </c>
      <c r="G1087" s="37" t="s">
        <v>159</v>
      </c>
      <c r="H1087" s="37" t="s">
        <v>327</v>
      </c>
      <c r="I1087" s="37" t="s">
        <v>3580</v>
      </c>
      <c r="J1087" s="37" t="s">
        <v>3581</v>
      </c>
      <c r="K1087" s="37">
        <v>4</v>
      </c>
      <c r="L1087" s="37" t="s">
        <v>487</v>
      </c>
      <c r="M1087" s="37" t="s">
        <v>172</v>
      </c>
      <c r="N1087" s="37">
        <v>2</v>
      </c>
      <c r="O1087" s="37" t="s">
        <v>286</v>
      </c>
      <c r="P1087" s="37"/>
    </row>
    <row r="1088" spans="1:16">
      <c r="A1088" s="46" t="s">
        <v>3582</v>
      </c>
      <c r="B1088" s="46" t="s">
        <v>171</v>
      </c>
      <c r="C1088" s="46" t="s">
        <v>407</v>
      </c>
      <c r="D1088" s="46" t="s">
        <v>184</v>
      </c>
      <c r="E1088" s="46" t="s">
        <v>195</v>
      </c>
      <c r="F1088" s="46" t="s">
        <v>360</v>
      </c>
      <c r="G1088" s="46" t="s">
        <v>159</v>
      </c>
      <c r="H1088" s="46" t="s">
        <v>54</v>
      </c>
      <c r="I1088" s="46" t="s">
        <v>3583</v>
      </c>
      <c r="J1088" s="46" t="s">
        <v>3584</v>
      </c>
      <c r="K1088" s="46">
        <v>8</v>
      </c>
      <c r="L1088" s="46" t="s">
        <v>3585</v>
      </c>
      <c r="M1088" s="46" t="s">
        <v>817</v>
      </c>
      <c r="N1088" s="46"/>
      <c r="O1088" s="46" t="s">
        <v>118</v>
      </c>
      <c r="P1088" s="46" t="s">
        <v>83</v>
      </c>
    </row>
    <row r="1089" spans="1:16">
      <c r="A1089" s="37" t="s">
        <v>3586</v>
      </c>
      <c r="B1089" s="37" t="s">
        <v>429</v>
      </c>
      <c r="C1089" s="37" t="s">
        <v>97</v>
      </c>
      <c r="D1089" s="37" t="s">
        <v>270</v>
      </c>
      <c r="E1089" s="37" t="s">
        <v>185</v>
      </c>
      <c r="F1089" s="37" t="s">
        <v>353</v>
      </c>
      <c r="G1089" s="37" t="s">
        <v>380</v>
      </c>
      <c r="H1089" s="37" t="s">
        <v>396</v>
      </c>
      <c r="I1089" s="37" t="s">
        <v>3587</v>
      </c>
      <c r="J1089" s="37" t="s">
        <v>3588</v>
      </c>
      <c r="K1089" s="37">
        <v>6</v>
      </c>
      <c r="L1089" s="37" t="s">
        <v>1409</v>
      </c>
      <c r="M1089" s="37" t="s">
        <v>219</v>
      </c>
      <c r="N1089" s="37">
        <v>3</v>
      </c>
      <c r="O1089" s="37" t="s">
        <v>131</v>
      </c>
      <c r="P1089" s="37"/>
    </row>
    <row r="1090" spans="1:16">
      <c r="A1090" s="46" t="s">
        <v>3589</v>
      </c>
      <c r="B1090" s="46" t="s">
        <v>1050</v>
      </c>
      <c r="C1090" s="46" t="s">
        <v>91</v>
      </c>
      <c r="D1090" s="46" t="s">
        <v>270</v>
      </c>
      <c r="E1090" s="46" t="s">
        <v>123</v>
      </c>
      <c r="F1090" s="46" t="s">
        <v>158</v>
      </c>
      <c r="G1090" s="46" t="s">
        <v>139</v>
      </c>
      <c r="H1090" s="46" t="s">
        <v>113</v>
      </c>
      <c r="I1090" s="46" t="s">
        <v>3021</v>
      </c>
      <c r="J1090" s="46" t="s">
        <v>935</v>
      </c>
      <c r="K1090" s="46">
        <v>4</v>
      </c>
      <c r="L1090" s="46" t="s">
        <v>3590</v>
      </c>
      <c r="M1090" s="46" t="s">
        <v>105</v>
      </c>
      <c r="N1090" s="46">
        <v>4</v>
      </c>
      <c r="O1090" s="46" t="s">
        <v>106</v>
      </c>
      <c r="P1090" s="46"/>
    </row>
    <row r="1091" spans="1:16">
      <c r="A1091" s="37" t="s">
        <v>3591</v>
      </c>
      <c r="B1091" s="37" t="s">
        <v>1370</v>
      </c>
      <c r="C1091" s="37" t="s">
        <v>366</v>
      </c>
      <c r="D1091" s="37" t="s">
        <v>194</v>
      </c>
      <c r="E1091" s="37" t="s">
        <v>123</v>
      </c>
      <c r="F1091" s="37" t="s">
        <v>326</v>
      </c>
      <c r="G1091" s="37" t="s">
        <v>346</v>
      </c>
      <c r="H1091" s="37" t="s">
        <v>215</v>
      </c>
      <c r="I1091" s="37" t="s">
        <v>3335</v>
      </c>
      <c r="J1091" s="37" t="s">
        <v>3592</v>
      </c>
      <c r="K1091" s="37">
        <v>4</v>
      </c>
      <c r="L1091" s="37" t="s">
        <v>3593</v>
      </c>
      <c r="M1091" s="37" t="s">
        <v>200</v>
      </c>
      <c r="N1091" s="37">
        <v>3</v>
      </c>
      <c r="O1091" s="37" t="s">
        <v>106</v>
      </c>
      <c r="P1091" s="37"/>
    </row>
    <row r="1092" spans="1:16">
      <c r="A1092" s="46" t="s">
        <v>3594</v>
      </c>
      <c r="B1092" s="46" t="s">
        <v>3347</v>
      </c>
      <c r="C1092" s="46" t="s">
        <v>633</v>
      </c>
      <c r="D1092" s="46" t="s">
        <v>213</v>
      </c>
      <c r="E1092" s="46" t="s">
        <v>123</v>
      </c>
      <c r="F1092" s="46" t="s">
        <v>277</v>
      </c>
      <c r="G1092" s="46" t="s">
        <v>51</v>
      </c>
      <c r="H1092" s="46" t="s">
        <v>93</v>
      </c>
      <c r="I1092" s="46" t="s">
        <v>2404</v>
      </c>
      <c r="J1092" s="46" t="s">
        <v>975</v>
      </c>
      <c r="K1092" s="46">
        <v>2</v>
      </c>
      <c r="L1092" s="46" t="s">
        <v>604</v>
      </c>
      <c r="M1092" s="46" t="s">
        <v>117</v>
      </c>
      <c r="N1092" s="46">
        <v>4</v>
      </c>
      <c r="O1092" s="46" t="s">
        <v>131</v>
      </c>
      <c r="P1092" s="46"/>
    </row>
    <row r="1093" spans="1:16">
      <c r="A1093" s="37" t="s">
        <v>3595</v>
      </c>
      <c r="B1093" s="37" t="s">
        <v>1498</v>
      </c>
      <c r="C1093" s="37" t="s">
        <v>222</v>
      </c>
      <c r="D1093" s="37"/>
      <c r="E1093" s="37" t="s">
        <v>176</v>
      </c>
      <c r="F1093" s="37" t="s">
        <v>277</v>
      </c>
      <c r="G1093" s="37" t="s">
        <v>101</v>
      </c>
      <c r="H1093" s="37" t="s">
        <v>187</v>
      </c>
      <c r="I1093" s="37" t="s">
        <v>2039</v>
      </c>
      <c r="J1093" s="37" t="s">
        <v>3596</v>
      </c>
      <c r="K1093" s="37">
        <v>6</v>
      </c>
      <c r="L1093" s="37" t="s">
        <v>311</v>
      </c>
      <c r="M1093" s="37" t="s">
        <v>172</v>
      </c>
      <c r="N1093" s="37">
        <v>5</v>
      </c>
      <c r="O1093" s="37" t="s">
        <v>106</v>
      </c>
      <c r="P1093" s="37"/>
    </row>
    <row r="1094" spans="1:16">
      <c r="A1094" s="46" t="s">
        <v>3597</v>
      </c>
      <c r="B1094" s="46" t="s">
        <v>1351</v>
      </c>
      <c r="C1094" s="46" t="s">
        <v>633</v>
      </c>
      <c r="D1094" s="46" t="s">
        <v>146</v>
      </c>
      <c r="E1094" s="46" t="s">
        <v>123</v>
      </c>
      <c r="F1094" s="46" t="s">
        <v>430</v>
      </c>
      <c r="G1094" s="46" t="s">
        <v>302</v>
      </c>
      <c r="H1094" s="46" t="s">
        <v>91</v>
      </c>
      <c r="I1094" s="46" t="s">
        <v>1557</v>
      </c>
      <c r="J1094" s="46" t="s">
        <v>3598</v>
      </c>
      <c r="K1094" s="46">
        <v>4</v>
      </c>
      <c r="L1094" s="46" t="s">
        <v>2354</v>
      </c>
      <c r="M1094" s="46" t="s">
        <v>117</v>
      </c>
      <c r="N1094" s="46">
        <v>5</v>
      </c>
      <c r="O1094" s="46" t="s">
        <v>152</v>
      </c>
      <c r="P1094" s="46"/>
    </row>
    <row r="1095" spans="1:16">
      <c r="A1095" s="37" t="s">
        <v>3599</v>
      </c>
      <c r="B1095" s="37" t="s">
        <v>1914</v>
      </c>
      <c r="C1095" s="37" t="s">
        <v>566</v>
      </c>
      <c r="D1095" s="37" t="s">
        <v>230</v>
      </c>
      <c r="E1095" s="37" t="s">
        <v>176</v>
      </c>
      <c r="F1095" s="37" t="s">
        <v>1112</v>
      </c>
      <c r="G1095" s="37" t="s">
        <v>139</v>
      </c>
      <c r="H1095" s="37" t="s">
        <v>32</v>
      </c>
      <c r="I1095" s="37" t="s">
        <v>3600</v>
      </c>
      <c r="J1095" s="37" t="s">
        <v>3601</v>
      </c>
      <c r="K1095" s="37">
        <v>8</v>
      </c>
      <c r="L1095" s="37" t="s">
        <v>3602</v>
      </c>
      <c r="M1095" s="37" t="s">
        <v>163</v>
      </c>
      <c r="N1095" s="37">
        <v>2</v>
      </c>
      <c r="O1095" s="37" t="s">
        <v>79</v>
      </c>
      <c r="P1095" s="37"/>
    </row>
    <row r="1096" spans="1:16">
      <c r="A1096" s="46" t="s">
        <v>3603</v>
      </c>
      <c r="B1096" s="46" t="s">
        <v>2920</v>
      </c>
      <c r="C1096" s="46" t="s">
        <v>174</v>
      </c>
      <c r="D1096" s="46" t="s">
        <v>156</v>
      </c>
      <c r="E1096" s="46" t="s">
        <v>176</v>
      </c>
      <c r="F1096" s="46" t="s">
        <v>582</v>
      </c>
      <c r="G1096" s="46" t="s">
        <v>302</v>
      </c>
      <c r="H1096" s="46" t="s">
        <v>294</v>
      </c>
      <c r="I1096" s="46" t="s">
        <v>2012</v>
      </c>
      <c r="J1096" s="46" t="s">
        <v>3604</v>
      </c>
      <c r="K1096" s="46">
        <v>8</v>
      </c>
      <c r="L1096" s="46" t="s">
        <v>373</v>
      </c>
      <c r="M1096" s="46" t="s">
        <v>163</v>
      </c>
      <c r="N1096" s="46">
        <v>5</v>
      </c>
      <c r="O1096" s="46" t="s">
        <v>79</v>
      </c>
      <c r="P1096" s="46"/>
    </row>
    <row r="1097" spans="1:16">
      <c r="A1097" s="37" t="s">
        <v>3605</v>
      </c>
      <c r="B1097" s="37" t="s">
        <v>2726</v>
      </c>
      <c r="C1097" s="37" t="s">
        <v>251</v>
      </c>
      <c r="D1097" s="37" t="s">
        <v>213</v>
      </c>
      <c r="E1097" s="37" t="s">
        <v>325</v>
      </c>
      <c r="F1097" s="37" t="s">
        <v>177</v>
      </c>
      <c r="G1097" s="37" t="s">
        <v>302</v>
      </c>
      <c r="H1097" s="37" t="s">
        <v>126</v>
      </c>
      <c r="I1097" s="37" t="s">
        <v>3056</v>
      </c>
      <c r="J1097" s="37" t="s">
        <v>2967</v>
      </c>
      <c r="K1097" s="37">
        <v>4</v>
      </c>
      <c r="L1097" s="37" t="s">
        <v>3203</v>
      </c>
      <c r="M1097" s="37" t="s">
        <v>143</v>
      </c>
      <c r="N1097" s="37">
        <v>4</v>
      </c>
      <c r="O1097" s="37" t="s">
        <v>152</v>
      </c>
      <c r="P1097" s="37"/>
    </row>
    <row r="1098" spans="1:16">
      <c r="A1098" s="46" t="s">
        <v>3606</v>
      </c>
      <c r="B1098" s="46" t="s">
        <v>808</v>
      </c>
      <c r="C1098" s="46" t="s">
        <v>374</v>
      </c>
      <c r="D1098" s="46" t="s">
        <v>352</v>
      </c>
      <c r="E1098" s="46" t="s">
        <v>137</v>
      </c>
      <c r="F1098" s="46" t="s">
        <v>612</v>
      </c>
      <c r="G1098" s="46" t="s">
        <v>197</v>
      </c>
      <c r="H1098" s="46" t="s">
        <v>90</v>
      </c>
      <c r="I1098" s="46" t="s">
        <v>1196</v>
      </c>
      <c r="J1098" s="46" t="s">
        <v>3607</v>
      </c>
      <c r="K1098" s="46">
        <v>6</v>
      </c>
      <c r="L1098" s="46" t="s">
        <v>3608</v>
      </c>
      <c r="M1098" s="46" t="s">
        <v>200</v>
      </c>
      <c r="N1098" s="46">
        <v>3</v>
      </c>
      <c r="O1098" s="46" t="s">
        <v>131</v>
      </c>
      <c r="P1098" s="46"/>
    </row>
    <row r="1099" spans="1:16">
      <c r="A1099" s="37" t="s">
        <v>3609</v>
      </c>
      <c r="B1099" s="37" t="s">
        <v>661</v>
      </c>
      <c r="C1099" s="37" t="s">
        <v>91</v>
      </c>
      <c r="D1099" s="37" t="s">
        <v>122</v>
      </c>
      <c r="E1099" s="37" t="s">
        <v>195</v>
      </c>
      <c r="F1099" s="37" t="s">
        <v>612</v>
      </c>
      <c r="G1099" s="37" t="s">
        <v>159</v>
      </c>
      <c r="H1099" s="37" t="s">
        <v>54</v>
      </c>
      <c r="I1099" s="37" t="s">
        <v>2550</v>
      </c>
      <c r="J1099" s="37" t="s">
        <v>3316</v>
      </c>
      <c r="K1099" s="37">
        <v>8</v>
      </c>
      <c r="L1099" s="37" t="s">
        <v>3585</v>
      </c>
      <c r="M1099" s="37" t="s">
        <v>143</v>
      </c>
      <c r="N1099" s="37">
        <v>4</v>
      </c>
      <c r="O1099" s="37" t="s">
        <v>181</v>
      </c>
      <c r="P1099" s="37"/>
    </row>
    <row r="1100" spans="1:16">
      <c r="A1100" s="46" t="s">
        <v>3610</v>
      </c>
      <c r="B1100" s="46" t="s">
        <v>417</v>
      </c>
      <c r="C1100" s="46" t="s">
        <v>91</v>
      </c>
      <c r="D1100" s="46" t="s">
        <v>204</v>
      </c>
      <c r="E1100" s="46" t="s">
        <v>176</v>
      </c>
      <c r="F1100" s="46" t="s">
        <v>148</v>
      </c>
      <c r="G1100" s="46" t="s">
        <v>168</v>
      </c>
      <c r="H1100" s="46" t="s">
        <v>278</v>
      </c>
      <c r="I1100" s="46" t="s">
        <v>3611</v>
      </c>
      <c r="J1100" s="46" t="s">
        <v>3612</v>
      </c>
      <c r="K1100" s="46">
        <v>8</v>
      </c>
      <c r="L1100" s="46" t="s">
        <v>1164</v>
      </c>
      <c r="M1100" s="46" t="s">
        <v>143</v>
      </c>
      <c r="N1100" s="46">
        <v>2</v>
      </c>
      <c r="O1100" s="46" t="s">
        <v>181</v>
      </c>
      <c r="P1100" s="46"/>
    </row>
    <row r="1101" spans="1:16">
      <c r="A1101" s="37" t="s">
        <v>3613</v>
      </c>
      <c r="B1101" s="37" t="s">
        <v>2905</v>
      </c>
      <c r="C1101" s="37" t="s">
        <v>212</v>
      </c>
      <c r="D1101" s="37" t="s">
        <v>156</v>
      </c>
      <c r="E1101" s="37" t="s">
        <v>244</v>
      </c>
      <c r="F1101" s="37" t="s">
        <v>205</v>
      </c>
      <c r="G1101" s="37" t="s">
        <v>87</v>
      </c>
      <c r="H1101" s="37" t="s">
        <v>32</v>
      </c>
      <c r="I1101" s="37" t="s">
        <v>3614</v>
      </c>
      <c r="J1101" s="37" t="s">
        <v>3615</v>
      </c>
      <c r="K1101" s="37">
        <v>4</v>
      </c>
      <c r="L1101" s="37" t="s">
        <v>3461</v>
      </c>
      <c r="M1101" s="37" t="s">
        <v>337</v>
      </c>
      <c r="N1101" s="37"/>
      <c r="O1101" s="37" t="s">
        <v>152</v>
      </c>
      <c r="P1101" s="37" t="s">
        <v>132</v>
      </c>
    </row>
    <row r="1102" spans="1:16">
      <c r="A1102" s="46" t="s">
        <v>3616</v>
      </c>
      <c r="B1102" s="46" t="s">
        <v>986</v>
      </c>
      <c r="C1102" s="46" t="s">
        <v>155</v>
      </c>
      <c r="D1102" s="46" t="s">
        <v>136</v>
      </c>
      <c r="E1102" s="46" t="s">
        <v>147</v>
      </c>
      <c r="F1102" s="46" t="s">
        <v>271</v>
      </c>
      <c r="G1102" s="46" t="s">
        <v>418</v>
      </c>
      <c r="H1102" s="46" t="s">
        <v>90</v>
      </c>
      <c r="I1102" s="46" t="s">
        <v>1081</v>
      </c>
      <c r="J1102" s="46" t="s">
        <v>3617</v>
      </c>
      <c r="K1102" s="46">
        <v>6</v>
      </c>
      <c r="L1102" s="46" t="s">
        <v>909</v>
      </c>
      <c r="M1102" s="46" t="s">
        <v>105</v>
      </c>
      <c r="N1102" s="46">
        <v>5</v>
      </c>
      <c r="O1102" s="46" t="s">
        <v>286</v>
      </c>
      <c r="P1102" s="46"/>
    </row>
    <row r="1103" spans="1:16">
      <c r="A1103" s="37" t="s">
        <v>3618</v>
      </c>
      <c r="B1103" s="37" t="s">
        <v>371</v>
      </c>
      <c r="C1103" s="37" t="s">
        <v>243</v>
      </c>
      <c r="D1103" s="37" t="s">
        <v>223</v>
      </c>
      <c r="E1103" s="37" t="s">
        <v>185</v>
      </c>
      <c r="F1103" s="37" t="s">
        <v>177</v>
      </c>
      <c r="G1103" s="37" t="s">
        <v>401</v>
      </c>
      <c r="H1103" s="37" t="s">
        <v>90</v>
      </c>
      <c r="I1103" s="37" t="s">
        <v>265</v>
      </c>
      <c r="J1103" s="37" t="s">
        <v>3619</v>
      </c>
      <c r="K1103" s="37">
        <v>4</v>
      </c>
      <c r="L1103" s="37" t="s">
        <v>1028</v>
      </c>
      <c r="M1103" s="37" t="s">
        <v>117</v>
      </c>
      <c r="N1103" s="37">
        <v>4</v>
      </c>
      <c r="O1103" s="37" t="s">
        <v>181</v>
      </c>
      <c r="P1103" s="37"/>
    </row>
    <row r="1104" spans="1:16">
      <c r="A1104" s="46" t="s">
        <v>3620</v>
      </c>
      <c r="B1104" s="46" t="s">
        <v>3105</v>
      </c>
      <c r="C1104" s="46" t="s">
        <v>366</v>
      </c>
      <c r="D1104" s="46" t="s">
        <v>223</v>
      </c>
      <c r="E1104" s="46" t="s">
        <v>195</v>
      </c>
      <c r="F1104" s="46" t="s">
        <v>1734</v>
      </c>
      <c r="G1104" s="46" t="s">
        <v>112</v>
      </c>
      <c r="H1104" s="46" t="s">
        <v>113</v>
      </c>
      <c r="I1104" s="46" t="s">
        <v>3621</v>
      </c>
      <c r="J1104" s="46" t="s">
        <v>3622</v>
      </c>
      <c r="K1104" s="46">
        <v>8</v>
      </c>
      <c r="L1104" s="46" t="s">
        <v>2127</v>
      </c>
      <c r="M1104" s="46" t="s">
        <v>200</v>
      </c>
      <c r="N1104" s="46">
        <v>3</v>
      </c>
      <c r="O1104" s="46" t="s">
        <v>131</v>
      </c>
      <c r="P1104" s="46"/>
    </row>
    <row r="1105" spans="1:16">
      <c r="A1105" s="37" t="s">
        <v>3623</v>
      </c>
      <c r="B1105" s="37" t="s">
        <v>722</v>
      </c>
      <c r="C1105" s="37" t="s">
        <v>212</v>
      </c>
      <c r="D1105" s="37" t="s">
        <v>230</v>
      </c>
      <c r="E1105" s="37" t="s">
        <v>157</v>
      </c>
      <c r="F1105" s="37" t="s">
        <v>1701</v>
      </c>
      <c r="G1105" s="37" t="s">
        <v>380</v>
      </c>
      <c r="H1105" s="37" t="s">
        <v>126</v>
      </c>
      <c r="I1105" s="37" t="s">
        <v>3624</v>
      </c>
      <c r="J1105" s="37" t="s">
        <v>3625</v>
      </c>
      <c r="K1105" s="37">
        <v>6</v>
      </c>
      <c r="L1105" s="37" t="s">
        <v>2531</v>
      </c>
      <c r="M1105" s="37" t="s">
        <v>143</v>
      </c>
      <c r="N1105" s="37">
        <v>5</v>
      </c>
      <c r="O1105" s="37" t="s">
        <v>118</v>
      </c>
      <c r="P1105" s="37"/>
    </row>
    <row r="1106" spans="1:16">
      <c r="A1106" s="46" t="s">
        <v>3626</v>
      </c>
      <c r="B1106" s="46" t="s">
        <v>285</v>
      </c>
      <c r="C1106" s="46" t="s">
        <v>203</v>
      </c>
      <c r="D1106" s="46" t="s">
        <v>352</v>
      </c>
      <c r="E1106" s="46" t="s">
        <v>123</v>
      </c>
      <c r="F1106" s="46" t="s">
        <v>301</v>
      </c>
      <c r="G1106" s="46" t="s">
        <v>139</v>
      </c>
      <c r="H1106" s="46" t="s">
        <v>113</v>
      </c>
      <c r="I1106" s="46" t="s">
        <v>3132</v>
      </c>
      <c r="J1106" s="46" t="s">
        <v>3627</v>
      </c>
      <c r="K1106" s="46">
        <v>4</v>
      </c>
      <c r="L1106" s="46" t="s">
        <v>516</v>
      </c>
      <c r="M1106" s="46" t="s">
        <v>117</v>
      </c>
      <c r="N1106" s="46">
        <v>5</v>
      </c>
      <c r="O1106" s="46" t="s">
        <v>118</v>
      </c>
      <c r="P1106" s="46"/>
    </row>
    <row r="1107" spans="1:16">
      <c r="A1107" s="37" t="s">
        <v>3628</v>
      </c>
      <c r="B1107" s="37" t="s">
        <v>1335</v>
      </c>
      <c r="C1107" s="37" t="s">
        <v>374</v>
      </c>
      <c r="D1107" s="37" t="s">
        <v>312</v>
      </c>
      <c r="E1107" s="37" t="s">
        <v>42</v>
      </c>
      <c r="F1107" s="37" t="s">
        <v>326</v>
      </c>
      <c r="G1107" s="37" t="s">
        <v>101</v>
      </c>
      <c r="H1107" s="37" t="s">
        <v>278</v>
      </c>
      <c r="I1107" s="37" t="s">
        <v>686</v>
      </c>
      <c r="J1107" s="37" t="s">
        <v>3629</v>
      </c>
      <c r="K1107" s="37">
        <v>6</v>
      </c>
      <c r="L1107" s="37" t="s">
        <v>2731</v>
      </c>
      <c r="M1107" s="37" t="s">
        <v>200</v>
      </c>
      <c r="N1107" s="37">
        <v>4</v>
      </c>
      <c r="O1107" s="37" t="s">
        <v>131</v>
      </c>
      <c r="P1107" s="37"/>
    </row>
    <row r="1108" spans="1:16">
      <c r="A1108" s="46" t="s">
        <v>3630</v>
      </c>
      <c r="B1108" s="46" t="s">
        <v>309</v>
      </c>
      <c r="C1108" s="46" t="s">
        <v>91</v>
      </c>
      <c r="D1108" s="46" t="s">
        <v>333</v>
      </c>
      <c r="E1108" s="46" t="s">
        <v>440</v>
      </c>
      <c r="F1108" s="46" t="s">
        <v>167</v>
      </c>
      <c r="G1108" s="46" t="s">
        <v>264</v>
      </c>
      <c r="H1108" s="46" t="s">
        <v>206</v>
      </c>
      <c r="I1108" s="46" t="s">
        <v>3330</v>
      </c>
      <c r="J1108" s="46" t="s">
        <v>3631</v>
      </c>
      <c r="K1108" s="46">
        <v>8</v>
      </c>
      <c r="L1108" s="46" t="s">
        <v>1380</v>
      </c>
      <c r="M1108" s="46" t="s">
        <v>219</v>
      </c>
      <c r="N1108" s="46">
        <v>5</v>
      </c>
      <c r="O1108" s="46" t="s">
        <v>181</v>
      </c>
      <c r="P1108" s="46"/>
    </row>
    <row r="1109" spans="1:16">
      <c r="A1109" s="46" t="s">
        <v>3632</v>
      </c>
      <c r="B1109" s="46" t="s">
        <v>120</v>
      </c>
      <c r="C1109" s="46" t="s">
        <v>300</v>
      </c>
      <c r="D1109" s="46" t="s">
        <v>98</v>
      </c>
      <c r="E1109" s="46" t="s">
        <v>440</v>
      </c>
      <c r="F1109" s="46" t="s">
        <v>368</v>
      </c>
      <c r="G1109" s="46" t="s">
        <v>418</v>
      </c>
      <c r="H1109" s="46" t="s">
        <v>90</v>
      </c>
      <c r="I1109" s="46" t="s">
        <v>2492</v>
      </c>
      <c r="J1109" s="46" t="s">
        <v>2548</v>
      </c>
      <c r="K1109" s="46">
        <v>6</v>
      </c>
      <c r="L1109" s="46" t="s">
        <v>1064</v>
      </c>
      <c r="M1109" s="46" t="s">
        <v>117</v>
      </c>
      <c r="N1109" s="46">
        <v>4</v>
      </c>
      <c r="O1109" s="46" t="s">
        <v>181</v>
      </c>
      <c r="P1109" s="46"/>
    </row>
    <row r="1110" spans="1:16">
      <c r="A1110" s="37" t="s">
        <v>3633</v>
      </c>
      <c r="B1110" s="37" t="s">
        <v>2675</v>
      </c>
      <c r="C1110" s="37" t="s">
        <v>203</v>
      </c>
      <c r="D1110" s="37" t="s">
        <v>367</v>
      </c>
      <c r="E1110" s="37" t="s">
        <v>123</v>
      </c>
      <c r="F1110" s="37" t="s">
        <v>177</v>
      </c>
      <c r="G1110" s="37" t="s">
        <v>346</v>
      </c>
      <c r="H1110" s="37" t="s">
        <v>354</v>
      </c>
      <c r="I1110" s="37" t="s">
        <v>2026</v>
      </c>
      <c r="J1110" s="37" t="s">
        <v>1580</v>
      </c>
      <c r="K1110" s="37">
        <v>4</v>
      </c>
      <c r="L1110" s="37" t="s">
        <v>190</v>
      </c>
      <c r="M1110" s="37" t="s">
        <v>143</v>
      </c>
      <c r="N1110" s="37">
        <v>3</v>
      </c>
      <c r="O1110" s="37" t="s">
        <v>191</v>
      </c>
      <c r="P1110" s="37"/>
    </row>
    <row r="1111" spans="1:16">
      <c r="A1111" s="46" t="s">
        <v>3634</v>
      </c>
      <c r="B1111" s="46" t="s">
        <v>1285</v>
      </c>
      <c r="C1111" s="46" t="s">
        <v>97</v>
      </c>
      <c r="D1111" s="46" t="s">
        <v>367</v>
      </c>
      <c r="E1111" s="46" t="s">
        <v>123</v>
      </c>
      <c r="F1111" s="46" t="s">
        <v>283</v>
      </c>
      <c r="G1111" s="46" t="s">
        <v>51</v>
      </c>
      <c r="H1111" s="46" t="s">
        <v>90</v>
      </c>
      <c r="I1111" s="46" t="s">
        <v>446</v>
      </c>
      <c r="J1111" s="46" t="s">
        <v>3635</v>
      </c>
      <c r="K1111" s="46">
        <v>2</v>
      </c>
      <c r="L1111" s="46" t="s">
        <v>2429</v>
      </c>
      <c r="M1111" s="46" t="s">
        <v>200</v>
      </c>
      <c r="N1111" s="46">
        <v>4</v>
      </c>
      <c r="O1111" s="46" t="s">
        <v>152</v>
      </c>
      <c r="P1111" s="46"/>
    </row>
    <row r="1112" spans="1:16">
      <c r="A1112" s="37" t="s">
        <v>3636</v>
      </c>
      <c r="B1112" s="37" t="s">
        <v>3637</v>
      </c>
      <c r="C1112" s="37" t="s">
        <v>366</v>
      </c>
      <c r="D1112" s="37" t="s">
        <v>312</v>
      </c>
      <c r="E1112" s="37" t="s">
        <v>440</v>
      </c>
      <c r="F1112" s="37" t="s">
        <v>301</v>
      </c>
      <c r="G1112" s="37" t="s">
        <v>92</v>
      </c>
      <c r="H1112" s="37" t="s">
        <v>396</v>
      </c>
      <c r="I1112" s="37" t="s">
        <v>2782</v>
      </c>
      <c r="J1112" s="37" t="s">
        <v>3638</v>
      </c>
      <c r="K1112" s="37">
        <v>6</v>
      </c>
      <c r="L1112" s="37" t="s">
        <v>1709</v>
      </c>
      <c r="M1112" s="37" t="s">
        <v>200</v>
      </c>
      <c r="N1112" s="37">
        <v>3</v>
      </c>
      <c r="O1112" s="37" t="s">
        <v>79</v>
      </c>
      <c r="P1112" s="37"/>
    </row>
    <row r="1113" spans="1:16">
      <c r="A1113" s="46" t="s">
        <v>3639</v>
      </c>
      <c r="B1113" s="46" t="s">
        <v>857</v>
      </c>
      <c r="C1113" s="46" t="s">
        <v>307</v>
      </c>
      <c r="D1113" s="46" t="s">
        <v>175</v>
      </c>
      <c r="E1113" s="46" t="s">
        <v>110</v>
      </c>
      <c r="F1113" s="46" t="s">
        <v>111</v>
      </c>
      <c r="G1113" s="46" t="s">
        <v>51</v>
      </c>
      <c r="H1113" s="46" t="s">
        <v>327</v>
      </c>
      <c r="I1113" s="46" t="s">
        <v>3640</v>
      </c>
      <c r="J1113" s="46" t="s">
        <v>3641</v>
      </c>
      <c r="K1113" s="46">
        <v>6</v>
      </c>
      <c r="L1113" s="46" t="s">
        <v>221</v>
      </c>
      <c r="M1113" s="46" t="s">
        <v>163</v>
      </c>
      <c r="N1113" s="46">
        <v>4</v>
      </c>
      <c r="O1113" s="46" t="s">
        <v>131</v>
      </c>
      <c r="P1113" s="46"/>
    </row>
    <row r="1114" spans="1:16">
      <c r="A1114" s="37" t="s">
        <v>3642</v>
      </c>
      <c r="B1114" s="37" t="s">
        <v>2367</v>
      </c>
      <c r="C1114" s="37" t="s">
        <v>88</v>
      </c>
      <c r="D1114" s="37" t="s">
        <v>312</v>
      </c>
      <c r="E1114" s="37" t="s">
        <v>176</v>
      </c>
      <c r="F1114" s="37" t="s">
        <v>582</v>
      </c>
      <c r="G1114" s="37" t="s">
        <v>112</v>
      </c>
      <c r="H1114" s="37" t="s">
        <v>354</v>
      </c>
      <c r="I1114" s="37" t="s">
        <v>2876</v>
      </c>
      <c r="J1114" s="37" t="s">
        <v>3125</v>
      </c>
      <c r="K1114" s="37">
        <v>8</v>
      </c>
      <c r="L1114" s="37" t="s">
        <v>1491</v>
      </c>
      <c r="M1114" s="37" t="s">
        <v>163</v>
      </c>
      <c r="N1114" s="37">
        <v>2</v>
      </c>
      <c r="O1114" s="37" t="s">
        <v>152</v>
      </c>
      <c r="P1114" s="37"/>
    </row>
    <row r="1115" spans="1:16">
      <c r="A1115" s="46" t="s">
        <v>3643</v>
      </c>
      <c r="B1115" s="46" t="s">
        <v>322</v>
      </c>
      <c r="C1115" s="46" t="s">
        <v>222</v>
      </c>
      <c r="D1115" s="46" t="s">
        <v>98</v>
      </c>
      <c r="E1115" s="46" t="s">
        <v>110</v>
      </c>
      <c r="F1115" s="46" t="s">
        <v>385</v>
      </c>
      <c r="G1115" s="46" t="s">
        <v>139</v>
      </c>
      <c r="H1115" s="46" t="s">
        <v>354</v>
      </c>
      <c r="I1115" s="46" t="s">
        <v>3644</v>
      </c>
      <c r="J1115" s="46" t="s">
        <v>3645</v>
      </c>
      <c r="K1115" s="46">
        <v>6</v>
      </c>
      <c r="L1115" s="46" t="s">
        <v>190</v>
      </c>
      <c r="M1115" s="46" t="s">
        <v>143</v>
      </c>
      <c r="N1115" s="46">
        <v>3</v>
      </c>
      <c r="O1115" s="46" t="s">
        <v>191</v>
      </c>
      <c r="P1115" s="46"/>
    </row>
    <row r="1116" spans="1:16">
      <c r="A1116" s="37" t="s">
        <v>3646</v>
      </c>
      <c r="B1116" s="37" t="s">
        <v>511</v>
      </c>
      <c r="C1116" s="37" t="s">
        <v>174</v>
      </c>
      <c r="D1116" s="37" t="s">
        <v>146</v>
      </c>
      <c r="E1116" s="37" t="s">
        <v>123</v>
      </c>
      <c r="F1116" s="37" t="s">
        <v>167</v>
      </c>
      <c r="G1116" s="37" t="s">
        <v>92</v>
      </c>
      <c r="H1116" s="37" t="s">
        <v>91</v>
      </c>
      <c r="I1116" s="37" t="s">
        <v>3647</v>
      </c>
      <c r="J1116" s="37" t="s">
        <v>494</v>
      </c>
      <c r="K1116" s="37">
        <v>4</v>
      </c>
      <c r="L1116" s="37" t="s">
        <v>1626</v>
      </c>
      <c r="M1116" s="37" t="s">
        <v>117</v>
      </c>
      <c r="N1116" s="37">
        <v>5</v>
      </c>
      <c r="O1116" s="37" t="s">
        <v>131</v>
      </c>
      <c r="P1116" s="37"/>
    </row>
    <row r="1117" spans="1:16">
      <c r="A1117" s="46" t="s">
        <v>3648</v>
      </c>
      <c r="B1117" s="46" t="s">
        <v>2080</v>
      </c>
      <c r="C1117" s="46" t="s">
        <v>93</v>
      </c>
      <c r="D1117" s="46" t="s">
        <v>367</v>
      </c>
      <c r="E1117" s="46" t="s">
        <v>137</v>
      </c>
      <c r="F1117" s="46" t="s">
        <v>368</v>
      </c>
      <c r="G1117" s="46" t="s">
        <v>112</v>
      </c>
      <c r="H1117" s="46" t="s">
        <v>215</v>
      </c>
      <c r="I1117" s="46" t="s">
        <v>3649</v>
      </c>
      <c r="J1117" s="46" t="s">
        <v>3650</v>
      </c>
      <c r="K1117" s="46">
        <v>8</v>
      </c>
      <c r="L1117" s="46" t="s">
        <v>1030</v>
      </c>
      <c r="M1117" s="46" t="s">
        <v>163</v>
      </c>
      <c r="N1117" s="46">
        <v>4</v>
      </c>
      <c r="O1117" s="46" t="s">
        <v>118</v>
      </c>
      <c r="P1117" s="46"/>
    </row>
    <row r="1118" spans="1:16">
      <c r="A1118" s="37" t="s">
        <v>3651</v>
      </c>
      <c r="B1118" s="37" t="s">
        <v>3652</v>
      </c>
      <c r="C1118" s="37" t="s">
        <v>300</v>
      </c>
      <c r="D1118" s="37" t="s">
        <v>230</v>
      </c>
      <c r="E1118" s="37" t="s">
        <v>99</v>
      </c>
      <c r="F1118" s="37" t="s">
        <v>430</v>
      </c>
      <c r="G1118" s="37" t="s">
        <v>418</v>
      </c>
      <c r="H1118" s="37" t="s">
        <v>93</v>
      </c>
      <c r="I1118" s="37" t="s">
        <v>745</v>
      </c>
      <c r="J1118" s="37" t="s">
        <v>753</v>
      </c>
      <c r="K1118" s="37">
        <v>2</v>
      </c>
      <c r="L1118" s="37" t="s">
        <v>2034</v>
      </c>
      <c r="M1118" s="37" t="s">
        <v>172</v>
      </c>
      <c r="N1118" s="37">
        <v>3</v>
      </c>
      <c r="O1118" s="37" t="s">
        <v>191</v>
      </c>
      <c r="P1118" s="37"/>
    </row>
    <row r="1119" spans="1:16">
      <c r="A1119" s="46" t="s">
        <v>3653</v>
      </c>
      <c r="B1119" s="46" t="s">
        <v>2349</v>
      </c>
      <c r="C1119" s="46" t="s">
        <v>32</v>
      </c>
      <c r="D1119" s="46" t="s">
        <v>213</v>
      </c>
      <c r="E1119" s="46" t="s">
        <v>195</v>
      </c>
      <c r="F1119" s="46" t="s">
        <v>353</v>
      </c>
      <c r="G1119" s="46" t="s">
        <v>112</v>
      </c>
      <c r="H1119" s="46" t="s">
        <v>32</v>
      </c>
      <c r="I1119" s="46" t="s">
        <v>3654</v>
      </c>
      <c r="J1119" s="46" t="s">
        <v>3655</v>
      </c>
      <c r="K1119" s="46">
        <v>6</v>
      </c>
      <c r="L1119" s="46" t="s">
        <v>429</v>
      </c>
      <c r="M1119" s="46" t="s">
        <v>172</v>
      </c>
      <c r="N1119" s="46">
        <v>2</v>
      </c>
      <c r="O1119" s="46" t="s">
        <v>152</v>
      </c>
      <c r="P1119" s="46"/>
    </row>
    <row r="1120" spans="1:16">
      <c r="A1120" s="37" t="s">
        <v>3656</v>
      </c>
      <c r="B1120" s="37" t="s">
        <v>954</v>
      </c>
      <c r="C1120" s="37" t="s">
        <v>633</v>
      </c>
      <c r="D1120" s="37" t="s">
        <v>352</v>
      </c>
      <c r="E1120" s="37" t="s">
        <v>157</v>
      </c>
      <c r="F1120" s="37" t="s">
        <v>158</v>
      </c>
      <c r="G1120" s="37" t="s">
        <v>92</v>
      </c>
      <c r="H1120" s="37" t="s">
        <v>126</v>
      </c>
      <c r="I1120" s="37" t="s">
        <v>2248</v>
      </c>
      <c r="J1120" s="37" t="s">
        <v>3657</v>
      </c>
      <c r="K1120" s="37">
        <v>6</v>
      </c>
      <c r="L1120" s="37" t="s">
        <v>744</v>
      </c>
      <c r="M1120" s="37" t="s">
        <v>219</v>
      </c>
      <c r="N1120" s="37">
        <v>3</v>
      </c>
      <c r="O1120" s="37" t="s">
        <v>152</v>
      </c>
      <c r="P1120" s="37"/>
    </row>
    <row r="1121" spans="1:16">
      <c r="A1121" s="46" t="s">
        <v>3658</v>
      </c>
      <c r="B1121" s="46" t="s">
        <v>3659</v>
      </c>
      <c r="C1121" s="46" t="s">
        <v>374</v>
      </c>
      <c r="D1121" s="46" t="s">
        <v>312</v>
      </c>
      <c r="E1121" s="46" t="s">
        <v>244</v>
      </c>
      <c r="F1121" s="46" t="s">
        <v>582</v>
      </c>
      <c r="G1121" s="46" t="s">
        <v>197</v>
      </c>
      <c r="H1121" s="46" t="s">
        <v>90</v>
      </c>
      <c r="I1121" s="46" t="s">
        <v>3398</v>
      </c>
      <c r="J1121" s="46" t="s">
        <v>3660</v>
      </c>
      <c r="K1121" s="46">
        <v>2</v>
      </c>
      <c r="L1121" s="46" t="s">
        <v>933</v>
      </c>
      <c r="M1121" s="46" t="s">
        <v>163</v>
      </c>
      <c r="N1121" s="46">
        <v>5</v>
      </c>
      <c r="O1121" s="46" t="s">
        <v>181</v>
      </c>
      <c r="P1121" s="46"/>
    </row>
    <row r="1122" spans="1:16">
      <c r="A1122" s="37" t="s">
        <v>3661</v>
      </c>
      <c r="B1122" s="37" t="s">
        <v>1269</v>
      </c>
      <c r="C1122" s="37" t="s">
        <v>469</v>
      </c>
      <c r="D1122" s="37" t="s">
        <v>367</v>
      </c>
      <c r="E1122" s="37" t="s">
        <v>110</v>
      </c>
      <c r="F1122" s="37" t="s">
        <v>425</v>
      </c>
      <c r="G1122" s="37" t="s">
        <v>257</v>
      </c>
      <c r="H1122" s="37" t="s">
        <v>187</v>
      </c>
      <c r="I1122" s="37" t="s">
        <v>3662</v>
      </c>
      <c r="J1122" s="37" t="s">
        <v>3663</v>
      </c>
      <c r="K1122" s="37">
        <v>6</v>
      </c>
      <c r="L1122" s="37" t="s">
        <v>918</v>
      </c>
      <c r="M1122" s="37" t="s">
        <v>200</v>
      </c>
      <c r="N1122" s="37">
        <v>2</v>
      </c>
      <c r="O1122" s="37" t="s">
        <v>106</v>
      </c>
      <c r="P1122" s="37"/>
    </row>
    <row r="1123" spans="1:16">
      <c r="A1123" s="46" t="s">
        <v>3664</v>
      </c>
      <c r="B1123" s="46" t="s">
        <v>2666</v>
      </c>
      <c r="C1123" s="46" t="s">
        <v>300</v>
      </c>
      <c r="D1123" s="46" t="s">
        <v>122</v>
      </c>
      <c r="E1123" s="46" t="s">
        <v>440</v>
      </c>
      <c r="F1123" s="46" t="s">
        <v>425</v>
      </c>
      <c r="G1123" s="46" t="s">
        <v>87</v>
      </c>
      <c r="H1123" s="46" t="s">
        <v>113</v>
      </c>
      <c r="I1123" s="46" t="s">
        <v>2134</v>
      </c>
      <c r="J1123" s="46" t="s">
        <v>3665</v>
      </c>
      <c r="K1123" s="46">
        <v>8</v>
      </c>
      <c r="L1123" s="46" t="s">
        <v>961</v>
      </c>
      <c r="M1123" s="46" t="s">
        <v>200</v>
      </c>
      <c r="N1123" s="46">
        <v>2</v>
      </c>
      <c r="O1123" s="46" t="s">
        <v>181</v>
      </c>
      <c r="P1123" s="46"/>
    </row>
    <row r="1124" spans="1:16">
      <c r="A1124" s="37" t="s">
        <v>3666</v>
      </c>
      <c r="B1124" s="37" t="s">
        <v>1685</v>
      </c>
      <c r="C1124" s="37" t="s">
        <v>469</v>
      </c>
      <c r="D1124" s="37" t="s">
        <v>230</v>
      </c>
      <c r="E1124" s="37" t="s">
        <v>157</v>
      </c>
      <c r="F1124" s="37" t="s">
        <v>271</v>
      </c>
      <c r="G1124" s="37" t="s">
        <v>101</v>
      </c>
      <c r="H1124" s="37" t="s">
        <v>88</v>
      </c>
      <c r="I1124" s="37" t="s">
        <v>198</v>
      </c>
      <c r="J1124" s="37" t="s">
        <v>1994</v>
      </c>
      <c r="K1124" s="37">
        <v>6</v>
      </c>
      <c r="L1124" s="37" t="s">
        <v>506</v>
      </c>
      <c r="M1124" s="37" t="s">
        <v>200</v>
      </c>
      <c r="N1124" s="37">
        <v>3</v>
      </c>
      <c r="O1124" s="37" t="s">
        <v>152</v>
      </c>
      <c r="P1124" s="37"/>
    </row>
    <row r="1125" spans="1:16">
      <c r="A1125" s="46" t="s">
        <v>3667</v>
      </c>
      <c r="B1125" s="46" t="s">
        <v>547</v>
      </c>
      <c r="C1125" s="46" t="s">
        <v>91</v>
      </c>
      <c r="D1125" s="46" t="s">
        <v>194</v>
      </c>
      <c r="E1125" s="46" t="s">
        <v>99</v>
      </c>
      <c r="F1125" s="46" t="s">
        <v>263</v>
      </c>
      <c r="G1125" s="46" t="s">
        <v>51</v>
      </c>
      <c r="H1125" s="46" t="s">
        <v>93</v>
      </c>
      <c r="I1125" s="46" t="s">
        <v>824</v>
      </c>
      <c r="J1125" s="46" t="s">
        <v>3262</v>
      </c>
      <c r="K1125" s="46">
        <v>4</v>
      </c>
      <c r="L1125" s="46" t="s">
        <v>1459</v>
      </c>
      <c r="M1125" s="46" t="s">
        <v>72</v>
      </c>
      <c r="N1125" s="46">
        <v>3</v>
      </c>
      <c r="O1125" s="46" t="s">
        <v>152</v>
      </c>
      <c r="P1125" s="46"/>
    </row>
    <row r="1126" spans="1:16">
      <c r="A1126" s="37" t="s">
        <v>3668</v>
      </c>
      <c r="B1126" s="37" t="s">
        <v>1582</v>
      </c>
      <c r="C1126" s="37" t="s">
        <v>121</v>
      </c>
      <c r="D1126" s="37" t="s">
        <v>146</v>
      </c>
      <c r="E1126" s="37" t="s">
        <v>185</v>
      </c>
      <c r="F1126" s="37" t="s">
        <v>186</v>
      </c>
      <c r="G1126" s="37" t="s">
        <v>418</v>
      </c>
      <c r="H1126" s="37" t="s">
        <v>327</v>
      </c>
      <c r="I1126" s="37" t="s">
        <v>2515</v>
      </c>
      <c r="J1126" s="37" t="s">
        <v>3669</v>
      </c>
      <c r="K1126" s="37">
        <v>6</v>
      </c>
      <c r="L1126" s="37" t="s">
        <v>1127</v>
      </c>
      <c r="M1126" s="37" t="s">
        <v>72</v>
      </c>
      <c r="N1126" s="37">
        <v>2</v>
      </c>
      <c r="O1126" s="37" t="s">
        <v>131</v>
      </c>
      <c r="P1126" s="37"/>
    </row>
    <row r="1127" spans="1:16">
      <c r="A1127" s="46" t="s">
        <v>3670</v>
      </c>
      <c r="B1127" s="46" t="s">
        <v>1838</v>
      </c>
      <c r="C1127" s="46" t="s">
        <v>91</v>
      </c>
      <c r="D1127" s="46" t="s">
        <v>184</v>
      </c>
      <c r="E1127" s="46" t="s">
        <v>147</v>
      </c>
      <c r="F1127" s="46" t="s">
        <v>205</v>
      </c>
      <c r="G1127" s="46" t="s">
        <v>346</v>
      </c>
      <c r="H1127" s="46" t="s">
        <v>354</v>
      </c>
      <c r="I1127" s="46" t="s">
        <v>3671</v>
      </c>
      <c r="J1127" s="46" t="s">
        <v>3672</v>
      </c>
      <c r="K1127" s="46">
        <v>8</v>
      </c>
      <c r="L1127" s="46" t="s">
        <v>393</v>
      </c>
      <c r="M1127" s="46" t="s">
        <v>219</v>
      </c>
      <c r="N1127" s="46">
        <v>5</v>
      </c>
      <c r="O1127" s="46" t="s">
        <v>286</v>
      </c>
      <c r="P1127" s="46"/>
    </row>
    <row r="1128" spans="1:16">
      <c r="A1128" s="37" t="s">
        <v>3673</v>
      </c>
      <c r="B1128" s="37" t="s">
        <v>597</v>
      </c>
      <c r="C1128" s="37" t="s">
        <v>88</v>
      </c>
      <c r="D1128" s="37" t="s">
        <v>270</v>
      </c>
      <c r="E1128" s="37" t="s">
        <v>147</v>
      </c>
      <c r="F1128" s="37" t="s">
        <v>277</v>
      </c>
      <c r="G1128" s="37" t="s">
        <v>346</v>
      </c>
      <c r="H1128" s="37" t="s">
        <v>113</v>
      </c>
      <c r="I1128" s="37" t="s">
        <v>102</v>
      </c>
      <c r="J1128" s="37" t="s">
        <v>945</v>
      </c>
      <c r="K1128" s="37">
        <v>8</v>
      </c>
      <c r="L1128" s="37" t="s">
        <v>3004</v>
      </c>
      <c r="M1128" s="37" t="s">
        <v>163</v>
      </c>
      <c r="N1128" s="37">
        <v>4</v>
      </c>
      <c r="O1128" s="37" t="s">
        <v>191</v>
      </c>
      <c r="P1128" s="37"/>
    </row>
    <row r="1129" spans="1:16">
      <c r="A1129" s="46" t="s">
        <v>3674</v>
      </c>
      <c r="B1129" s="46" t="s">
        <v>627</v>
      </c>
      <c r="C1129" s="46" t="s">
        <v>251</v>
      </c>
      <c r="D1129" s="46" t="s">
        <v>156</v>
      </c>
      <c r="E1129" s="46" t="s">
        <v>185</v>
      </c>
      <c r="F1129" s="46" t="s">
        <v>214</v>
      </c>
      <c r="G1129" s="46" t="s">
        <v>89</v>
      </c>
      <c r="H1129" s="46" t="s">
        <v>88</v>
      </c>
      <c r="I1129" s="46" t="s">
        <v>3675</v>
      </c>
      <c r="J1129" s="46" t="s">
        <v>3676</v>
      </c>
      <c r="K1129" s="46">
        <v>6</v>
      </c>
      <c r="L1129" s="46" t="s">
        <v>1120</v>
      </c>
      <c r="M1129" s="46" t="s">
        <v>200</v>
      </c>
      <c r="N1129" s="46">
        <v>3</v>
      </c>
      <c r="O1129" s="46" t="s">
        <v>181</v>
      </c>
      <c r="P1129" s="46"/>
    </row>
    <row r="1130" spans="1:16">
      <c r="A1130" s="37" t="s">
        <v>3677</v>
      </c>
      <c r="B1130" s="37" t="s">
        <v>1325</v>
      </c>
      <c r="C1130" s="37" t="s">
        <v>203</v>
      </c>
      <c r="D1130" s="37" t="s">
        <v>122</v>
      </c>
      <c r="E1130" s="37" t="s">
        <v>325</v>
      </c>
      <c r="F1130" s="37" t="s">
        <v>385</v>
      </c>
      <c r="G1130" s="37" t="s">
        <v>89</v>
      </c>
      <c r="H1130" s="37" t="s">
        <v>278</v>
      </c>
      <c r="I1130" s="37" t="s">
        <v>3678</v>
      </c>
      <c r="J1130" s="37" t="s">
        <v>3679</v>
      </c>
      <c r="K1130" s="37">
        <v>2</v>
      </c>
      <c r="L1130" s="37" t="s">
        <v>262</v>
      </c>
      <c r="M1130" s="37" t="s">
        <v>200</v>
      </c>
      <c r="N1130" s="37">
        <v>1</v>
      </c>
      <c r="O1130" s="37" t="s">
        <v>191</v>
      </c>
      <c r="P1130" s="37"/>
    </row>
    <row r="1131" spans="1:16">
      <c r="A1131" s="46" t="s">
        <v>3680</v>
      </c>
      <c r="B1131" s="46" t="s">
        <v>2007</v>
      </c>
      <c r="C1131" s="46" t="s">
        <v>424</v>
      </c>
      <c r="D1131" s="46" t="s">
        <v>194</v>
      </c>
      <c r="E1131" s="46" t="s">
        <v>137</v>
      </c>
      <c r="F1131" s="46" t="s">
        <v>843</v>
      </c>
      <c r="G1131" s="46" t="s">
        <v>92</v>
      </c>
      <c r="H1131" s="46" t="s">
        <v>91</v>
      </c>
      <c r="I1131" s="46" t="s">
        <v>3681</v>
      </c>
      <c r="J1131" s="46" t="s">
        <v>3682</v>
      </c>
      <c r="K1131" s="46">
        <v>8</v>
      </c>
      <c r="L1131" s="46" t="s">
        <v>2517</v>
      </c>
      <c r="M1131" s="46" t="s">
        <v>105</v>
      </c>
      <c r="N1131" s="46">
        <v>5</v>
      </c>
      <c r="O1131" s="46" t="s">
        <v>118</v>
      </c>
      <c r="P1131" s="46"/>
    </row>
    <row r="1132" spans="1:16">
      <c r="A1132" s="37" t="s">
        <v>3683</v>
      </c>
      <c r="B1132" s="37" t="s">
        <v>697</v>
      </c>
      <c r="C1132" s="37" t="s">
        <v>282</v>
      </c>
      <c r="D1132" s="37" t="s">
        <v>156</v>
      </c>
      <c r="E1132" s="37" t="s">
        <v>176</v>
      </c>
      <c r="F1132" s="37" t="s">
        <v>237</v>
      </c>
      <c r="G1132" s="37" t="s">
        <v>334</v>
      </c>
      <c r="H1132" s="37" t="s">
        <v>215</v>
      </c>
      <c r="I1132" s="37" t="s">
        <v>3684</v>
      </c>
      <c r="J1132" s="37" t="s">
        <v>3685</v>
      </c>
      <c r="K1132" s="37">
        <v>8</v>
      </c>
      <c r="L1132" s="37" t="s">
        <v>1881</v>
      </c>
      <c r="M1132" s="37" t="s">
        <v>143</v>
      </c>
      <c r="N1132" s="37">
        <v>1</v>
      </c>
      <c r="O1132" s="37" t="s">
        <v>152</v>
      </c>
      <c r="P1132" s="37"/>
    </row>
    <row r="1133" spans="1:16">
      <c r="A1133" s="46" t="s">
        <v>3686</v>
      </c>
      <c r="B1133" s="46" t="s">
        <v>2848</v>
      </c>
      <c r="C1133" s="46" t="s">
        <v>340</v>
      </c>
      <c r="D1133" s="46" t="s">
        <v>333</v>
      </c>
      <c r="E1133" s="46" t="s">
        <v>224</v>
      </c>
      <c r="F1133" s="46" t="s">
        <v>664</v>
      </c>
      <c r="G1133" s="46" t="s">
        <v>418</v>
      </c>
      <c r="H1133" s="46" t="s">
        <v>327</v>
      </c>
      <c r="I1133" s="46" t="s">
        <v>3366</v>
      </c>
      <c r="J1133" s="46" t="s">
        <v>1706</v>
      </c>
      <c r="K1133" s="46">
        <v>4</v>
      </c>
      <c r="L1133" s="46" t="s">
        <v>1716</v>
      </c>
      <c r="M1133" s="46" t="s">
        <v>105</v>
      </c>
      <c r="N1133" s="46">
        <v>2</v>
      </c>
      <c r="O1133" s="46" t="s">
        <v>118</v>
      </c>
      <c r="P1133" s="46"/>
    </row>
    <row r="1134" spans="1:16">
      <c r="A1134" s="37" t="s">
        <v>3687</v>
      </c>
      <c r="B1134" s="37" t="s">
        <v>1078</v>
      </c>
      <c r="C1134" s="37" t="s">
        <v>174</v>
      </c>
      <c r="D1134" s="37" t="s">
        <v>122</v>
      </c>
      <c r="E1134" s="37" t="s">
        <v>440</v>
      </c>
      <c r="F1134" s="37" t="s">
        <v>237</v>
      </c>
      <c r="G1134" s="37" t="s">
        <v>302</v>
      </c>
      <c r="H1134" s="37" t="s">
        <v>396</v>
      </c>
      <c r="I1134" s="37" t="s">
        <v>2459</v>
      </c>
      <c r="J1134" s="37" t="s">
        <v>1375</v>
      </c>
      <c r="K1134" s="37">
        <v>8</v>
      </c>
      <c r="L1134" s="37" t="s">
        <v>3361</v>
      </c>
      <c r="M1134" s="37" t="s">
        <v>117</v>
      </c>
      <c r="N1134" s="37">
        <v>4</v>
      </c>
      <c r="O1134" s="37" t="s">
        <v>191</v>
      </c>
      <c r="P1134" s="37"/>
    </row>
    <row r="1135" spans="1:16">
      <c r="A1135" s="46" t="s">
        <v>3688</v>
      </c>
      <c r="B1135" s="46" t="s">
        <v>702</v>
      </c>
      <c r="C1135" s="46" t="s">
        <v>407</v>
      </c>
      <c r="D1135" s="46" t="s">
        <v>352</v>
      </c>
      <c r="E1135" s="46" t="s">
        <v>123</v>
      </c>
      <c r="F1135" s="46" t="s">
        <v>612</v>
      </c>
      <c r="G1135" s="46" t="s">
        <v>168</v>
      </c>
      <c r="H1135" s="46" t="s">
        <v>278</v>
      </c>
      <c r="I1135" s="46" t="s">
        <v>1472</v>
      </c>
      <c r="J1135" s="46" t="s">
        <v>472</v>
      </c>
      <c r="K1135" s="46">
        <v>4</v>
      </c>
      <c r="L1135" s="46" t="s">
        <v>371</v>
      </c>
      <c r="M1135" s="46" t="s">
        <v>143</v>
      </c>
      <c r="N1135" s="46">
        <v>3</v>
      </c>
      <c r="O1135" s="46" t="s">
        <v>79</v>
      </c>
      <c r="P1135" s="46"/>
    </row>
    <row r="1136" spans="1:16">
      <c r="A1136" s="37" t="s">
        <v>3689</v>
      </c>
      <c r="B1136" s="37" t="s">
        <v>3690</v>
      </c>
      <c r="C1136" s="37" t="s">
        <v>300</v>
      </c>
      <c r="D1136" s="37" t="s">
        <v>122</v>
      </c>
      <c r="E1136" s="37" t="s">
        <v>99</v>
      </c>
      <c r="F1136" s="37" t="s">
        <v>612</v>
      </c>
      <c r="G1136" s="37" t="s">
        <v>401</v>
      </c>
      <c r="H1136" s="37" t="s">
        <v>327</v>
      </c>
      <c r="I1136" s="37" t="s">
        <v>1123</v>
      </c>
      <c r="J1136" s="37" t="s">
        <v>1202</v>
      </c>
      <c r="K1136" s="37">
        <v>2</v>
      </c>
      <c r="L1136" s="37" t="s">
        <v>3691</v>
      </c>
      <c r="M1136" s="37" t="s">
        <v>172</v>
      </c>
      <c r="N1136" s="37">
        <v>1</v>
      </c>
      <c r="O1136" s="37" t="s">
        <v>181</v>
      </c>
      <c r="P1136" s="37"/>
    </row>
    <row r="1137" spans="1:16">
      <c r="A1137" s="46" t="s">
        <v>3692</v>
      </c>
      <c r="B1137" s="46" t="s">
        <v>221</v>
      </c>
      <c r="C1137" s="46" t="s">
        <v>243</v>
      </c>
      <c r="D1137" s="46" t="s">
        <v>194</v>
      </c>
      <c r="E1137" s="46" t="s">
        <v>137</v>
      </c>
      <c r="F1137" s="46" t="s">
        <v>283</v>
      </c>
      <c r="G1137" s="46" t="s">
        <v>87</v>
      </c>
      <c r="H1137" s="46" t="s">
        <v>32</v>
      </c>
      <c r="I1137" s="46" t="s">
        <v>730</v>
      </c>
      <c r="J1137" s="46" t="s">
        <v>3693</v>
      </c>
      <c r="K1137" s="46">
        <v>8</v>
      </c>
      <c r="L1137" s="46" t="s">
        <v>3176</v>
      </c>
      <c r="M1137" s="46" t="s">
        <v>143</v>
      </c>
      <c r="N1137" s="46">
        <v>4</v>
      </c>
      <c r="O1137" s="46" t="s">
        <v>118</v>
      </c>
      <c r="P1137" s="46"/>
    </row>
    <row r="1138" spans="1:16">
      <c r="A1138" s="37" t="s">
        <v>3694</v>
      </c>
      <c r="B1138" s="37" t="s">
        <v>299</v>
      </c>
      <c r="C1138" s="37" t="s">
        <v>174</v>
      </c>
      <c r="D1138" s="37" t="s">
        <v>544</v>
      </c>
      <c r="E1138" s="37" t="s">
        <v>345</v>
      </c>
      <c r="F1138" s="37" t="s">
        <v>301</v>
      </c>
      <c r="G1138" s="37" t="s">
        <v>51</v>
      </c>
      <c r="H1138" s="37" t="s">
        <v>90</v>
      </c>
      <c r="I1138" s="37" t="s">
        <v>3695</v>
      </c>
      <c r="J1138" s="37" t="s">
        <v>3696</v>
      </c>
      <c r="K1138" s="37">
        <v>6</v>
      </c>
      <c r="L1138" s="37" t="s">
        <v>609</v>
      </c>
      <c r="M1138" s="37" t="s">
        <v>624</v>
      </c>
      <c r="N1138" s="37"/>
      <c r="O1138" s="37" t="s">
        <v>79</v>
      </c>
      <c r="P1138" s="37" t="s">
        <v>1478</v>
      </c>
    </row>
    <row r="1139" spans="1:16">
      <c r="A1139" s="46" t="s">
        <v>3697</v>
      </c>
      <c r="B1139" s="46" t="s">
        <v>972</v>
      </c>
      <c r="C1139" s="46" t="s">
        <v>451</v>
      </c>
      <c r="D1139" s="46" t="s">
        <v>98</v>
      </c>
      <c r="E1139" s="46" t="s">
        <v>110</v>
      </c>
      <c r="F1139" s="46" t="s">
        <v>205</v>
      </c>
      <c r="G1139" s="46" t="s">
        <v>470</v>
      </c>
      <c r="H1139" s="46" t="s">
        <v>396</v>
      </c>
      <c r="I1139" s="46" t="s">
        <v>3562</v>
      </c>
      <c r="J1139" s="46" t="s">
        <v>3698</v>
      </c>
      <c r="K1139" s="46">
        <v>6</v>
      </c>
      <c r="L1139" s="46" t="s">
        <v>1908</v>
      </c>
      <c r="M1139" s="46" t="s">
        <v>163</v>
      </c>
      <c r="N1139" s="46">
        <v>2</v>
      </c>
      <c r="O1139" s="46" t="s">
        <v>118</v>
      </c>
      <c r="P1139" s="46"/>
    </row>
    <row r="1140" spans="1:16">
      <c r="A1140" s="37" t="s">
        <v>3699</v>
      </c>
      <c r="B1140" s="37" t="s">
        <v>820</v>
      </c>
      <c r="C1140" s="37" t="s">
        <v>135</v>
      </c>
      <c r="D1140" s="37" t="s">
        <v>352</v>
      </c>
      <c r="E1140" s="37" t="s">
        <v>185</v>
      </c>
      <c r="F1140" s="37" t="s">
        <v>1145</v>
      </c>
      <c r="G1140" s="37" t="s">
        <v>112</v>
      </c>
      <c r="H1140" s="37" t="s">
        <v>32</v>
      </c>
      <c r="I1140" s="37" t="s">
        <v>3700</v>
      </c>
      <c r="J1140" s="37" t="s">
        <v>3701</v>
      </c>
      <c r="K1140" s="37">
        <v>6</v>
      </c>
      <c r="L1140" s="37" t="s">
        <v>1158</v>
      </c>
      <c r="M1140" s="37" t="s">
        <v>72</v>
      </c>
      <c r="N1140" s="37">
        <v>1</v>
      </c>
      <c r="O1140" s="37" t="s">
        <v>131</v>
      </c>
      <c r="P1140" s="37"/>
    </row>
    <row r="1141" spans="1:16">
      <c r="A1141" s="46" t="s">
        <v>3702</v>
      </c>
      <c r="B1141" s="46" t="s">
        <v>1968</v>
      </c>
      <c r="C1141" s="46" t="s">
        <v>90</v>
      </c>
      <c r="D1141" s="46" t="s">
        <v>194</v>
      </c>
      <c r="E1141" s="46" t="s">
        <v>345</v>
      </c>
      <c r="F1141" s="46" t="s">
        <v>177</v>
      </c>
      <c r="G1141" s="46" t="s">
        <v>197</v>
      </c>
      <c r="H1141" s="46" t="s">
        <v>54</v>
      </c>
      <c r="I1141" s="46" t="s">
        <v>858</v>
      </c>
      <c r="J1141" s="46" t="s">
        <v>161</v>
      </c>
      <c r="K1141" s="46">
        <v>4</v>
      </c>
      <c r="L1141" s="46" t="s">
        <v>1347</v>
      </c>
      <c r="M1141" s="46" t="s">
        <v>200</v>
      </c>
      <c r="N1141" s="46">
        <v>1</v>
      </c>
      <c r="O1141" s="46" t="s">
        <v>191</v>
      </c>
      <c r="P1141" s="46"/>
    </row>
    <row r="1142" spans="1:16">
      <c r="A1142" s="46" t="s">
        <v>3703</v>
      </c>
      <c r="B1142" s="46" t="s">
        <v>928</v>
      </c>
      <c r="C1142" s="46" t="s">
        <v>340</v>
      </c>
      <c r="D1142" s="46" t="s">
        <v>230</v>
      </c>
      <c r="E1142" s="46" t="s">
        <v>345</v>
      </c>
      <c r="F1142" s="46" t="s">
        <v>385</v>
      </c>
      <c r="G1142" s="46" t="s">
        <v>168</v>
      </c>
      <c r="H1142" s="46" t="s">
        <v>88</v>
      </c>
      <c r="I1142" s="46" t="s">
        <v>3704</v>
      </c>
      <c r="J1142" s="46" t="s">
        <v>3705</v>
      </c>
      <c r="K1142" s="46">
        <v>6</v>
      </c>
      <c r="L1142" s="46" t="s">
        <v>931</v>
      </c>
      <c r="M1142" s="46" t="s">
        <v>172</v>
      </c>
      <c r="N1142" s="46">
        <v>4</v>
      </c>
      <c r="O1142" s="46" t="s">
        <v>131</v>
      </c>
      <c r="P1142" s="46"/>
    </row>
    <row r="1143" spans="1:16">
      <c r="A1143" s="37" t="s">
        <v>3706</v>
      </c>
      <c r="B1143" s="37" t="s">
        <v>761</v>
      </c>
      <c r="C1143" s="37" t="s">
        <v>251</v>
      </c>
      <c r="D1143" s="37" t="s">
        <v>213</v>
      </c>
      <c r="E1143" s="37" t="s">
        <v>325</v>
      </c>
      <c r="F1143" s="37" t="s">
        <v>138</v>
      </c>
      <c r="G1143" s="37" t="s">
        <v>470</v>
      </c>
      <c r="H1143" s="37" t="s">
        <v>91</v>
      </c>
      <c r="I1143" s="37" t="s">
        <v>3707</v>
      </c>
      <c r="J1143" s="37" t="s">
        <v>3054</v>
      </c>
      <c r="K1143" s="37">
        <v>4</v>
      </c>
      <c r="L1143" s="37" t="s">
        <v>2055</v>
      </c>
      <c r="M1143" s="37" t="s">
        <v>117</v>
      </c>
      <c r="N1143" s="37">
        <v>4</v>
      </c>
      <c r="O1143" s="37" t="s">
        <v>152</v>
      </c>
      <c r="P1143" s="37"/>
    </row>
    <row r="1144" spans="1:16">
      <c r="A1144" s="46" t="s">
        <v>3708</v>
      </c>
      <c r="B1144" s="46" t="s">
        <v>1089</v>
      </c>
      <c r="C1144" s="46" t="s">
        <v>566</v>
      </c>
      <c r="D1144" s="46" t="s">
        <v>146</v>
      </c>
      <c r="E1144" s="46" t="s">
        <v>157</v>
      </c>
      <c r="F1144" s="46" t="s">
        <v>301</v>
      </c>
      <c r="G1144" s="46" t="s">
        <v>125</v>
      </c>
      <c r="H1144" s="46" t="s">
        <v>126</v>
      </c>
      <c r="I1144" s="46" t="s">
        <v>3709</v>
      </c>
      <c r="J1144" s="46" t="s">
        <v>3710</v>
      </c>
      <c r="K1144" s="46">
        <v>6</v>
      </c>
      <c r="L1144" s="46" t="s">
        <v>1120</v>
      </c>
      <c r="M1144" s="46" t="s">
        <v>172</v>
      </c>
      <c r="N1144" s="46">
        <v>3</v>
      </c>
      <c r="O1144" s="46" t="s">
        <v>286</v>
      </c>
      <c r="P1144" s="46"/>
    </row>
    <row r="1145" spans="1:16">
      <c r="A1145" s="37" t="s">
        <v>3711</v>
      </c>
      <c r="B1145" s="37" t="s">
        <v>1083</v>
      </c>
      <c r="C1145" s="37" t="s">
        <v>121</v>
      </c>
      <c r="D1145" s="37" t="s">
        <v>98</v>
      </c>
      <c r="E1145" s="37" t="s">
        <v>42</v>
      </c>
      <c r="F1145" s="37" t="s">
        <v>263</v>
      </c>
      <c r="G1145" s="37" t="s">
        <v>139</v>
      </c>
      <c r="H1145" s="37" t="s">
        <v>113</v>
      </c>
      <c r="I1145" s="37" t="s">
        <v>858</v>
      </c>
      <c r="J1145" s="37" t="s">
        <v>432</v>
      </c>
      <c r="K1145" s="37">
        <v>4</v>
      </c>
      <c r="L1145" s="37" t="s">
        <v>3344</v>
      </c>
      <c r="M1145" s="37" t="s">
        <v>105</v>
      </c>
      <c r="N1145" s="37">
        <v>3</v>
      </c>
      <c r="O1145" s="37" t="s">
        <v>131</v>
      </c>
      <c r="P1145" s="37"/>
    </row>
    <row r="1146" spans="1:16">
      <c r="A1146" s="46" t="s">
        <v>3712</v>
      </c>
      <c r="B1146" s="46" t="s">
        <v>569</v>
      </c>
      <c r="C1146" s="46" t="s">
        <v>222</v>
      </c>
      <c r="D1146" s="46" t="s">
        <v>919</v>
      </c>
      <c r="E1146" s="46" t="s">
        <v>137</v>
      </c>
      <c r="F1146" s="46" t="s">
        <v>664</v>
      </c>
      <c r="G1146" s="46" t="s">
        <v>125</v>
      </c>
      <c r="H1146" s="46" t="s">
        <v>294</v>
      </c>
      <c r="I1146" s="46" t="s">
        <v>3517</v>
      </c>
      <c r="J1146" s="46" t="s">
        <v>1599</v>
      </c>
      <c r="K1146" s="46">
        <v>8</v>
      </c>
      <c r="L1146" s="46" t="s">
        <v>521</v>
      </c>
      <c r="M1146" s="46" t="s">
        <v>200</v>
      </c>
      <c r="N1146" s="46">
        <v>2</v>
      </c>
      <c r="O1146" s="46" t="s">
        <v>152</v>
      </c>
      <c r="P1146" s="46"/>
    </row>
    <row r="1147" spans="1:16">
      <c r="A1147" s="37" t="s">
        <v>3713</v>
      </c>
      <c r="B1147" s="37" t="s">
        <v>813</v>
      </c>
      <c r="C1147" s="37" t="s">
        <v>109</v>
      </c>
      <c r="D1147" s="37" t="s">
        <v>184</v>
      </c>
      <c r="E1147" s="37" t="s">
        <v>123</v>
      </c>
      <c r="F1147" s="37" t="s">
        <v>430</v>
      </c>
      <c r="G1147" s="37" t="s">
        <v>346</v>
      </c>
      <c r="H1147" s="37" t="s">
        <v>354</v>
      </c>
      <c r="I1147" s="37" t="s">
        <v>3714</v>
      </c>
      <c r="J1147" s="37" t="s">
        <v>3715</v>
      </c>
      <c r="K1147" s="37">
        <v>4</v>
      </c>
      <c r="L1147" s="37" t="s">
        <v>1961</v>
      </c>
      <c r="M1147" s="37" t="s">
        <v>72</v>
      </c>
      <c r="N1147" s="37">
        <v>1</v>
      </c>
      <c r="O1147" s="37" t="s">
        <v>181</v>
      </c>
      <c r="P1147" s="37"/>
    </row>
    <row r="1148" spans="1:16">
      <c r="A1148" s="46" t="s">
        <v>3716</v>
      </c>
      <c r="B1148" s="46" t="s">
        <v>528</v>
      </c>
      <c r="C1148" s="46" t="s">
        <v>54</v>
      </c>
      <c r="D1148" s="46" t="s">
        <v>37</v>
      </c>
      <c r="E1148" s="46" t="s">
        <v>244</v>
      </c>
      <c r="F1148" s="46" t="s">
        <v>843</v>
      </c>
      <c r="G1148" s="46" t="s">
        <v>257</v>
      </c>
      <c r="H1148" s="46" t="s">
        <v>88</v>
      </c>
      <c r="I1148" s="46" t="s">
        <v>2777</v>
      </c>
      <c r="J1148" s="46" t="s">
        <v>3592</v>
      </c>
      <c r="K1148" s="46">
        <v>4</v>
      </c>
      <c r="L1148" s="46" t="s">
        <v>3470</v>
      </c>
      <c r="M1148" s="46" t="s">
        <v>172</v>
      </c>
      <c r="N1148" s="46">
        <v>3</v>
      </c>
      <c r="O1148" s="46" t="s">
        <v>181</v>
      </c>
      <c r="P1148" s="46"/>
    </row>
    <row r="1149" spans="1:16">
      <c r="A1149" s="37" t="s">
        <v>3717</v>
      </c>
      <c r="B1149" s="37" t="s">
        <v>1072</v>
      </c>
      <c r="C1149" s="37" t="s">
        <v>424</v>
      </c>
      <c r="D1149" s="37" t="s">
        <v>204</v>
      </c>
      <c r="E1149" s="37" t="s">
        <v>325</v>
      </c>
      <c r="F1149" s="37" t="s">
        <v>664</v>
      </c>
      <c r="G1149" s="37" t="s">
        <v>168</v>
      </c>
      <c r="H1149" s="37" t="s">
        <v>187</v>
      </c>
      <c r="I1149" s="37" t="s">
        <v>2903</v>
      </c>
      <c r="J1149" s="37" t="s">
        <v>3718</v>
      </c>
      <c r="K1149" s="37">
        <v>4</v>
      </c>
      <c r="L1149" s="37" t="s">
        <v>933</v>
      </c>
      <c r="M1149" s="37" t="s">
        <v>117</v>
      </c>
      <c r="N1149" s="37">
        <v>3</v>
      </c>
      <c r="O1149" s="37" t="s">
        <v>152</v>
      </c>
      <c r="P1149" s="37"/>
    </row>
    <row r="1150" spans="1:16">
      <c r="A1150" s="46" t="s">
        <v>3719</v>
      </c>
      <c r="B1150" s="46" t="s">
        <v>1685</v>
      </c>
      <c r="C1150" s="46" t="s">
        <v>135</v>
      </c>
      <c r="D1150" s="46" t="s">
        <v>184</v>
      </c>
      <c r="E1150" s="46" t="s">
        <v>345</v>
      </c>
      <c r="F1150" s="46" t="s">
        <v>1145</v>
      </c>
      <c r="G1150" s="46" t="s">
        <v>197</v>
      </c>
      <c r="H1150" s="46" t="s">
        <v>93</v>
      </c>
      <c r="I1150" s="46" t="s">
        <v>3720</v>
      </c>
      <c r="J1150" s="46" t="s">
        <v>3721</v>
      </c>
      <c r="K1150" s="46">
        <v>6</v>
      </c>
      <c r="L1150" s="46" t="s">
        <v>274</v>
      </c>
      <c r="M1150" s="46" t="s">
        <v>105</v>
      </c>
      <c r="N1150" s="46">
        <v>2</v>
      </c>
      <c r="O1150" s="46" t="s">
        <v>118</v>
      </c>
      <c r="P1150" s="46"/>
    </row>
    <row r="1151" spans="1:16">
      <c r="A1151" s="37" t="s">
        <v>3722</v>
      </c>
      <c r="B1151" s="37" t="s">
        <v>2517</v>
      </c>
      <c r="C1151" s="37" t="s">
        <v>366</v>
      </c>
      <c r="D1151" s="37" t="s">
        <v>367</v>
      </c>
      <c r="E1151" s="37" t="s">
        <v>224</v>
      </c>
      <c r="F1151" s="37" t="s">
        <v>385</v>
      </c>
      <c r="G1151" s="37" t="s">
        <v>470</v>
      </c>
      <c r="H1151" s="37" t="s">
        <v>294</v>
      </c>
      <c r="I1151" s="37" t="s">
        <v>3723</v>
      </c>
      <c r="J1151" s="37" t="s">
        <v>3724</v>
      </c>
      <c r="K1151" s="37">
        <v>2</v>
      </c>
      <c r="L1151" s="37" t="s">
        <v>1481</v>
      </c>
      <c r="M1151" s="37" t="s">
        <v>219</v>
      </c>
      <c r="N1151" s="37">
        <v>4</v>
      </c>
      <c r="O1151" s="37" t="s">
        <v>152</v>
      </c>
      <c r="P1151" s="37"/>
    </row>
    <row r="1152" spans="1:16">
      <c r="A1152" s="46" t="s">
        <v>3725</v>
      </c>
      <c r="B1152" s="46" t="s">
        <v>1353</v>
      </c>
      <c r="C1152" s="46" t="s">
        <v>469</v>
      </c>
      <c r="D1152" s="46" t="s">
        <v>230</v>
      </c>
      <c r="E1152" s="46" t="s">
        <v>147</v>
      </c>
      <c r="F1152" s="46" t="s">
        <v>843</v>
      </c>
      <c r="G1152" s="46" t="s">
        <v>334</v>
      </c>
      <c r="H1152" s="46" t="s">
        <v>32</v>
      </c>
      <c r="I1152" s="46" t="s">
        <v>1484</v>
      </c>
      <c r="J1152" s="46" t="s">
        <v>1580</v>
      </c>
      <c r="K1152" s="46">
        <v>8</v>
      </c>
      <c r="L1152" s="46" t="s">
        <v>831</v>
      </c>
      <c r="M1152" s="46" t="s">
        <v>105</v>
      </c>
      <c r="N1152" s="46">
        <v>2</v>
      </c>
      <c r="O1152" s="46" t="s">
        <v>118</v>
      </c>
      <c r="P1152" s="46"/>
    </row>
    <row r="1153" spans="1:16">
      <c r="A1153" s="37" t="s">
        <v>3726</v>
      </c>
      <c r="B1153" s="37" t="s">
        <v>2101</v>
      </c>
      <c r="C1153" s="37" t="s">
        <v>155</v>
      </c>
      <c r="D1153" s="37" t="s">
        <v>136</v>
      </c>
      <c r="E1153" s="37" t="s">
        <v>123</v>
      </c>
      <c r="F1153" s="37" t="s">
        <v>664</v>
      </c>
      <c r="G1153" s="37" t="s">
        <v>168</v>
      </c>
      <c r="H1153" s="37" t="s">
        <v>278</v>
      </c>
      <c r="I1153" s="37" t="s">
        <v>3107</v>
      </c>
      <c r="J1153" s="37" t="s">
        <v>1137</v>
      </c>
      <c r="K1153" s="37">
        <v>4</v>
      </c>
      <c r="L1153" s="37" t="s">
        <v>1791</v>
      </c>
      <c r="M1153" s="37" t="s">
        <v>163</v>
      </c>
      <c r="N1153" s="37">
        <v>4</v>
      </c>
      <c r="O1153" s="37" t="s">
        <v>118</v>
      </c>
      <c r="P1153" s="37"/>
    </row>
    <row r="1154" spans="1:16">
      <c r="A1154" s="46" t="s">
        <v>3727</v>
      </c>
      <c r="B1154" s="46" t="s">
        <v>2055</v>
      </c>
      <c r="C1154" s="46" t="s">
        <v>88</v>
      </c>
      <c r="D1154" s="46" t="s">
        <v>37</v>
      </c>
      <c r="E1154" s="46" t="s">
        <v>345</v>
      </c>
      <c r="F1154" s="46" t="s">
        <v>214</v>
      </c>
      <c r="G1154" s="46" t="s">
        <v>112</v>
      </c>
      <c r="H1154" s="46" t="s">
        <v>113</v>
      </c>
      <c r="I1154" s="46" t="s">
        <v>3728</v>
      </c>
      <c r="J1154" s="46" t="s">
        <v>3729</v>
      </c>
      <c r="K1154" s="46">
        <v>6</v>
      </c>
      <c r="L1154" s="46" t="s">
        <v>685</v>
      </c>
      <c r="M1154" s="46" t="s">
        <v>163</v>
      </c>
      <c r="N1154" s="46">
        <v>5</v>
      </c>
      <c r="O1154" s="46" t="s">
        <v>152</v>
      </c>
      <c r="P1154" s="46"/>
    </row>
    <row r="1155" spans="1:16">
      <c r="A1155" s="37" t="s">
        <v>3730</v>
      </c>
      <c r="B1155" s="37" t="s">
        <v>1405</v>
      </c>
      <c r="C1155" s="37" t="s">
        <v>90</v>
      </c>
      <c r="D1155" s="37" t="s">
        <v>544</v>
      </c>
      <c r="E1155" s="37" t="s">
        <v>157</v>
      </c>
      <c r="F1155" s="37" t="s">
        <v>100</v>
      </c>
      <c r="G1155" s="37" t="s">
        <v>51</v>
      </c>
      <c r="H1155" s="37" t="s">
        <v>54</v>
      </c>
      <c r="I1155" s="37" t="s">
        <v>2474</v>
      </c>
      <c r="J1155" s="37" t="s">
        <v>3731</v>
      </c>
      <c r="K1155" s="37">
        <v>4</v>
      </c>
      <c r="L1155" s="37" t="s">
        <v>991</v>
      </c>
      <c r="M1155" s="37" t="s">
        <v>219</v>
      </c>
      <c r="N1155" s="37">
        <v>3</v>
      </c>
      <c r="O1155" s="37" t="s">
        <v>286</v>
      </c>
      <c r="P1155" s="37"/>
    </row>
    <row r="1156" spans="1:16">
      <c r="A1156" s="46" t="s">
        <v>3732</v>
      </c>
      <c r="B1156" s="46" t="s">
        <v>1483</v>
      </c>
      <c r="C1156" s="46" t="s">
        <v>93</v>
      </c>
      <c r="D1156" s="46" t="s">
        <v>37</v>
      </c>
      <c r="E1156" s="46" t="s">
        <v>123</v>
      </c>
      <c r="F1156" s="46" t="s">
        <v>263</v>
      </c>
      <c r="G1156" s="46" t="s">
        <v>89</v>
      </c>
      <c r="H1156" s="46" t="s">
        <v>88</v>
      </c>
      <c r="I1156" s="46" t="s">
        <v>2166</v>
      </c>
      <c r="J1156" s="46" t="s">
        <v>1899</v>
      </c>
      <c r="K1156" s="46">
        <v>2</v>
      </c>
      <c r="L1156" s="46" t="s">
        <v>636</v>
      </c>
      <c r="M1156" s="46" t="s">
        <v>219</v>
      </c>
      <c r="N1156" s="46">
        <v>5</v>
      </c>
      <c r="O1156" s="46" t="s">
        <v>152</v>
      </c>
      <c r="P1156" s="46"/>
    </row>
    <row r="1157" spans="1:16">
      <c r="A1157" s="37" t="s">
        <v>3733</v>
      </c>
      <c r="B1157" s="37" t="s">
        <v>2618</v>
      </c>
      <c r="C1157" s="37" t="s">
        <v>307</v>
      </c>
      <c r="D1157" s="37" t="s">
        <v>312</v>
      </c>
      <c r="E1157" s="37" t="s">
        <v>157</v>
      </c>
      <c r="F1157" s="37" t="s">
        <v>425</v>
      </c>
      <c r="G1157" s="37" t="s">
        <v>51</v>
      </c>
      <c r="H1157" s="37" t="s">
        <v>93</v>
      </c>
      <c r="I1157" s="37" t="s">
        <v>893</v>
      </c>
      <c r="J1157" s="37" t="s">
        <v>2604</v>
      </c>
      <c r="K1157" s="37">
        <v>6</v>
      </c>
      <c r="L1157" s="37" t="s">
        <v>3734</v>
      </c>
      <c r="M1157" s="37" t="s">
        <v>143</v>
      </c>
      <c r="N1157" s="37">
        <v>4</v>
      </c>
      <c r="O1157" s="37" t="s">
        <v>286</v>
      </c>
      <c r="P1157" s="37"/>
    </row>
    <row r="1158" spans="1:16">
      <c r="A1158" s="46" t="s">
        <v>3735</v>
      </c>
      <c r="B1158" s="46" t="s">
        <v>2169</v>
      </c>
      <c r="C1158" s="46" t="s">
        <v>174</v>
      </c>
      <c r="D1158" s="46" t="s">
        <v>204</v>
      </c>
      <c r="E1158" s="46" t="s">
        <v>224</v>
      </c>
      <c r="F1158" s="46" t="s">
        <v>277</v>
      </c>
      <c r="G1158" s="46" t="s">
        <v>101</v>
      </c>
      <c r="H1158" s="46" t="s">
        <v>206</v>
      </c>
      <c r="I1158" s="46" t="s">
        <v>3736</v>
      </c>
      <c r="J1158" s="46" t="s">
        <v>3472</v>
      </c>
      <c r="K1158" s="46">
        <v>2</v>
      </c>
      <c r="L1158" s="46" t="s">
        <v>627</v>
      </c>
      <c r="M1158" s="46" t="s">
        <v>105</v>
      </c>
      <c r="N1158" s="46">
        <v>5</v>
      </c>
      <c r="O1158" s="46" t="s">
        <v>79</v>
      </c>
      <c r="P1158" s="46"/>
    </row>
    <row r="1159" spans="1:16">
      <c r="A1159" s="37" t="s">
        <v>3737</v>
      </c>
      <c r="B1159" s="37" t="s">
        <v>615</v>
      </c>
      <c r="C1159" s="37" t="s">
        <v>88</v>
      </c>
      <c r="D1159" s="37" t="s">
        <v>270</v>
      </c>
      <c r="E1159" s="37" t="s">
        <v>345</v>
      </c>
      <c r="F1159" s="37" t="s">
        <v>385</v>
      </c>
      <c r="G1159" s="37" t="s">
        <v>334</v>
      </c>
      <c r="H1159" s="37" t="s">
        <v>113</v>
      </c>
      <c r="I1159" s="37" t="s">
        <v>3738</v>
      </c>
      <c r="J1159" s="37" t="s">
        <v>3739</v>
      </c>
      <c r="K1159" s="37">
        <v>6</v>
      </c>
      <c r="L1159" s="37" t="s">
        <v>1501</v>
      </c>
      <c r="M1159" s="37" t="s">
        <v>172</v>
      </c>
      <c r="N1159" s="37">
        <v>3</v>
      </c>
      <c r="O1159" s="37" t="s">
        <v>79</v>
      </c>
      <c r="P1159" s="37"/>
    </row>
    <row r="1160" spans="1:16">
      <c r="A1160" s="46" t="s">
        <v>3740</v>
      </c>
      <c r="B1160" s="46" t="s">
        <v>615</v>
      </c>
      <c r="C1160" s="46" t="s">
        <v>91</v>
      </c>
      <c r="D1160" s="46" t="s">
        <v>919</v>
      </c>
      <c r="E1160" s="46" t="s">
        <v>185</v>
      </c>
      <c r="F1160" s="46" t="s">
        <v>167</v>
      </c>
      <c r="G1160" s="46" t="s">
        <v>87</v>
      </c>
      <c r="H1160" s="46" t="s">
        <v>113</v>
      </c>
      <c r="I1160" s="46" t="s">
        <v>691</v>
      </c>
      <c r="J1160" s="46" t="s">
        <v>3741</v>
      </c>
      <c r="K1160" s="46">
        <v>6</v>
      </c>
      <c r="L1160" s="46" t="s">
        <v>1501</v>
      </c>
      <c r="M1160" s="46" t="s">
        <v>200</v>
      </c>
      <c r="N1160" s="46">
        <v>4</v>
      </c>
      <c r="O1160" s="46" t="s">
        <v>131</v>
      </c>
      <c r="P1160" s="46"/>
    </row>
    <row r="1161" spans="1:16">
      <c r="A1161" s="37" t="s">
        <v>3742</v>
      </c>
      <c r="B1161" s="37" t="s">
        <v>602</v>
      </c>
      <c r="C1161" s="37" t="s">
        <v>212</v>
      </c>
      <c r="D1161" s="37" t="s">
        <v>194</v>
      </c>
      <c r="E1161" s="37" t="s">
        <v>244</v>
      </c>
      <c r="F1161" s="37" t="s">
        <v>430</v>
      </c>
      <c r="G1161" s="37" t="s">
        <v>197</v>
      </c>
      <c r="H1161" s="37" t="s">
        <v>93</v>
      </c>
      <c r="I1161" s="37" t="s">
        <v>1993</v>
      </c>
      <c r="J1161" s="37" t="s">
        <v>988</v>
      </c>
      <c r="K1161" s="37">
        <v>4</v>
      </c>
      <c r="L1161" s="37" t="s">
        <v>947</v>
      </c>
      <c r="M1161" s="37" t="s">
        <v>143</v>
      </c>
      <c r="N1161" s="37">
        <v>2</v>
      </c>
      <c r="O1161" s="37" t="s">
        <v>79</v>
      </c>
      <c r="P1161" s="37"/>
    </row>
    <row r="1162" spans="1:16">
      <c r="A1162" s="46" t="s">
        <v>3743</v>
      </c>
      <c r="B1162" s="46" t="s">
        <v>877</v>
      </c>
      <c r="C1162" s="46" t="s">
        <v>243</v>
      </c>
      <c r="D1162" s="46" t="s">
        <v>919</v>
      </c>
      <c r="E1162" s="46" t="s">
        <v>185</v>
      </c>
      <c r="F1162" s="46" t="s">
        <v>368</v>
      </c>
      <c r="G1162" s="46" t="s">
        <v>418</v>
      </c>
      <c r="H1162" s="46" t="s">
        <v>54</v>
      </c>
      <c r="I1162" s="46" t="s">
        <v>3744</v>
      </c>
      <c r="J1162" s="46" t="s">
        <v>2231</v>
      </c>
      <c r="K1162" s="46">
        <v>4</v>
      </c>
      <c r="L1162" s="46" t="s">
        <v>2305</v>
      </c>
      <c r="M1162" s="46" t="s">
        <v>163</v>
      </c>
      <c r="N1162" s="46">
        <v>4</v>
      </c>
      <c r="O1162" s="46" t="s">
        <v>79</v>
      </c>
      <c r="P1162" s="46"/>
    </row>
    <row r="1163" spans="1:16">
      <c r="A1163" s="37" t="s">
        <v>3745</v>
      </c>
      <c r="B1163" s="37" t="s">
        <v>242</v>
      </c>
      <c r="C1163" s="37" t="s">
        <v>282</v>
      </c>
      <c r="D1163" s="37" t="s">
        <v>194</v>
      </c>
      <c r="E1163" s="37" t="s">
        <v>147</v>
      </c>
      <c r="F1163" s="37" t="s">
        <v>1794</v>
      </c>
      <c r="G1163" s="37" t="s">
        <v>159</v>
      </c>
      <c r="H1163" s="37" t="s">
        <v>90</v>
      </c>
      <c r="I1163" s="37" t="s">
        <v>3746</v>
      </c>
      <c r="J1163" s="37" t="s">
        <v>3747</v>
      </c>
      <c r="K1163" s="37">
        <v>8</v>
      </c>
      <c r="L1163" s="37" t="s">
        <v>306</v>
      </c>
      <c r="M1163" s="37" t="s">
        <v>163</v>
      </c>
      <c r="N1163" s="37">
        <v>4</v>
      </c>
      <c r="O1163" s="37" t="s">
        <v>191</v>
      </c>
      <c r="P1163" s="37"/>
    </row>
    <row r="1164" spans="1:16">
      <c r="A1164" s="46" t="s">
        <v>3748</v>
      </c>
      <c r="B1164" s="46" t="s">
        <v>2046</v>
      </c>
      <c r="C1164" s="46" t="s">
        <v>566</v>
      </c>
      <c r="D1164" s="46" t="s">
        <v>367</v>
      </c>
      <c r="E1164" s="46" t="s">
        <v>185</v>
      </c>
      <c r="F1164" s="46" t="s">
        <v>271</v>
      </c>
      <c r="G1164" s="46" t="s">
        <v>159</v>
      </c>
      <c r="H1164" s="46" t="s">
        <v>54</v>
      </c>
      <c r="I1164" s="46" t="s">
        <v>778</v>
      </c>
      <c r="J1164" s="46" t="s">
        <v>432</v>
      </c>
      <c r="K1164" s="46">
        <v>4</v>
      </c>
      <c r="L1164" s="46" t="s">
        <v>383</v>
      </c>
      <c r="M1164" s="46" t="s">
        <v>105</v>
      </c>
      <c r="N1164" s="46">
        <v>5</v>
      </c>
      <c r="O1164" s="46" t="s">
        <v>118</v>
      </c>
      <c r="P1164" s="46"/>
    </row>
    <row r="1165" spans="1:16">
      <c r="A1165" s="37" t="s">
        <v>3749</v>
      </c>
      <c r="B1165" s="37" t="s">
        <v>1681</v>
      </c>
      <c r="C1165" s="37" t="s">
        <v>407</v>
      </c>
      <c r="D1165" s="37" t="s">
        <v>175</v>
      </c>
      <c r="E1165" s="37" t="s">
        <v>42</v>
      </c>
      <c r="F1165" s="37" t="s">
        <v>283</v>
      </c>
      <c r="G1165" s="37" t="s">
        <v>302</v>
      </c>
      <c r="H1165" s="37" t="s">
        <v>126</v>
      </c>
      <c r="I1165" s="37" t="s">
        <v>539</v>
      </c>
      <c r="J1165" s="37" t="s">
        <v>3750</v>
      </c>
      <c r="K1165" s="37">
        <v>4</v>
      </c>
      <c r="L1165" s="37" t="s">
        <v>1401</v>
      </c>
      <c r="M1165" s="37" t="s">
        <v>172</v>
      </c>
      <c r="N1165" s="37">
        <v>3</v>
      </c>
      <c r="O1165" s="37" t="s">
        <v>118</v>
      </c>
      <c r="P1165" s="37"/>
    </row>
    <row r="1166" spans="1:16">
      <c r="A1166" s="46" t="s">
        <v>3751</v>
      </c>
      <c r="B1166" s="46" t="s">
        <v>1961</v>
      </c>
      <c r="C1166" s="46" t="s">
        <v>424</v>
      </c>
      <c r="D1166" s="46" t="s">
        <v>184</v>
      </c>
      <c r="E1166" s="46" t="s">
        <v>195</v>
      </c>
      <c r="F1166" s="46" t="s">
        <v>283</v>
      </c>
      <c r="G1166" s="46" t="s">
        <v>264</v>
      </c>
      <c r="H1166" s="46" t="s">
        <v>88</v>
      </c>
      <c r="I1166" s="46" t="s">
        <v>3118</v>
      </c>
      <c r="J1166" s="46" t="s">
        <v>2457</v>
      </c>
      <c r="K1166" s="46">
        <v>8</v>
      </c>
      <c r="L1166" s="46" t="s">
        <v>2911</v>
      </c>
      <c r="M1166" s="46" t="s">
        <v>105</v>
      </c>
      <c r="N1166" s="46">
        <v>5</v>
      </c>
      <c r="O1166" s="46" t="s">
        <v>131</v>
      </c>
      <c r="P1166" s="46"/>
    </row>
    <row r="1167" spans="1:16">
      <c r="A1167" s="37" t="s">
        <v>3752</v>
      </c>
      <c r="B1167" s="37" t="s">
        <v>3753</v>
      </c>
      <c r="C1167" s="37" t="s">
        <v>90</v>
      </c>
      <c r="D1167" s="37" t="s">
        <v>184</v>
      </c>
      <c r="E1167" s="37" t="s">
        <v>195</v>
      </c>
      <c r="F1167" s="37" t="s">
        <v>313</v>
      </c>
      <c r="G1167" s="37" t="s">
        <v>264</v>
      </c>
      <c r="H1167" s="37" t="s">
        <v>278</v>
      </c>
      <c r="I1167" s="37" t="s">
        <v>2280</v>
      </c>
      <c r="J1167" s="37" t="s">
        <v>2649</v>
      </c>
      <c r="K1167" s="37">
        <v>8</v>
      </c>
      <c r="L1167" s="37" t="s">
        <v>2385</v>
      </c>
      <c r="M1167" s="37" t="s">
        <v>117</v>
      </c>
      <c r="N1167" s="37">
        <v>3</v>
      </c>
      <c r="O1167" s="37" t="s">
        <v>152</v>
      </c>
      <c r="P1167" s="37"/>
    </row>
    <row r="1168" spans="1:16">
      <c r="A1168" s="46" t="s">
        <v>3754</v>
      </c>
      <c r="B1168" s="46" t="s">
        <v>3659</v>
      </c>
      <c r="C1168" s="46" t="s">
        <v>366</v>
      </c>
      <c r="D1168" s="46" t="s">
        <v>204</v>
      </c>
      <c r="E1168" s="46" t="s">
        <v>147</v>
      </c>
      <c r="F1168" s="46" t="s">
        <v>214</v>
      </c>
      <c r="G1168" s="46" t="s">
        <v>139</v>
      </c>
      <c r="H1168" s="46" t="s">
        <v>215</v>
      </c>
      <c r="I1168" s="46" t="s">
        <v>3624</v>
      </c>
      <c r="J1168" s="46" t="s">
        <v>3755</v>
      </c>
      <c r="K1168" s="46">
        <v>8</v>
      </c>
      <c r="L1168" s="46" t="s">
        <v>3756</v>
      </c>
      <c r="M1168" s="46" t="s">
        <v>72</v>
      </c>
      <c r="N1168" s="46">
        <v>4</v>
      </c>
      <c r="O1168" s="46" t="s">
        <v>118</v>
      </c>
      <c r="P1168" s="46"/>
    </row>
    <row r="1169" spans="1:16">
      <c r="A1169" s="37" t="s">
        <v>3757</v>
      </c>
      <c r="B1169" s="37" t="s">
        <v>501</v>
      </c>
      <c r="C1169" s="37" t="s">
        <v>222</v>
      </c>
      <c r="D1169" s="37" t="s">
        <v>184</v>
      </c>
      <c r="E1169" s="37" t="s">
        <v>42</v>
      </c>
      <c r="F1169" s="37" t="s">
        <v>430</v>
      </c>
      <c r="G1169" s="37" t="s">
        <v>197</v>
      </c>
      <c r="H1169" s="37" t="s">
        <v>93</v>
      </c>
      <c r="I1169" s="37" t="s">
        <v>1338</v>
      </c>
      <c r="J1169" s="37" t="s">
        <v>1371</v>
      </c>
      <c r="K1169" s="37">
        <v>6</v>
      </c>
      <c r="L1169" s="37" t="s">
        <v>390</v>
      </c>
      <c r="M1169" s="37" t="s">
        <v>172</v>
      </c>
      <c r="N1169" s="37">
        <v>3</v>
      </c>
      <c r="O1169" s="37" t="s">
        <v>79</v>
      </c>
      <c r="P1169" s="37"/>
    </row>
    <row r="1170" spans="1:16">
      <c r="A1170" s="46" t="s">
        <v>3758</v>
      </c>
      <c r="B1170" s="46" t="s">
        <v>3759</v>
      </c>
      <c r="C1170" s="46" t="s">
        <v>366</v>
      </c>
      <c r="D1170" s="46" t="s">
        <v>312</v>
      </c>
      <c r="E1170" s="46" t="s">
        <v>123</v>
      </c>
      <c r="F1170" s="46" t="s">
        <v>425</v>
      </c>
      <c r="G1170" s="46" t="s">
        <v>87</v>
      </c>
      <c r="H1170" s="46" t="s">
        <v>113</v>
      </c>
      <c r="I1170" s="46" t="s">
        <v>3760</v>
      </c>
      <c r="J1170" s="46" t="s">
        <v>3761</v>
      </c>
      <c r="K1170" s="46">
        <v>4</v>
      </c>
      <c r="L1170" s="46" t="s">
        <v>240</v>
      </c>
      <c r="M1170" s="46" t="s">
        <v>72</v>
      </c>
      <c r="N1170" s="46">
        <v>3</v>
      </c>
      <c r="O1170" s="46" t="s">
        <v>131</v>
      </c>
      <c r="P1170" s="46"/>
    </row>
    <row r="1171" spans="1:16">
      <c r="A1171" s="37" t="s">
        <v>3762</v>
      </c>
      <c r="B1171" s="37" t="s">
        <v>3763</v>
      </c>
      <c r="C1171" s="37" t="s">
        <v>90</v>
      </c>
      <c r="D1171" s="37" t="s">
        <v>98</v>
      </c>
      <c r="E1171" s="37" t="s">
        <v>137</v>
      </c>
      <c r="F1171" s="37" t="s">
        <v>231</v>
      </c>
      <c r="G1171" s="37" t="s">
        <v>197</v>
      </c>
      <c r="H1171" s="37" t="s">
        <v>93</v>
      </c>
      <c r="I1171" s="37" t="s">
        <v>3764</v>
      </c>
      <c r="J1171" s="37" t="s">
        <v>3765</v>
      </c>
      <c r="K1171" s="37">
        <v>6</v>
      </c>
      <c r="L1171" s="37" t="s">
        <v>316</v>
      </c>
      <c r="M1171" s="37" t="s">
        <v>105</v>
      </c>
      <c r="N1171" s="37">
        <v>4</v>
      </c>
      <c r="O1171" s="37" t="s">
        <v>181</v>
      </c>
      <c r="P1171" s="37"/>
    </row>
    <row r="1172" spans="1:16">
      <c r="A1172" s="46" t="s">
        <v>3766</v>
      </c>
      <c r="B1172" s="46" t="s">
        <v>1823</v>
      </c>
      <c r="C1172" s="46" t="s">
        <v>366</v>
      </c>
      <c r="D1172" s="46" t="s">
        <v>230</v>
      </c>
      <c r="E1172" s="46" t="s">
        <v>224</v>
      </c>
      <c r="F1172" s="46" t="s">
        <v>148</v>
      </c>
      <c r="G1172" s="46" t="s">
        <v>470</v>
      </c>
      <c r="H1172" s="46" t="s">
        <v>91</v>
      </c>
      <c r="I1172" s="46" t="s">
        <v>607</v>
      </c>
      <c r="J1172" s="46" t="s">
        <v>3767</v>
      </c>
      <c r="K1172" s="46">
        <v>2</v>
      </c>
      <c r="L1172" s="46" t="s">
        <v>1224</v>
      </c>
      <c r="M1172" s="46" t="s">
        <v>200</v>
      </c>
      <c r="N1172" s="46">
        <v>3</v>
      </c>
      <c r="O1172" s="46" t="s">
        <v>286</v>
      </c>
      <c r="P1172" s="46"/>
    </row>
    <row r="1173" spans="1:16">
      <c r="A1173" s="37" t="s">
        <v>3768</v>
      </c>
      <c r="B1173" s="37" t="s">
        <v>799</v>
      </c>
      <c r="C1173" s="37" t="s">
        <v>135</v>
      </c>
      <c r="D1173" s="37" t="s">
        <v>352</v>
      </c>
      <c r="E1173" s="37" t="s">
        <v>137</v>
      </c>
      <c r="F1173" s="37" t="s">
        <v>326</v>
      </c>
      <c r="G1173" s="37" t="s">
        <v>346</v>
      </c>
      <c r="H1173" s="37" t="s">
        <v>354</v>
      </c>
      <c r="I1173" s="37" t="s">
        <v>2166</v>
      </c>
      <c r="J1173" s="37" t="s">
        <v>701</v>
      </c>
      <c r="K1173" s="37">
        <v>8</v>
      </c>
      <c r="L1173" s="37" t="s">
        <v>1072</v>
      </c>
      <c r="M1173" s="37" t="s">
        <v>817</v>
      </c>
      <c r="N1173" s="37"/>
      <c r="O1173" s="37" t="s">
        <v>152</v>
      </c>
      <c r="P1173" s="37" t="s">
        <v>818</v>
      </c>
    </row>
    <row r="1174" spans="1:16">
      <c r="A1174" s="37" t="s">
        <v>3769</v>
      </c>
      <c r="B1174" s="37" t="s">
        <v>2517</v>
      </c>
      <c r="C1174" s="37" t="s">
        <v>93</v>
      </c>
      <c r="D1174" s="37" t="s">
        <v>270</v>
      </c>
      <c r="E1174" s="37" t="s">
        <v>195</v>
      </c>
      <c r="F1174" s="37" t="s">
        <v>271</v>
      </c>
      <c r="G1174" s="37" t="s">
        <v>264</v>
      </c>
      <c r="H1174" s="37" t="s">
        <v>278</v>
      </c>
      <c r="I1174" s="37" t="s">
        <v>3770</v>
      </c>
      <c r="J1174" s="37" t="s">
        <v>3771</v>
      </c>
      <c r="K1174" s="37">
        <v>6</v>
      </c>
      <c r="L1174" s="37" t="s">
        <v>2933</v>
      </c>
      <c r="M1174" s="37" t="s">
        <v>163</v>
      </c>
      <c r="N1174" s="37">
        <v>5</v>
      </c>
      <c r="O1174" s="37" t="s">
        <v>131</v>
      </c>
      <c r="P1174" s="37"/>
    </row>
    <row r="1175" spans="1:16">
      <c r="A1175" s="46" t="s">
        <v>3772</v>
      </c>
      <c r="B1175" s="46" t="s">
        <v>1635</v>
      </c>
      <c r="C1175" s="46" t="s">
        <v>203</v>
      </c>
      <c r="D1175" s="46" t="s">
        <v>204</v>
      </c>
      <c r="E1175" s="46" t="s">
        <v>185</v>
      </c>
      <c r="F1175" s="46" t="s">
        <v>271</v>
      </c>
      <c r="G1175" s="46" t="s">
        <v>168</v>
      </c>
      <c r="H1175" s="46" t="s">
        <v>88</v>
      </c>
      <c r="I1175" s="46" t="s">
        <v>1844</v>
      </c>
      <c r="J1175" s="46" t="s">
        <v>578</v>
      </c>
      <c r="K1175" s="46">
        <v>4</v>
      </c>
      <c r="L1175" s="46" t="s">
        <v>571</v>
      </c>
      <c r="M1175" s="46" t="s">
        <v>163</v>
      </c>
      <c r="N1175" s="46">
        <v>5</v>
      </c>
      <c r="O1175" s="46" t="s">
        <v>106</v>
      </c>
      <c r="P1175" s="46"/>
    </row>
    <row r="1176" spans="1:16">
      <c r="A1176" s="37" t="s">
        <v>3773</v>
      </c>
      <c r="B1176" s="37" t="s">
        <v>877</v>
      </c>
      <c r="C1176" s="37" t="s">
        <v>424</v>
      </c>
      <c r="D1176" s="37" t="s">
        <v>230</v>
      </c>
      <c r="E1176" s="37" t="s">
        <v>147</v>
      </c>
      <c r="F1176" s="37" t="s">
        <v>313</v>
      </c>
      <c r="G1176" s="37" t="s">
        <v>334</v>
      </c>
      <c r="H1176" s="37" t="s">
        <v>32</v>
      </c>
      <c r="I1176" s="37" t="s">
        <v>3774</v>
      </c>
      <c r="J1176" s="37" t="s">
        <v>3775</v>
      </c>
      <c r="K1176" s="37">
        <v>8</v>
      </c>
      <c r="L1176" s="37" t="s">
        <v>2720</v>
      </c>
      <c r="M1176" s="37" t="s">
        <v>117</v>
      </c>
      <c r="N1176" s="37">
        <v>5</v>
      </c>
      <c r="O1176" s="37" t="s">
        <v>79</v>
      </c>
      <c r="P1176" s="37"/>
    </row>
    <row r="1177" spans="1:16">
      <c r="A1177" s="46" t="s">
        <v>3776</v>
      </c>
      <c r="B1177" s="46" t="s">
        <v>3753</v>
      </c>
      <c r="C1177" s="46" t="s">
        <v>212</v>
      </c>
      <c r="D1177" s="46" t="s">
        <v>175</v>
      </c>
      <c r="E1177" s="46" t="s">
        <v>345</v>
      </c>
      <c r="F1177" s="46" t="s">
        <v>612</v>
      </c>
      <c r="G1177" s="46" t="s">
        <v>168</v>
      </c>
      <c r="H1177" s="46" t="s">
        <v>206</v>
      </c>
      <c r="I1177" s="46" t="s">
        <v>3777</v>
      </c>
      <c r="J1177" s="46" t="s">
        <v>629</v>
      </c>
      <c r="K1177" s="46">
        <v>4</v>
      </c>
      <c r="L1177" s="46" t="s">
        <v>1814</v>
      </c>
      <c r="M1177" s="46" t="s">
        <v>117</v>
      </c>
      <c r="N1177" s="46">
        <v>3</v>
      </c>
      <c r="O1177" s="46" t="s">
        <v>131</v>
      </c>
      <c r="P1177" s="46"/>
    </row>
    <row r="1178" spans="1:16">
      <c r="A1178" s="37" t="s">
        <v>3778</v>
      </c>
      <c r="B1178" s="37" t="s">
        <v>1304</v>
      </c>
      <c r="C1178" s="37" t="s">
        <v>282</v>
      </c>
      <c r="D1178" s="37" t="s">
        <v>312</v>
      </c>
      <c r="E1178" s="37" t="s">
        <v>137</v>
      </c>
      <c r="F1178" s="37" t="s">
        <v>100</v>
      </c>
      <c r="G1178" s="37" t="s">
        <v>380</v>
      </c>
      <c r="H1178" s="37" t="s">
        <v>91</v>
      </c>
      <c r="I1178" s="37" t="s">
        <v>3779</v>
      </c>
      <c r="J1178" s="37" t="s">
        <v>1637</v>
      </c>
      <c r="K1178" s="37">
        <v>8</v>
      </c>
      <c r="L1178" s="37" t="s">
        <v>1050</v>
      </c>
      <c r="M1178" s="37" t="s">
        <v>72</v>
      </c>
      <c r="N1178" s="37">
        <v>4</v>
      </c>
      <c r="O1178" s="37" t="s">
        <v>181</v>
      </c>
      <c r="P1178" s="37"/>
    </row>
    <row r="1179" spans="1:16">
      <c r="A1179" s="46" t="s">
        <v>3780</v>
      </c>
      <c r="B1179" s="46" t="s">
        <v>299</v>
      </c>
      <c r="C1179" s="46" t="s">
        <v>633</v>
      </c>
      <c r="D1179" s="46" t="s">
        <v>919</v>
      </c>
      <c r="E1179" s="46" t="s">
        <v>440</v>
      </c>
      <c r="F1179" s="46" t="s">
        <v>138</v>
      </c>
      <c r="G1179" s="46" t="s">
        <v>197</v>
      </c>
      <c r="H1179" s="46" t="s">
        <v>54</v>
      </c>
      <c r="I1179" s="46" t="s">
        <v>583</v>
      </c>
      <c r="J1179" s="46" t="s">
        <v>3781</v>
      </c>
      <c r="K1179" s="46">
        <v>6</v>
      </c>
      <c r="L1179" s="46" t="s">
        <v>1755</v>
      </c>
      <c r="M1179" s="46" t="s">
        <v>219</v>
      </c>
      <c r="N1179" s="46">
        <v>5</v>
      </c>
      <c r="O1179" s="46" t="s">
        <v>79</v>
      </c>
      <c r="P1179" s="46"/>
    </row>
    <row r="1180" spans="1:16">
      <c r="A1180" s="37" t="s">
        <v>3782</v>
      </c>
      <c r="B1180" s="37" t="s">
        <v>579</v>
      </c>
      <c r="C1180" s="37" t="s">
        <v>97</v>
      </c>
      <c r="D1180" s="37" t="s">
        <v>37</v>
      </c>
      <c r="E1180" s="37" t="s">
        <v>185</v>
      </c>
      <c r="F1180" s="37" t="s">
        <v>353</v>
      </c>
      <c r="G1180" s="37" t="s">
        <v>168</v>
      </c>
      <c r="H1180" s="37" t="s">
        <v>88</v>
      </c>
      <c r="I1180" s="37" t="s">
        <v>1644</v>
      </c>
      <c r="J1180" s="37" t="s">
        <v>3783</v>
      </c>
      <c r="K1180" s="37">
        <v>6</v>
      </c>
      <c r="L1180" s="37" t="s">
        <v>967</v>
      </c>
      <c r="M1180" s="37" t="s">
        <v>172</v>
      </c>
      <c r="N1180" s="37">
        <v>2</v>
      </c>
      <c r="O1180" s="37" t="s">
        <v>191</v>
      </c>
      <c r="P1180" s="37"/>
    </row>
    <row r="1181" spans="1:16">
      <c r="A1181" s="46" t="s">
        <v>3784</v>
      </c>
      <c r="B1181" s="46" t="s">
        <v>936</v>
      </c>
      <c r="C1181" s="46" t="s">
        <v>166</v>
      </c>
      <c r="D1181" s="46" t="s">
        <v>37</v>
      </c>
      <c r="E1181" s="46" t="s">
        <v>123</v>
      </c>
      <c r="F1181" s="46" t="s">
        <v>237</v>
      </c>
      <c r="G1181" s="46" t="s">
        <v>401</v>
      </c>
      <c r="H1181" s="46" t="s">
        <v>93</v>
      </c>
      <c r="I1181" s="46" t="s">
        <v>3785</v>
      </c>
      <c r="J1181" s="46" t="s">
        <v>3786</v>
      </c>
      <c r="K1181" s="46">
        <v>4</v>
      </c>
      <c r="L1181" s="46" t="s">
        <v>772</v>
      </c>
      <c r="M1181" s="46" t="s">
        <v>172</v>
      </c>
      <c r="N1181" s="46">
        <v>4</v>
      </c>
      <c r="O1181" s="46" t="s">
        <v>106</v>
      </c>
      <c r="P1181" s="46"/>
    </row>
    <row r="1182" spans="1:16">
      <c r="A1182" s="37" t="s">
        <v>3787</v>
      </c>
      <c r="B1182" s="37" t="s">
        <v>1211</v>
      </c>
      <c r="C1182" s="37" t="s">
        <v>97</v>
      </c>
      <c r="D1182" s="37" t="s">
        <v>37</v>
      </c>
      <c r="E1182" s="37" t="s">
        <v>137</v>
      </c>
      <c r="F1182" s="37" t="s">
        <v>319</v>
      </c>
      <c r="G1182" s="37" t="s">
        <v>51</v>
      </c>
      <c r="H1182" s="37" t="s">
        <v>327</v>
      </c>
      <c r="I1182" s="37" t="s">
        <v>1382</v>
      </c>
      <c r="J1182" s="37" t="s">
        <v>3788</v>
      </c>
      <c r="K1182" s="37">
        <v>6</v>
      </c>
      <c r="L1182" s="37" t="s">
        <v>851</v>
      </c>
      <c r="M1182" s="37" t="s">
        <v>219</v>
      </c>
      <c r="N1182" s="37">
        <v>1</v>
      </c>
      <c r="O1182" s="37" t="s">
        <v>106</v>
      </c>
      <c r="P1182" s="37"/>
    </row>
    <row r="1183" spans="1:16">
      <c r="A1183" s="46" t="s">
        <v>3789</v>
      </c>
      <c r="B1183" s="46" t="s">
        <v>2494</v>
      </c>
      <c r="C1183" s="46" t="s">
        <v>300</v>
      </c>
      <c r="D1183" s="46" t="s">
        <v>156</v>
      </c>
      <c r="E1183" s="46" t="s">
        <v>99</v>
      </c>
      <c r="F1183" s="46" t="s">
        <v>385</v>
      </c>
      <c r="G1183" s="46" t="s">
        <v>87</v>
      </c>
      <c r="H1183" s="46" t="s">
        <v>32</v>
      </c>
      <c r="I1183" s="46" t="s">
        <v>3790</v>
      </c>
      <c r="J1183" s="46" t="s">
        <v>3791</v>
      </c>
      <c r="K1183" s="46">
        <v>4</v>
      </c>
      <c r="L1183" s="46" t="s">
        <v>339</v>
      </c>
      <c r="M1183" s="46" t="s">
        <v>1513</v>
      </c>
      <c r="N1183" s="46"/>
      <c r="O1183" s="46" t="s">
        <v>181</v>
      </c>
      <c r="P1183" s="46" t="s">
        <v>759</v>
      </c>
    </row>
    <row r="1184" spans="1:16">
      <c r="A1184" s="37" t="s">
        <v>3792</v>
      </c>
      <c r="B1184" s="37" t="s">
        <v>1991</v>
      </c>
      <c r="C1184" s="37" t="s">
        <v>93</v>
      </c>
      <c r="D1184" s="37" t="s">
        <v>213</v>
      </c>
      <c r="E1184" s="37" t="s">
        <v>42</v>
      </c>
      <c r="F1184" s="37" t="s">
        <v>263</v>
      </c>
      <c r="G1184" s="37" t="s">
        <v>92</v>
      </c>
      <c r="H1184" s="37" t="s">
        <v>91</v>
      </c>
      <c r="I1184" s="37" t="s">
        <v>2327</v>
      </c>
      <c r="J1184" s="37" t="s">
        <v>266</v>
      </c>
      <c r="K1184" s="37">
        <v>6</v>
      </c>
      <c r="L1184" s="37" t="s">
        <v>1456</v>
      </c>
      <c r="M1184" s="37" t="s">
        <v>72</v>
      </c>
      <c r="N1184" s="37">
        <v>2</v>
      </c>
      <c r="O1184" s="37" t="s">
        <v>131</v>
      </c>
      <c r="P1184" s="37"/>
    </row>
    <row r="1185" spans="1:16">
      <c r="A1185" s="46" t="s">
        <v>3793</v>
      </c>
      <c r="B1185" s="46" t="s">
        <v>1626</v>
      </c>
      <c r="C1185" s="46" t="s">
        <v>109</v>
      </c>
      <c r="D1185" s="46" t="s">
        <v>37</v>
      </c>
      <c r="E1185" s="46" t="s">
        <v>176</v>
      </c>
      <c r="F1185" s="46" t="s">
        <v>425</v>
      </c>
      <c r="G1185" s="46" t="s">
        <v>418</v>
      </c>
      <c r="H1185" s="46" t="s">
        <v>93</v>
      </c>
      <c r="I1185" s="46" t="s">
        <v>3794</v>
      </c>
      <c r="J1185" s="46" t="s">
        <v>3391</v>
      </c>
      <c r="K1185" s="46">
        <v>8</v>
      </c>
      <c r="L1185" s="46" t="s">
        <v>585</v>
      </c>
      <c r="M1185" s="46" t="s">
        <v>117</v>
      </c>
      <c r="N1185" s="46">
        <v>4</v>
      </c>
      <c r="O1185" s="46" t="s">
        <v>79</v>
      </c>
      <c r="P1185" s="46"/>
    </row>
    <row r="1186" spans="1:16">
      <c r="A1186" s="37" t="s">
        <v>3795</v>
      </c>
      <c r="B1186" s="37" t="s">
        <v>2498</v>
      </c>
      <c r="C1186" s="37" t="s">
        <v>121</v>
      </c>
      <c r="D1186" s="37" t="s">
        <v>223</v>
      </c>
      <c r="E1186" s="37" t="s">
        <v>176</v>
      </c>
      <c r="F1186" s="37" t="s">
        <v>167</v>
      </c>
      <c r="G1186" s="37" t="s">
        <v>257</v>
      </c>
      <c r="H1186" s="37" t="s">
        <v>187</v>
      </c>
      <c r="I1186" s="37" t="s">
        <v>999</v>
      </c>
      <c r="J1186" s="37" t="s">
        <v>2171</v>
      </c>
      <c r="K1186" s="37">
        <v>8</v>
      </c>
      <c r="L1186" s="37" t="s">
        <v>1755</v>
      </c>
      <c r="M1186" s="37" t="s">
        <v>163</v>
      </c>
      <c r="N1186" s="37">
        <v>5</v>
      </c>
      <c r="O1186" s="37" t="s">
        <v>152</v>
      </c>
      <c r="P1186" s="37"/>
    </row>
    <row r="1187" spans="1:16">
      <c r="A1187" s="46" t="s">
        <v>3796</v>
      </c>
      <c r="B1187" s="46" t="s">
        <v>3797</v>
      </c>
      <c r="C1187" s="46" t="s">
        <v>282</v>
      </c>
      <c r="D1187" s="46" t="s">
        <v>223</v>
      </c>
      <c r="E1187" s="46" t="s">
        <v>440</v>
      </c>
      <c r="F1187" s="46" t="s">
        <v>205</v>
      </c>
      <c r="G1187" s="46" t="s">
        <v>401</v>
      </c>
      <c r="H1187" s="46" t="s">
        <v>90</v>
      </c>
      <c r="I1187" s="46" t="s">
        <v>3798</v>
      </c>
      <c r="J1187" s="46" t="s">
        <v>3799</v>
      </c>
      <c r="K1187" s="46">
        <v>8</v>
      </c>
      <c r="L1187" s="46" t="s">
        <v>3354</v>
      </c>
      <c r="M1187" s="46" t="s">
        <v>200</v>
      </c>
      <c r="N1187" s="46">
        <v>5</v>
      </c>
      <c r="O1187" s="46" t="s">
        <v>79</v>
      </c>
      <c r="P1187" s="46"/>
    </row>
    <row r="1188" spans="1:16">
      <c r="A1188" s="37" t="s">
        <v>3800</v>
      </c>
      <c r="B1188" s="37" t="s">
        <v>1506</v>
      </c>
      <c r="C1188" s="37" t="s">
        <v>282</v>
      </c>
      <c r="D1188" s="37" t="s">
        <v>919</v>
      </c>
      <c r="E1188" s="37" t="s">
        <v>185</v>
      </c>
      <c r="F1188" s="37" t="s">
        <v>430</v>
      </c>
      <c r="G1188" s="37" t="s">
        <v>380</v>
      </c>
      <c r="H1188" s="37" t="s">
        <v>126</v>
      </c>
      <c r="I1188" s="37" t="s">
        <v>1472</v>
      </c>
      <c r="J1188" s="37" t="s">
        <v>3801</v>
      </c>
      <c r="K1188" s="37">
        <v>6</v>
      </c>
      <c r="L1188" s="37" t="s">
        <v>1450</v>
      </c>
      <c r="M1188" s="37" t="s">
        <v>219</v>
      </c>
      <c r="N1188" s="37">
        <v>5</v>
      </c>
      <c r="O1188" s="37" t="s">
        <v>79</v>
      </c>
      <c r="P1188" s="37"/>
    </row>
    <row r="1189" spans="1:16">
      <c r="A1189" s="46" t="s">
        <v>3802</v>
      </c>
      <c r="B1189" s="46" t="s">
        <v>1521</v>
      </c>
      <c r="C1189" s="46" t="s">
        <v>155</v>
      </c>
      <c r="D1189" s="46" t="s">
        <v>122</v>
      </c>
      <c r="E1189" s="46" t="s">
        <v>110</v>
      </c>
      <c r="F1189" s="46" t="s">
        <v>47</v>
      </c>
      <c r="G1189" s="46" t="s">
        <v>101</v>
      </c>
      <c r="H1189" s="46" t="s">
        <v>187</v>
      </c>
      <c r="I1189" s="46" t="s">
        <v>1780</v>
      </c>
      <c r="J1189" s="46" t="s">
        <v>935</v>
      </c>
      <c r="K1189" s="46">
        <v>6</v>
      </c>
      <c r="L1189" s="46" t="s">
        <v>799</v>
      </c>
      <c r="M1189" s="46" t="s">
        <v>143</v>
      </c>
      <c r="N1189" s="46">
        <v>4</v>
      </c>
      <c r="O1189" s="46" t="s">
        <v>286</v>
      </c>
      <c r="P1189" s="46"/>
    </row>
    <row r="1190" spans="1:16">
      <c r="A1190" s="37" t="s">
        <v>3803</v>
      </c>
      <c r="B1190" s="37" t="s">
        <v>2152</v>
      </c>
      <c r="C1190" s="37" t="s">
        <v>88</v>
      </c>
      <c r="D1190" s="37" t="s">
        <v>333</v>
      </c>
      <c r="E1190" s="37" t="s">
        <v>176</v>
      </c>
      <c r="F1190" s="37" t="s">
        <v>100</v>
      </c>
      <c r="G1190" s="37" t="s">
        <v>257</v>
      </c>
      <c r="H1190" s="37" t="s">
        <v>187</v>
      </c>
      <c r="I1190" s="37"/>
      <c r="J1190" s="37" t="s">
        <v>3804</v>
      </c>
      <c r="K1190" s="37">
        <v>6</v>
      </c>
      <c r="L1190" s="37" t="s">
        <v>1248</v>
      </c>
      <c r="M1190" s="37" t="s">
        <v>117</v>
      </c>
      <c r="N1190" s="37">
        <v>4</v>
      </c>
      <c r="O1190" s="37" t="s">
        <v>191</v>
      </c>
      <c r="P1190" s="37"/>
    </row>
    <row r="1191" spans="1:16">
      <c r="A1191" s="46" t="s">
        <v>3805</v>
      </c>
      <c r="B1191" s="46" t="s">
        <v>1685</v>
      </c>
      <c r="C1191" s="46" t="s">
        <v>93</v>
      </c>
      <c r="D1191" s="46" t="s">
        <v>367</v>
      </c>
      <c r="E1191" s="46" t="s">
        <v>244</v>
      </c>
      <c r="F1191" s="46" t="s">
        <v>167</v>
      </c>
      <c r="G1191" s="46" t="s">
        <v>197</v>
      </c>
      <c r="H1191" s="46" t="s">
        <v>327</v>
      </c>
      <c r="I1191" s="46" t="s">
        <v>2742</v>
      </c>
      <c r="J1191" s="46" t="s">
        <v>3806</v>
      </c>
      <c r="K1191" s="46">
        <v>4</v>
      </c>
      <c r="L1191" s="46" t="s">
        <v>1763</v>
      </c>
      <c r="M1191" s="46" t="s">
        <v>163</v>
      </c>
      <c r="N1191" s="46">
        <v>4</v>
      </c>
      <c r="O1191" s="46" t="s">
        <v>118</v>
      </c>
      <c r="P1191" s="46"/>
    </row>
    <row r="1192" spans="1:16">
      <c r="A1192" s="37" t="s">
        <v>3807</v>
      </c>
      <c r="B1192" s="37" t="s">
        <v>2246</v>
      </c>
      <c r="C1192" s="37" t="s">
        <v>243</v>
      </c>
      <c r="D1192" s="37" t="s">
        <v>194</v>
      </c>
      <c r="E1192" s="37" t="s">
        <v>244</v>
      </c>
      <c r="F1192" s="37" t="s">
        <v>458</v>
      </c>
      <c r="G1192" s="37" t="s">
        <v>125</v>
      </c>
      <c r="H1192" s="37" t="s">
        <v>91</v>
      </c>
      <c r="I1192" s="37" t="s">
        <v>1257</v>
      </c>
      <c r="J1192" s="37" t="s">
        <v>3808</v>
      </c>
      <c r="K1192" s="37">
        <v>4</v>
      </c>
      <c r="L1192" s="37" t="s">
        <v>1349</v>
      </c>
      <c r="M1192" s="37" t="s">
        <v>72</v>
      </c>
      <c r="N1192" s="37">
        <v>1</v>
      </c>
      <c r="O1192" s="37" t="s">
        <v>286</v>
      </c>
      <c r="P1192" s="37"/>
    </row>
    <row r="1193" spans="1:16">
      <c r="A1193" s="46" t="s">
        <v>3809</v>
      </c>
      <c r="B1193" s="46" t="s">
        <v>497</v>
      </c>
      <c r="C1193" s="46" t="s">
        <v>340</v>
      </c>
      <c r="D1193" s="46" t="s">
        <v>194</v>
      </c>
      <c r="E1193" s="46" t="s">
        <v>147</v>
      </c>
      <c r="F1193" s="46" t="s">
        <v>1145</v>
      </c>
      <c r="G1193" s="46" t="s">
        <v>168</v>
      </c>
      <c r="H1193" s="46" t="s">
        <v>88</v>
      </c>
      <c r="I1193" s="46" t="s">
        <v>1452</v>
      </c>
      <c r="J1193" s="46" t="s">
        <v>2318</v>
      </c>
      <c r="K1193" s="46">
        <v>8</v>
      </c>
      <c r="L1193" s="46" t="s">
        <v>3102</v>
      </c>
      <c r="M1193" s="46" t="s">
        <v>105</v>
      </c>
      <c r="N1193" s="46">
        <v>4</v>
      </c>
      <c r="O1193" s="46" t="s">
        <v>131</v>
      </c>
      <c r="P1193" s="46"/>
    </row>
    <row r="1194" spans="1:16">
      <c r="A1194" s="37" t="s">
        <v>3810</v>
      </c>
      <c r="B1194" s="37" t="s">
        <v>457</v>
      </c>
      <c r="C1194" s="37" t="s">
        <v>166</v>
      </c>
      <c r="D1194" s="37" t="s">
        <v>367</v>
      </c>
      <c r="E1194" s="37" t="s">
        <v>176</v>
      </c>
      <c r="F1194" s="37" t="s">
        <v>353</v>
      </c>
      <c r="G1194" s="37" t="s">
        <v>139</v>
      </c>
      <c r="H1194" s="37" t="s">
        <v>32</v>
      </c>
      <c r="I1194" s="37" t="s">
        <v>1212</v>
      </c>
      <c r="J1194" s="37" t="s">
        <v>3811</v>
      </c>
      <c r="K1194" s="37">
        <v>8</v>
      </c>
      <c r="L1194" s="37" t="s">
        <v>742</v>
      </c>
      <c r="M1194" s="37" t="s">
        <v>219</v>
      </c>
      <c r="N1194" s="37">
        <v>4</v>
      </c>
      <c r="O1194" s="37" t="s">
        <v>118</v>
      </c>
      <c r="P1194" s="37"/>
    </row>
    <row r="1195" spans="1:16">
      <c r="A1195" s="46" t="s">
        <v>3812</v>
      </c>
      <c r="B1195" s="46" t="s">
        <v>1417</v>
      </c>
      <c r="C1195" s="46" t="s">
        <v>251</v>
      </c>
      <c r="D1195" s="46" t="s">
        <v>37</v>
      </c>
      <c r="E1195" s="46" t="s">
        <v>147</v>
      </c>
      <c r="F1195" s="46" t="s">
        <v>1014</v>
      </c>
      <c r="G1195" s="46" t="s">
        <v>139</v>
      </c>
      <c r="H1195" s="46" t="s">
        <v>32</v>
      </c>
      <c r="I1195" s="46" t="s">
        <v>2574</v>
      </c>
      <c r="J1195" s="46" t="s">
        <v>530</v>
      </c>
      <c r="K1195" s="46">
        <v>6</v>
      </c>
      <c r="L1195" s="46" t="s">
        <v>720</v>
      </c>
      <c r="M1195" s="46" t="s">
        <v>163</v>
      </c>
      <c r="N1195" s="46">
        <v>5</v>
      </c>
      <c r="O1195" s="46" t="s">
        <v>79</v>
      </c>
      <c r="P1195" s="46"/>
    </row>
    <row r="1196" spans="1:16">
      <c r="A1196" s="37" t="s">
        <v>3813</v>
      </c>
      <c r="B1196" s="37" t="s">
        <v>1380</v>
      </c>
      <c r="C1196" s="37" t="s">
        <v>282</v>
      </c>
      <c r="D1196" s="37" t="s">
        <v>333</v>
      </c>
      <c r="E1196" s="37" t="s">
        <v>244</v>
      </c>
      <c r="F1196" s="37" t="s">
        <v>231</v>
      </c>
      <c r="G1196" s="37" t="s">
        <v>87</v>
      </c>
      <c r="H1196" s="37" t="s">
        <v>113</v>
      </c>
      <c r="I1196" s="37" t="s">
        <v>3814</v>
      </c>
      <c r="J1196" s="37" t="s">
        <v>3815</v>
      </c>
      <c r="K1196" s="37">
        <v>4</v>
      </c>
      <c r="L1196" s="37" t="s">
        <v>1984</v>
      </c>
      <c r="M1196" s="37" t="s">
        <v>163</v>
      </c>
      <c r="N1196" s="37">
        <v>4</v>
      </c>
      <c r="O1196" s="37" t="s">
        <v>286</v>
      </c>
      <c r="P1196" s="37"/>
    </row>
    <row r="1197" spans="1:16">
      <c r="A1197" s="46" t="s">
        <v>3816</v>
      </c>
      <c r="B1197" s="46" t="s">
        <v>1703</v>
      </c>
      <c r="C1197" s="46" t="s">
        <v>88</v>
      </c>
      <c r="D1197" s="46" t="s">
        <v>175</v>
      </c>
      <c r="E1197" s="46" t="s">
        <v>440</v>
      </c>
      <c r="F1197" s="46" t="s">
        <v>425</v>
      </c>
      <c r="G1197" s="46" t="s">
        <v>470</v>
      </c>
      <c r="H1197" s="46" t="s">
        <v>396</v>
      </c>
      <c r="I1197" s="46" t="s">
        <v>3817</v>
      </c>
      <c r="J1197" s="46" t="s">
        <v>3818</v>
      </c>
      <c r="K1197" s="46">
        <v>8</v>
      </c>
      <c r="L1197" s="46" t="s">
        <v>3819</v>
      </c>
      <c r="M1197" s="46" t="s">
        <v>105</v>
      </c>
      <c r="N1197" s="46">
        <v>5</v>
      </c>
      <c r="O1197" s="46" t="s">
        <v>286</v>
      </c>
      <c r="P1197" s="46"/>
    </row>
    <row r="1198" spans="1:16">
      <c r="A1198" s="37" t="s">
        <v>3820</v>
      </c>
      <c r="B1198" s="37" t="s">
        <v>193</v>
      </c>
      <c r="C1198" s="37" t="s">
        <v>135</v>
      </c>
      <c r="D1198" s="37" t="s">
        <v>98</v>
      </c>
      <c r="E1198" s="37" t="s">
        <v>99</v>
      </c>
      <c r="F1198" s="37" t="s">
        <v>47</v>
      </c>
      <c r="G1198" s="37" t="s">
        <v>125</v>
      </c>
      <c r="H1198" s="37" t="s">
        <v>396</v>
      </c>
      <c r="I1198" s="37" t="s">
        <v>2958</v>
      </c>
      <c r="J1198" s="37" t="s">
        <v>3821</v>
      </c>
      <c r="K1198" s="37">
        <v>4</v>
      </c>
      <c r="L1198" s="37" t="s">
        <v>986</v>
      </c>
      <c r="M1198" s="37" t="s">
        <v>172</v>
      </c>
      <c r="N1198" s="37">
        <v>2</v>
      </c>
      <c r="O1198" s="37" t="s">
        <v>131</v>
      </c>
      <c r="P1198" s="37"/>
    </row>
    <row r="1199" spans="1:16">
      <c r="A1199" s="46" t="s">
        <v>3822</v>
      </c>
      <c r="B1199" s="46" t="s">
        <v>1386</v>
      </c>
      <c r="C1199" s="46" t="s">
        <v>109</v>
      </c>
      <c r="D1199" s="46" t="s">
        <v>98</v>
      </c>
      <c r="E1199" s="46" t="s">
        <v>185</v>
      </c>
      <c r="F1199" s="46" t="s">
        <v>498</v>
      </c>
      <c r="G1199" s="46" t="s">
        <v>112</v>
      </c>
      <c r="H1199" s="46" t="s">
        <v>354</v>
      </c>
      <c r="I1199" s="46" t="s">
        <v>3823</v>
      </c>
      <c r="J1199" s="46" t="s">
        <v>3824</v>
      </c>
      <c r="K1199" s="46">
        <v>6</v>
      </c>
      <c r="L1199" s="46" t="s">
        <v>2121</v>
      </c>
      <c r="M1199" s="46" t="s">
        <v>105</v>
      </c>
      <c r="N1199" s="46">
        <v>5</v>
      </c>
      <c r="O1199" s="46" t="s">
        <v>152</v>
      </c>
      <c r="P1199" s="46"/>
    </row>
    <row r="1200" spans="1:16">
      <c r="A1200" s="37" t="s">
        <v>3825</v>
      </c>
      <c r="B1200" s="37" t="s">
        <v>227</v>
      </c>
      <c r="C1200" s="37" t="s">
        <v>222</v>
      </c>
      <c r="D1200" s="37" t="s">
        <v>156</v>
      </c>
      <c r="E1200" s="37" t="s">
        <v>176</v>
      </c>
      <c r="F1200" s="37" t="s">
        <v>582</v>
      </c>
      <c r="G1200" s="37" t="s">
        <v>470</v>
      </c>
      <c r="H1200" s="37" t="s">
        <v>396</v>
      </c>
      <c r="I1200" s="37" t="s">
        <v>944</v>
      </c>
      <c r="J1200" s="37" t="s">
        <v>3826</v>
      </c>
      <c r="K1200" s="37">
        <v>8</v>
      </c>
      <c r="L1200" s="37" t="s">
        <v>2243</v>
      </c>
      <c r="M1200" s="37" t="s">
        <v>172</v>
      </c>
      <c r="N1200" s="37">
        <v>2</v>
      </c>
      <c r="O1200" s="37" t="s">
        <v>181</v>
      </c>
      <c r="P1200" s="37"/>
    </row>
    <row r="1201" spans="1:16">
      <c r="A1201" s="46" t="s">
        <v>3827</v>
      </c>
      <c r="B1201" s="46" t="s">
        <v>1230</v>
      </c>
      <c r="C1201" s="46" t="s">
        <v>155</v>
      </c>
      <c r="D1201" s="46" t="s">
        <v>367</v>
      </c>
      <c r="E1201" s="46" t="s">
        <v>195</v>
      </c>
      <c r="F1201" s="46" t="s">
        <v>319</v>
      </c>
      <c r="G1201" s="46" t="s">
        <v>112</v>
      </c>
      <c r="H1201" s="46" t="s">
        <v>215</v>
      </c>
      <c r="I1201" s="46" t="s">
        <v>1448</v>
      </c>
      <c r="J1201" s="46" t="s">
        <v>3828</v>
      </c>
      <c r="K1201" s="46">
        <v>8</v>
      </c>
      <c r="L1201" s="46" t="s">
        <v>1801</v>
      </c>
      <c r="M1201" s="46" t="s">
        <v>172</v>
      </c>
      <c r="N1201" s="46">
        <v>1</v>
      </c>
      <c r="O1201" s="46" t="s">
        <v>191</v>
      </c>
      <c r="P1201" s="46"/>
    </row>
    <row r="1202" spans="1:16">
      <c r="A1202" s="37" t="s">
        <v>3829</v>
      </c>
      <c r="B1202" s="37" t="s">
        <v>2152</v>
      </c>
      <c r="C1202" s="37" t="s">
        <v>166</v>
      </c>
      <c r="D1202" s="37" t="s">
        <v>175</v>
      </c>
      <c r="E1202" s="37" t="s">
        <v>345</v>
      </c>
      <c r="F1202" s="37" t="s">
        <v>263</v>
      </c>
      <c r="G1202" s="37" t="s">
        <v>112</v>
      </c>
      <c r="H1202" s="37" t="s">
        <v>215</v>
      </c>
      <c r="I1202" s="37" t="s">
        <v>3770</v>
      </c>
      <c r="J1202" s="37" t="s">
        <v>3830</v>
      </c>
      <c r="K1202" s="37">
        <v>6</v>
      </c>
      <c r="L1202" s="37" t="s">
        <v>457</v>
      </c>
      <c r="M1202" s="37" t="s">
        <v>172</v>
      </c>
      <c r="N1202" s="37">
        <v>3</v>
      </c>
      <c r="O1202" s="37" t="s">
        <v>152</v>
      </c>
      <c r="P1202" s="37"/>
    </row>
    <row r="1203" spans="1:16">
      <c r="A1203" s="46" t="s">
        <v>3831</v>
      </c>
      <c r="B1203" s="46" t="s">
        <v>395</v>
      </c>
      <c r="C1203" s="46" t="s">
        <v>212</v>
      </c>
      <c r="D1203" s="46" t="s">
        <v>204</v>
      </c>
      <c r="E1203" s="46" t="s">
        <v>176</v>
      </c>
      <c r="F1203" s="46" t="s">
        <v>158</v>
      </c>
      <c r="G1203" s="46" t="s">
        <v>197</v>
      </c>
      <c r="H1203" s="46" t="s">
        <v>54</v>
      </c>
      <c r="I1203" s="46" t="s">
        <v>1996</v>
      </c>
      <c r="J1203" s="46" t="s">
        <v>1007</v>
      </c>
      <c r="K1203" s="46">
        <v>8</v>
      </c>
      <c r="L1203" s="46" t="s">
        <v>423</v>
      </c>
      <c r="M1203" s="46" t="s">
        <v>143</v>
      </c>
      <c r="N1203" s="46">
        <v>1</v>
      </c>
      <c r="O1203" s="46" t="s">
        <v>191</v>
      </c>
      <c r="P1203" s="46"/>
    </row>
    <row r="1204" spans="1:16">
      <c r="A1204" s="37" t="s">
        <v>3832</v>
      </c>
      <c r="B1204" s="37" t="s">
        <v>965</v>
      </c>
      <c r="C1204" s="37" t="s">
        <v>282</v>
      </c>
      <c r="D1204" s="37" t="s">
        <v>175</v>
      </c>
      <c r="E1204" s="37" t="s">
        <v>137</v>
      </c>
      <c r="F1204" s="37" t="s">
        <v>158</v>
      </c>
      <c r="G1204" s="37" t="s">
        <v>168</v>
      </c>
      <c r="H1204" s="37" t="s">
        <v>206</v>
      </c>
      <c r="I1204" s="37" t="s">
        <v>2654</v>
      </c>
      <c r="J1204" s="37" t="s">
        <v>3833</v>
      </c>
      <c r="K1204" s="37">
        <v>6</v>
      </c>
      <c r="L1204" s="37" t="s">
        <v>1703</v>
      </c>
      <c r="M1204" s="37" t="s">
        <v>200</v>
      </c>
      <c r="N1204" s="37">
        <v>1</v>
      </c>
      <c r="O1204" s="37" t="s">
        <v>152</v>
      </c>
      <c r="P1204" s="37"/>
    </row>
    <row r="1205" spans="1:16">
      <c r="A1205" s="46" t="s">
        <v>3834</v>
      </c>
      <c r="B1205" s="46" t="s">
        <v>531</v>
      </c>
      <c r="C1205" s="46" t="s">
        <v>424</v>
      </c>
      <c r="D1205" s="46" t="s">
        <v>122</v>
      </c>
      <c r="E1205" s="46" t="s">
        <v>345</v>
      </c>
      <c r="F1205" s="46" t="s">
        <v>1734</v>
      </c>
      <c r="G1205" s="46" t="s">
        <v>92</v>
      </c>
      <c r="H1205" s="46" t="s">
        <v>396</v>
      </c>
      <c r="I1205" s="46" t="s">
        <v>3835</v>
      </c>
      <c r="J1205" s="46" t="s">
        <v>3836</v>
      </c>
      <c r="K1205" s="46">
        <v>6</v>
      </c>
      <c r="L1205" s="46" t="s">
        <v>1072</v>
      </c>
      <c r="M1205" s="46" t="s">
        <v>163</v>
      </c>
      <c r="N1205" s="46">
        <v>4</v>
      </c>
      <c r="O1205" s="46" t="s">
        <v>131</v>
      </c>
      <c r="P1205" s="46"/>
    </row>
    <row r="1206" spans="1:16">
      <c r="A1206" s="37" t="s">
        <v>3837</v>
      </c>
      <c r="B1206" s="37" t="s">
        <v>1306</v>
      </c>
      <c r="C1206" s="37" t="s">
        <v>97</v>
      </c>
      <c r="D1206" s="37" t="s">
        <v>367</v>
      </c>
      <c r="E1206" s="37" t="s">
        <v>137</v>
      </c>
      <c r="F1206" s="37" t="s">
        <v>148</v>
      </c>
      <c r="G1206" s="37" t="s">
        <v>101</v>
      </c>
      <c r="H1206" s="37" t="s">
        <v>187</v>
      </c>
      <c r="I1206" s="37" t="s">
        <v>1829</v>
      </c>
      <c r="J1206" s="37" t="s">
        <v>1706</v>
      </c>
      <c r="K1206" s="37">
        <v>8</v>
      </c>
      <c r="L1206" s="37" t="s">
        <v>3347</v>
      </c>
      <c r="M1206" s="37" t="s">
        <v>817</v>
      </c>
      <c r="N1206" s="37"/>
      <c r="O1206" s="37" t="s">
        <v>118</v>
      </c>
      <c r="P1206" s="37" t="s">
        <v>818</v>
      </c>
    </row>
    <row r="1207" spans="1:16">
      <c r="A1207" s="46" t="s">
        <v>3838</v>
      </c>
      <c r="B1207" s="46" t="s">
        <v>707</v>
      </c>
      <c r="C1207" s="46" t="s">
        <v>91</v>
      </c>
      <c r="D1207" s="46" t="s">
        <v>98</v>
      </c>
      <c r="E1207" s="46" t="s">
        <v>345</v>
      </c>
      <c r="F1207" s="46" t="s">
        <v>301</v>
      </c>
      <c r="G1207" s="46" t="s">
        <v>89</v>
      </c>
      <c r="H1207" s="46" t="s">
        <v>88</v>
      </c>
      <c r="I1207" s="46" t="s">
        <v>3839</v>
      </c>
      <c r="J1207" s="46" t="s">
        <v>3840</v>
      </c>
      <c r="K1207" s="46">
        <v>6</v>
      </c>
      <c r="L1207" s="46" t="s">
        <v>1707</v>
      </c>
      <c r="M1207" s="46" t="s">
        <v>1513</v>
      </c>
      <c r="N1207" s="46"/>
      <c r="O1207" s="46" t="s">
        <v>152</v>
      </c>
      <c r="P1207" s="46" t="s">
        <v>759</v>
      </c>
    </row>
    <row r="1208" spans="1:16">
      <c r="A1208" s="37" t="s">
        <v>3841</v>
      </c>
      <c r="B1208" s="37" t="s">
        <v>1475</v>
      </c>
      <c r="C1208" s="37" t="s">
        <v>340</v>
      </c>
      <c r="D1208" s="37" t="s">
        <v>312</v>
      </c>
      <c r="E1208" s="37" t="s">
        <v>110</v>
      </c>
      <c r="F1208" s="37" t="s">
        <v>498</v>
      </c>
      <c r="G1208" s="37" t="s">
        <v>92</v>
      </c>
      <c r="H1208" s="37" t="s">
        <v>91</v>
      </c>
      <c r="I1208" s="37" t="s">
        <v>3842</v>
      </c>
      <c r="J1208" s="37" t="s">
        <v>3843</v>
      </c>
      <c r="K1208" s="37">
        <v>6</v>
      </c>
      <c r="L1208" s="37" t="s">
        <v>579</v>
      </c>
      <c r="M1208" s="37" t="s">
        <v>117</v>
      </c>
      <c r="N1208" s="37">
        <v>4</v>
      </c>
      <c r="O1208" s="37" t="s">
        <v>191</v>
      </c>
      <c r="P1208" s="37"/>
    </row>
    <row r="1209" spans="1:16">
      <c r="A1209" s="46" t="s">
        <v>3844</v>
      </c>
      <c r="B1209" s="46" t="s">
        <v>1525</v>
      </c>
      <c r="C1209" s="46" t="s">
        <v>121</v>
      </c>
      <c r="D1209" s="46" t="s">
        <v>194</v>
      </c>
      <c r="E1209" s="46" t="s">
        <v>42</v>
      </c>
      <c r="F1209" s="46" t="s">
        <v>326</v>
      </c>
      <c r="G1209" s="46" t="s">
        <v>380</v>
      </c>
      <c r="H1209" s="46" t="s">
        <v>396</v>
      </c>
      <c r="I1209" s="46" t="s">
        <v>567</v>
      </c>
      <c r="J1209" s="46" t="s">
        <v>3845</v>
      </c>
      <c r="K1209" s="46">
        <v>6</v>
      </c>
      <c r="L1209" s="46" t="s">
        <v>589</v>
      </c>
      <c r="M1209" s="46" t="s">
        <v>72</v>
      </c>
      <c r="N1209" s="46">
        <v>3</v>
      </c>
      <c r="O1209" s="46" t="s">
        <v>152</v>
      </c>
      <c r="P1209" s="46"/>
    </row>
    <row r="1210" spans="1:16">
      <c r="A1210" s="37" t="s">
        <v>3846</v>
      </c>
      <c r="B1210" s="37" t="s">
        <v>390</v>
      </c>
      <c r="C1210" s="37" t="s">
        <v>88</v>
      </c>
      <c r="D1210" s="37" t="s">
        <v>919</v>
      </c>
      <c r="E1210" s="37" t="s">
        <v>244</v>
      </c>
      <c r="F1210" s="37" t="s">
        <v>186</v>
      </c>
      <c r="G1210" s="37" t="s">
        <v>139</v>
      </c>
      <c r="H1210" s="37" t="s">
        <v>32</v>
      </c>
      <c r="I1210" s="37" t="s">
        <v>2571</v>
      </c>
      <c r="J1210" s="37" t="s">
        <v>3847</v>
      </c>
      <c r="K1210" s="37">
        <v>4</v>
      </c>
      <c r="L1210" s="37" t="s">
        <v>2269</v>
      </c>
      <c r="M1210" s="37" t="s">
        <v>172</v>
      </c>
      <c r="N1210" s="37">
        <v>2</v>
      </c>
      <c r="O1210" s="37" t="s">
        <v>152</v>
      </c>
      <c r="P1210" s="37"/>
    </row>
    <row r="1211" spans="1:16">
      <c r="A1211" s="46" t="s">
        <v>3848</v>
      </c>
      <c r="B1211" s="46" t="s">
        <v>2121</v>
      </c>
      <c r="C1211" s="46" t="s">
        <v>633</v>
      </c>
      <c r="D1211" s="46" t="s">
        <v>919</v>
      </c>
      <c r="E1211" s="46" t="s">
        <v>147</v>
      </c>
      <c r="F1211" s="46" t="s">
        <v>353</v>
      </c>
      <c r="G1211" s="46" t="s">
        <v>264</v>
      </c>
      <c r="H1211" s="46" t="s">
        <v>187</v>
      </c>
      <c r="I1211" s="46" t="s">
        <v>3849</v>
      </c>
      <c r="J1211" s="46" t="s">
        <v>3850</v>
      </c>
      <c r="K1211" s="46">
        <v>8</v>
      </c>
      <c r="L1211" s="46" t="s">
        <v>3257</v>
      </c>
      <c r="M1211" s="46" t="s">
        <v>163</v>
      </c>
      <c r="N1211" s="46">
        <v>5</v>
      </c>
      <c r="O1211" s="46" t="s">
        <v>131</v>
      </c>
      <c r="P1211" s="46"/>
    </row>
    <row r="1212" spans="1:16">
      <c r="A1212" s="37" t="s">
        <v>3851</v>
      </c>
      <c r="B1212" s="37" t="s">
        <v>531</v>
      </c>
      <c r="C1212" s="37" t="s">
        <v>88</v>
      </c>
      <c r="D1212" s="37" t="s">
        <v>223</v>
      </c>
      <c r="E1212" s="37" t="s">
        <v>176</v>
      </c>
      <c r="F1212" s="37" t="s">
        <v>1682</v>
      </c>
      <c r="G1212" s="37" t="s">
        <v>334</v>
      </c>
      <c r="H1212" s="37" t="s">
        <v>32</v>
      </c>
      <c r="I1212" s="37" t="s">
        <v>3852</v>
      </c>
      <c r="J1212" s="37" t="s">
        <v>3853</v>
      </c>
      <c r="K1212" s="37">
        <v>8</v>
      </c>
      <c r="L1212" s="37" t="s">
        <v>108</v>
      </c>
      <c r="M1212" s="37" t="s">
        <v>105</v>
      </c>
      <c r="N1212" s="37">
        <v>5</v>
      </c>
      <c r="O1212" s="37" t="s">
        <v>79</v>
      </c>
      <c r="P1212" s="37"/>
    </row>
    <row r="1213" spans="1:16">
      <c r="A1213" s="46" t="s">
        <v>3854</v>
      </c>
      <c r="B1213" s="46" t="s">
        <v>412</v>
      </c>
      <c r="C1213" s="46" t="s">
        <v>282</v>
      </c>
      <c r="D1213" s="46" t="s">
        <v>175</v>
      </c>
      <c r="E1213" s="46" t="s">
        <v>244</v>
      </c>
      <c r="F1213" s="46" t="s">
        <v>100</v>
      </c>
      <c r="G1213" s="46" t="s">
        <v>112</v>
      </c>
      <c r="H1213" s="46" t="s">
        <v>32</v>
      </c>
      <c r="I1213" s="46" t="s">
        <v>2420</v>
      </c>
      <c r="J1213" s="46" t="s">
        <v>2814</v>
      </c>
      <c r="K1213" s="46">
        <v>4</v>
      </c>
      <c r="L1213" s="46" t="s">
        <v>269</v>
      </c>
      <c r="M1213" s="46" t="s">
        <v>163</v>
      </c>
      <c r="N1213" s="46">
        <v>5</v>
      </c>
      <c r="O1213" s="46" t="s">
        <v>131</v>
      </c>
      <c r="P1213" s="46"/>
    </row>
    <row r="1214" spans="1:16">
      <c r="A1214" s="37" t="s">
        <v>3855</v>
      </c>
      <c r="B1214" s="37" t="s">
        <v>1287</v>
      </c>
      <c r="C1214" s="37" t="s">
        <v>135</v>
      </c>
      <c r="D1214" s="37" t="s">
        <v>194</v>
      </c>
      <c r="E1214" s="37" t="s">
        <v>325</v>
      </c>
      <c r="F1214" s="37" t="s">
        <v>271</v>
      </c>
      <c r="G1214" s="37" t="s">
        <v>159</v>
      </c>
      <c r="H1214" s="37" t="s">
        <v>54</v>
      </c>
      <c r="I1214" s="37" t="s">
        <v>3856</v>
      </c>
      <c r="J1214" s="37" t="s">
        <v>3857</v>
      </c>
      <c r="K1214" s="37">
        <v>4</v>
      </c>
      <c r="L1214" s="37" t="s">
        <v>1166</v>
      </c>
      <c r="M1214" s="37" t="s">
        <v>200</v>
      </c>
      <c r="N1214" s="37">
        <v>3</v>
      </c>
      <c r="O1214" s="37" t="s">
        <v>131</v>
      </c>
      <c r="P1214" s="37"/>
    </row>
    <row r="1215" spans="1:16">
      <c r="A1215" s="46" t="s">
        <v>3858</v>
      </c>
      <c r="B1215" s="46" t="s">
        <v>1370</v>
      </c>
      <c r="C1215" s="46" t="s">
        <v>97</v>
      </c>
      <c r="D1215" s="46" t="s">
        <v>223</v>
      </c>
      <c r="E1215" s="46" t="s">
        <v>110</v>
      </c>
      <c r="F1215" s="46" t="s">
        <v>664</v>
      </c>
      <c r="G1215" s="46" t="s">
        <v>257</v>
      </c>
      <c r="H1215" s="46" t="s">
        <v>88</v>
      </c>
      <c r="I1215" s="46" t="s">
        <v>3859</v>
      </c>
      <c r="J1215" s="46" t="s">
        <v>645</v>
      </c>
      <c r="K1215" s="46">
        <v>6</v>
      </c>
      <c r="L1215" s="46" t="s">
        <v>725</v>
      </c>
      <c r="M1215" s="46" t="s">
        <v>163</v>
      </c>
      <c r="N1215" s="46">
        <v>4</v>
      </c>
      <c r="O1215" s="46" t="s">
        <v>118</v>
      </c>
      <c r="P1215" s="46"/>
    </row>
    <row r="1216" spans="1:16">
      <c r="A1216" s="37" t="s">
        <v>3860</v>
      </c>
      <c r="B1216" s="37" t="s">
        <v>805</v>
      </c>
      <c r="C1216" s="37" t="s">
        <v>469</v>
      </c>
      <c r="D1216" s="37" t="s">
        <v>213</v>
      </c>
      <c r="E1216" s="37" t="s">
        <v>110</v>
      </c>
      <c r="F1216" s="37" t="s">
        <v>100</v>
      </c>
      <c r="G1216" s="37" t="s">
        <v>470</v>
      </c>
      <c r="H1216" s="37" t="s">
        <v>126</v>
      </c>
      <c r="I1216" s="37" t="s">
        <v>3861</v>
      </c>
      <c r="J1216" s="37" t="s">
        <v>1019</v>
      </c>
      <c r="K1216" s="37">
        <v>4</v>
      </c>
      <c r="L1216" s="37" t="s">
        <v>171</v>
      </c>
      <c r="M1216" s="37" t="s">
        <v>143</v>
      </c>
      <c r="N1216" s="37">
        <v>5</v>
      </c>
      <c r="O1216" s="37" t="s">
        <v>286</v>
      </c>
      <c r="P1216" s="37"/>
    </row>
    <row r="1217" spans="1:16">
      <c r="A1217" s="46" t="s">
        <v>3862</v>
      </c>
      <c r="B1217" s="46" t="s">
        <v>463</v>
      </c>
      <c r="C1217" s="46" t="s">
        <v>32</v>
      </c>
      <c r="D1217" s="46" t="s">
        <v>544</v>
      </c>
      <c r="E1217" s="46" t="s">
        <v>325</v>
      </c>
      <c r="F1217" s="46" t="s">
        <v>271</v>
      </c>
      <c r="G1217" s="46" t="s">
        <v>380</v>
      </c>
      <c r="H1217" s="46" t="s">
        <v>91</v>
      </c>
      <c r="I1217" s="46" t="s">
        <v>1136</v>
      </c>
      <c r="J1217" s="46" t="s">
        <v>3863</v>
      </c>
      <c r="K1217" s="46">
        <v>4</v>
      </c>
      <c r="L1217" s="46" t="s">
        <v>1269</v>
      </c>
      <c r="M1217" s="46" t="s">
        <v>219</v>
      </c>
      <c r="N1217" s="46">
        <v>5</v>
      </c>
      <c r="O1217" s="46" t="s">
        <v>181</v>
      </c>
      <c r="P1217" s="46"/>
    </row>
    <row r="1218" spans="1:16">
      <c r="A1218" s="37" t="s">
        <v>3864</v>
      </c>
      <c r="B1218" s="37" t="s">
        <v>1252</v>
      </c>
      <c r="C1218" s="37" t="s">
        <v>88</v>
      </c>
      <c r="D1218" s="37" t="s">
        <v>352</v>
      </c>
      <c r="E1218" s="37" t="s">
        <v>42</v>
      </c>
      <c r="F1218" s="37" t="s">
        <v>167</v>
      </c>
      <c r="G1218" s="37" t="s">
        <v>168</v>
      </c>
      <c r="H1218" s="37" t="s">
        <v>278</v>
      </c>
      <c r="I1218" s="37" t="s">
        <v>169</v>
      </c>
      <c r="J1218" s="37" t="s">
        <v>161</v>
      </c>
      <c r="K1218" s="37">
        <v>4</v>
      </c>
      <c r="L1218" s="37" t="s">
        <v>276</v>
      </c>
      <c r="M1218" s="37" t="s">
        <v>143</v>
      </c>
      <c r="N1218" s="37">
        <v>3</v>
      </c>
      <c r="O1218" s="37" t="s">
        <v>152</v>
      </c>
      <c r="P1218" s="37"/>
    </row>
    <row r="1219" spans="1:16">
      <c r="A1219" s="46" t="s">
        <v>3865</v>
      </c>
      <c r="B1219" s="46" t="s">
        <v>579</v>
      </c>
      <c r="C1219" s="46" t="s">
        <v>340</v>
      </c>
      <c r="D1219" s="46" t="s">
        <v>270</v>
      </c>
      <c r="E1219" s="46" t="s">
        <v>185</v>
      </c>
      <c r="F1219" s="46" t="s">
        <v>664</v>
      </c>
      <c r="G1219" s="46" t="s">
        <v>401</v>
      </c>
      <c r="H1219" s="46" t="s">
        <v>54</v>
      </c>
      <c r="I1219" s="46" t="s">
        <v>1191</v>
      </c>
      <c r="J1219" s="46" t="s">
        <v>3866</v>
      </c>
      <c r="K1219" s="46">
        <v>6</v>
      </c>
      <c r="L1219" s="46" t="s">
        <v>1606</v>
      </c>
      <c r="M1219" s="46" t="s">
        <v>105</v>
      </c>
      <c r="N1219" s="46">
        <v>1</v>
      </c>
      <c r="O1219" s="46" t="s">
        <v>79</v>
      </c>
      <c r="P1219" s="46"/>
    </row>
    <row r="1220" spans="1:16">
      <c r="A1220" s="37" t="s">
        <v>3867</v>
      </c>
      <c r="B1220" s="37" t="s">
        <v>2324</v>
      </c>
      <c r="C1220" s="37" t="s">
        <v>155</v>
      </c>
      <c r="D1220" s="37" t="s">
        <v>98</v>
      </c>
      <c r="E1220" s="37" t="s">
        <v>137</v>
      </c>
      <c r="F1220" s="37" t="s">
        <v>664</v>
      </c>
      <c r="G1220" s="37" t="s">
        <v>87</v>
      </c>
      <c r="H1220" s="37" t="s">
        <v>113</v>
      </c>
      <c r="I1220" s="37" t="s">
        <v>3868</v>
      </c>
      <c r="J1220" s="37" t="s">
        <v>3869</v>
      </c>
      <c r="K1220" s="37">
        <v>8</v>
      </c>
      <c r="L1220" s="37" t="s">
        <v>2223</v>
      </c>
      <c r="M1220" s="37" t="s">
        <v>172</v>
      </c>
      <c r="N1220" s="37">
        <v>2</v>
      </c>
      <c r="O1220" s="37" t="s">
        <v>79</v>
      </c>
      <c r="P1220" s="37"/>
    </row>
    <row r="1221" spans="1:16">
      <c r="A1221" s="46" t="s">
        <v>3870</v>
      </c>
      <c r="B1221" s="46" t="s">
        <v>2557</v>
      </c>
      <c r="C1221" s="46" t="s">
        <v>374</v>
      </c>
      <c r="D1221" s="46" t="s">
        <v>270</v>
      </c>
      <c r="E1221" s="46" t="s">
        <v>110</v>
      </c>
      <c r="F1221" s="46" t="s">
        <v>425</v>
      </c>
      <c r="G1221" s="46" t="s">
        <v>380</v>
      </c>
      <c r="H1221" s="46" t="s">
        <v>91</v>
      </c>
      <c r="I1221" s="46" t="s">
        <v>2134</v>
      </c>
      <c r="J1221" s="46" t="s">
        <v>3601</v>
      </c>
      <c r="K1221" s="46">
        <v>6</v>
      </c>
      <c r="L1221" s="46" t="s">
        <v>3432</v>
      </c>
      <c r="M1221" s="46" t="s">
        <v>172</v>
      </c>
      <c r="N1221" s="46">
        <v>3</v>
      </c>
      <c r="O1221" s="46" t="s">
        <v>118</v>
      </c>
      <c r="P1221" s="46"/>
    </row>
    <row r="1222" spans="1:16">
      <c r="A1222" s="37" t="s">
        <v>3871</v>
      </c>
      <c r="B1222" s="37" t="s">
        <v>813</v>
      </c>
      <c r="C1222" s="37" t="s">
        <v>93</v>
      </c>
      <c r="D1222" s="37" t="s">
        <v>136</v>
      </c>
      <c r="E1222" s="37" t="s">
        <v>244</v>
      </c>
      <c r="F1222" s="37" t="s">
        <v>271</v>
      </c>
      <c r="G1222" s="37" t="s">
        <v>89</v>
      </c>
      <c r="H1222" s="37" t="s">
        <v>278</v>
      </c>
      <c r="I1222" s="37" t="s">
        <v>2075</v>
      </c>
      <c r="J1222" s="37" t="s">
        <v>3872</v>
      </c>
      <c r="K1222" s="37">
        <v>2</v>
      </c>
      <c r="L1222" s="37" t="s">
        <v>688</v>
      </c>
      <c r="M1222" s="37" t="s">
        <v>219</v>
      </c>
      <c r="N1222" s="37">
        <v>4</v>
      </c>
      <c r="O1222" s="37" t="s">
        <v>181</v>
      </c>
      <c r="P1222" s="37"/>
    </row>
    <row r="1223" spans="1:16">
      <c r="A1223" s="46" t="s">
        <v>3873</v>
      </c>
      <c r="B1223" s="46" t="s">
        <v>365</v>
      </c>
      <c r="C1223" s="46" t="s">
        <v>93</v>
      </c>
      <c r="D1223" s="46" t="s">
        <v>194</v>
      </c>
      <c r="E1223" s="46" t="s">
        <v>123</v>
      </c>
      <c r="F1223" s="46" t="s">
        <v>47</v>
      </c>
      <c r="G1223" s="46" t="s">
        <v>92</v>
      </c>
      <c r="H1223" s="46" t="s">
        <v>396</v>
      </c>
      <c r="I1223" s="46" t="s">
        <v>863</v>
      </c>
      <c r="J1223" s="46" t="s">
        <v>1812</v>
      </c>
      <c r="K1223" s="46">
        <v>4</v>
      </c>
      <c r="L1223" s="46" t="s">
        <v>1173</v>
      </c>
      <c r="M1223" s="46" t="s">
        <v>200</v>
      </c>
      <c r="N1223" s="46">
        <v>1</v>
      </c>
      <c r="O1223" s="46" t="s">
        <v>106</v>
      </c>
      <c r="P1223" s="46"/>
    </row>
    <row r="1224" spans="1:16">
      <c r="A1224" s="37" t="s">
        <v>3874</v>
      </c>
      <c r="B1224" s="37" t="s">
        <v>1424</v>
      </c>
      <c r="C1224" s="37" t="s">
        <v>174</v>
      </c>
      <c r="D1224" s="37" t="s">
        <v>136</v>
      </c>
      <c r="E1224" s="37" t="s">
        <v>147</v>
      </c>
      <c r="F1224" s="37" t="s">
        <v>353</v>
      </c>
      <c r="G1224" s="37" t="s">
        <v>101</v>
      </c>
      <c r="H1224" s="37" t="s">
        <v>187</v>
      </c>
      <c r="I1224" s="37" t="s">
        <v>3875</v>
      </c>
      <c r="J1224" s="37" t="s">
        <v>599</v>
      </c>
      <c r="K1224" s="37">
        <v>6</v>
      </c>
      <c r="L1224" s="37" t="s">
        <v>2132</v>
      </c>
      <c r="M1224" s="37" t="s">
        <v>163</v>
      </c>
      <c r="N1224" s="37">
        <v>2</v>
      </c>
      <c r="O1224" s="37" t="s">
        <v>286</v>
      </c>
      <c r="P1224" s="37"/>
    </row>
    <row r="1225" spans="1:16">
      <c r="A1225" s="46" t="s">
        <v>3876</v>
      </c>
      <c r="B1225" s="46" t="s">
        <v>2367</v>
      </c>
      <c r="C1225" s="46" t="s">
        <v>282</v>
      </c>
      <c r="D1225" s="46" t="s">
        <v>122</v>
      </c>
      <c r="E1225" s="46" t="s">
        <v>147</v>
      </c>
      <c r="F1225" s="46" t="s">
        <v>231</v>
      </c>
      <c r="G1225" s="46" t="s">
        <v>51</v>
      </c>
      <c r="H1225" s="46" t="s">
        <v>54</v>
      </c>
      <c r="I1225" s="46" t="s">
        <v>3877</v>
      </c>
      <c r="J1225" s="46" t="s">
        <v>3104</v>
      </c>
      <c r="K1225" s="46">
        <v>8</v>
      </c>
      <c r="L1225" s="46" t="s">
        <v>685</v>
      </c>
      <c r="M1225" s="46" t="s">
        <v>143</v>
      </c>
      <c r="N1225" s="46">
        <v>3</v>
      </c>
      <c r="O1225" s="46" t="s">
        <v>152</v>
      </c>
      <c r="P1225" s="46"/>
    </row>
    <row r="1226" spans="1:16">
      <c r="A1226" s="37" t="s">
        <v>3878</v>
      </c>
      <c r="B1226" s="37" t="s">
        <v>831</v>
      </c>
      <c r="C1226" s="37" t="s">
        <v>300</v>
      </c>
      <c r="D1226" s="37" t="s">
        <v>184</v>
      </c>
      <c r="E1226" s="37" t="s">
        <v>325</v>
      </c>
      <c r="F1226" s="37" t="s">
        <v>664</v>
      </c>
      <c r="G1226" s="37" t="s">
        <v>125</v>
      </c>
      <c r="H1226" s="37" t="s">
        <v>396</v>
      </c>
      <c r="I1226" s="37" t="s">
        <v>1357</v>
      </c>
      <c r="J1226" s="37" t="s">
        <v>3879</v>
      </c>
      <c r="K1226" s="37">
        <v>4</v>
      </c>
      <c r="L1226" s="37" t="s">
        <v>363</v>
      </c>
      <c r="M1226" s="37" t="s">
        <v>143</v>
      </c>
      <c r="N1226" s="37">
        <v>4</v>
      </c>
      <c r="O1226" s="37" t="s">
        <v>191</v>
      </c>
      <c r="P1226" s="37"/>
    </row>
    <row r="1227" spans="1:16">
      <c r="A1227" s="46" t="s">
        <v>3880</v>
      </c>
      <c r="B1227" s="46" t="s">
        <v>293</v>
      </c>
      <c r="C1227" s="46" t="s">
        <v>424</v>
      </c>
      <c r="D1227" s="46" t="s">
        <v>184</v>
      </c>
      <c r="E1227" s="46" t="s">
        <v>110</v>
      </c>
      <c r="F1227" s="46" t="s">
        <v>177</v>
      </c>
      <c r="G1227" s="46" t="s">
        <v>125</v>
      </c>
      <c r="H1227" s="46" t="s">
        <v>294</v>
      </c>
      <c r="I1227" s="46" t="s">
        <v>1392</v>
      </c>
      <c r="J1227" s="46" t="s">
        <v>1944</v>
      </c>
      <c r="K1227" s="46">
        <v>6</v>
      </c>
      <c r="L1227" s="46" t="s">
        <v>3432</v>
      </c>
      <c r="M1227" s="46" t="s">
        <v>117</v>
      </c>
      <c r="N1227" s="46">
        <v>5</v>
      </c>
      <c r="O1227" s="46" t="s">
        <v>118</v>
      </c>
      <c r="P1227" s="46"/>
    </row>
    <row r="1228" spans="1:16">
      <c r="A1228" s="37" t="s">
        <v>3881</v>
      </c>
      <c r="B1228" s="37" t="s">
        <v>984</v>
      </c>
      <c r="C1228" s="37" t="s">
        <v>374</v>
      </c>
      <c r="D1228" s="37" t="s">
        <v>194</v>
      </c>
      <c r="E1228" s="37" t="s">
        <v>176</v>
      </c>
      <c r="F1228" s="37" t="s">
        <v>47</v>
      </c>
      <c r="G1228" s="37" t="s">
        <v>87</v>
      </c>
      <c r="H1228" s="37" t="s">
        <v>215</v>
      </c>
      <c r="I1228" s="37" t="s">
        <v>279</v>
      </c>
      <c r="J1228" s="37" t="s">
        <v>3882</v>
      </c>
      <c r="K1228" s="37">
        <v>8</v>
      </c>
      <c r="L1228" s="37" t="s">
        <v>3883</v>
      </c>
      <c r="M1228" s="37" t="s">
        <v>219</v>
      </c>
      <c r="N1228" s="37">
        <v>5</v>
      </c>
      <c r="O1228" s="37" t="s">
        <v>152</v>
      </c>
      <c r="P1228" s="37"/>
    </row>
    <row r="1229" spans="1:16">
      <c r="A1229" s="46" t="s">
        <v>3884</v>
      </c>
      <c r="B1229" s="46" t="s">
        <v>2419</v>
      </c>
      <c r="C1229" s="46" t="s">
        <v>121</v>
      </c>
      <c r="D1229" s="46" t="s">
        <v>194</v>
      </c>
      <c r="E1229" s="46" t="s">
        <v>157</v>
      </c>
      <c r="F1229" s="46"/>
      <c r="G1229" s="46" t="s">
        <v>125</v>
      </c>
      <c r="H1229" s="46" t="s">
        <v>294</v>
      </c>
      <c r="I1229" s="46" t="s">
        <v>3885</v>
      </c>
      <c r="J1229" s="46" t="s">
        <v>3886</v>
      </c>
      <c r="K1229" s="46">
        <v>6</v>
      </c>
      <c r="L1229" s="46" t="s">
        <v>339</v>
      </c>
      <c r="M1229" s="46" t="s">
        <v>2041</v>
      </c>
      <c r="N1229" s="46"/>
      <c r="O1229" s="46" t="s">
        <v>106</v>
      </c>
      <c r="P1229" s="46" t="s">
        <v>1478</v>
      </c>
    </row>
    <row r="1230" spans="1:16">
      <c r="A1230" s="37" t="s">
        <v>3887</v>
      </c>
      <c r="B1230" s="37" t="s">
        <v>569</v>
      </c>
      <c r="C1230" s="37" t="s">
        <v>155</v>
      </c>
      <c r="D1230" s="37" t="s">
        <v>98</v>
      </c>
      <c r="E1230" s="37" t="s">
        <v>147</v>
      </c>
      <c r="F1230" s="37" t="s">
        <v>231</v>
      </c>
      <c r="G1230" s="37" t="s">
        <v>346</v>
      </c>
      <c r="H1230" s="37" t="s">
        <v>215</v>
      </c>
      <c r="I1230" s="37" t="s">
        <v>3888</v>
      </c>
      <c r="J1230" s="37" t="s">
        <v>3889</v>
      </c>
      <c r="K1230" s="37">
        <v>8</v>
      </c>
      <c r="L1230" s="37" t="s">
        <v>1222</v>
      </c>
      <c r="M1230" s="37" t="s">
        <v>200</v>
      </c>
      <c r="N1230" s="37">
        <v>2</v>
      </c>
      <c r="O1230" s="37" t="s">
        <v>191</v>
      </c>
      <c r="P1230" s="37"/>
    </row>
    <row r="1231" spans="1:16">
      <c r="A1231" s="46" t="s">
        <v>3890</v>
      </c>
      <c r="B1231" s="46" t="s">
        <v>1003</v>
      </c>
      <c r="C1231" s="46" t="s">
        <v>366</v>
      </c>
      <c r="D1231" s="46" t="s">
        <v>184</v>
      </c>
      <c r="E1231" s="46" t="s">
        <v>123</v>
      </c>
      <c r="F1231" s="46" t="s">
        <v>167</v>
      </c>
      <c r="G1231" s="46" t="s">
        <v>401</v>
      </c>
      <c r="H1231" s="46" t="s">
        <v>90</v>
      </c>
      <c r="I1231" s="46" t="s">
        <v>1062</v>
      </c>
      <c r="J1231" s="46" t="s">
        <v>588</v>
      </c>
      <c r="K1231" s="46">
        <v>4</v>
      </c>
      <c r="L1231" s="46" t="s">
        <v>543</v>
      </c>
      <c r="M1231" s="46" t="s">
        <v>172</v>
      </c>
      <c r="N1231" s="46">
        <v>4</v>
      </c>
      <c r="O1231" s="46" t="s">
        <v>118</v>
      </c>
      <c r="P1231" s="46"/>
    </row>
    <row r="1232" spans="1:16">
      <c r="A1232" s="37" t="s">
        <v>3891</v>
      </c>
      <c r="B1232" s="37" t="s">
        <v>813</v>
      </c>
      <c r="C1232" s="37" t="s">
        <v>121</v>
      </c>
      <c r="D1232" s="37" t="s">
        <v>194</v>
      </c>
      <c r="E1232" s="37" t="s">
        <v>99</v>
      </c>
      <c r="F1232" s="37" t="s">
        <v>271</v>
      </c>
      <c r="G1232" s="37" t="s">
        <v>346</v>
      </c>
      <c r="H1232" s="37" t="s">
        <v>354</v>
      </c>
      <c r="I1232" s="37" t="s">
        <v>3842</v>
      </c>
      <c r="J1232" s="37" t="s">
        <v>1812</v>
      </c>
      <c r="K1232" s="37">
        <v>2</v>
      </c>
      <c r="L1232" s="37" t="s">
        <v>3892</v>
      </c>
      <c r="M1232" s="37" t="s">
        <v>117</v>
      </c>
      <c r="N1232" s="37">
        <v>4</v>
      </c>
      <c r="O1232" s="37" t="s">
        <v>191</v>
      </c>
      <c r="P1232" s="37"/>
    </row>
    <row r="1233" spans="1:16">
      <c r="A1233" s="46" t="s">
        <v>3893</v>
      </c>
      <c r="B1233" s="46" t="s">
        <v>1190</v>
      </c>
      <c r="C1233" s="46" t="s">
        <v>222</v>
      </c>
      <c r="D1233" s="46" t="s">
        <v>156</v>
      </c>
      <c r="E1233" s="46" t="s">
        <v>440</v>
      </c>
      <c r="F1233" s="46" t="s">
        <v>158</v>
      </c>
      <c r="G1233" s="46" t="s">
        <v>264</v>
      </c>
      <c r="H1233" s="46" t="s">
        <v>206</v>
      </c>
      <c r="I1233" s="46" t="s">
        <v>607</v>
      </c>
      <c r="J1233" s="46" t="s">
        <v>161</v>
      </c>
      <c r="K1233" s="46">
        <v>6</v>
      </c>
      <c r="L1233" s="46" t="s">
        <v>1434</v>
      </c>
      <c r="M1233" s="46" t="s">
        <v>337</v>
      </c>
      <c r="N1233" s="46"/>
      <c r="O1233" s="46" t="s">
        <v>131</v>
      </c>
      <c r="P1233" s="46" t="s">
        <v>759</v>
      </c>
    </row>
    <row r="1234" spans="1:16">
      <c r="A1234" s="37" t="s">
        <v>3894</v>
      </c>
      <c r="B1234" s="37" t="s">
        <v>1017</v>
      </c>
      <c r="C1234" s="37" t="s">
        <v>109</v>
      </c>
      <c r="D1234" s="37" t="s">
        <v>37</v>
      </c>
      <c r="E1234" s="37" t="s">
        <v>195</v>
      </c>
      <c r="F1234" s="37" t="s">
        <v>612</v>
      </c>
      <c r="G1234" s="37" t="s">
        <v>380</v>
      </c>
      <c r="H1234" s="37" t="s">
        <v>91</v>
      </c>
      <c r="I1234" s="37" t="s">
        <v>3895</v>
      </c>
      <c r="J1234" s="37" t="s">
        <v>3896</v>
      </c>
      <c r="K1234" s="37">
        <v>8</v>
      </c>
      <c r="L1234" s="37" t="s">
        <v>1491</v>
      </c>
      <c r="M1234" s="37" t="s">
        <v>337</v>
      </c>
      <c r="N1234" s="37"/>
      <c r="O1234" s="37" t="s">
        <v>191</v>
      </c>
      <c r="P1234" s="37" t="s">
        <v>132</v>
      </c>
    </row>
    <row r="1235" spans="1:16">
      <c r="A1235" s="46" t="s">
        <v>3897</v>
      </c>
      <c r="B1235" s="46" t="s">
        <v>1635</v>
      </c>
      <c r="C1235" s="46" t="s">
        <v>424</v>
      </c>
      <c r="D1235" s="46" t="s">
        <v>352</v>
      </c>
      <c r="E1235" s="46" t="s">
        <v>224</v>
      </c>
      <c r="F1235" s="46" t="s">
        <v>283</v>
      </c>
      <c r="G1235" s="46" t="s">
        <v>112</v>
      </c>
      <c r="H1235" s="46" t="s">
        <v>32</v>
      </c>
      <c r="I1235" s="46" t="s">
        <v>2176</v>
      </c>
      <c r="J1235" s="46" t="s">
        <v>3898</v>
      </c>
      <c r="K1235" s="46">
        <v>4</v>
      </c>
      <c r="L1235" s="46" t="s">
        <v>1134</v>
      </c>
      <c r="M1235" s="46" t="s">
        <v>105</v>
      </c>
      <c r="N1235" s="46">
        <v>5</v>
      </c>
      <c r="O1235" s="46" t="s">
        <v>118</v>
      </c>
      <c r="P1235" s="46"/>
    </row>
    <row r="1236" spans="1:16">
      <c r="A1236" s="37" t="s">
        <v>3899</v>
      </c>
      <c r="B1236" s="37" t="s">
        <v>1481</v>
      </c>
      <c r="C1236" s="37" t="s">
        <v>91</v>
      </c>
      <c r="D1236" s="37" t="s">
        <v>37</v>
      </c>
      <c r="E1236" s="37" t="s">
        <v>110</v>
      </c>
      <c r="F1236" s="37" t="s">
        <v>283</v>
      </c>
      <c r="G1236" s="37" t="s">
        <v>380</v>
      </c>
      <c r="H1236" s="37" t="s">
        <v>294</v>
      </c>
      <c r="I1236" s="37" t="s">
        <v>639</v>
      </c>
      <c r="J1236" s="37" t="s">
        <v>3900</v>
      </c>
      <c r="K1236" s="37">
        <v>4</v>
      </c>
      <c r="L1236" s="37" t="s">
        <v>712</v>
      </c>
      <c r="M1236" s="37" t="s">
        <v>200</v>
      </c>
      <c r="N1236" s="37">
        <v>4</v>
      </c>
      <c r="O1236" s="37" t="s">
        <v>79</v>
      </c>
      <c r="P1236" s="37"/>
    </row>
    <row r="1237" spans="1:16">
      <c r="A1237" s="46" t="s">
        <v>3901</v>
      </c>
      <c r="B1237" s="46" t="s">
        <v>1289</v>
      </c>
      <c r="C1237" s="46" t="s">
        <v>424</v>
      </c>
      <c r="D1237" s="46" t="s">
        <v>156</v>
      </c>
      <c r="E1237" s="46" t="s">
        <v>147</v>
      </c>
      <c r="F1237" s="46" t="s">
        <v>425</v>
      </c>
      <c r="G1237" s="46" t="s">
        <v>334</v>
      </c>
      <c r="H1237" s="46" t="s">
        <v>32</v>
      </c>
      <c r="I1237" s="46" t="s">
        <v>3902</v>
      </c>
      <c r="J1237" s="46" t="s">
        <v>3903</v>
      </c>
      <c r="K1237" s="46">
        <v>8</v>
      </c>
      <c r="L1237" s="46" t="s">
        <v>1169</v>
      </c>
      <c r="M1237" s="46" t="s">
        <v>143</v>
      </c>
      <c r="N1237" s="46">
        <v>3</v>
      </c>
      <c r="O1237" s="46" t="s">
        <v>131</v>
      </c>
      <c r="P1237" s="46"/>
    </row>
    <row r="1238" spans="1:16">
      <c r="A1238" s="37" t="s">
        <v>3904</v>
      </c>
      <c r="B1238" s="37" t="s">
        <v>2007</v>
      </c>
      <c r="C1238" s="37" t="s">
        <v>566</v>
      </c>
      <c r="D1238" s="37" t="s">
        <v>146</v>
      </c>
      <c r="E1238" s="37" t="s">
        <v>157</v>
      </c>
      <c r="F1238" s="37" t="s">
        <v>301</v>
      </c>
      <c r="G1238" s="37" t="s">
        <v>139</v>
      </c>
      <c r="H1238" s="37" t="s">
        <v>354</v>
      </c>
      <c r="I1238" s="37" t="s">
        <v>3905</v>
      </c>
      <c r="J1238" s="37" t="s">
        <v>3906</v>
      </c>
      <c r="K1238" s="37">
        <v>6</v>
      </c>
      <c r="L1238" s="37" t="s">
        <v>2933</v>
      </c>
      <c r="M1238" s="37" t="s">
        <v>72</v>
      </c>
      <c r="N1238" s="37">
        <v>2</v>
      </c>
      <c r="O1238" s="37" t="s">
        <v>181</v>
      </c>
      <c r="P1238" s="37"/>
    </row>
    <row r="1239" spans="1:16">
      <c r="A1239" s="46" t="s">
        <v>3907</v>
      </c>
      <c r="B1239" s="46" t="s">
        <v>2020</v>
      </c>
      <c r="C1239" s="46" t="s">
        <v>212</v>
      </c>
      <c r="D1239" s="46" t="s">
        <v>544</v>
      </c>
      <c r="E1239" s="46" t="s">
        <v>345</v>
      </c>
      <c r="F1239" s="46" t="s">
        <v>263</v>
      </c>
      <c r="G1239" s="46" t="s">
        <v>101</v>
      </c>
      <c r="H1239" s="46" t="s">
        <v>88</v>
      </c>
      <c r="I1239" s="46" t="s">
        <v>3707</v>
      </c>
      <c r="J1239" s="46" t="s">
        <v>3731</v>
      </c>
      <c r="K1239" s="46">
        <v>4</v>
      </c>
      <c r="L1239" s="46" t="s">
        <v>1377</v>
      </c>
      <c r="M1239" s="46" t="s">
        <v>200</v>
      </c>
      <c r="N1239" s="46">
        <v>1</v>
      </c>
      <c r="O1239" s="46" t="s">
        <v>118</v>
      </c>
      <c r="P1239" s="46"/>
    </row>
    <row r="1240" spans="1:16">
      <c r="A1240" s="37" t="s">
        <v>3908</v>
      </c>
      <c r="B1240" s="37" t="s">
        <v>1017</v>
      </c>
      <c r="C1240" s="37" t="s">
        <v>155</v>
      </c>
      <c r="D1240" s="37"/>
      <c r="E1240" s="37" t="s">
        <v>224</v>
      </c>
      <c r="F1240" s="37" t="s">
        <v>148</v>
      </c>
      <c r="G1240" s="37" t="s">
        <v>334</v>
      </c>
      <c r="H1240" s="37" t="s">
        <v>32</v>
      </c>
      <c r="I1240" s="37" t="s">
        <v>3736</v>
      </c>
      <c r="J1240" s="37" t="s">
        <v>3909</v>
      </c>
      <c r="K1240" s="37">
        <v>4</v>
      </c>
      <c r="L1240" s="37" t="s">
        <v>2055</v>
      </c>
      <c r="M1240" s="37" t="s">
        <v>2041</v>
      </c>
      <c r="N1240" s="37"/>
      <c r="O1240" s="37" t="s">
        <v>181</v>
      </c>
      <c r="P1240" s="37" t="s">
        <v>625</v>
      </c>
    </row>
    <row r="1241" spans="1:16">
      <c r="A1241" s="46" t="s">
        <v>3910</v>
      </c>
      <c r="B1241" s="46" t="s">
        <v>1998</v>
      </c>
      <c r="C1241" s="46" t="s">
        <v>32</v>
      </c>
      <c r="D1241" s="46" t="s">
        <v>98</v>
      </c>
      <c r="E1241" s="46" t="s">
        <v>325</v>
      </c>
      <c r="F1241" s="46" t="s">
        <v>368</v>
      </c>
      <c r="G1241" s="46" t="s">
        <v>380</v>
      </c>
      <c r="H1241" s="46" t="s">
        <v>91</v>
      </c>
      <c r="I1241" s="46" t="s">
        <v>3911</v>
      </c>
      <c r="J1241" s="46" t="s">
        <v>3912</v>
      </c>
      <c r="K1241" s="46">
        <v>4</v>
      </c>
      <c r="L1241" s="46" t="s">
        <v>722</v>
      </c>
      <c r="M1241" s="46" t="s">
        <v>200</v>
      </c>
      <c r="N1241" s="46">
        <v>2</v>
      </c>
      <c r="O1241" s="46" t="s">
        <v>181</v>
      </c>
      <c r="P1241" s="46"/>
    </row>
    <row r="1242" spans="1:16">
      <c r="A1242" s="37" t="s">
        <v>3913</v>
      </c>
      <c r="B1242" s="37" t="s">
        <v>1125</v>
      </c>
      <c r="C1242" s="37" t="s">
        <v>212</v>
      </c>
      <c r="D1242" s="37" t="s">
        <v>213</v>
      </c>
      <c r="E1242" s="37" t="s">
        <v>157</v>
      </c>
      <c r="F1242" s="37" t="s">
        <v>111</v>
      </c>
      <c r="G1242" s="37" t="s">
        <v>380</v>
      </c>
      <c r="H1242" s="37" t="s">
        <v>126</v>
      </c>
      <c r="I1242" s="37" t="s">
        <v>3914</v>
      </c>
      <c r="J1242" s="37" t="s">
        <v>3915</v>
      </c>
      <c r="K1242" s="37">
        <v>6</v>
      </c>
      <c r="L1242" s="37" t="s">
        <v>497</v>
      </c>
      <c r="M1242" s="37" t="s">
        <v>172</v>
      </c>
      <c r="N1242" s="37">
        <v>2</v>
      </c>
      <c r="O1242" s="37" t="s">
        <v>118</v>
      </c>
      <c r="P1242" s="37"/>
    </row>
    <row r="1243" spans="1:16">
      <c r="A1243" s="46" t="s">
        <v>3916</v>
      </c>
      <c r="B1243" s="46" t="s">
        <v>248</v>
      </c>
      <c r="C1243" s="46" t="s">
        <v>88</v>
      </c>
      <c r="D1243" s="46" t="s">
        <v>270</v>
      </c>
      <c r="E1243" s="46" t="s">
        <v>440</v>
      </c>
      <c r="F1243" s="46" t="s">
        <v>148</v>
      </c>
      <c r="G1243" s="46" t="s">
        <v>346</v>
      </c>
      <c r="H1243" s="46" t="s">
        <v>113</v>
      </c>
      <c r="I1243" s="46" t="s">
        <v>2144</v>
      </c>
      <c r="J1243" s="46" t="s">
        <v>3917</v>
      </c>
      <c r="K1243" s="46">
        <v>8</v>
      </c>
      <c r="L1243" s="46" t="s">
        <v>902</v>
      </c>
      <c r="M1243" s="46" t="s">
        <v>105</v>
      </c>
      <c r="N1243" s="46">
        <v>4</v>
      </c>
      <c r="O1243" s="46" t="s">
        <v>191</v>
      </c>
      <c r="P1243" s="46"/>
    </row>
    <row r="1244" spans="1:16">
      <c r="A1244" s="37" t="s">
        <v>3918</v>
      </c>
      <c r="B1244" s="37" t="s">
        <v>339</v>
      </c>
      <c r="C1244" s="37" t="s">
        <v>407</v>
      </c>
      <c r="D1244" s="37" t="s">
        <v>270</v>
      </c>
      <c r="E1244" s="37" t="s">
        <v>147</v>
      </c>
      <c r="F1244" s="37" t="s">
        <v>167</v>
      </c>
      <c r="G1244" s="37" t="s">
        <v>101</v>
      </c>
      <c r="H1244" s="37" t="s">
        <v>187</v>
      </c>
      <c r="I1244" s="37" t="s">
        <v>3172</v>
      </c>
      <c r="J1244" s="37" t="s">
        <v>3919</v>
      </c>
      <c r="K1244" s="37">
        <v>8</v>
      </c>
      <c r="L1244" s="37" t="s">
        <v>1528</v>
      </c>
      <c r="M1244" s="37" t="s">
        <v>172</v>
      </c>
      <c r="N1244" s="37">
        <v>3</v>
      </c>
      <c r="O1244" s="37" t="s">
        <v>131</v>
      </c>
      <c r="P1244" s="37"/>
    </row>
    <row r="1245" spans="1:16">
      <c r="A1245" s="46" t="s">
        <v>3920</v>
      </c>
      <c r="B1245" s="46" t="s">
        <v>1039</v>
      </c>
      <c r="C1245" s="46" t="s">
        <v>282</v>
      </c>
      <c r="D1245" s="46" t="s">
        <v>352</v>
      </c>
      <c r="E1245" s="46" t="s">
        <v>157</v>
      </c>
      <c r="F1245" s="46" t="s">
        <v>313</v>
      </c>
      <c r="G1245" s="46" t="s">
        <v>101</v>
      </c>
      <c r="H1245" s="46" t="s">
        <v>187</v>
      </c>
      <c r="I1245" s="46" t="s">
        <v>3921</v>
      </c>
      <c r="J1245" s="46" t="s">
        <v>3922</v>
      </c>
      <c r="K1245" s="46">
        <v>4</v>
      </c>
      <c r="L1245" s="46" t="s">
        <v>1072</v>
      </c>
      <c r="M1245" s="46" t="s">
        <v>219</v>
      </c>
      <c r="N1245" s="46">
        <v>3</v>
      </c>
      <c r="O1245" s="46" t="s">
        <v>106</v>
      </c>
      <c r="P1245" s="46"/>
    </row>
    <row r="1246" spans="1:16">
      <c r="A1246" s="37" t="s">
        <v>3923</v>
      </c>
      <c r="B1246" s="37" t="s">
        <v>909</v>
      </c>
      <c r="C1246" s="37" t="s">
        <v>212</v>
      </c>
      <c r="D1246" s="37" t="s">
        <v>136</v>
      </c>
      <c r="E1246" s="37" t="s">
        <v>325</v>
      </c>
      <c r="F1246" s="37" t="s">
        <v>167</v>
      </c>
      <c r="G1246" s="37" t="s">
        <v>334</v>
      </c>
      <c r="H1246" s="37" t="s">
        <v>32</v>
      </c>
      <c r="I1246" s="37" t="s">
        <v>730</v>
      </c>
      <c r="J1246" s="37" t="s">
        <v>1631</v>
      </c>
      <c r="K1246" s="37">
        <v>4</v>
      </c>
      <c r="L1246" s="37" t="s">
        <v>769</v>
      </c>
      <c r="M1246" s="37" t="s">
        <v>163</v>
      </c>
      <c r="N1246" s="37">
        <v>5</v>
      </c>
      <c r="O1246" s="37" t="s">
        <v>181</v>
      </c>
      <c r="P1246" s="37"/>
    </row>
    <row r="1247" spans="1:16">
      <c r="A1247" s="46" t="s">
        <v>3924</v>
      </c>
      <c r="B1247" s="46" t="s">
        <v>763</v>
      </c>
      <c r="C1247" s="46" t="s">
        <v>166</v>
      </c>
      <c r="D1247" s="46" t="s">
        <v>367</v>
      </c>
      <c r="E1247" s="46" t="s">
        <v>325</v>
      </c>
      <c r="F1247" s="46" t="s">
        <v>283</v>
      </c>
      <c r="G1247" s="46" t="s">
        <v>89</v>
      </c>
      <c r="H1247" s="46" t="s">
        <v>88</v>
      </c>
      <c r="I1247" s="46" t="s">
        <v>1234</v>
      </c>
      <c r="J1247" s="46" t="s">
        <v>3925</v>
      </c>
      <c r="K1247" s="46">
        <v>4</v>
      </c>
      <c r="L1247" s="46" t="s">
        <v>1960</v>
      </c>
      <c r="M1247" s="46" t="s">
        <v>163</v>
      </c>
      <c r="N1247" s="46">
        <v>5</v>
      </c>
      <c r="O1247" s="46" t="s">
        <v>118</v>
      </c>
      <c r="P1247" s="46"/>
    </row>
    <row r="1248" spans="1:16">
      <c r="A1248" s="37" t="s">
        <v>3926</v>
      </c>
      <c r="B1248" s="37" t="s">
        <v>877</v>
      </c>
      <c r="C1248" s="37" t="s">
        <v>307</v>
      </c>
      <c r="D1248" s="37" t="s">
        <v>37</v>
      </c>
      <c r="E1248" s="37" t="s">
        <v>176</v>
      </c>
      <c r="F1248" s="37" t="s">
        <v>582</v>
      </c>
      <c r="G1248" s="37" t="s">
        <v>51</v>
      </c>
      <c r="H1248" s="37" t="s">
        <v>54</v>
      </c>
      <c r="I1248" s="37" t="s">
        <v>2760</v>
      </c>
      <c r="J1248" s="37" t="s">
        <v>3927</v>
      </c>
      <c r="K1248" s="37">
        <v>8</v>
      </c>
      <c r="L1248" s="37" t="s">
        <v>379</v>
      </c>
      <c r="M1248" s="37" t="s">
        <v>200</v>
      </c>
      <c r="N1248" s="37">
        <v>4</v>
      </c>
      <c r="O1248" s="37" t="s">
        <v>79</v>
      </c>
      <c r="P1248" s="37"/>
    </row>
    <row r="1249" spans="1:16">
      <c r="A1249" s="46" t="s">
        <v>3928</v>
      </c>
      <c r="B1249" s="46" t="s">
        <v>2101</v>
      </c>
      <c r="C1249" s="46" t="s">
        <v>166</v>
      </c>
      <c r="D1249" s="46" t="s">
        <v>37</v>
      </c>
      <c r="E1249" s="46" t="s">
        <v>185</v>
      </c>
      <c r="F1249" s="46" t="s">
        <v>158</v>
      </c>
      <c r="G1249" s="46" t="s">
        <v>89</v>
      </c>
      <c r="H1249" s="46" t="s">
        <v>88</v>
      </c>
      <c r="I1249" s="46" t="s">
        <v>3929</v>
      </c>
      <c r="J1249" s="46" t="s">
        <v>3930</v>
      </c>
      <c r="K1249" s="46">
        <v>6</v>
      </c>
      <c r="L1249" s="46" t="s">
        <v>2379</v>
      </c>
      <c r="M1249" s="46" t="s">
        <v>105</v>
      </c>
      <c r="N1249" s="46">
        <v>3</v>
      </c>
      <c r="O1249" s="46" t="s">
        <v>181</v>
      </c>
      <c r="P1249" s="46"/>
    </row>
    <row r="1250" spans="1:16">
      <c r="A1250" s="37" t="s">
        <v>3931</v>
      </c>
      <c r="B1250" s="37" t="s">
        <v>3257</v>
      </c>
      <c r="C1250" s="37" t="s">
        <v>222</v>
      </c>
      <c r="D1250" s="37" t="s">
        <v>352</v>
      </c>
      <c r="E1250" s="37" t="s">
        <v>157</v>
      </c>
      <c r="F1250" s="37" t="s">
        <v>214</v>
      </c>
      <c r="G1250" s="37" t="s">
        <v>87</v>
      </c>
      <c r="H1250" s="37" t="s">
        <v>113</v>
      </c>
      <c r="I1250" s="37" t="s">
        <v>3932</v>
      </c>
      <c r="J1250" s="37" t="s">
        <v>3933</v>
      </c>
      <c r="K1250" s="37">
        <v>6</v>
      </c>
      <c r="L1250" s="37" t="s">
        <v>828</v>
      </c>
      <c r="M1250" s="37" t="s">
        <v>200</v>
      </c>
      <c r="N1250" s="37">
        <v>3</v>
      </c>
      <c r="O1250" s="37" t="s">
        <v>152</v>
      </c>
      <c r="P1250" s="37"/>
    </row>
    <row r="1251" spans="1:16">
      <c r="A1251" s="46" t="s">
        <v>3934</v>
      </c>
      <c r="B1251" s="46" t="s">
        <v>1282</v>
      </c>
      <c r="C1251" s="46" t="s">
        <v>282</v>
      </c>
      <c r="D1251" s="46" t="s">
        <v>184</v>
      </c>
      <c r="E1251" s="46" t="s">
        <v>195</v>
      </c>
      <c r="F1251" s="46" t="s">
        <v>664</v>
      </c>
      <c r="G1251" s="46" t="s">
        <v>380</v>
      </c>
      <c r="H1251" s="46" t="s">
        <v>126</v>
      </c>
      <c r="I1251" s="46" t="s">
        <v>3935</v>
      </c>
      <c r="J1251" s="46" t="s">
        <v>3641</v>
      </c>
      <c r="K1251" s="46">
        <v>8</v>
      </c>
      <c r="L1251" s="46" t="s">
        <v>151</v>
      </c>
      <c r="M1251" s="46" t="s">
        <v>117</v>
      </c>
      <c r="N1251" s="46">
        <v>5</v>
      </c>
      <c r="O1251" s="46" t="s">
        <v>131</v>
      </c>
      <c r="P1251" s="46"/>
    </row>
    <row r="1252" spans="1:16">
      <c r="A1252" s="37" t="s">
        <v>3936</v>
      </c>
      <c r="B1252" s="37" t="s">
        <v>1586</v>
      </c>
      <c r="C1252" s="37" t="s">
        <v>91</v>
      </c>
      <c r="D1252" s="37" t="s">
        <v>352</v>
      </c>
      <c r="E1252" s="37" t="s">
        <v>176</v>
      </c>
      <c r="F1252" s="37" t="s">
        <v>47</v>
      </c>
      <c r="G1252" s="37" t="s">
        <v>168</v>
      </c>
      <c r="H1252" s="37" t="s">
        <v>278</v>
      </c>
      <c r="I1252" s="37" t="s">
        <v>762</v>
      </c>
      <c r="J1252" s="37" t="s">
        <v>1799</v>
      </c>
      <c r="K1252" s="37">
        <v>8</v>
      </c>
      <c r="L1252" s="37" t="s">
        <v>1588</v>
      </c>
      <c r="M1252" s="37" t="s">
        <v>105</v>
      </c>
      <c r="N1252" s="37">
        <v>5</v>
      </c>
      <c r="O1252" s="37" t="s">
        <v>131</v>
      </c>
      <c r="P1252" s="37"/>
    </row>
    <row r="1253" spans="1:16">
      <c r="A1253" s="46" t="s">
        <v>3937</v>
      </c>
      <c r="B1253" s="46" t="s">
        <v>656</v>
      </c>
      <c r="C1253" s="46" t="s">
        <v>90</v>
      </c>
      <c r="D1253" s="46" t="s">
        <v>146</v>
      </c>
      <c r="E1253" s="46" t="s">
        <v>224</v>
      </c>
      <c r="F1253" s="46" t="s">
        <v>177</v>
      </c>
      <c r="G1253" s="46" t="s">
        <v>89</v>
      </c>
      <c r="H1253" s="46" t="s">
        <v>88</v>
      </c>
      <c r="I1253" s="46" t="s">
        <v>1146</v>
      </c>
      <c r="J1253" s="46" t="s">
        <v>3938</v>
      </c>
      <c r="K1253" s="46">
        <v>4</v>
      </c>
      <c r="L1253" s="46"/>
      <c r="M1253" s="46" t="s">
        <v>2073</v>
      </c>
      <c r="N1253" s="46"/>
      <c r="O1253" s="46" t="s">
        <v>191</v>
      </c>
      <c r="P1253" s="46"/>
    </row>
    <row r="1254" spans="1:16">
      <c r="A1254" s="37" t="s">
        <v>3939</v>
      </c>
      <c r="B1254" s="37" t="s">
        <v>1292</v>
      </c>
      <c r="C1254" s="37" t="s">
        <v>212</v>
      </c>
      <c r="D1254" s="37" t="s">
        <v>333</v>
      </c>
      <c r="E1254" s="37" t="s">
        <v>325</v>
      </c>
      <c r="F1254" s="37" t="s">
        <v>326</v>
      </c>
      <c r="G1254" s="37" t="s">
        <v>380</v>
      </c>
      <c r="H1254" s="37" t="s">
        <v>294</v>
      </c>
      <c r="I1254" s="37" t="s">
        <v>3940</v>
      </c>
      <c r="J1254" s="37" t="s">
        <v>3747</v>
      </c>
      <c r="K1254" s="37">
        <v>4</v>
      </c>
      <c r="L1254" s="37" t="s">
        <v>318</v>
      </c>
      <c r="M1254" s="37" t="s">
        <v>105</v>
      </c>
      <c r="N1254" s="37">
        <v>2</v>
      </c>
      <c r="O1254" s="37" t="s">
        <v>152</v>
      </c>
      <c r="P1254" s="37"/>
    </row>
    <row r="1255" spans="1:16">
      <c r="A1255" s="46" t="s">
        <v>3941</v>
      </c>
      <c r="B1255" s="46" t="s">
        <v>1158</v>
      </c>
      <c r="C1255" s="46" t="s">
        <v>366</v>
      </c>
      <c r="D1255" s="46" t="s">
        <v>156</v>
      </c>
      <c r="E1255" s="46" t="s">
        <v>440</v>
      </c>
      <c r="F1255" s="46" t="s">
        <v>158</v>
      </c>
      <c r="G1255" s="46" t="s">
        <v>346</v>
      </c>
      <c r="H1255" s="46" t="s">
        <v>32</v>
      </c>
      <c r="I1255" s="46" t="s">
        <v>3714</v>
      </c>
      <c r="J1255" s="46" t="s">
        <v>731</v>
      </c>
      <c r="K1255" s="46">
        <v>8</v>
      </c>
      <c r="L1255" s="46" t="s">
        <v>180</v>
      </c>
      <c r="M1255" s="46" t="s">
        <v>117</v>
      </c>
      <c r="N1255" s="46">
        <v>4</v>
      </c>
      <c r="O1255" s="46" t="s">
        <v>131</v>
      </c>
      <c r="P1255" s="46"/>
    </row>
    <row r="1256" spans="1:16">
      <c r="A1256" s="37" t="s">
        <v>3942</v>
      </c>
      <c r="B1256" s="37" t="s">
        <v>940</v>
      </c>
      <c r="C1256" s="37" t="s">
        <v>307</v>
      </c>
      <c r="D1256" s="37" t="s">
        <v>333</v>
      </c>
      <c r="E1256" s="37" t="s">
        <v>157</v>
      </c>
      <c r="F1256" s="37" t="s">
        <v>205</v>
      </c>
      <c r="G1256" s="37" t="s">
        <v>125</v>
      </c>
      <c r="H1256" s="37" t="s">
        <v>126</v>
      </c>
      <c r="I1256" s="37" t="s">
        <v>3943</v>
      </c>
      <c r="J1256" s="37" t="s">
        <v>3679</v>
      </c>
      <c r="K1256" s="37">
        <v>6</v>
      </c>
      <c r="L1256" s="37" t="s">
        <v>2802</v>
      </c>
      <c r="M1256" s="37" t="s">
        <v>219</v>
      </c>
      <c r="N1256" s="37">
        <v>4</v>
      </c>
      <c r="O1256" s="37" t="s">
        <v>191</v>
      </c>
      <c r="P1256" s="37"/>
    </row>
    <row r="1257" spans="1:16">
      <c r="A1257" s="46" t="s">
        <v>3944</v>
      </c>
      <c r="B1257" s="46" t="s">
        <v>725</v>
      </c>
      <c r="C1257" s="46" t="s">
        <v>91</v>
      </c>
      <c r="D1257" s="46" t="s">
        <v>230</v>
      </c>
      <c r="E1257" s="46" t="s">
        <v>325</v>
      </c>
      <c r="F1257" s="46" t="s">
        <v>277</v>
      </c>
      <c r="G1257" s="46" t="s">
        <v>89</v>
      </c>
      <c r="H1257" s="46" t="s">
        <v>278</v>
      </c>
      <c r="I1257" s="46" t="s">
        <v>3945</v>
      </c>
      <c r="J1257" s="46" t="s">
        <v>3946</v>
      </c>
      <c r="K1257" s="46">
        <v>4</v>
      </c>
      <c r="L1257" s="46" t="s">
        <v>1311</v>
      </c>
      <c r="M1257" s="46" t="s">
        <v>172</v>
      </c>
      <c r="N1257" s="46">
        <v>2</v>
      </c>
      <c r="O1257" s="46" t="s">
        <v>79</v>
      </c>
      <c r="P1257" s="46"/>
    </row>
    <row r="1258" spans="1:16">
      <c r="A1258" s="37" t="s">
        <v>3947</v>
      </c>
      <c r="B1258" s="37" t="s">
        <v>2646</v>
      </c>
      <c r="C1258" s="37" t="s">
        <v>340</v>
      </c>
      <c r="D1258" s="37" t="s">
        <v>98</v>
      </c>
      <c r="E1258" s="37" t="s">
        <v>147</v>
      </c>
      <c r="F1258" s="37" t="s">
        <v>353</v>
      </c>
      <c r="G1258" s="37" t="s">
        <v>197</v>
      </c>
      <c r="H1258" s="37" t="s">
        <v>327</v>
      </c>
      <c r="I1258" s="37" t="s">
        <v>3948</v>
      </c>
      <c r="J1258" s="37" t="s">
        <v>1414</v>
      </c>
      <c r="K1258" s="37">
        <v>8</v>
      </c>
      <c r="L1258" s="37" t="s">
        <v>1838</v>
      </c>
      <c r="M1258" s="37" t="s">
        <v>200</v>
      </c>
      <c r="N1258" s="37">
        <v>3</v>
      </c>
      <c r="O1258" s="37" t="s">
        <v>79</v>
      </c>
      <c r="P1258" s="37"/>
    </row>
    <row r="1259" spans="1:16">
      <c r="A1259" s="46" t="s">
        <v>3949</v>
      </c>
      <c r="B1259" s="46" t="s">
        <v>822</v>
      </c>
      <c r="C1259" s="46" t="s">
        <v>407</v>
      </c>
      <c r="D1259" s="46" t="s">
        <v>98</v>
      </c>
      <c r="E1259" s="46" t="s">
        <v>224</v>
      </c>
      <c r="F1259" s="46" t="s">
        <v>385</v>
      </c>
      <c r="G1259" s="46" t="s">
        <v>264</v>
      </c>
      <c r="H1259" s="46" t="s">
        <v>206</v>
      </c>
      <c r="I1259" s="46" t="s">
        <v>3950</v>
      </c>
      <c r="J1259" s="46" t="s">
        <v>3951</v>
      </c>
      <c r="K1259" s="46">
        <v>4</v>
      </c>
      <c r="L1259" s="46" t="s">
        <v>679</v>
      </c>
      <c r="M1259" s="46" t="s">
        <v>219</v>
      </c>
      <c r="N1259" s="46">
        <v>4</v>
      </c>
      <c r="O1259" s="46" t="s">
        <v>118</v>
      </c>
      <c r="P1259" s="46"/>
    </row>
    <row r="1260" spans="1:16">
      <c r="A1260" s="37" t="s">
        <v>3952</v>
      </c>
      <c r="B1260" s="37" t="s">
        <v>1424</v>
      </c>
      <c r="C1260" s="37" t="s">
        <v>54</v>
      </c>
      <c r="D1260" s="37" t="s">
        <v>333</v>
      </c>
      <c r="E1260" s="37" t="s">
        <v>224</v>
      </c>
      <c r="F1260" s="37" t="s">
        <v>319</v>
      </c>
      <c r="G1260" s="37" t="s">
        <v>401</v>
      </c>
      <c r="H1260" s="37" t="s">
        <v>327</v>
      </c>
      <c r="I1260" s="37" t="s">
        <v>3953</v>
      </c>
      <c r="J1260" s="37" t="s">
        <v>3954</v>
      </c>
      <c r="K1260" s="37">
        <v>2</v>
      </c>
      <c r="L1260" s="37" t="s">
        <v>3608</v>
      </c>
      <c r="M1260" s="37" t="s">
        <v>72</v>
      </c>
      <c r="N1260" s="37">
        <v>3</v>
      </c>
      <c r="O1260" s="37" t="s">
        <v>181</v>
      </c>
      <c r="P1260" s="37"/>
    </row>
    <row r="1261" spans="1:16">
      <c r="A1261" s="46" t="s">
        <v>3955</v>
      </c>
      <c r="B1261" s="46" t="s">
        <v>1301</v>
      </c>
      <c r="C1261" s="46" t="s">
        <v>366</v>
      </c>
      <c r="D1261" s="46" t="s">
        <v>544</v>
      </c>
      <c r="E1261" s="46" t="s">
        <v>176</v>
      </c>
      <c r="F1261" s="46" t="s">
        <v>231</v>
      </c>
      <c r="G1261" s="46" t="s">
        <v>112</v>
      </c>
      <c r="H1261" s="46" t="s">
        <v>113</v>
      </c>
      <c r="I1261" s="46" t="s">
        <v>944</v>
      </c>
      <c r="J1261" s="46" t="s">
        <v>3468</v>
      </c>
      <c r="K1261" s="46">
        <v>8</v>
      </c>
      <c r="L1261" s="46" t="s">
        <v>1389</v>
      </c>
      <c r="M1261" s="46" t="s">
        <v>72</v>
      </c>
      <c r="N1261" s="46">
        <v>1</v>
      </c>
      <c r="O1261" s="46" t="s">
        <v>152</v>
      </c>
      <c r="P1261" s="46"/>
    </row>
    <row r="1262" spans="1:16">
      <c r="A1262" s="37" t="s">
        <v>3956</v>
      </c>
      <c r="B1262" s="37" t="s">
        <v>536</v>
      </c>
      <c r="C1262" s="37" t="s">
        <v>121</v>
      </c>
      <c r="D1262" s="37" t="s">
        <v>136</v>
      </c>
      <c r="E1262" s="37" t="s">
        <v>99</v>
      </c>
      <c r="F1262" s="37" t="s">
        <v>664</v>
      </c>
      <c r="G1262" s="37" t="s">
        <v>112</v>
      </c>
      <c r="H1262" s="37" t="s">
        <v>113</v>
      </c>
      <c r="I1262" s="37" t="s">
        <v>3398</v>
      </c>
      <c r="J1262" s="37" t="s">
        <v>3957</v>
      </c>
      <c r="K1262" s="37">
        <v>2</v>
      </c>
      <c r="L1262" s="37" t="s">
        <v>2385</v>
      </c>
      <c r="M1262" s="37" t="s">
        <v>117</v>
      </c>
      <c r="N1262" s="37">
        <v>3</v>
      </c>
      <c r="O1262" s="37" t="s">
        <v>131</v>
      </c>
      <c r="P1262" s="37"/>
    </row>
    <row r="1263" spans="1:16">
      <c r="A1263" s="46" t="s">
        <v>3958</v>
      </c>
      <c r="B1263" s="46" t="s">
        <v>611</v>
      </c>
      <c r="C1263" s="46" t="s">
        <v>91</v>
      </c>
      <c r="D1263" s="46" t="s">
        <v>270</v>
      </c>
      <c r="E1263" s="46" t="s">
        <v>176</v>
      </c>
      <c r="F1263" s="46" t="s">
        <v>582</v>
      </c>
      <c r="G1263" s="46" t="s">
        <v>92</v>
      </c>
      <c r="H1263" s="46" t="s">
        <v>396</v>
      </c>
      <c r="I1263" s="46" t="s">
        <v>1341</v>
      </c>
      <c r="J1263" s="46" t="s">
        <v>3959</v>
      </c>
      <c r="K1263" s="46">
        <v>6</v>
      </c>
      <c r="L1263" s="46" t="s">
        <v>3756</v>
      </c>
      <c r="M1263" s="46" t="s">
        <v>105</v>
      </c>
      <c r="N1263" s="46">
        <v>5</v>
      </c>
      <c r="O1263" s="46" t="s">
        <v>106</v>
      </c>
      <c r="P1263" s="46"/>
    </row>
    <row r="1264" spans="1:16">
      <c r="A1264" s="37" t="s">
        <v>3960</v>
      </c>
      <c r="B1264" s="37" t="s">
        <v>2547</v>
      </c>
      <c r="C1264" s="37" t="s">
        <v>97</v>
      </c>
      <c r="D1264" s="37" t="s">
        <v>223</v>
      </c>
      <c r="E1264" s="37" t="s">
        <v>244</v>
      </c>
      <c r="F1264" s="37" t="s">
        <v>326</v>
      </c>
      <c r="G1264" s="37" t="s">
        <v>470</v>
      </c>
      <c r="H1264" s="37" t="s">
        <v>294</v>
      </c>
      <c r="I1264" s="37" t="s">
        <v>762</v>
      </c>
      <c r="J1264" s="37" t="s">
        <v>3961</v>
      </c>
      <c r="K1264" s="37">
        <v>4</v>
      </c>
      <c r="L1264" s="37" t="s">
        <v>193</v>
      </c>
      <c r="M1264" s="37" t="s">
        <v>172</v>
      </c>
      <c r="N1264" s="37">
        <v>2</v>
      </c>
      <c r="O1264" s="37" t="s">
        <v>286</v>
      </c>
      <c r="P1264" s="37"/>
    </row>
    <row r="1265" spans="1:16">
      <c r="A1265" s="46" t="s">
        <v>3962</v>
      </c>
      <c r="B1265" s="46" t="s">
        <v>260</v>
      </c>
      <c r="C1265" s="46" t="s">
        <v>407</v>
      </c>
      <c r="D1265" s="46" t="s">
        <v>270</v>
      </c>
      <c r="E1265" s="46" t="s">
        <v>137</v>
      </c>
      <c r="F1265" s="46" t="s">
        <v>158</v>
      </c>
      <c r="G1265" s="46" t="s">
        <v>89</v>
      </c>
      <c r="H1265" s="46" t="s">
        <v>88</v>
      </c>
      <c r="I1265" s="46" t="s">
        <v>2404</v>
      </c>
      <c r="J1265" s="46" t="s">
        <v>3963</v>
      </c>
      <c r="K1265" s="46">
        <v>8</v>
      </c>
      <c r="L1265" s="46" t="s">
        <v>888</v>
      </c>
      <c r="M1265" s="46" t="s">
        <v>143</v>
      </c>
      <c r="N1265" s="46">
        <v>2</v>
      </c>
      <c r="O1265" s="46" t="s">
        <v>131</v>
      </c>
      <c r="P1265" s="46"/>
    </row>
    <row r="1266" spans="1:16">
      <c r="A1266" s="37" t="s">
        <v>3964</v>
      </c>
      <c r="B1266" s="37" t="s">
        <v>1602</v>
      </c>
      <c r="C1266" s="37" t="s">
        <v>366</v>
      </c>
      <c r="D1266" s="37" t="s">
        <v>230</v>
      </c>
      <c r="E1266" s="37" t="s">
        <v>99</v>
      </c>
      <c r="F1266" s="37" t="s">
        <v>981</v>
      </c>
      <c r="G1266" s="37" t="s">
        <v>112</v>
      </c>
      <c r="H1266" s="37" t="s">
        <v>215</v>
      </c>
      <c r="I1266" s="37" t="s">
        <v>2724</v>
      </c>
      <c r="J1266" s="37" t="s">
        <v>3965</v>
      </c>
      <c r="K1266" s="37">
        <v>4</v>
      </c>
      <c r="L1266" s="37" t="s">
        <v>490</v>
      </c>
      <c r="M1266" s="37" t="s">
        <v>72</v>
      </c>
      <c r="N1266" s="37">
        <v>5</v>
      </c>
      <c r="O1266" s="37" t="s">
        <v>152</v>
      </c>
      <c r="P1266" s="37"/>
    </row>
    <row r="1267" spans="1:16">
      <c r="A1267" s="46" t="s">
        <v>3966</v>
      </c>
      <c r="B1267" s="46" t="s">
        <v>1716</v>
      </c>
      <c r="C1267" s="46" t="s">
        <v>300</v>
      </c>
      <c r="D1267" s="46" t="s">
        <v>184</v>
      </c>
      <c r="E1267" s="46" t="s">
        <v>137</v>
      </c>
      <c r="F1267" s="46" t="s">
        <v>283</v>
      </c>
      <c r="G1267" s="46" t="s">
        <v>125</v>
      </c>
      <c r="H1267" s="46" t="s">
        <v>126</v>
      </c>
      <c r="I1267" s="46" t="s">
        <v>1657</v>
      </c>
      <c r="J1267" s="46" t="s">
        <v>3967</v>
      </c>
      <c r="K1267" s="46">
        <v>8</v>
      </c>
      <c r="L1267" s="46" t="s">
        <v>2640</v>
      </c>
      <c r="M1267" s="46" t="s">
        <v>117</v>
      </c>
      <c r="N1267" s="46">
        <v>5</v>
      </c>
      <c r="O1267" s="46" t="s">
        <v>106</v>
      </c>
      <c r="P1267" s="46"/>
    </row>
    <row r="1268" spans="1:16">
      <c r="A1268" s="37" t="s">
        <v>3968</v>
      </c>
      <c r="B1268" s="37" t="s">
        <v>2101</v>
      </c>
      <c r="C1268" s="37" t="s">
        <v>88</v>
      </c>
      <c r="D1268" s="37" t="s">
        <v>213</v>
      </c>
      <c r="E1268" s="37" t="s">
        <v>176</v>
      </c>
      <c r="F1268" s="37" t="s">
        <v>612</v>
      </c>
      <c r="G1268" s="37" t="s">
        <v>101</v>
      </c>
      <c r="H1268" s="37" t="s">
        <v>187</v>
      </c>
      <c r="I1268" s="37" t="s">
        <v>1374</v>
      </c>
      <c r="J1268" s="37" t="s">
        <v>3771</v>
      </c>
      <c r="K1268" s="37">
        <v>6</v>
      </c>
      <c r="L1268" s="37" t="s">
        <v>1269</v>
      </c>
      <c r="M1268" s="37" t="s">
        <v>143</v>
      </c>
      <c r="N1268" s="37">
        <v>3</v>
      </c>
      <c r="O1268" s="37" t="s">
        <v>152</v>
      </c>
      <c r="P1268" s="37"/>
    </row>
    <row r="1269" spans="1:16">
      <c r="A1269" s="46" t="s">
        <v>3969</v>
      </c>
      <c r="B1269" s="46" t="s">
        <v>774</v>
      </c>
      <c r="C1269" s="46" t="s">
        <v>340</v>
      </c>
      <c r="D1269" s="46" t="s">
        <v>146</v>
      </c>
      <c r="E1269" s="46" t="s">
        <v>110</v>
      </c>
      <c r="F1269" s="46" t="s">
        <v>231</v>
      </c>
      <c r="G1269" s="46" t="s">
        <v>197</v>
      </c>
      <c r="H1269" s="46" t="s">
        <v>54</v>
      </c>
      <c r="I1269" s="46" t="s">
        <v>3970</v>
      </c>
      <c r="J1269" s="46" t="s">
        <v>3971</v>
      </c>
      <c r="K1269" s="46">
        <v>6</v>
      </c>
      <c r="L1269" s="46" t="s">
        <v>761</v>
      </c>
      <c r="M1269" s="46" t="s">
        <v>105</v>
      </c>
      <c r="N1269" s="46">
        <v>4</v>
      </c>
      <c r="O1269" s="46" t="s">
        <v>106</v>
      </c>
      <c r="P1269" s="46"/>
    </row>
    <row r="1270" spans="1:16">
      <c r="A1270" s="37" t="s">
        <v>3972</v>
      </c>
      <c r="B1270" s="37" t="s">
        <v>1349</v>
      </c>
      <c r="C1270" s="37" t="s">
        <v>633</v>
      </c>
      <c r="D1270" s="37" t="s">
        <v>213</v>
      </c>
      <c r="E1270" s="37" t="s">
        <v>224</v>
      </c>
      <c r="F1270" s="37" t="s">
        <v>425</v>
      </c>
      <c r="G1270" s="37" t="s">
        <v>418</v>
      </c>
      <c r="H1270" s="37" t="s">
        <v>54</v>
      </c>
      <c r="I1270" s="37" t="s">
        <v>2663</v>
      </c>
      <c r="J1270" s="37" t="s">
        <v>3973</v>
      </c>
      <c r="K1270" s="37">
        <v>2</v>
      </c>
      <c r="L1270" s="37" t="s">
        <v>658</v>
      </c>
      <c r="M1270" s="37" t="s">
        <v>143</v>
      </c>
      <c r="N1270" s="37">
        <v>3</v>
      </c>
      <c r="O1270" s="37" t="s">
        <v>118</v>
      </c>
      <c r="P1270" s="37"/>
    </row>
    <row r="1271" spans="1:16">
      <c r="A1271" s="46" t="s">
        <v>3974</v>
      </c>
      <c r="B1271" s="46" t="s">
        <v>318</v>
      </c>
      <c r="C1271" s="46" t="s">
        <v>340</v>
      </c>
      <c r="D1271" s="46" t="s">
        <v>367</v>
      </c>
      <c r="E1271" s="46" t="s">
        <v>195</v>
      </c>
      <c r="F1271" s="46" t="s">
        <v>283</v>
      </c>
      <c r="G1271" s="46" t="s">
        <v>89</v>
      </c>
      <c r="H1271" s="46" t="s">
        <v>187</v>
      </c>
      <c r="I1271" s="46" t="s">
        <v>2689</v>
      </c>
      <c r="J1271" s="46" t="s">
        <v>935</v>
      </c>
      <c r="K1271" s="46">
        <v>8</v>
      </c>
      <c r="L1271" s="46" t="s">
        <v>2670</v>
      </c>
      <c r="M1271" s="46" t="s">
        <v>163</v>
      </c>
      <c r="N1271" s="46">
        <v>5</v>
      </c>
      <c r="O1271" s="46" t="s">
        <v>131</v>
      </c>
      <c r="P1271" s="46"/>
    </row>
    <row r="1272" spans="1:16">
      <c r="A1272" s="37" t="s">
        <v>3975</v>
      </c>
      <c r="B1272" s="37" t="s">
        <v>2675</v>
      </c>
      <c r="C1272" s="37" t="s">
        <v>340</v>
      </c>
      <c r="D1272" s="37" t="s">
        <v>312</v>
      </c>
      <c r="E1272" s="37" t="s">
        <v>244</v>
      </c>
      <c r="F1272" s="37" t="s">
        <v>263</v>
      </c>
      <c r="G1272" s="37" t="s">
        <v>380</v>
      </c>
      <c r="H1272" s="37" t="s">
        <v>396</v>
      </c>
      <c r="I1272" s="37" t="s">
        <v>1288</v>
      </c>
      <c r="J1272" s="37" t="s">
        <v>3976</v>
      </c>
      <c r="K1272" s="37">
        <v>4</v>
      </c>
      <c r="L1272" s="37" t="s">
        <v>1048</v>
      </c>
      <c r="M1272" s="37" t="s">
        <v>117</v>
      </c>
      <c r="N1272" s="37">
        <v>3</v>
      </c>
      <c r="O1272" s="37" t="s">
        <v>286</v>
      </c>
      <c r="P1272" s="37"/>
    </row>
    <row r="1273" spans="1:16">
      <c r="A1273" s="46" t="s">
        <v>3977</v>
      </c>
      <c r="B1273" s="46" t="s">
        <v>3978</v>
      </c>
      <c r="C1273" s="46" t="s">
        <v>282</v>
      </c>
      <c r="D1273" s="46" t="s">
        <v>367</v>
      </c>
      <c r="E1273" s="46" t="s">
        <v>195</v>
      </c>
      <c r="F1273" s="46" t="s">
        <v>385</v>
      </c>
      <c r="G1273" s="46" t="s">
        <v>264</v>
      </c>
      <c r="H1273" s="46" t="s">
        <v>187</v>
      </c>
      <c r="I1273" s="46" t="s">
        <v>1330</v>
      </c>
      <c r="J1273" s="46" t="s">
        <v>3903</v>
      </c>
      <c r="K1273" s="46">
        <v>6</v>
      </c>
      <c r="L1273" s="46" t="s">
        <v>995</v>
      </c>
      <c r="M1273" s="46" t="s">
        <v>219</v>
      </c>
      <c r="N1273" s="46">
        <v>5</v>
      </c>
      <c r="O1273" s="46" t="s">
        <v>181</v>
      </c>
      <c r="P1273" s="46"/>
    </row>
    <row r="1274" spans="1:16">
      <c r="A1274" s="37" t="s">
        <v>3979</v>
      </c>
      <c r="B1274" s="37" t="s">
        <v>2221</v>
      </c>
      <c r="C1274" s="37" t="s">
        <v>340</v>
      </c>
      <c r="D1274" s="37" t="s">
        <v>367</v>
      </c>
      <c r="E1274" s="37" t="s">
        <v>325</v>
      </c>
      <c r="F1274" s="37" t="s">
        <v>582</v>
      </c>
      <c r="G1274" s="37" t="s">
        <v>257</v>
      </c>
      <c r="H1274" s="37" t="s">
        <v>88</v>
      </c>
      <c r="I1274" s="37" t="s">
        <v>3980</v>
      </c>
      <c r="J1274" s="37" t="s">
        <v>3981</v>
      </c>
      <c r="K1274" s="37">
        <v>4</v>
      </c>
      <c r="L1274" s="37" t="s">
        <v>676</v>
      </c>
      <c r="M1274" s="37" t="s">
        <v>163</v>
      </c>
      <c r="N1274" s="37">
        <v>3</v>
      </c>
      <c r="O1274" s="37" t="s">
        <v>118</v>
      </c>
      <c r="P1274" s="37"/>
    </row>
    <row r="1275" spans="1:16">
      <c r="A1275" s="46" t="s">
        <v>3982</v>
      </c>
      <c r="B1275" s="46" t="s">
        <v>2918</v>
      </c>
      <c r="C1275" s="46" t="s">
        <v>451</v>
      </c>
      <c r="D1275" s="46" t="s">
        <v>333</v>
      </c>
      <c r="E1275" s="46" t="s">
        <v>147</v>
      </c>
      <c r="F1275" s="46" t="s">
        <v>1734</v>
      </c>
      <c r="G1275" s="46" t="s">
        <v>87</v>
      </c>
      <c r="H1275" s="46" t="s">
        <v>113</v>
      </c>
      <c r="I1275" s="46" t="s">
        <v>1413</v>
      </c>
      <c r="J1275" s="46" t="s">
        <v>3983</v>
      </c>
      <c r="K1275" s="46">
        <v>6</v>
      </c>
      <c r="L1275" s="46" t="s">
        <v>306</v>
      </c>
      <c r="M1275" s="46" t="s">
        <v>130</v>
      </c>
      <c r="N1275" s="46"/>
      <c r="O1275" s="46" t="s">
        <v>131</v>
      </c>
      <c r="P1275" s="46" t="s">
        <v>759</v>
      </c>
    </row>
    <row r="1276" spans="1:16">
      <c r="A1276" s="37" t="s">
        <v>3984</v>
      </c>
      <c r="B1276" s="37" t="s">
        <v>501</v>
      </c>
      <c r="C1276" s="37" t="s">
        <v>109</v>
      </c>
      <c r="D1276" s="37" t="s">
        <v>184</v>
      </c>
      <c r="E1276" s="37" t="s">
        <v>325</v>
      </c>
      <c r="F1276" s="37" t="s">
        <v>47</v>
      </c>
      <c r="G1276" s="37" t="s">
        <v>334</v>
      </c>
      <c r="H1276" s="37" t="s">
        <v>32</v>
      </c>
      <c r="I1276" s="37" t="s">
        <v>2420</v>
      </c>
      <c r="J1276" s="37" t="s">
        <v>1303</v>
      </c>
      <c r="K1276" s="37">
        <v>4</v>
      </c>
      <c r="L1276" s="37" t="s">
        <v>2354</v>
      </c>
      <c r="M1276" s="37" t="s">
        <v>143</v>
      </c>
      <c r="N1276" s="37">
        <v>2</v>
      </c>
      <c r="O1276" s="37" t="s">
        <v>152</v>
      </c>
      <c r="P1276" s="37"/>
    </row>
    <row r="1277" spans="1:16">
      <c r="A1277" s="46" t="s">
        <v>3985</v>
      </c>
      <c r="B1277" s="46" t="s">
        <v>1892</v>
      </c>
      <c r="C1277" s="46" t="s">
        <v>566</v>
      </c>
      <c r="D1277" s="46" t="s">
        <v>146</v>
      </c>
      <c r="E1277" s="46" t="s">
        <v>99</v>
      </c>
      <c r="F1277" s="46" t="s">
        <v>205</v>
      </c>
      <c r="G1277" s="46" t="s">
        <v>125</v>
      </c>
      <c r="H1277" s="46" t="s">
        <v>126</v>
      </c>
      <c r="I1277" s="46" t="s">
        <v>3986</v>
      </c>
      <c r="J1277" s="46" t="s">
        <v>3987</v>
      </c>
      <c r="K1277" s="46">
        <v>4</v>
      </c>
      <c r="L1277" s="46" t="s">
        <v>1758</v>
      </c>
      <c r="M1277" s="46" t="s">
        <v>105</v>
      </c>
      <c r="N1277" s="46">
        <v>4</v>
      </c>
      <c r="O1277" s="46" t="s">
        <v>131</v>
      </c>
      <c r="P1277" s="46"/>
    </row>
    <row r="1278" spans="1:16">
      <c r="A1278" s="37" t="s">
        <v>3988</v>
      </c>
      <c r="B1278" s="37" t="s">
        <v>485</v>
      </c>
      <c r="C1278" s="37" t="s">
        <v>300</v>
      </c>
      <c r="D1278" s="37" t="s">
        <v>223</v>
      </c>
      <c r="E1278" s="37" t="s">
        <v>42</v>
      </c>
      <c r="F1278" s="37" t="s">
        <v>283</v>
      </c>
      <c r="G1278" s="37" t="s">
        <v>380</v>
      </c>
      <c r="H1278" s="37" t="s">
        <v>91</v>
      </c>
      <c r="I1278" s="37" t="s">
        <v>3823</v>
      </c>
      <c r="J1278" s="37" t="s">
        <v>3989</v>
      </c>
      <c r="K1278" s="37">
        <v>6</v>
      </c>
      <c r="L1278" s="37" t="s">
        <v>1220</v>
      </c>
      <c r="M1278" s="37" t="s">
        <v>143</v>
      </c>
      <c r="N1278" s="37">
        <v>3</v>
      </c>
      <c r="O1278" s="37" t="s">
        <v>118</v>
      </c>
      <c r="P1278" s="37"/>
    </row>
    <row r="1279" spans="1:16">
      <c r="A1279" s="46" t="s">
        <v>3990</v>
      </c>
      <c r="B1279" s="46" t="s">
        <v>3991</v>
      </c>
      <c r="C1279" s="46" t="s">
        <v>174</v>
      </c>
      <c r="D1279" s="46" t="s">
        <v>98</v>
      </c>
      <c r="E1279" s="46" t="s">
        <v>137</v>
      </c>
      <c r="F1279" s="46" t="s">
        <v>167</v>
      </c>
      <c r="G1279" s="46" t="s">
        <v>302</v>
      </c>
      <c r="H1279" s="46" t="s">
        <v>126</v>
      </c>
      <c r="I1279" s="46" t="s">
        <v>2654</v>
      </c>
      <c r="J1279" s="46" t="s">
        <v>3992</v>
      </c>
      <c r="K1279" s="46">
        <v>8</v>
      </c>
      <c r="L1279" s="46" t="s">
        <v>1550</v>
      </c>
      <c r="M1279" s="46" t="s">
        <v>172</v>
      </c>
      <c r="N1279" s="46">
        <v>3</v>
      </c>
      <c r="O1279" s="46" t="s">
        <v>118</v>
      </c>
      <c r="P1279" s="46"/>
    </row>
    <row r="1280" spans="1:16">
      <c r="A1280" s="37" t="s">
        <v>3993</v>
      </c>
      <c r="B1280" s="37" t="s">
        <v>145</v>
      </c>
      <c r="C1280" s="37" t="s">
        <v>212</v>
      </c>
      <c r="D1280" s="37" t="s">
        <v>213</v>
      </c>
      <c r="E1280" s="37" t="s">
        <v>157</v>
      </c>
      <c r="F1280" s="37" t="s">
        <v>186</v>
      </c>
      <c r="G1280" s="37" t="s">
        <v>346</v>
      </c>
      <c r="H1280" s="37" t="s">
        <v>354</v>
      </c>
      <c r="I1280" s="37" t="s">
        <v>2813</v>
      </c>
      <c r="J1280" s="37" t="s">
        <v>599</v>
      </c>
      <c r="K1280" s="37">
        <v>6</v>
      </c>
      <c r="L1280" s="37" t="s">
        <v>523</v>
      </c>
      <c r="M1280" s="37" t="s">
        <v>143</v>
      </c>
      <c r="N1280" s="37">
        <v>3</v>
      </c>
      <c r="O1280" s="37" t="s">
        <v>106</v>
      </c>
      <c r="P1280" s="37"/>
    </row>
    <row r="1281" spans="1:16">
      <c r="A1281" s="46" t="s">
        <v>3994</v>
      </c>
      <c r="B1281" s="46" t="s">
        <v>485</v>
      </c>
      <c r="C1281" s="46" t="s">
        <v>374</v>
      </c>
      <c r="D1281" s="46" t="s">
        <v>367</v>
      </c>
      <c r="E1281" s="46" t="s">
        <v>123</v>
      </c>
      <c r="F1281" s="46" t="s">
        <v>277</v>
      </c>
      <c r="G1281" s="46" t="s">
        <v>264</v>
      </c>
      <c r="H1281" s="46" t="s">
        <v>88</v>
      </c>
      <c r="I1281" s="46" t="s">
        <v>1062</v>
      </c>
      <c r="J1281" s="46" t="s">
        <v>3278</v>
      </c>
      <c r="K1281" s="46">
        <v>4</v>
      </c>
      <c r="L1281" s="46" t="s">
        <v>1173</v>
      </c>
      <c r="M1281" s="46" t="s">
        <v>817</v>
      </c>
      <c r="N1281" s="46"/>
      <c r="O1281" s="46" t="s">
        <v>118</v>
      </c>
      <c r="P1281" s="46" t="s">
        <v>83</v>
      </c>
    </row>
    <row r="1282" spans="1:16">
      <c r="A1282" s="37" t="s">
        <v>3995</v>
      </c>
      <c r="B1282" s="37" t="s">
        <v>343</v>
      </c>
      <c r="C1282" s="37" t="s">
        <v>251</v>
      </c>
      <c r="D1282" s="37" t="s">
        <v>213</v>
      </c>
      <c r="E1282" s="37" t="s">
        <v>176</v>
      </c>
      <c r="F1282" s="37" t="s">
        <v>1145</v>
      </c>
      <c r="G1282" s="37" t="s">
        <v>197</v>
      </c>
      <c r="H1282" s="37" t="s">
        <v>327</v>
      </c>
      <c r="I1282" s="37" t="s">
        <v>3996</v>
      </c>
      <c r="J1282" s="37" t="s">
        <v>2551</v>
      </c>
      <c r="K1282" s="37">
        <v>8</v>
      </c>
      <c r="L1282" s="37" t="s">
        <v>3997</v>
      </c>
      <c r="M1282" s="37" t="s">
        <v>163</v>
      </c>
      <c r="N1282" s="37">
        <v>4</v>
      </c>
      <c r="O1282" s="37" t="s">
        <v>118</v>
      </c>
      <c r="P1282" s="37"/>
    </row>
    <row r="1283" spans="1:16">
      <c r="A1283" s="46" t="s">
        <v>3998</v>
      </c>
      <c r="B1283" s="46" t="s">
        <v>576</v>
      </c>
      <c r="C1283" s="46" t="s">
        <v>135</v>
      </c>
      <c r="D1283" s="46" t="s">
        <v>136</v>
      </c>
      <c r="E1283" s="46" t="s">
        <v>345</v>
      </c>
      <c r="F1283" s="46" t="s">
        <v>385</v>
      </c>
      <c r="G1283" s="46" t="s">
        <v>112</v>
      </c>
      <c r="H1283" s="46" t="s">
        <v>215</v>
      </c>
      <c r="I1283" s="46" t="s">
        <v>3999</v>
      </c>
      <c r="J1283" s="46" t="s">
        <v>4000</v>
      </c>
      <c r="K1283" s="46">
        <v>6</v>
      </c>
      <c r="L1283" s="46" t="s">
        <v>1475</v>
      </c>
      <c r="M1283" s="46" t="s">
        <v>219</v>
      </c>
      <c r="N1283" s="46">
        <v>4</v>
      </c>
      <c r="O1283" s="46" t="s">
        <v>181</v>
      </c>
      <c r="P1283" s="46"/>
    </row>
    <row r="1284" spans="1:16">
      <c r="A1284" s="37" t="s">
        <v>4001</v>
      </c>
      <c r="B1284" s="37" t="s">
        <v>1144</v>
      </c>
      <c r="C1284" s="37" t="s">
        <v>90</v>
      </c>
      <c r="D1284" s="37" t="s">
        <v>352</v>
      </c>
      <c r="E1284" s="37" t="s">
        <v>99</v>
      </c>
      <c r="F1284" s="37" t="s">
        <v>301</v>
      </c>
      <c r="G1284" s="37" t="s">
        <v>51</v>
      </c>
      <c r="H1284" s="37" t="s">
        <v>90</v>
      </c>
      <c r="I1284" s="37" t="s">
        <v>4002</v>
      </c>
      <c r="J1284" s="37" t="s">
        <v>4003</v>
      </c>
      <c r="K1284" s="37">
        <v>2</v>
      </c>
      <c r="L1284" s="37" t="s">
        <v>260</v>
      </c>
      <c r="M1284" s="37" t="s">
        <v>200</v>
      </c>
      <c r="N1284" s="37">
        <v>2</v>
      </c>
      <c r="O1284" s="37" t="s">
        <v>79</v>
      </c>
      <c r="P1284" s="37"/>
    </row>
    <row r="1285" spans="1:16">
      <c r="A1285" s="46" t="s">
        <v>4004</v>
      </c>
      <c r="B1285" s="46" t="s">
        <v>1059</v>
      </c>
      <c r="C1285" s="46" t="s">
        <v>212</v>
      </c>
      <c r="D1285" s="46" t="s">
        <v>367</v>
      </c>
      <c r="E1285" s="46" t="s">
        <v>325</v>
      </c>
      <c r="F1285" s="46" t="s">
        <v>319</v>
      </c>
      <c r="G1285" s="46" t="s">
        <v>92</v>
      </c>
      <c r="H1285" s="46" t="s">
        <v>396</v>
      </c>
      <c r="I1285" s="46" t="s">
        <v>4005</v>
      </c>
      <c r="J1285" s="46" t="s">
        <v>4006</v>
      </c>
      <c r="K1285" s="46">
        <v>4</v>
      </c>
      <c r="L1285" s="46" t="s">
        <v>1586</v>
      </c>
      <c r="M1285" s="46" t="s">
        <v>130</v>
      </c>
      <c r="N1285" s="46"/>
      <c r="O1285" s="46" t="s">
        <v>131</v>
      </c>
      <c r="P1285" s="46" t="s">
        <v>759</v>
      </c>
    </row>
    <row r="1286" spans="1:16">
      <c r="A1286" s="37" t="s">
        <v>4007</v>
      </c>
      <c r="B1286" s="37" t="s">
        <v>1606</v>
      </c>
      <c r="C1286" s="37" t="s">
        <v>93</v>
      </c>
      <c r="D1286" s="37" t="s">
        <v>544</v>
      </c>
      <c r="E1286" s="37" t="s">
        <v>147</v>
      </c>
      <c r="F1286" s="37" t="s">
        <v>385</v>
      </c>
      <c r="G1286" s="37" t="s">
        <v>418</v>
      </c>
      <c r="H1286" s="37" t="s">
        <v>54</v>
      </c>
      <c r="I1286" s="37" t="s">
        <v>4008</v>
      </c>
      <c r="J1286" s="37" t="s">
        <v>4009</v>
      </c>
      <c r="K1286" s="37">
        <v>8</v>
      </c>
      <c r="L1286" s="37" t="s">
        <v>1897</v>
      </c>
      <c r="M1286" s="37" t="s">
        <v>172</v>
      </c>
      <c r="N1286" s="37">
        <v>2</v>
      </c>
      <c r="O1286" s="37" t="s">
        <v>106</v>
      </c>
      <c r="P1286" s="37"/>
    </row>
    <row r="1287" spans="1:16">
      <c r="A1287" s="46" t="s">
        <v>4010</v>
      </c>
      <c r="B1287" s="46" t="s">
        <v>2720</v>
      </c>
      <c r="C1287" s="46" t="s">
        <v>91</v>
      </c>
      <c r="D1287" s="46" t="s">
        <v>194</v>
      </c>
      <c r="E1287" s="46" t="s">
        <v>440</v>
      </c>
      <c r="F1287" s="46" t="s">
        <v>205</v>
      </c>
      <c r="G1287" s="46" t="s">
        <v>401</v>
      </c>
      <c r="H1287" s="46" t="s">
        <v>90</v>
      </c>
      <c r="I1287" s="46" t="s">
        <v>4011</v>
      </c>
      <c r="J1287" s="46" t="s">
        <v>4012</v>
      </c>
      <c r="K1287" s="46">
        <v>8</v>
      </c>
      <c r="L1287" s="46" t="s">
        <v>1015</v>
      </c>
      <c r="M1287" s="46" t="s">
        <v>105</v>
      </c>
      <c r="N1287" s="46">
        <v>4</v>
      </c>
      <c r="O1287" s="46" t="s">
        <v>79</v>
      </c>
      <c r="P1287" s="46"/>
    </row>
    <row r="1288" spans="1:16">
      <c r="A1288" s="37" t="s">
        <v>4013</v>
      </c>
      <c r="B1288" s="37" t="s">
        <v>667</v>
      </c>
      <c r="C1288" s="37" t="s">
        <v>451</v>
      </c>
      <c r="D1288" s="37" t="s">
        <v>223</v>
      </c>
      <c r="E1288" s="37" t="s">
        <v>110</v>
      </c>
      <c r="F1288" s="37" t="s">
        <v>271</v>
      </c>
      <c r="G1288" s="37" t="s">
        <v>139</v>
      </c>
      <c r="H1288" s="37" t="s">
        <v>32</v>
      </c>
      <c r="I1288" s="37" t="s">
        <v>1640</v>
      </c>
      <c r="J1288" s="37" t="s">
        <v>4014</v>
      </c>
      <c r="K1288" s="37">
        <v>4</v>
      </c>
      <c r="L1288" s="37" t="s">
        <v>2269</v>
      </c>
      <c r="M1288" s="37" t="s">
        <v>72</v>
      </c>
      <c r="N1288" s="37">
        <v>4</v>
      </c>
      <c r="O1288" s="37" t="s">
        <v>118</v>
      </c>
      <c r="P1288" s="37"/>
    </row>
    <row r="1289" spans="1:16">
      <c r="A1289" s="46" t="s">
        <v>4015</v>
      </c>
      <c r="B1289" s="46" t="s">
        <v>1005</v>
      </c>
      <c r="C1289" s="46" t="s">
        <v>90</v>
      </c>
      <c r="D1289" s="46" t="s">
        <v>352</v>
      </c>
      <c r="E1289" s="46" t="s">
        <v>42</v>
      </c>
      <c r="F1289" s="46" t="s">
        <v>111</v>
      </c>
      <c r="G1289" s="46" t="s">
        <v>257</v>
      </c>
      <c r="H1289" s="46" t="s">
        <v>206</v>
      </c>
      <c r="I1289" s="46" t="s">
        <v>4016</v>
      </c>
      <c r="J1289" s="46" t="s">
        <v>4017</v>
      </c>
      <c r="K1289" s="46">
        <v>6</v>
      </c>
      <c r="L1289" s="46" t="s">
        <v>3797</v>
      </c>
      <c r="M1289" s="46" t="s">
        <v>200</v>
      </c>
      <c r="N1289" s="46">
        <v>3</v>
      </c>
      <c r="O1289" s="46" t="s">
        <v>79</v>
      </c>
      <c r="P1289" s="46"/>
    </row>
    <row r="1290" spans="1:16">
      <c r="A1290" s="37" t="s">
        <v>4018</v>
      </c>
      <c r="B1290" s="37" t="s">
        <v>712</v>
      </c>
      <c r="C1290" s="37" t="s">
        <v>121</v>
      </c>
      <c r="D1290" s="37" t="s">
        <v>98</v>
      </c>
      <c r="E1290" s="37" t="s">
        <v>137</v>
      </c>
      <c r="F1290" s="37" t="s">
        <v>498</v>
      </c>
      <c r="G1290" s="37" t="s">
        <v>87</v>
      </c>
      <c r="H1290" s="37" t="s">
        <v>113</v>
      </c>
      <c r="I1290" s="37" t="s">
        <v>1288</v>
      </c>
      <c r="J1290" s="37" t="s">
        <v>4019</v>
      </c>
      <c r="K1290" s="37">
        <v>6</v>
      </c>
      <c r="L1290" s="37" t="s">
        <v>2156</v>
      </c>
      <c r="M1290" s="37" t="s">
        <v>143</v>
      </c>
      <c r="N1290" s="37">
        <v>1</v>
      </c>
      <c r="O1290" s="37" t="s">
        <v>181</v>
      </c>
      <c r="P1290" s="37"/>
    </row>
    <row r="1291" spans="1:16">
      <c r="A1291" s="46" t="s">
        <v>4020</v>
      </c>
      <c r="B1291" s="46" t="s">
        <v>1755</v>
      </c>
      <c r="C1291" s="46" t="s">
        <v>424</v>
      </c>
      <c r="D1291" s="46" t="s">
        <v>213</v>
      </c>
      <c r="E1291" s="46" t="s">
        <v>195</v>
      </c>
      <c r="F1291" s="46" t="s">
        <v>498</v>
      </c>
      <c r="G1291" s="46" t="s">
        <v>401</v>
      </c>
      <c r="H1291" s="46" t="s">
        <v>93</v>
      </c>
      <c r="I1291" s="46" t="s">
        <v>1548</v>
      </c>
      <c r="J1291" s="46" t="s">
        <v>432</v>
      </c>
      <c r="K1291" s="46">
        <v>6</v>
      </c>
      <c r="L1291" s="46" t="s">
        <v>2468</v>
      </c>
      <c r="M1291" s="46" t="s">
        <v>200</v>
      </c>
      <c r="N1291" s="46">
        <v>5</v>
      </c>
      <c r="O1291" s="46" t="s">
        <v>131</v>
      </c>
      <c r="P1291" s="46"/>
    </row>
    <row r="1292" spans="1:16">
      <c r="A1292" s="37" t="s">
        <v>4021</v>
      </c>
      <c r="B1292" s="37" t="s">
        <v>2883</v>
      </c>
      <c r="C1292" s="37" t="s">
        <v>135</v>
      </c>
      <c r="D1292" s="37" t="s">
        <v>175</v>
      </c>
      <c r="E1292" s="37" t="s">
        <v>123</v>
      </c>
      <c r="F1292" s="37" t="s">
        <v>214</v>
      </c>
      <c r="G1292" s="37" t="s">
        <v>346</v>
      </c>
      <c r="H1292" s="37" t="s">
        <v>113</v>
      </c>
      <c r="I1292" s="37" t="s">
        <v>4022</v>
      </c>
      <c r="J1292" s="37" t="s">
        <v>4023</v>
      </c>
      <c r="K1292" s="37">
        <v>4</v>
      </c>
      <c r="L1292" s="37" t="s">
        <v>784</v>
      </c>
      <c r="M1292" s="37" t="s">
        <v>163</v>
      </c>
      <c r="N1292" s="37">
        <v>2</v>
      </c>
      <c r="O1292" s="37" t="s">
        <v>131</v>
      </c>
      <c r="P1292" s="37"/>
    </row>
    <row r="1293" spans="1:16">
      <c r="A1293" s="46" t="s">
        <v>4024</v>
      </c>
      <c r="B1293" s="46" t="s">
        <v>1034</v>
      </c>
      <c r="C1293" s="46" t="s">
        <v>407</v>
      </c>
      <c r="D1293" s="46" t="s">
        <v>223</v>
      </c>
      <c r="E1293" s="46" t="s">
        <v>99</v>
      </c>
      <c r="F1293" s="46" t="s">
        <v>498</v>
      </c>
      <c r="G1293" s="46" t="s">
        <v>125</v>
      </c>
      <c r="H1293" s="46" t="s">
        <v>126</v>
      </c>
      <c r="I1293" s="46" t="s">
        <v>1698</v>
      </c>
      <c r="J1293" s="46" t="s">
        <v>4025</v>
      </c>
      <c r="K1293" s="46">
        <v>2</v>
      </c>
      <c r="L1293" s="46" t="s">
        <v>1292</v>
      </c>
      <c r="M1293" s="46" t="s">
        <v>117</v>
      </c>
      <c r="N1293" s="46">
        <v>3</v>
      </c>
      <c r="O1293" s="46" t="s">
        <v>131</v>
      </c>
      <c r="P1293" s="46"/>
    </row>
    <row r="1294" spans="1:16">
      <c r="A1294" s="37" t="s">
        <v>4026</v>
      </c>
      <c r="B1294" s="37" t="s">
        <v>3268</v>
      </c>
      <c r="C1294" s="37" t="s">
        <v>109</v>
      </c>
      <c r="D1294" s="37" t="s">
        <v>230</v>
      </c>
      <c r="E1294" s="37" t="s">
        <v>110</v>
      </c>
      <c r="F1294" s="37" t="s">
        <v>177</v>
      </c>
      <c r="G1294" s="37" t="s">
        <v>346</v>
      </c>
      <c r="H1294" s="37" t="s">
        <v>32</v>
      </c>
      <c r="I1294" s="37" t="s">
        <v>863</v>
      </c>
      <c r="J1294" s="37" t="s">
        <v>4027</v>
      </c>
      <c r="K1294" s="37">
        <v>6</v>
      </c>
      <c r="L1294" s="37" t="s">
        <v>774</v>
      </c>
      <c r="M1294" s="37" t="s">
        <v>200</v>
      </c>
      <c r="N1294" s="37">
        <v>3</v>
      </c>
      <c r="O1294" s="37" t="s">
        <v>181</v>
      </c>
      <c r="P1294" s="37"/>
    </row>
    <row r="1295" spans="1:16">
      <c r="A1295" s="46" t="s">
        <v>4028</v>
      </c>
      <c r="B1295" s="46" t="s">
        <v>1571</v>
      </c>
      <c r="C1295" s="46" t="s">
        <v>424</v>
      </c>
      <c r="D1295" s="46" t="s">
        <v>223</v>
      </c>
      <c r="E1295" s="46" t="s">
        <v>224</v>
      </c>
      <c r="F1295" s="46" t="s">
        <v>167</v>
      </c>
      <c r="G1295" s="46" t="s">
        <v>139</v>
      </c>
      <c r="H1295" s="46" t="s">
        <v>354</v>
      </c>
      <c r="I1295" s="46" t="s">
        <v>1312</v>
      </c>
      <c r="J1295" s="46" t="s">
        <v>594</v>
      </c>
      <c r="K1295" s="46">
        <v>4</v>
      </c>
      <c r="L1295" s="46" t="s">
        <v>1030</v>
      </c>
      <c r="M1295" s="46" t="s">
        <v>72</v>
      </c>
      <c r="N1295" s="46">
        <v>2</v>
      </c>
      <c r="O1295" s="46" t="s">
        <v>118</v>
      </c>
      <c r="P1295" s="46"/>
    </row>
    <row r="1296" spans="1:16">
      <c r="A1296" s="37" t="s">
        <v>4029</v>
      </c>
      <c r="B1296" s="37" t="s">
        <v>2938</v>
      </c>
      <c r="C1296" s="37" t="s">
        <v>374</v>
      </c>
      <c r="D1296" s="37" t="s">
        <v>194</v>
      </c>
      <c r="E1296" s="37" t="s">
        <v>123</v>
      </c>
      <c r="F1296" s="37" t="s">
        <v>368</v>
      </c>
      <c r="G1296" s="37" t="s">
        <v>380</v>
      </c>
      <c r="H1296" s="37" t="s">
        <v>91</v>
      </c>
      <c r="I1296" s="37" t="s">
        <v>4030</v>
      </c>
      <c r="J1296" s="37" t="s">
        <v>4031</v>
      </c>
      <c r="K1296" s="37">
        <v>4</v>
      </c>
      <c r="L1296" s="37" t="s">
        <v>1292</v>
      </c>
      <c r="M1296" s="37" t="s">
        <v>143</v>
      </c>
      <c r="N1296" s="37">
        <v>4</v>
      </c>
      <c r="O1296" s="37" t="s">
        <v>286</v>
      </c>
      <c r="P1296" s="37"/>
    </row>
    <row r="1297" spans="1:16">
      <c r="A1297" s="46" t="s">
        <v>4032</v>
      </c>
      <c r="B1297" s="46" t="s">
        <v>2679</v>
      </c>
      <c r="C1297" s="46" t="s">
        <v>424</v>
      </c>
      <c r="D1297" s="46" t="s">
        <v>37</v>
      </c>
      <c r="E1297" s="46" t="s">
        <v>176</v>
      </c>
      <c r="F1297" s="46" t="s">
        <v>100</v>
      </c>
      <c r="G1297" s="46" t="s">
        <v>334</v>
      </c>
      <c r="H1297" s="46" t="s">
        <v>215</v>
      </c>
      <c r="I1297" s="46" t="s">
        <v>1057</v>
      </c>
      <c r="J1297" s="46" t="s">
        <v>4033</v>
      </c>
      <c r="K1297" s="46">
        <v>8</v>
      </c>
      <c r="L1297" s="46" t="s">
        <v>2169</v>
      </c>
      <c r="M1297" s="46" t="s">
        <v>72</v>
      </c>
      <c r="N1297" s="46">
        <v>2</v>
      </c>
      <c r="O1297" s="46" t="s">
        <v>118</v>
      </c>
      <c r="P1297" s="46"/>
    </row>
    <row r="1298" spans="1:16">
      <c r="A1298" s="37" t="s">
        <v>4034</v>
      </c>
      <c r="B1298" s="37" t="s">
        <v>2305</v>
      </c>
      <c r="C1298" s="37" t="s">
        <v>32</v>
      </c>
      <c r="D1298" s="37" t="s">
        <v>367</v>
      </c>
      <c r="E1298" s="37" t="s">
        <v>195</v>
      </c>
      <c r="F1298" s="37" t="s">
        <v>138</v>
      </c>
      <c r="G1298" s="37" t="s">
        <v>101</v>
      </c>
      <c r="H1298" s="37" t="s">
        <v>206</v>
      </c>
      <c r="I1298" s="37" t="s">
        <v>4035</v>
      </c>
      <c r="J1298" s="37" t="s">
        <v>864</v>
      </c>
      <c r="K1298" s="37">
        <v>8</v>
      </c>
      <c r="L1298" s="37" t="s">
        <v>1105</v>
      </c>
      <c r="M1298" s="37" t="s">
        <v>172</v>
      </c>
      <c r="N1298" s="37">
        <v>5</v>
      </c>
      <c r="O1298" s="37" t="s">
        <v>152</v>
      </c>
      <c r="P1298" s="37"/>
    </row>
    <row r="1299" spans="1:16">
      <c r="A1299" s="46" t="s">
        <v>4036</v>
      </c>
      <c r="B1299" s="46" t="s">
        <v>1454</v>
      </c>
      <c r="C1299" s="46" t="s">
        <v>97</v>
      </c>
      <c r="D1299" s="46" t="s">
        <v>367</v>
      </c>
      <c r="E1299" s="46" t="s">
        <v>185</v>
      </c>
      <c r="F1299" s="46" t="s">
        <v>353</v>
      </c>
      <c r="G1299" s="46" t="s">
        <v>346</v>
      </c>
      <c r="H1299" s="46" t="s">
        <v>113</v>
      </c>
      <c r="I1299" s="46" t="s">
        <v>4037</v>
      </c>
      <c r="J1299" s="46" t="s">
        <v>3369</v>
      </c>
      <c r="K1299" s="46">
        <v>6</v>
      </c>
      <c r="L1299" s="46" t="s">
        <v>1595</v>
      </c>
      <c r="M1299" s="46" t="s">
        <v>200</v>
      </c>
      <c r="N1299" s="46">
        <v>5</v>
      </c>
      <c r="O1299" s="46" t="s">
        <v>181</v>
      </c>
      <c r="P1299" s="46"/>
    </row>
    <row r="1300" spans="1:16">
      <c r="A1300" s="37" t="s">
        <v>4038</v>
      </c>
      <c r="B1300" s="37" t="s">
        <v>2938</v>
      </c>
      <c r="C1300" s="37" t="s">
        <v>282</v>
      </c>
      <c r="D1300" s="37" t="s">
        <v>194</v>
      </c>
      <c r="E1300" s="37" t="s">
        <v>99</v>
      </c>
      <c r="F1300" s="37" t="s">
        <v>582</v>
      </c>
      <c r="G1300" s="37" t="s">
        <v>302</v>
      </c>
      <c r="H1300" s="37" t="s">
        <v>126</v>
      </c>
      <c r="I1300" s="37" t="s">
        <v>3200</v>
      </c>
      <c r="J1300" s="37" t="s">
        <v>4039</v>
      </c>
      <c r="K1300" s="37">
        <v>4</v>
      </c>
      <c r="L1300" s="37" t="s">
        <v>1782</v>
      </c>
      <c r="M1300" s="37" t="s">
        <v>163</v>
      </c>
      <c r="N1300" s="37">
        <v>3</v>
      </c>
      <c r="O1300" s="37" t="s">
        <v>79</v>
      </c>
      <c r="P1300" s="37"/>
    </row>
    <row r="1301" spans="1:16">
      <c r="A1301" s="46" t="s">
        <v>4040</v>
      </c>
      <c r="B1301" s="46" t="s">
        <v>1475</v>
      </c>
      <c r="C1301" s="46" t="s">
        <v>374</v>
      </c>
      <c r="D1301" s="46" t="s">
        <v>230</v>
      </c>
      <c r="E1301" s="46" t="s">
        <v>42</v>
      </c>
      <c r="F1301" s="46" t="s">
        <v>368</v>
      </c>
      <c r="G1301" s="46" t="s">
        <v>159</v>
      </c>
      <c r="H1301" s="46" t="s">
        <v>327</v>
      </c>
      <c r="I1301" s="46" t="s">
        <v>4041</v>
      </c>
      <c r="J1301" s="46" t="s">
        <v>4042</v>
      </c>
      <c r="K1301" s="46">
        <v>4</v>
      </c>
      <c r="L1301" s="46" t="s">
        <v>1763</v>
      </c>
      <c r="M1301" s="46" t="s">
        <v>200</v>
      </c>
      <c r="N1301" s="46">
        <v>2</v>
      </c>
      <c r="O1301" s="46" t="s">
        <v>106</v>
      </c>
      <c r="P1301" s="46"/>
    </row>
    <row r="1302" spans="1:16">
      <c r="A1302" s="37" t="s">
        <v>4043</v>
      </c>
      <c r="B1302" s="37" t="s">
        <v>1351</v>
      </c>
      <c r="C1302" s="37" t="s">
        <v>366</v>
      </c>
      <c r="D1302" s="37" t="s">
        <v>352</v>
      </c>
      <c r="E1302" s="37" t="s">
        <v>110</v>
      </c>
      <c r="F1302" s="37" t="s">
        <v>430</v>
      </c>
      <c r="G1302" s="37" t="s">
        <v>159</v>
      </c>
      <c r="H1302" s="37" t="s">
        <v>327</v>
      </c>
      <c r="I1302" s="37" t="s">
        <v>787</v>
      </c>
      <c r="J1302" s="37" t="s">
        <v>821</v>
      </c>
      <c r="K1302" s="37">
        <v>6</v>
      </c>
      <c r="L1302" s="37" t="s">
        <v>421</v>
      </c>
      <c r="M1302" s="37" t="s">
        <v>72</v>
      </c>
      <c r="N1302" s="37">
        <v>2</v>
      </c>
      <c r="O1302" s="37" t="s">
        <v>131</v>
      </c>
      <c r="P1302" s="37"/>
    </row>
    <row r="1303" spans="1:16">
      <c r="A1303" s="46" t="s">
        <v>4044</v>
      </c>
      <c r="B1303" s="46" t="s">
        <v>1285</v>
      </c>
      <c r="C1303" s="46" t="s">
        <v>374</v>
      </c>
      <c r="D1303" s="46" t="s">
        <v>204</v>
      </c>
      <c r="E1303" s="46" t="s">
        <v>176</v>
      </c>
      <c r="F1303" s="46" t="s">
        <v>237</v>
      </c>
      <c r="G1303" s="46" t="s">
        <v>125</v>
      </c>
      <c r="H1303" s="46" t="s">
        <v>294</v>
      </c>
      <c r="I1303" s="46" t="s">
        <v>4045</v>
      </c>
      <c r="J1303" s="46" t="s">
        <v>4046</v>
      </c>
      <c r="K1303" s="46">
        <v>8</v>
      </c>
      <c r="L1303" s="46" t="s">
        <v>1032</v>
      </c>
      <c r="M1303" s="46" t="s">
        <v>200</v>
      </c>
      <c r="N1303" s="46">
        <v>3</v>
      </c>
      <c r="O1303" s="46" t="s">
        <v>286</v>
      </c>
      <c r="P1303" s="46"/>
    </row>
    <row r="1304" spans="1:16">
      <c r="A1304" s="46" t="s">
        <v>4047</v>
      </c>
      <c r="B1304" s="46" t="s">
        <v>1131</v>
      </c>
      <c r="C1304" s="46" t="s">
        <v>374</v>
      </c>
      <c r="D1304" s="46" t="s">
        <v>312</v>
      </c>
      <c r="E1304" s="46" t="s">
        <v>195</v>
      </c>
      <c r="F1304" s="46" t="s">
        <v>1794</v>
      </c>
      <c r="G1304" s="46" t="s">
        <v>89</v>
      </c>
      <c r="H1304" s="46" t="s">
        <v>88</v>
      </c>
      <c r="I1304" s="46" t="s">
        <v>2592</v>
      </c>
      <c r="J1304" s="46" t="s">
        <v>4048</v>
      </c>
      <c r="K1304" s="46">
        <v>8</v>
      </c>
      <c r="L1304" s="46" t="s">
        <v>2223</v>
      </c>
      <c r="M1304" s="46" t="s">
        <v>143</v>
      </c>
      <c r="N1304" s="46">
        <v>3</v>
      </c>
      <c r="O1304" s="46" t="s">
        <v>286</v>
      </c>
      <c r="P1304" s="46"/>
    </row>
    <row r="1305" spans="1:16">
      <c r="A1305" s="37" t="s">
        <v>4049</v>
      </c>
      <c r="B1305" s="37" t="s">
        <v>1034</v>
      </c>
      <c r="C1305" s="37" t="s">
        <v>374</v>
      </c>
      <c r="D1305" s="37" t="s">
        <v>194</v>
      </c>
      <c r="E1305" s="37" t="s">
        <v>185</v>
      </c>
      <c r="F1305" s="37" t="s">
        <v>47</v>
      </c>
      <c r="G1305" s="37" t="s">
        <v>112</v>
      </c>
      <c r="H1305" s="37" t="s">
        <v>32</v>
      </c>
      <c r="I1305" s="37" t="s">
        <v>4050</v>
      </c>
      <c r="J1305" s="37" t="s">
        <v>4051</v>
      </c>
      <c r="K1305" s="37">
        <v>6</v>
      </c>
      <c r="L1305" s="37" t="s">
        <v>3892</v>
      </c>
      <c r="M1305" s="37" t="s">
        <v>200</v>
      </c>
      <c r="N1305" s="37">
        <v>2</v>
      </c>
      <c r="O1305" s="37" t="s">
        <v>106</v>
      </c>
      <c r="P1305" s="37"/>
    </row>
    <row r="1306" spans="1:16">
      <c r="A1306" s="46" t="s">
        <v>4052</v>
      </c>
      <c r="B1306" s="46" t="s">
        <v>1087</v>
      </c>
      <c r="C1306" s="46" t="s">
        <v>90</v>
      </c>
      <c r="D1306" s="46" t="s">
        <v>230</v>
      </c>
      <c r="E1306" s="46" t="s">
        <v>99</v>
      </c>
      <c r="F1306" s="46" t="s">
        <v>1682</v>
      </c>
      <c r="G1306" s="46" t="s">
        <v>380</v>
      </c>
      <c r="H1306" s="46" t="s">
        <v>396</v>
      </c>
      <c r="I1306" s="46" t="s">
        <v>4053</v>
      </c>
      <c r="J1306" s="46" t="s">
        <v>4054</v>
      </c>
      <c r="K1306" s="46">
        <v>4</v>
      </c>
      <c r="L1306" s="46" t="s">
        <v>897</v>
      </c>
      <c r="M1306" s="46" t="s">
        <v>172</v>
      </c>
      <c r="N1306" s="46">
        <v>2</v>
      </c>
      <c r="O1306" s="46" t="s">
        <v>191</v>
      </c>
      <c r="P1306" s="46"/>
    </row>
    <row r="1307" spans="1:16">
      <c r="A1307" s="37" t="s">
        <v>4055</v>
      </c>
      <c r="B1307" s="37" t="s">
        <v>1417</v>
      </c>
      <c r="C1307" s="37" t="s">
        <v>174</v>
      </c>
      <c r="D1307" s="37" t="s">
        <v>544</v>
      </c>
      <c r="E1307" s="37" t="s">
        <v>345</v>
      </c>
      <c r="F1307" s="37" t="s">
        <v>100</v>
      </c>
      <c r="G1307" s="37" t="s">
        <v>264</v>
      </c>
      <c r="H1307" s="37" t="s">
        <v>187</v>
      </c>
      <c r="I1307" s="37" t="s">
        <v>1723</v>
      </c>
      <c r="J1307" s="37" t="s">
        <v>432</v>
      </c>
      <c r="K1307" s="37">
        <v>4</v>
      </c>
      <c r="L1307" s="37" t="s">
        <v>1521</v>
      </c>
      <c r="M1307" s="37" t="s">
        <v>143</v>
      </c>
      <c r="N1307" s="37">
        <v>1</v>
      </c>
      <c r="O1307" s="37" t="s">
        <v>79</v>
      </c>
      <c r="P1307" s="37"/>
    </row>
    <row r="1308" spans="1:16">
      <c r="A1308" s="46" t="s">
        <v>4056</v>
      </c>
      <c r="B1308" s="46" t="s">
        <v>4057</v>
      </c>
      <c r="C1308" s="46" t="s">
        <v>91</v>
      </c>
      <c r="D1308" s="46" t="s">
        <v>122</v>
      </c>
      <c r="E1308" s="46" t="s">
        <v>440</v>
      </c>
      <c r="F1308" s="46" t="s">
        <v>138</v>
      </c>
      <c r="G1308" s="46" t="s">
        <v>125</v>
      </c>
      <c r="H1308" s="46" t="s">
        <v>294</v>
      </c>
      <c r="I1308" s="46" t="s">
        <v>3929</v>
      </c>
      <c r="J1308" s="46" t="s">
        <v>530</v>
      </c>
      <c r="K1308" s="46">
        <v>6</v>
      </c>
      <c r="L1308" s="46" t="s">
        <v>902</v>
      </c>
      <c r="M1308" s="46" t="s">
        <v>163</v>
      </c>
      <c r="N1308" s="46">
        <v>3</v>
      </c>
      <c r="O1308" s="46" t="s">
        <v>191</v>
      </c>
      <c r="P1308" s="46"/>
    </row>
    <row r="1309" spans="1:16">
      <c r="A1309" s="37" t="s">
        <v>4058</v>
      </c>
      <c r="B1309" s="37" t="s">
        <v>2618</v>
      </c>
      <c r="C1309" s="37" t="s">
        <v>451</v>
      </c>
      <c r="D1309" s="37" t="s">
        <v>184</v>
      </c>
      <c r="E1309" s="37" t="s">
        <v>147</v>
      </c>
      <c r="F1309" s="37" t="s">
        <v>612</v>
      </c>
      <c r="G1309" s="37" t="s">
        <v>139</v>
      </c>
      <c r="H1309" s="37" t="s">
        <v>215</v>
      </c>
      <c r="I1309" s="37" t="s">
        <v>4059</v>
      </c>
      <c r="J1309" s="37" t="s">
        <v>4060</v>
      </c>
      <c r="K1309" s="37">
        <v>6</v>
      </c>
      <c r="L1309" s="37" t="s">
        <v>1339</v>
      </c>
      <c r="M1309" s="37" t="s">
        <v>163</v>
      </c>
      <c r="N1309" s="37">
        <v>5</v>
      </c>
      <c r="O1309" s="37" t="s">
        <v>191</v>
      </c>
      <c r="P1309" s="37"/>
    </row>
    <row r="1310" spans="1:16">
      <c r="A1310" s="46" t="s">
        <v>4061</v>
      </c>
      <c r="B1310" s="46" t="s">
        <v>1552</v>
      </c>
      <c r="C1310" s="46" t="s">
        <v>566</v>
      </c>
      <c r="D1310" s="46" t="s">
        <v>270</v>
      </c>
      <c r="E1310" s="46" t="s">
        <v>345</v>
      </c>
      <c r="F1310" s="46" t="s">
        <v>313</v>
      </c>
      <c r="G1310" s="46" t="s">
        <v>380</v>
      </c>
      <c r="H1310" s="46" t="s">
        <v>91</v>
      </c>
      <c r="I1310" s="46" t="s">
        <v>4062</v>
      </c>
      <c r="J1310" s="46" t="s">
        <v>4063</v>
      </c>
      <c r="K1310" s="46">
        <v>6</v>
      </c>
      <c r="L1310" s="46"/>
      <c r="M1310" s="46" t="s">
        <v>1156</v>
      </c>
      <c r="N1310" s="46"/>
      <c r="O1310" s="46" t="s">
        <v>118</v>
      </c>
      <c r="P1310" s="46"/>
    </row>
    <row r="1311" spans="1:16">
      <c r="A1311" s="37" t="s">
        <v>4064</v>
      </c>
      <c r="B1311" s="37" t="s">
        <v>3192</v>
      </c>
      <c r="C1311" s="37" t="s">
        <v>469</v>
      </c>
      <c r="D1311" s="37" t="s">
        <v>184</v>
      </c>
      <c r="E1311" s="37" t="s">
        <v>99</v>
      </c>
      <c r="F1311" s="37" t="s">
        <v>205</v>
      </c>
      <c r="G1311" s="37" t="s">
        <v>257</v>
      </c>
      <c r="H1311" s="37" t="s">
        <v>206</v>
      </c>
      <c r="I1311" s="37" t="s">
        <v>4065</v>
      </c>
      <c r="J1311" s="37" t="s">
        <v>4066</v>
      </c>
      <c r="K1311" s="37">
        <v>4</v>
      </c>
      <c r="L1311" s="37" t="s">
        <v>3401</v>
      </c>
      <c r="M1311" s="37" t="s">
        <v>143</v>
      </c>
      <c r="N1311" s="37">
        <v>2</v>
      </c>
      <c r="O1311" s="37" t="s">
        <v>131</v>
      </c>
      <c r="P1311" s="37"/>
    </row>
    <row r="1312" spans="1:16">
      <c r="A1312" s="46" t="s">
        <v>4067</v>
      </c>
      <c r="B1312" s="46" t="s">
        <v>211</v>
      </c>
      <c r="C1312" s="46" t="s">
        <v>407</v>
      </c>
      <c r="D1312" s="46" t="s">
        <v>223</v>
      </c>
      <c r="E1312" s="46" t="s">
        <v>325</v>
      </c>
      <c r="F1312" s="46" t="s">
        <v>177</v>
      </c>
      <c r="G1312" s="46" t="s">
        <v>51</v>
      </c>
      <c r="H1312" s="46" t="s">
        <v>93</v>
      </c>
      <c r="I1312" s="46" t="s">
        <v>446</v>
      </c>
      <c r="J1312" s="46" t="s">
        <v>1789</v>
      </c>
      <c r="K1312" s="46">
        <v>4</v>
      </c>
      <c r="L1312" s="46" t="s">
        <v>1309</v>
      </c>
      <c r="M1312" s="46" t="s">
        <v>163</v>
      </c>
      <c r="N1312" s="46">
        <v>5</v>
      </c>
      <c r="O1312" s="46" t="s">
        <v>79</v>
      </c>
      <c r="P1312" s="46"/>
    </row>
    <row r="1313" spans="1:16">
      <c r="A1313" s="37" t="s">
        <v>4068</v>
      </c>
      <c r="B1313" s="37" t="s">
        <v>574</v>
      </c>
      <c r="C1313" s="37" t="s">
        <v>135</v>
      </c>
      <c r="D1313" s="37" t="s">
        <v>312</v>
      </c>
      <c r="E1313" s="37" t="s">
        <v>99</v>
      </c>
      <c r="F1313" s="37" t="s">
        <v>138</v>
      </c>
      <c r="G1313" s="37" t="s">
        <v>380</v>
      </c>
      <c r="H1313" s="37" t="s">
        <v>91</v>
      </c>
      <c r="I1313" s="37" t="s">
        <v>4069</v>
      </c>
      <c r="J1313" s="37" t="s">
        <v>1213</v>
      </c>
      <c r="K1313" s="37">
        <v>4</v>
      </c>
      <c r="L1313" s="37" t="s">
        <v>630</v>
      </c>
      <c r="M1313" s="37" t="s">
        <v>172</v>
      </c>
      <c r="N1313" s="37">
        <v>2</v>
      </c>
      <c r="O1313" s="37" t="s">
        <v>118</v>
      </c>
      <c r="P1313" s="37"/>
    </row>
    <row r="1314" spans="1:16">
      <c r="A1314" s="46" t="s">
        <v>4070</v>
      </c>
      <c r="B1314" s="46" t="s">
        <v>4071</v>
      </c>
      <c r="C1314" s="46" t="s">
        <v>340</v>
      </c>
      <c r="D1314" s="46" t="s">
        <v>146</v>
      </c>
      <c r="E1314" s="46" t="s">
        <v>176</v>
      </c>
      <c r="F1314" s="46" t="s">
        <v>313</v>
      </c>
      <c r="G1314" s="46" t="s">
        <v>89</v>
      </c>
      <c r="H1314" s="46" t="s">
        <v>206</v>
      </c>
      <c r="I1314" s="46" t="s">
        <v>4072</v>
      </c>
      <c r="J1314" s="46" t="s">
        <v>4073</v>
      </c>
      <c r="K1314" s="46">
        <v>8</v>
      </c>
      <c r="L1314" s="46" t="s">
        <v>1908</v>
      </c>
      <c r="M1314" s="46" t="s">
        <v>143</v>
      </c>
      <c r="N1314" s="46">
        <v>2</v>
      </c>
      <c r="O1314" s="46" t="s">
        <v>191</v>
      </c>
      <c r="P1314" s="46"/>
    </row>
    <row r="1315" spans="1:16">
      <c r="A1315" s="37" t="s">
        <v>4074</v>
      </c>
      <c r="B1315" s="37" t="s">
        <v>2852</v>
      </c>
      <c r="C1315" s="37" t="s">
        <v>54</v>
      </c>
      <c r="D1315" s="37" t="s">
        <v>156</v>
      </c>
      <c r="E1315" s="37" t="s">
        <v>123</v>
      </c>
      <c r="F1315" s="37" t="s">
        <v>205</v>
      </c>
      <c r="G1315" s="37" t="s">
        <v>139</v>
      </c>
      <c r="H1315" s="37" t="s">
        <v>354</v>
      </c>
      <c r="I1315" s="37" t="s">
        <v>4075</v>
      </c>
      <c r="J1315" s="37" t="s">
        <v>4076</v>
      </c>
      <c r="K1315" s="37">
        <v>4</v>
      </c>
      <c r="L1315" s="37" t="s">
        <v>1297</v>
      </c>
      <c r="M1315" s="37" t="s">
        <v>337</v>
      </c>
      <c r="N1315" s="37"/>
      <c r="O1315" s="37" t="s">
        <v>152</v>
      </c>
      <c r="P1315" s="37" t="s">
        <v>132</v>
      </c>
    </row>
    <row r="1316" spans="1:16">
      <c r="A1316" s="46" t="s">
        <v>4077</v>
      </c>
      <c r="B1316" s="46" t="s">
        <v>254</v>
      </c>
      <c r="C1316" s="46" t="s">
        <v>633</v>
      </c>
      <c r="D1316" s="46" t="s">
        <v>230</v>
      </c>
      <c r="E1316" s="46" t="s">
        <v>99</v>
      </c>
      <c r="F1316" s="46" t="s">
        <v>368</v>
      </c>
      <c r="G1316" s="46" t="s">
        <v>470</v>
      </c>
      <c r="H1316" s="46" t="s">
        <v>126</v>
      </c>
      <c r="I1316" s="46" t="s">
        <v>4078</v>
      </c>
      <c r="J1316" s="46" t="s">
        <v>4079</v>
      </c>
      <c r="K1316" s="46">
        <v>4</v>
      </c>
      <c r="L1316" s="46" t="s">
        <v>1798</v>
      </c>
      <c r="M1316" s="46" t="s">
        <v>143</v>
      </c>
      <c r="N1316" s="46">
        <v>3</v>
      </c>
      <c r="O1316" s="46" t="s">
        <v>286</v>
      </c>
      <c r="P1316" s="46"/>
    </row>
    <row r="1317" spans="1:16">
      <c r="A1317" s="37" t="s">
        <v>4080</v>
      </c>
      <c r="B1317" s="37" t="s">
        <v>882</v>
      </c>
      <c r="C1317" s="37" t="s">
        <v>90</v>
      </c>
      <c r="D1317" s="37" t="s">
        <v>544</v>
      </c>
      <c r="E1317" s="37" t="s">
        <v>147</v>
      </c>
      <c r="F1317" s="37" t="s">
        <v>452</v>
      </c>
      <c r="G1317" s="37" t="s">
        <v>101</v>
      </c>
      <c r="H1317" s="37" t="s">
        <v>278</v>
      </c>
      <c r="I1317" s="37" t="s">
        <v>1777</v>
      </c>
      <c r="J1317" s="37" t="s">
        <v>4081</v>
      </c>
      <c r="K1317" s="37">
        <v>8</v>
      </c>
      <c r="L1317" s="37" t="s">
        <v>221</v>
      </c>
      <c r="M1317" s="37" t="s">
        <v>200</v>
      </c>
      <c r="N1317" s="37">
        <v>2</v>
      </c>
      <c r="O1317" s="37" t="s">
        <v>79</v>
      </c>
      <c r="P1317" s="37"/>
    </row>
    <row r="1318" spans="1:16">
      <c r="A1318" s="46" t="s">
        <v>4082</v>
      </c>
      <c r="B1318" s="46" t="s">
        <v>3105</v>
      </c>
      <c r="C1318" s="46" t="s">
        <v>374</v>
      </c>
      <c r="D1318" s="46" t="s">
        <v>37</v>
      </c>
      <c r="E1318" s="46" t="s">
        <v>195</v>
      </c>
      <c r="F1318" s="46" t="s">
        <v>385</v>
      </c>
      <c r="G1318" s="46" t="s">
        <v>264</v>
      </c>
      <c r="H1318" s="46" t="s">
        <v>88</v>
      </c>
      <c r="I1318" s="46" t="s">
        <v>4083</v>
      </c>
      <c r="J1318" s="46" t="s">
        <v>4084</v>
      </c>
      <c r="K1318" s="46">
        <v>8</v>
      </c>
      <c r="L1318" s="46" t="s">
        <v>755</v>
      </c>
      <c r="M1318" s="46" t="s">
        <v>143</v>
      </c>
      <c r="N1318" s="46">
        <v>3</v>
      </c>
      <c r="O1318" s="46" t="s">
        <v>118</v>
      </c>
      <c r="P1318" s="46"/>
    </row>
    <row r="1319" spans="1:16">
      <c r="A1319" s="37" t="s">
        <v>4085</v>
      </c>
      <c r="B1319" s="37" t="s">
        <v>285</v>
      </c>
      <c r="C1319" s="37" t="s">
        <v>54</v>
      </c>
      <c r="D1319" s="37" t="s">
        <v>122</v>
      </c>
      <c r="E1319" s="37" t="s">
        <v>123</v>
      </c>
      <c r="F1319" s="37" t="s">
        <v>186</v>
      </c>
      <c r="G1319" s="37" t="s">
        <v>418</v>
      </c>
      <c r="H1319" s="37" t="s">
        <v>54</v>
      </c>
      <c r="I1319" s="37" t="s">
        <v>2603</v>
      </c>
      <c r="J1319" s="37" t="s">
        <v>2321</v>
      </c>
      <c r="K1319" s="37">
        <v>2</v>
      </c>
      <c r="L1319" s="37" t="s">
        <v>857</v>
      </c>
      <c r="M1319" s="37" t="s">
        <v>105</v>
      </c>
      <c r="N1319" s="37">
        <v>5</v>
      </c>
      <c r="O1319" s="37" t="s">
        <v>131</v>
      </c>
      <c r="P1319" s="37"/>
    </row>
    <row r="1320" spans="1:16">
      <c r="A1320" s="46" t="s">
        <v>4086</v>
      </c>
      <c r="B1320" s="46" t="s">
        <v>4087</v>
      </c>
      <c r="C1320" s="46" t="s">
        <v>109</v>
      </c>
      <c r="D1320" s="46" t="s">
        <v>367</v>
      </c>
      <c r="E1320" s="46" t="s">
        <v>345</v>
      </c>
      <c r="F1320" s="46" t="s">
        <v>196</v>
      </c>
      <c r="G1320" s="46" t="s">
        <v>101</v>
      </c>
      <c r="H1320" s="46" t="s">
        <v>278</v>
      </c>
      <c r="I1320" s="46" t="s">
        <v>3823</v>
      </c>
      <c r="J1320" s="46" t="s">
        <v>432</v>
      </c>
      <c r="K1320" s="46">
        <v>4</v>
      </c>
      <c r="L1320" s="46" t="s">
        <v>508</v>
      </c>
      <c r="M1320" s="46" t="s">
        <v>143</v>
      </c>
      <c r="N1320" s="46">
        <v>1</v>
      </c>
      <c r="O1320" s="46" t="s">
        <v>131</v>
      </c>
      <c r="P1320" s="46"/>
    </row>
    <row r="1321" spans="1:16">
      <c r="A1321" s="37" t="s">
        <v>4088</v>
      </c>
      <c r="B1321" s="37" t="s">
        <v>285</v>
      </c>
      <c r="C1321" s="37" t="s">
        <v>407</v>
      </c>
      <c r="D1321" s="37" t="s">
        <v>312</v>
      </c>
      <c r="E1321" s="37" t="s">
        <v>157</v>
      </c>
      <c r="F1321" s="37" t="s">
        <v>158</v>
      </c>
      <c r="G1321" s="37" t="s">
        <v>264</v>
      </c>
      <c r="H1321" s="37" t="s">
        <v>88</v>
      </c>
      <c r="I1321" s="37" t="s">
        <v>4089</v>
      </c>
      <c r="J1321" s="37" t="s">
        <v>2477</v>
      </c>
      <c r="K1321" s="37">
        <v>6</v>
      </c>
      <c r="L1321" s="37" t="s">
        <v>180</v>
      </c>
      <c r="M1321" s="37" t="s">
        <v>105</v>
      </c>
      <c r="N1321" s="37">
        <v>4</v>
      </c>
      <c r="O1321" s="37" t="s">
        <v>191</v>
      </c>
      <c r="P1321" s="37"/>
    </row>
    <row r="1322" spans="1:16">
      <c r="A1322" s="46" t="s">
        <v>4090</v>
      </c>
      <c r="B1322" s="46" t="s">
        <v>1074</v>
      </c>
      <c r="C1322" s="46" t="s">
        <v>109</v>
      </c>
      <c r="D1322" s="46" t="s">
        <v>204</v>
      </c>
      <c r="E1322" s="46" t="s">
        <v>325</v>
      </c>
      <c r="F1322" s="46" t="s">
        <v>186</v>
      </c>
      <c r="G1322" s="46" t="s">
        <v>101</v>
      </c>
      <c r="H1322" s="46" t="s">
        <v>206</v>
      </c>
      <c r="I1322" s="46" t="s">
        <v>4091</v>
      </c>
      <c r="J1322" s="46" t="s">
        <v>4092</v>
      </c>
      <c r="K1322" s="46">
        <v>2</v>
      </c>
      <c r="L1322" s="46" t="s">
        <v>2517</v>
      </c>
      <c r="M1322" s="46" t="s">
        <v>2041</v>
      </c>
      <c r="N1322" s="46"/>
      <c r="O1322" s="46" t="s">
        <v>152</v>
      </c>
      <c r="P1322" s="46" t="s">
        <v>625</v>
      </c>
    </row>
    <row r="1323" spans="1:16">
      <c r="A1323" s="37" t="s">
        <v>4093</v>
      </c>
      <c r="B1323" s="37" t="s">
        <v>536</v>
      </c>
      <c r="C1323" s="37" t="s">
        <v>93</v>
      </c>
      <c r="D1323" s="37" t="s">
        <v>919</v>
      </c>
      <c r="E1323" s="37" t="s">
        <v>99</v>
      </c>
      <c r="F1323" s="37" t="s">
        <v>360</v>
      </c>
      <c r="G1323" s="37" t="s">
        <v>51</v>
      </c>
      <c r="H1323" s="37" t="s">
        <v>90</v>
      </c>
      <c r="I1323" s="37" t="s">
        <v>4094</v>
      </c>
      <c r="J1323" s="37" t="s">
        <v>4095</v>
      </c>
      <c r="K1323" s="37">
        <v>4</v>
      </c>
      <c r="L1323" s="37" t="s">
        <v>1117</v>
      </c>
      <c r="M1323" s="37" t="s">
        <v>172</v>
      </c>
      <c r="N1323" s="37">
        <v>2</v>
      </c>
      <c r="O1323" s="37" t="s">
        <v>286</v>
      </c>
      <c r="P1323" s="37"/>
    </row>
    <row r="1324" spans="1:16">
      <c r="A1324" s="46" t="s">
        <v>4096</v>
      </c>
      <c r="B1324" s="46" t="s">
        <v>2371</v>
      </c>
      <c r="C1324" s="46" t="s">
        <v>300</v>
      </c>
      <c r="D1324" s="46" t="s">
        <v>367</v>
      </c>
      <c r="E1324" s="46" t="s">
        <v>147</v>
      </c>
      <c r="F1324" s="46" t="s">
        <v>498</v>
      </c>
      <c r="G1324" s="46" t="s">
        <v>302</v>
      </c>
      <c r="H1324" s="46" t="s">
        <v>126</v>
      </c>
      <c r="I1324" s="46" t="s">
        <v>2288</v>
      </c>
      <c r="J1324" s="46" t="s">
        <v>608</v>
      </c>
      <c r="K1324" s="46">
        <v>8</v>
      </c>
      <c r="L1324" s="46" t="s">
        <v>3176</v>
      </c>
      <c r="M1324" s="46" t="s">
        <v>105</v>
      </c>
      <c r="N1324" s="46">
        <v>2</v>
      </c>
      <c r="O1324" s="46" t="s">
        <v>181</v>
      </c>
      <c r="P1324" s="46"/>
    </row>
    <row r="1325" spans="1:16">
      <c r="A1325" s="37" t="s">
        <v>4097</v>
      </c>
      <c r="B1325" s="37" t="s">
        <v>492</v>
      </c>
      <c r="C1325" s="37" t="s">
        <v>97</v>
      </c>
      <c r="D1325" s="37" t="s">
        <v>156</v>
      </c>
      <c r="E1325" s="37" t="s">
        <v>42</v>
      </c>
      <c r="F1325" s="37" t="s">
        <v>47</v>
      </c>
      <c r="G1325" s="37" t="s">
        <v>159</v>
      </c>
      <c r="H1325" s="37" t="s">
        <v>90</v>
      </c>
      <c r="I1325" s="37" t="s">
        <v>1341</v>
      </c>
      <c r="J1325" s="37" t="s">
        <v>4098</v>
      </c>
      <c r="K1325" s="37">
        <v>4</v>
      </c>
      <c r="L1325" s="37" t="s">
        <v>3167</v>
      </c>
      <c r="M1325" s="37" t="s">
        <v>72</v>
      </c>
      <c r="N1325" s="37">
        <v>2</v>
      </c>
      <c r="O1325" s="37" t="s">
        <v>191</v>
      </c>
      <c r="P1325" s="37"/>
    </row>
    <row r="1326" spans="1:16">
      <c r="A1326" s="46" t="s">
        <v>4099</v>
      </c>
      <c r="B1326" s="46" t="s">
        <v>2123</v>
      </c>
      <c r="C1326" s="46" t="s">
        <v>93</v>
      </c>
      <c r="D1326" s="46" t="s">
        <v>37</v>
      </c>
      <c r="E1326" s="46" t="s">
        <v>147</v>
      </c>
      <c r="F1326" s="46" t="s">
        <v>319</v>
      </c>
      <c r="G1326" s="46" t="s">
        <v>380</v>
      </c>
      <c r="H1326" s="46" t="s">
        <v>294</v>
      </c>
      <c r="I1326" s="46" t="s">
        <v>1011</v>
      </c>
      <c r="J1326" s="46" t="s">
        <v>3811</v>
      </c>
      <c r="K1326" s="46">
        <v>8</v>
      </c>
      <c r="L1326" s="46" t="s">
        <v>2602</v>
      </c>
      <c r="M1326" s="46" t="s">
        <v>624</v>
      </c>
      <c r="N1326" s="46"/>
      <c r="O1326" s="46" t="s">
        <v>181</v>
      </c>
      <c r="P1326" s="46" t="s">
        <v>818</v>
      </c>
    </row>
    <row r="1327" spans="1:16">
      <c r="A1327" s="37" t="s">
        <v>4100</v>
      </c>
      <c r="B1327" s="37" t="s">
        <v>1175</v>
      </c>
      <c r="C1327" s="37" t="s">
        <v>307</v>
      </c>
      <c r="D1327" s="37" t="s">
        <v>194</v>
      </c>
      <c r="E1327" s="37" t="s">
        <v>176</v>
      </c>
      <c r="F1327" s="37" t="s">
        <v>360</v>
      </c>
      <c r="G1327" s="37" t="s">
        <v>125</v>
      </c>
      <c r="H1327" s="37" t="s">
        <v>396</v>
      </c>
      <c r="I1327" s="37" t="s">
        <v>4101</v>
      </c>
      <c r="J1327" s="37" t="s">
        <v>4102</v>
      </c>
      <c r="K1327" s="37">
        <v>8</v>
      </c>
      <c r="L1327" s="37" t="s">
        <v>1653</v>
      </c>
      <c r="M1327" s="37" t="s">
        <v>117</v>
      </c>
      <c r="N1327" s="37">
        <v>4</v>
      </c>
      <c r="O1327" s="37" t="s">
        <v>131</v>
      </c>
      <c r="P1327" s="37"/>
    </row>
    <row r="1328" spans="1:16">
      <c r="A1328" s="46" t="s">
        <v>4103</v>
      </c>
      <c r="B1328" s="46" t="s">
        <v>1017</v>
      </c>
      <c r="C1328" s="46" t="s">
        <v>90</v>
      </c>
      <c r="D1328" s="46" t="s">
        <v>230</v>
      </c>
      <c r="E1328" s="46" t="s">
        <v>440</v>
      </c>
      <c r="F1328" s="46" t="s">
        <v>1701</v>
      </c>
      <c r="G1328" s="46" t="s">
        <v>470</v>
      </c>
      <c r="H1328" s="46" t="s">
        <v>294</v>
      </c>
      <c r="I1328" s="46" t="s">
        <v>258</v>
      </c>
      <c r="J1328" s="46" t="s">
        <v>500</v>
      </c>
      <c r="K1328" s="46">
        <v>8</v>
      </c>
      <c r="L1328" s="46" t="s">
        <v>1874</v>
      </c>
      <c r="M1328" s="46" t="s">
        <v>219</v>
      </c>
      <c r="N1328" s="46">
        <v>4</v>
      </c>
      <c r="O1328" s="46" t="s">
        <v>181</v>
      </c>
      <c r="P1328" s="46"/>
    </row>
    <row r="1329" spans="1:16">
      <c r="A1329" s="37" t="s">
        <v>4104</v>
      </c>
      <c r="B1329" s="37" t="s">
        <v>752</v>
      </c>
      <c r="C1329" s="37" t="s">
        <v>203</v>
      </c>
      <c r="D1329" s="37" t="s">
        <v>213</v>
      </c>
      <c r="E1329" s="37" t="s">
        <v>176</v>
      </c>
      <c r="F1329" s="37" t="s">
        <v>263</v>
      </c>
      <c r="G1329" s="37" t="s">
        <v>168</v>
      </c>
      <c r="H1329" s="37" t="s">
        <v>88</v>
      </c>
      <c r="I1329" s="37" t="s">
        <v>4105</v>
      </c>
      <c r="J1329" s="37" t="s">
        <v>530</v>
      </c>
      <c r="K1329" s="37">
        <v>6</v>
      </c>
      <c r="L1329" s="37" t="s">
        <v>1142</v>
      </c>
      <c r="M1329" s="37" t="s">
        <v>1513</v>
      </c>
      <c r="N1329" s="37"/>
      <c r="O1329" s="37" t="s">
        <v>131</v>
      </c>
      <c r="P1329" s="37" t="s">
        <v>132</v>
      </c>
    </row>
    <row r="1330" spans="1:16">
      <c r="A1330" s="46" t="s">
        <v>4106</v>
      </c>
      <c r="B1330" s="46" t="s">
        <v>2388</v>
      </c>
      <c r="C1330" s="46" t="s">
        <v>366</v>
      </c>
      <c r="D1330" s="46" t="s">
        <v>270</v>
      </c>
      <c r="E1330" s="46" t="s">
        <v>137</v>
      </c>
      <c r="F1330" s="46" t="s">
        <v>319</v>
      </c>
      <c r="G1330" s="46" t="s">
        <v>92</v>
      </c>
      <c r="H1330" s="46" t="s">
        <v>126</v>
      </c>
      <c r="I1330" s="46" t="s">
        <v>868</v>
      </c>
      <c r="J1330" s="46" t="s">
        <v>4107</v>
      </c>
      <c r="K1330" s="46">
        <v>6</v>
      </c>
      <c r="L1330" s="46" t="s">
        <v>2030</v>
      </c>
      <c r="M1330" s="46" t="s">
        <v>219</v>
      </c>
      <c r="N1330" s="46">
        <v>4</v>
      </c>
      <c r="O1330" s="46" t="s">
        <v>118</v>
      </c>
      <c r="P1330" s="46"/>
    </row>
    <row r="1331" spans="1:16">
      <c r="A1331" s="37" t="s">
        <v>4108</v>
      </c>
      <c r="B1331" s="37" t="s">
        <v>4109</v>
      </c>
      <c r="C1331" s="37" t="s">
        <v>32</v>
      </c>
      <c r="D1331" s="37" t="s">
        <v>122</v>
      </c>
      <c r="E1331" s="37" t="s">
        <v>244</v>
      </c>
      <c r="F1331" s="37" t="s">
        <v>100</v>
      </c>
      <c r="G1331" s="37" t="s">
        <v>470</v>
      </c>
      <c r="H1331" s="37" t="s">
        <v>91</v>
      </c>
      <c r="I1331" s="37" t="s">
        <v>2404</v>
      </c>
      <c r="J1331" s="37" t="s">
        <v>2475</v>
      </c>
      <c r="K1331" s="37">
        <v>4</v>
      </c>
      <c r="L1331" s="37" t="s">
        <v>1517</v>
      </c>
      <c r="M1331" s="37" t="s">
        <v>105</v>
      </c>
      <c r="N1331" s="37">
        <v>5</v>
      </c>
      <c r="O1331" s="37" t="s">
        <v>152</v>
      </c>
      <c r="P1331" s="37"/>
    </row>
    <row r="1332" spans="1:16">
      <c r="A1332" s="46" t="s">
        <v>4110</v>
      </c>
      <c r="B1332" s="46" t="s">
        <v>2933</v>
      </c>
      <c r="C1332" s="46" t="s">
        <v>212</v>
      </c>
      <c r="D1332" s="46" t="s">
        <v>146</v>
      </c>
      <c r="E1332" s="46" t="s">
        <v>244</v>
      </c>
      <c r="F1332" s="46" t="s">
        <v>263</v>
      </c>
      <c r="G1332" s="46" t="s">
        <v>302</v>
      </c>
      <c r="H1332" s="46" t="s">
        <v>396</v>
      </c>
      <c r="I1332" s="46" t="s">
        <v>1933</v>
      </c>
      <c r="J1332" s="46" t="s">
        <v>1119</v>
      </c>
      <c r="K1332" s="46">
        <v>4</v>
      </c>
      <c r="L1332" s="46" t="s">
        <v>1945</v>
      </c>
      <c r="M1332" s="46" t="s">
        <v>172</v>
      </c>
      <c r="N1332" s="46">
        <v>4</v>
      </c>
      <c r="O1332" s="46" t="s">
        <v>79</v>
      </c>
      <c r="P1332" s="46"/>
    </row>
    <row r="1333" spans="1:16">
      <c r="A1333" s="37" t="s">
        <v>4111</v>
      </c>
      <c r="B1333" s="37" t="s">
        <v>3470</v>
      </c>
      <c r="C1333" s="37" t="s">
        <v>251</v>
      </c>
      <c r="D1333" s="37" t="s">
        <v>213</v>
      </c>
      <c r="E1333" s="37" t="s">
        <v>99</v>
      </c>
      <c r="F1333" s="37" t="s">
        <v>326</v>
      </c>
      <c r="G1333" s="37" t="s">
        <v>125</v>
      </c>
      <c r="H1333" s="37" t="s">
        <v>396</v>
      </c>
      <c r="I1333" s="37" t="s">
        <v>1199</v>
      </c>
      <c r="J1333" s="37" t="s">
        <v>4112</v>
      </c>
      <c r="K1333" s="37">
        <v>4</v>
      </c>
      <c r="L1333" s="37" t="s">
        <v>1814</v>
      </c>
      <c r="M1333" s="37" t="s">
        <v>117</v>
      </c>
      <c r="N1333" s="37">
        <v>4</v>
      </c>
      <c r="O1333" s="37" t="s">
        <v>118</v>
      </c>
      <c r="P1333" s="37"/>
    </row>
    <row r="1334" spans="1:16">
      <c r="A1334" s="46" t="s">
        <v>4113</v>
      </c>
      <c r="B1334" s="46" t="s">
        <v>1459</v>
      </c>
      <c r="C1334" s="46" t="s">
        <v>469</v>
      </c>
      <c r="D1334" s="46" t="s">
        <v>98</v>
      </c>
      <c r="E1334" s="46" t="s">
        <v>147</v>
      </c>
      <c r="F1334" s="46" t="s">
        <v>313</v>
      </c>
      <c r="G1334" s="46" t="s">
        <v>470</v>
      </c>
      <c r="H1334" s="46" t="s">
        <v>91</v>
      </c>
      <c r="I1334" s="46" t="s">
        <v>3571</v>
      </c>
      <c r="J1334" s="46" t="s">
        <v>4114</v>
      </c>
      <c r="K1334" s="46">
        <v>6</v>
      </c>
      <c r="L1334" s="46" t="s">
        <v>1304</v>
      </c>
      <c r="M1334" s="46" t="s">
        <v>200</v>
      </c>
      <c r="N1334" s="46">
        <v>3</v>
      </c>
      <c r="O1334" s="46" t="s">
        <v>79</v>
      </c>
      <c r="P1334" s="46"/>
    </row>
    <row r="1335" spans="1:16">
      <c r="A1335" s="37" t="s">
        <v>4115</v>
      </c>
      <c r="B1335" s="37" t="s">
        <v>2965</v>
      </c>
      <c r="C1335" s="37" t="s">
        <v>407</v>
      </c>
      <c r="D1335" s="37" t="s">
        <v>367</v>
      </c>
      <c r="E1335" s="37" t="s">
        <v>440</v>
      </c>
      <c r="F1335" s="37" t="s">
        <v>231</v>
      </c>
      <c r="G1335" s="37" t="s">
        <v>418</v>
      </c>
      <c r="H1335" s="37" t="s">
        <v>90</v>
      </c>
      <c r="I1335" s="37" t="s">
        <v>2673</v>
      </c>
      <c r="J1335" s="37" t="s">
        <v>4116</v>
      </c>
      <c r="K1335" s="37">
        <v>8</v>
      </c>
      <c r="L1335" s="37" t="s">
        <v>3141</v>
      </c>
      <c r="M1335" s="37" t="s">
        <v>200</v>
      </c>
      <c r="N1335" s="37">
        <v>2</v>
      </c>
      <c r="O1335" s="37" t="s">
        <v>181</v>
      </c>
      <c r="P1335" s="37"/>
    </row>
    <row r="1336" spans="1:16">
      <c r="A1336" s="46" t="s">
        <v>4117</v>
      </c>
      <c r="B1336" s="46" t="s">
        <v>1903</v>
      </c>
      <c r="C1336" s="46" t="s">
        <v>212</v>
      </c>
      <c r="D1336" s="46" t="s">
        <v>213</v>
      </c>
      <c r="E1336" s="46" t="s">
        <v>185</v>
      </c>
      <c r="F1336" s="46" t="s">
        <v>360</v>
      </c>
      <c r="G1336" s="46" t="s">
        <v>302</v>
      </c>
      <c r="H1336" s="46" t="s">
        <v>126</v>
      </c>
      <c r="I1336" s="46" t="s">
        <v>4118</v>
      </c>
      <c r="J1336" s="46" t="s">
        <v>4119</v>
      </c>
      <c r="K1336" s="46">
        <v>6</v>
      </c>
      <c r="L1336" s="46" t="s">
        <v>707</v>
      </c>
      <c r="M1336" s="46" t="s">
        <v>172</v>
      </c>
      <c r="N1336" s="46">
        <v>1</v>
      </c>
      <c r="O1336" s="46" t="s">
        <v>191</v>
      </c>
      <c r="P1336" s="46"/>
    </row>
    <row r="1337" spans="1:16">
      <c r="A1337" s="37" t="s">
        <v>4120</v>
      </c>
      <c r="B1337" s="37" t="s">
        <v>318</v>
      </c>
      <c r="C1337" s="37" t="s">
        <v>451</v>
      </c>
      <c r="D1337" s="37" t="s">
        <v>333</v>
      </c>
      <c r="E1337" s="37" t="s">
        <v>176</v>
      </c>
      <c r="F1337" s="37" t="s">
        <v>100</v>
      </c>
      <c r="G1337" s="37" t="s">
        <v>168</v>
      </c>
      <c r="H1337" s="37" t="s">
        <v>206</v>
      </c>
      <c r="I1337" s="37" t="s">
        <v>4121</v>
      </c>
      <c r="J1337" s="37" t="s">
        <v>4122</v>
      </c>
      <c r="K1337" s="37">
        <v>8</v>
      </c>
      <c r="L1337" s="37" t="s">
        <v>2675</v>
      </c>
      <c r="M1337" s="37" t="s">
        <v>163</v>
      </c>
      <c r="N1337" s="37">
        <v>5</v>
      </c>
      <c r="O1337" s="37" t="s">
        <v>106</v>
      </c>
      <c r="P1337" s="37"/>
    </row>
    <row r="1338" spans="1:16">
      <c r="A1338" s="46" t="s">
        <v>4123</v>
      </c>
      <c r="B1338" s="46" t="s">
        <v>1207</v>
      </c>
      <c r="C1338" s="46" t="s">
        <v>407</v>
      </c>
      <c r="D1338" s="46" t="s">
        <v>146</v>
      </c>
      <c r="E1338" s="46" t="s">
        <v>123</v>
      </c>
      <c r="F1338" s="46" t="s">
        <v>214</v>
      </c>
      <c r="G1338" s="46" t="s">
        <v>101</v>
      </c>
      <c r="H1338" s="46" t="s">
        <v>187</v>
      </c>
      <c r="I1338" s="46" t="s">
        <v>2047</v>
      </c>
      <c r="J1338" s="46" t="s">
        <v>4124</v>
      </c>
      <c r="K1338" s="46">
        <v>4</v>
      </c>
      <c r="L1338" s="46" t="s">
        <v>1120</v>
      </c>
      <c r="M1338" s="46" t="s">
        <v>72</v>
      </c>
      <c r="N1338" s="46">
        <v>3</v>
      </c>
      <c r="O1338" s="46" t="s">
        <v>152</v>
      </c>
      <c r="P1338" s="46"/>
    </row>
    <row r="1339" spans="1:16">
      <c r="A1339" s="37" t="s">
        <v>4125</v>
      </c>
      <c r="B1339" s="37" t="s">
        <v>2246</v>
      </c>
      <c r="C1339" s="37" t="s">
        <v>135</v>
      </c>
      <c r="D1339" s="37" t="s">
        <v>230</v>
      </c>
      <c r="E1339" s="37" t="s">
        <v>99</v>
      </c>
      <c r="F1339" s="37" t="s">
        <v>148</v>
      </c>
      <c r="G1339" s="37" t="s">
        <v>418</v>
      </c>
      <c r="H1339" s="37" t="s">
        <v>54</v>
      </c>
      <c r="I1339" s="37" t="s">
        <v>4126</v>
      </c>
      <c r="J1339" s="37" t="s">
        <v>4127</v>
      </c>
      <c r="K1339" s="37">
        <v>4</v>
      </c>
      <c r="L1339" s="37" t="s">
        <v>842</v>
      </c>
      <c r="M1339" s="37" t="s">
        <v>117</v>
      </c>
      <c r="N1339" s="37">
        <v>5</v>
      </c>
      <c r="O1339" s="37" t="s">
        <v>286</v>
      </c>
      <c r="P1339" s="37"/>
    </row>
    <row r="1340" spans="1:16">
      <c r="A1340" s="46" t="s">
        <v>4128</v>
      </c>
      <c r="B1340" s="46" t="s">
        <v>3652</v>
      </c>
      <c r="C1340" s="46" t="s">
        <v>121</v>
      </c>
      <c r="D1340" s="46"/>
      <c r="E1340" s="46" t="s">
        <v>325</v>
      </c>
      <c r="F1340" s="46" t="s">
        <v>301</v>
      </c>
      <c r="G1340" s="46" t="s">
        <v>125</v>
      </c>
      <c r="H1340" s="46" t="s">
        <v>294</v>
      </c>
      <c r="I1340" s="46" t="s">
        <v>4129</v>
      </c>
      <c r="J1340" s="46" t="s">
        <v>4130</v>
      </c>
      <c r="K1340" s="46">
        <v>4</v>
      </c>
      <c r="L1340" s="46" t="s">
        <v>611</v>
      </c>
      <c r="M1340" s="46" t="s">
        <v>143</v>
      </c>
      <c r="N1340" s="46">
        <v>3</v>
      </c>
      <c r="O1340" s="46" t="s">
        <v>181</v>
      </c>
      <c r="P1340" s="46"/>
    </row>
    <row r="1341" spans="1:16">
      <c r="A1341" s="37" t="s">
        <v>4131</v>
      </c>
      <c r="B1341" s="37" t="s">
        <v>1649</v>
      </c>
      <c r="C1341" s="37" t="s">
        <v>212</v>
      </c>
      <c r="D1341" s="37" t="s">
        <v>230</v>
      </c>
      <c r="E1341" s="37" t="s">
        <v>110</v>
      </c>
      <c r="F1341" s="37" t="s">
        <v>167</v>
      </c>
      <c r="G1341" s="37" t="s">
        <v>101</v>
      </c>
      <c r="H1341" s="37" t="s">
        <v>187</v>
      </c>
      <c r="I1341" s="37" t="s">
        <v>639</v>
      </c>
      <c r="J1341" s="37" t="s">
        <v>432</v>
      </c>
      <c r="K1341" s="37">
        <v>4</v>
      </c>
      <c r="L1341" s="37" t="s">
        <v>1008</v>
      </c>
      <c r="M1341" s="37" t="s">
        <v>72</v>
      </c>
      <c r="N1341" s="37">
        <v>2</v>
      </c>
      <c r="O1341" s="37" t="s">
        <v>79</v>
      </c>
      <c r="P1341" s="37"/>
    </row>
    <row r="1342" spans="1:16">
      <c r="A1342" s="46" t="s">
        <v>4132</v>
      </c>
      <c r="B1342" s="46" t="s">
        <v>1540</v>
      </c>
      <c r="C1342" s="46" t="s">
        <v>633</v>
      </c>
      <c r="D1342" s="46" t="s">
        <v>156</v>
      </c>
      <c r="E1342" s="46" t="s">
        <v>123</v>
      </c>
      <c r="F1342" s="46" t="s">
        <v>368</v>
      </c>
      <c r="G1342" s="46" t="s">
        <v>139</v>
      </c>
      <c r="H1342" s="46" t="s">
        <v>113</v>
      </c>
      <c r="I1342" s="46" t="s">
        <v>4133</v>
      </c>
      <c r="J1342" s="46" t="s">
        <v>4134</v>
      </c>
      <c r="K1342" s="46">
        <v>4</v>
      </c>
      <c r="L1342" s="46" t="s">
        <v>1152</v>
      </c>
      <c r="M1342" s="46" t="s">
        <v>72</v>
      </c>
      <c r="N1342" s="46">
        <v>2</v>
      </c>
      <c r="O1342" s="46" t="s">
        <v>191</v>
      </c>
      <c r="P1342" s="46"/>
    </row>
    <row r="1343" spans="1:16">
      <c r="A1343" s="37" t="s">
        <v>4135</v>
      </c>
      <c r="B1343" s="37" t="s">
        <v>1158</v>
      </c>
      <c r="C1343" s="37" t="s">
        <v>155</v>
      </c>
      <c r="D1343" s="37" t="s">
        <v>184</v>
      </c>
      <c r="E1343" s="37" t="s">
        <v>110</v>
      </c>
      <c r="F1343" s="37" t="s">
        <v>277</v>
      </c>
      <c r="G1343" s="37" t="s">
        <v>302</v>
      </c>
      <c r="H1343" s="37" t="s">
        <v>91</v>
      </c>
      <c r="I1343" s="37" t="s">
        <v>1587</v>
      </c>
      <c r="J1343" s="37" t="s">
        <v>935</v>
      </c>
      <c r="K1343" s="37">
        <v>6</v>
      </c>
      <c r="L1343" s="37" t="s">
        <v>516</v>
      </c>
      <c r="M1343" s="37" t="s">
        <v>219</v>
      </c>
      <c r="N1343" s="37">
        <v>5</v>
      </c>
      <c r="O1343" s="37" t="s">
        <v>152</v>
      </c>
      <c r="P1343" s="37"/>
    </row>
    <row r="1344" spans="1:16">
      <c r="A1344" s="46" t="s">
        <v>4136</v>
      </c>
      <c r="B1344" s="46" t="s">
        <v>3011</v>
      </c>
      <c r="C1344" s="46" t="s">
        <v>97</v>
      </c>
      <c r="D1344" s="46" t="s">
        <v>230</v>
      </c>
      <c r="E1344" s="46" t="s">
        <v>345</v>
      </c>
      <c r="F1344" s="46" t="s">
        <v>277</v>
      </c>
      <c r="G1344" s="46" t="s">
        <v>89</v>
      </c>
      <c r="H1344" s="46" t="s">
        <v>88</v>
      </c>
      <c r="I1344" s="46" t="s">
        <v>4137</v>
      </c>
      <c r="J1344" s="46" t="s">
        <v>901</v>
      </c>
      <c r="K1344" s="46">
        <v>6</v>
      </c>
      <c r="L1344" s="46" t="s">
        <v>2683</v>
      </c>
      <c r="M1344" s="46" t="s">
        <v>219</v>
      </c>
      <c r="N1344" s="46">
        <v>5</v>
      </c>
      <c r="O1344" s="46" t="s">
        <v>131</v>
      </c>
      <c r="P1344" s="46"/>
    </row>
    <row r="1345" spans="1:16">
      <c r="A1345" s="37" t="s">
        <v>4138</v>
      </c>
      <c r="B1345" s="37" t="s">
        <v>2383</v>
      </c>
      <c r="C1345" s="37" t="s">
        <v>54</v>
      </c>
      <c r="D1345" s="37" t="s">
        <v>37</v>
      </c>
      <c r="E1345" s="37" t="s">
        <v>123</v>
      </c>
      <c r="F1345" s="37" t="s">
        <v>263</v>
      </c>
      <c r="G1345" s="37" t="s">
        <v>302</v>
      </c>
      <c r="H1345" s="37" t="s">
        <v>294</v>
      </c>
      <c r="I1345" s="37" t="s">
        <v>787</v>
      </c>
      <c r="J1345" s="37" t="s">
        <v>3560</v>
      </c>
      <c r="K1345" s="37">
        <v>4</v>
      </c>
      <c r="L1345" s="37" t="s">
        <v>1791</v>
      </c>
      <c r="M1345" s="37" t="s">
        <v>172</v>
      </c>
      <c r="N1345" s="37">
        <v>3</v>
      </c>
      <c r="O1345" s="37" t="s">
        <v>131</v>
      </c>
      <c r="P1345" s="37"/>
    </row>
    <row r="1346" spans="1:16">
      <c r="A1346" s="46" t="s">
        <v>4139</v>
      </c>
      <c r="B1346" s="46" t="s">
        <v>3089</v>
      </c>
      <c r="C1346" s="46" t="s">
        <v>300</v>
      </c>
      <c r="D1346" s="46" t="s">
        <v>352</v>
      </c>
      <c r="E1346" s="46" t="s">
        <v>110</v>
      </c>
      <c r="F1346" s="46" t="s">
        <v>138</v>
      </c>
      <c r="G1346" s="46" t="s">
        <v>302</v>
      </c>
      <c r="H1346" s="46" t="s">
        <v>91</v>
      </c>
      <c r="I1346" s="46" t="s">
        <v>4035</v>
      </c>
      <c r="J1346" s="46" t="s">
        <v>4140</v>
      </c>
      <c r="K1346" s="46">
        <v>6</v>
      </c>
      <c r="L1346" s="46" t="s">
        <v>1287</v>
      </c>
      <c r="M1346" s="46" t="s">
        <v>200</v>
      </c>
      <c r="N1346" s="46">
        <v>1</v>
      </c>
      <c r="O1346" s="46" t="s">
        <v>118</v>
      </c>
      <c r="P1346" s="46"/>
    </row>
    <row r="1347" spans="1:16">
      <c r="A1347" s="37" t="s">
        <v>4141</v>
      </c>
      <c r="B1347" s="37" t="s">
        <v>1564</v>
      </c>
      <c r="C1347" s="37" t="s">
        <v>90</v>
      </c>
      <c r="D1347" s="37" t="s">
        <v>204</v>
      </c>
      <c r="E1347" s="37" t="s">
        <v>147</v>
      </c>
      <c r="F1347" s="37" t="s">
        <v>277</v>
      </c>
      <c r="G1347" s="37" t="s">
        <v>257</v>
      </c>
      <c r="H1347" s="37" t="s">
        <v>187</v>
      </c>
      <c r="I1347" s="37" t="s">
        <v>3277</v>
      </c>
      <c r="J1347" s="37" t="s">
        <v>2077</v>
      </c>
      <c r="K1347" s="37">
        <v>8</v>
      </c>
      <c r="L1347" s="37" t="s">
        <v>299</v>
      </c>
      <c r="M1347" s="37" t="s">
        <v>105</v>
      </c>
      <c r="N1347" s="37">
        <v>5</v>
      </c>
      <c r="O1347" s="37" t="s">
        <v>131</v>
      </c>
      <c r="P1347" s="37"/>
    </row>
    <row r="1348" spans="1:16">
      <c r="A1348" s="46" t="s">
        <v>4142</v>
      </c>
      <c r="B1348" s="46" t="s">
        <v>2535</v>
      </c>
      <c r="C1348" s="46" t="s">
        <v>566</v>
      </c>
      <c r="D1348" s="46" t="s">
        <v>146</v>
      </c>
      <c r="E1348" s="46" t="s">
        <v>137</v>
      </c>
      <c r="F1348" s="46" t="s">
        <v>263</v>
      </c>
      <c r="G1348" s="46" t="s">
        <v>51</v>
      </c>
      <c r="H1348" s="46" t="s">
        <v>54</v>
      </c>
      <c r="I1348" s="46" t="s">
        <v>252</v>
      </c>
      <c r="J1348" s="46" t="s">
        <v>2816</v>
      </c>
      <c r="K1348" s="46">
        <v>6</v>
      </c>
      <c r="L1348" s="46" t="s">
        <v>1333</v>
      </c>
      <c r="M1348" s="46" t="s">
        <v>163</v>
      </c>
      <c r="N1348" s="46">
        <v>4</v>
      </c>
      <c r="O1348" s="46" t="s">
        <v>118</v>
      </c>
      <c r="P1348" s="46"/>
    </row>
    <row r="1349" spans="1:16">
      <c r="A1349" s="37" t="s">
        <v>4143</v>
      </c>
      <c r="B1349" s="37" t="s">
        <v>1021</v>
      </c>
      <c r="C1349" s="37" t="s">
        <v>282</v>
      </c>
      <c r="D1349" s="37" t="s">
        <v>146</v>
      </c>
      <c r="E1349" s="37" t="s">
        <v>176</v>
      </c>
      <c r="F1349" s="37" t="s">
        <v>734</v>
      </c>
      <c r="G1349" s="37" t="s">
        <v>302</v>
      </c>
      <c r="H1349" s="37" t="s">
        <v>396</v>
      </c>
      <c r="I1349" s="37" t="s">
        <v>225</v>
      </c>
      <c r="J1349" s="37" t="s">
        <v>4144</v>
      </c>
      <c r="K1349" s="37">
        <v>8</v>
      </c>
      <c r="L1349" s="37" t="s">
        <v>1984</v>
      </c>
      <c r="M1349" s="37" t="s">
        <v>117</v>
      </c>
      <c r="N1349" s="37">
        <v>4</v>
      </c>
      <c r="O1349" s="37" t="s">
        <v>118</v>
      </c>
      <c r="P1349" s="37"/>
    </row>
    <row r="1350" spans="1:16">
      <c r="A1350" s="46" t="s">
        <v>4145</v>
      </c>
      <c r="B1350" s="46" t="s">
        <v>729</v>
      </c>
      <c r="C1350" s="46" t="s">
        <v>340</v>
      </c>
      <c r="D1350" s="46" t="s">
        <v>223</v>
      </c>
      <c r="E1350" s="46" t="s">
        <v>224</v>
      </c>
      <c r="F1350" s="46" t="s">
        <v>167</v>
      </c>
      <c r="G1350" s="46" t="s">
        <v>418</v>
      </c>
      <c r="H1350" s="46" t="s">
        <v>90</v>
      </c>
      <c r="I1350" s="46" t="s">
        <v>4146</v>
      </c>
      <c r="J1350" s="46" t="s">
        <v>3665</v>
      </c>
      <c r="K1350" s="46">
        <v>4</v>
      </c>
      <c r="L1350" s="46" t="s">
        <v>388</v>
      </c>
      <c r="M1350" s="46" t="s">
        <v>172</v>
      </c>
      <c r="N1350" s="46">
        <v>1</v>
      </c>
      <c r="O1350" s="46" t="s">
        <v>131</v>
      </c>
      <c r="P1350" s="46"/>
    </row>
    <row r="1351" spans="1:16">
      <c r="A1351" s="37" t="s">
        <v>4147</v>
      </c>
      <c r="B1351" s="37" t="s">
        <v>1751</v>
      </c>
      <c r="C1351" s="37" t="s">
        <v>469</v>
      </c>
      <c r="D1351" s="37" t="s">
        <v>919</v>
      </c>
      <c r="E1351" s="37" t="s">
        <v>110</v>
      </c>
      <c r="F1351" s="37" t="s">
        <v>177</v>
      </c>
      <c r="G1351" s="37" t="s">
        <v>51</v>
      </c>
      <c r="H1351" s="37" t="s">
        <v>90</v>
      </c>
      <c r="I1351" s="37" t="s">
        <v>1557</v>
      </c>
      <c r="J1351" s="37" t="s">
        <v>4148</v>
      </c>
      <c r="K1351" s="37">
        <v>6</v>
      </c>
      <c r="L1351" s="37" t="s">
        <v>481</v>
      </c>
      <c r="M1351" s="37" t="s">
        <v>105</v>
      </c>
      <c r="N1351" s="37">
        <v>4</v>
      </c>
      <c r="O1351" s="37" t="s">
        <v>131</v>
      </c>
      <c r="P1351" s="37"/>
    </row>
    <row r="1352" spans="1:16">
      <c r="A1352" s="46" t="s">
        <v>4149</v>
      </c>
      <c r="B1352" s="46" t="s">
        <v>1424</v>
      </c>
      <c r="C1352" s="46" t="s">
        <v>54</v>
      </c>
      <c r="D1352" s="46" t="s">
        <v>230</v>
      </c>
      <c r="E1352" s="46" t="s">
        <v>99</v>
      </c>
      <c r="F1352" s="46" t="s">
        <v>205</v>
      </c>
      <c r="G1352" s="46" t="s">
        <v>51</v>
      </c>
      <c r="H1352" s="46" t="s">
        <v>54</v>
      </c>
      <c r="I1352" s="46" t="s">
        <v>4150</v>
      </c>
      <c r="J1352" s="46" t="s">
        <v>4151</v>
      </c>
      <c r="K1352" s="46">
        <v>2</v>
      </c>
      <c r="L1352" s="46" t="s">
        <v>694</v>
      </c>
      <c r="M1352" s="46" t="s">
        <v>337</v>
      </c>
      <c r="N1352" s="46"/>
      <c r="O1352" s="46" t="s">
        <v>191</v>
      </c>
      <c r="P1352" s="46" t="s">
        <v>132</v>
      </c>
    </row>
    <row r="1353" spans="1:16">
      <c r="A1353" s="37" t="s">
        <v>4152</v>
      </c>
      <c r="B1353" s="37" t="s">
        <v>528</v>
      </c>
      <c r="C1353" s="37" t="s">
        <v>90</v>
      </c>
      <c r="D1353" s="37" t="s">
        <v>194</v>
      </c>
      <c r="E1353" s="37" t="s">
        <v>244</v>
      </c>
      <c r="F1353" s="37" t="s">
        <v>167</v>
      </c>
      <c r="G1353" s="37" t="s">
        <v>87</v>
      </c>
      <c r="H1353" s="37" t="s">
        <v>113</v>
      </c>
      <c r="I1353" s="37"/>
      <c r="J1353" s="37" t="s">
        <v>2594</v>
      </c>
      <c r="K1353" s="37">
        <v>4</v>
      </c>
      <c r="L1353" s="37" t="s">
        <v>1328</v>
      </c>
      <c r="M1353" s="37" t="s">
        <v>105</v>
      </c>
      <c r="N1353" s="37">
        <v>5</v>
      </c>
      <c r="O1353" s="37" t="s">
        <v>286</v>
      </c>
      <c r="P1353" s="37"/>
    </row>
    <row r="1354" spans="1:16">
      <c r="A1354" s="46" t="s">
        <v>4153</v>
      </c>
      <c r="B1354" s="46" t="s">
        <v>2123</v>
      </c>
      <c r="C1354" s="46" t="s">
        <v>566</v>
      </c>
      <c r="D1354" s="46" t="s">
        <v>37</v>
      </c>
      <c r="E1354" s="46" t="s">
        <v>147</v>
      </c>
      <c r="F1354" s="46" t="s">
        <v>237</v>
      </c>
      <c r="G1354" s="46" t="s">
        <v>470</v>
      </c>
      <c r="H1354" s="46" t="s">
        <v>91</v>
      </c>
      <c r="I1354" s="46" t="s">
        <v>4154</v>
      </c>
      <c r="J1354" s="46" t="s">
        <v>1947</v>
      </c>
      <c r="K1354" s="46">
        <v>8</v>
      </c>
      <c r="L1354" s="46" t="s">
        <v>423</v>
      </c>
      <c r="M1354" s="46" t="s">
        <v>143</v>
      </c>
      <c r="N1354" s="46">
        <v>4</v>
      </c>
      <c r="O1354" s="46" t="s">
        <v>152</v>
      </c>
      <c r="P1354" s="46"/>
    </row>
    <row r="1355" spans="1:16">
      <c r="A1355" s="37" t="s">
        <v>4155</v>
      </c>
      <c r="B1355" s="37" t="s">
        <v>318</v>
      </c>
      <c r="C1355" s="37" t="s">
        <v>54</v>
      </c>
      <c r="D1355" s="37" t="s">
        <v>122</v>
      </c>
      <c r="E1355" s="37" t="s">
        <v>185</v>
      </c>
      <c r="F1355" s="37" t="s">
        <v>283</v>
      </c>
      <c r="G1355" s="37" t="s">
        <v>89</v>
      </c>
      <c r="H1355" s="37" t="s">
        <v>88</v>
      </c>
      <c r="I1355" s="37" t="s">
        <v>730</v>
      </c>
      <c r="J1355" s="37" t="s">
        <v>4156</v>
      </c>
      <c r="K1355" s="37">
        <v>6</v>
      </c>
      <c r="L1355" s="37" t="s">
        <v>725</v>
      </c>
      <c r="M1355" s="37" t="s">
        <v>172</v>
      </c>
      <c r="N1355" s="37">
        <v>2</v>
      </c>
      <c r="O1355" s="37" t="s">
        <v>118</v>
      </c>
      <c r="P1355" s="37"/>
    </row>
    <row r="1356" spans="1:16">
      <c r="A1356" s="46" t="s">
        <v>4157</v>
      </c>
      <c r="B1356" s="46" t="s">
        <v>1010</v>
      </c>
      <c r="C1356" s="46" t="s">
        <v>93</v>
      </c>
      <c r="D1356" s="46" t="s">
        <v>352</v>
      </c>
      <c r="E1356" s="46" t="s">
        <v>99</v>
      </c>
      <c r="F1356" s="46" t="s">
        <v>47</v>
      </c>
      <c r="G1356" s="46" t="s">
        <v>264</v>
      </c>
      <c r="H1356" s="46" t="s">
        <v>187</v>
      </c>
      <c r="I1356" s="46" t="s">
        <v>4158</v>
      </c>
      <c r="J1356" s="46" t="s">
        <v>4159</v>
      </c>
      <c r="K1356" s="46">
        <v>2</v>
      </c>
      <c r="L1356" s="46" t="s">
        <v>359</v>
      </c>
      <c r="M1356" s="46" t="s">
        <v>200</v>
      </c>
      <c r="N1356" s="46">
        <v>1</v>
      </c>
      <c r="O1356" s="46" t="s">
        <v>181</v>
      </c>
      <c r="P1356" s="46"/>
    </row>
    <row r="1357" spans="1:16">
      <c r="A1357" s="37" t="s">
        <v>4160</v>
      </c>
      <c r="B1357" s="37" t="s">
        <v>2985</v>
      </c>
      <c r="C1357" s="37" t="s">
        <v>155</v>
      </c>
      <c r="D1357" s="37" t="s">
        <v>367</v>
      </c>
      <c r="E1357" s="37" t="s">
        <v>42</v>
      </c>
      <c r="F1357" s="37" t="s">
        <v>100</v>
      </c>
      <c r="G1357" s="37" t="s">
        <v>159</v>
      </c>
      <c r="H1357" s="37" t="s">
        <v>93</v>
      </c>
      <c r="I1357" s="37" t="s">
        <v>1954</v>
      </c>
      <c r="J1357" s="37" t="s">
        <v>4161</v>
      </c>
      <c r="K1357" s="37">
        <v>4</v>
      </c>
      <c r="L1357" s="37" t="s">
        <v>2498</v>
      </c>
      <c r="M1357" s="37" t="s">
        <v>200</v>
      </c>
      <c r="N1357" s="37">
        <v>3</v>
      </c>
      <c r="O1357" s="37" t="s">
        <v>118</v>
      </c>
      <c r="P1357" s="37"/>
    </row>
    <row r="1358" spans="1:16">
      <c r="A1358" s="46" t="s">
        <v>4162</v>
      </c>
      <c r="B1358" s="46" t="s">
        <v>1061</v>
      </c>
      <c r="C1358" s="46" t="s">
        <v>366</v>
      </c>
      <c r="D1358" s="46" t="s">
        <v>333</v>
      </c>
      <c r="E1358" s="46" t="s">
        <v>176</v>
      </c>
      <c r="F1358" s="46" t="s">
        <v>231</v>
      </c>
      <c r="G1358" s="46" t="s">
        <v>334</v>
      </c>
      <c r="H1358" s="46" t="s">
        <v>354</v>
      </c>
      <c r="I1358" s="46" t="s">
        <v>4163</v>
      </c>
      <c r="J1358" s="46" t="s">
        <v>4164</v>
      </c>
      <c r="K1358" s="46">
        <v>8</v>
      </c>
      <c r="L1358" s="46" t="s">
        <v>2182</v>
      </c>
      <c r="M1358" s="46" t="s">
        <v>105</v>
      </c>
      <c r="N1358" s="46">
        <v>3</v>
      </c>
      <c r="O1358" s="46" t="s">
        <v>152</v>
      </c>
      <c r="P1358" s="46"/>
    </row>
    <row r="1359" spans="1:16">
      <c r="A1359" s="37" t="s">
        <v>4165</v>
      </c>
      <c r="B1359" s="37" t="s">
        <v>2681</v>
      </c>
      <c r="C1359" s="37" t="s">
        <v>93</v>
      </c>
      <c r="D1359" s="37" t="s">
        <v>919</v>
      </c>
      <c r="E1359" s="37" t="s">
        <v>123</v>
      </c>
      <c r="F1359" s="37" t="s">
        <v>148</v>
      </c>
      <c r="G1359" s="37" t="s">
        <v>89</v>
      </c>
      <c r="H1359" s="37" t="s">
        <v>88</v>
      </c>
      <c r="I1359" s="37" t="s">
        <v>1741</v>
      </c>
      <c r="J1359" s="37" t="s">
        <v>4166</v>
      </c>
      <c r="K1359" s="37">
        <v>2</v>
      </c>
      <c r="L1359" s="37" t="s">
        <v>1602</v>
      </c>
      <c r="M1359" s="37" t="s">
        <v>172</v>
      </c>
      <c r="N1359" s="37">
        <v>3</v>
      </c>
      <c r="O1359" s="37" t="s">
        <v>181</v>
      </c>
      <c r="P1359" s="37"/>
    </row>
    <row r="1360" spans="1:16">
      <c r="A1360" s="46" t="s">
        <v>4167</v>
      </c>
      <c r="B1360" s="46" t="s">
        <v>1850</v>
      </c>
      <c r="C1360" s="46" t="s">
        <v>203</v>
      </c>
      <c r="D1360" s="46" t="s">
        <v>37</v>
      </c>
      <c r="E1360" s="46" t="s">
        <v>176</v>
      </c>
      <c r="F1360" s="46" t="s">
        <v>1145</v>
      </c>
      <c r="G1360" s="46" t="s">
        <v>197</v>
      </c>
      <c r="H1360" s="46" t="s">
        <v>90</v>
      </c>
      <c r="I1360" s="46" t="s">
        <v>4168</v>
      </c>
      <c r="J1360" s="46" t="s">
        <v>4169</v>
      </c>
      <c r="K1360" s="46">
        <v>8</v>
      </c>
      <c r="L1360" s="46" t="s">
        <v>1564</v>
      </c>
      <c r="M1360" s="46" t="s">
        <v>163</v>
      </c>
      <c r="N1360" s="46">
        <v>5</v>
      </c>
      <c r="O1360" s="46" t="s">
        <v>106</v>
      </c>
      <c r="P1360" s="46"/>
    </row>
    <row r="1361" spans="1:16">
      <c r="A1361" s="37" t="s">
        <v>4170</v>
      </c>
      <c r="B1361" s="37" t="s">
        <v>1142</v>
      </c>
      <c r="C1361" s="37" t="s">
        <v>407</v>
      </c>
      <c r="D1361" s="37" t="s">
        <v>544</v>
      </c>
      <c r="E1361" s="37" t="s">
        <v>157</v>
      </c>
      <c r="F1361" s="37" t="s">
        <v>301</v>
      </c>
      <c r="G1361" s="37" t="s">
        <v>51</v>
      </c>
      <c r="H1361" s="37" t="s">
        <v>54</v>
      </c>
      <c r="I1361" s="37" t="s">
        <v>4171</v>
      </c>
      <c r="J1361" s="37" t="s">
        <v>4172</v>
      </c>
      <c r="K1361" s="37">
        <v>6</v>
      </c>
      <c r="L1361" s="37" t="s">
        <v>1758</v>
      </c>
      <c r="M1361" s="37" t="s">
        <v>143</v>
      </c>
      <c r="N1361" s="37">
        <v>2</v>
      </c>
      <c r="O1361" s="37" t="s">
        <v>106</v>
      </c>
      <c r="P1361" s="37"/>
    </row>
    <row r="1362" spans="1:16">
      <c r="A1362" s="46" t="s">
        <v>4173</v>
      </c>
      <c r="B1362" s="46" t="s">
        <v>2147</v>
      </c>
      <c r="C1362" s="46" t="s">
        <v>93</v>
      </c>
      <c r="D1362" s="46" t="s">
        <v>37</v>
      </c>
      <c r="E1362" s="46" t="s">
        <v>244</v>
      </c>
      <c r="F1362" s="46" t="s">
        <v>353</v>
      </c>
      <c r="G1362" s="46" t="s">
        <v>470</v>
      </c>
      <c r="H1362" s="46" t="s">
        <v>396</v>
      </c>
      <c r="I1362" s="46" t="s">
        <v>4174</v>
      </c>
      <c r="J1362" s="46" t="s">
        <v>4175</v>
      </c>
      <c r="K1362" s="46">
        <v>4</v>
      </c>
      <c r="L1362" s="46" t="s">
        <v>3756</v>
      </c>
      <c r="M1362" s="46" t="s">
        <v>219</v>
      </c>
      <c r="N1362" s="46">
        <v>5</v>
      </c>
      <c r="O1362" s="46" t="s">
        <v>152</v>
      </c>
      <c r="P1362" s="46"/>
    </row>
    <row r="1363" spans="1:16">
      <c r="A1363" s="37" t="s">
        <v>4176</v>
      </c>
      <c r="B1363" s="37" t="s">
        <v>151</v>
      </c>
      <c r="C1363" s="37" t="s">
        <v>340</v>
      </c>
      <c r="D1363" s="37" t="s">
        <v>175</v>
      </c>
      <c r="E1363" s="37" t="s">
        <v>157</v>
      </c>
      <c r="F1363" s="37" t="s">
        <v>167</v>
      </c>
      <c r="G1363" s="37" t="s">
        <v>380</v>
      </c>
      <c r="H1363" s="37" t="s">
        <v>396</v>
      </c>
      <c r="I1363" s="37" t="s">
        <v>1326</v>
      </c>
      <c r="J1363" s="37" t="s">
        <v>4177</v>
      </c>
      <c r="K1363" s="37">
        <v>6</v>
      </c>
      <c r="L1363" s="37" t="s">
        <v>461</v>
      </c>
      <c r="M1363" s="37" t="s">
        <v>117</v>
      </c>
      <c r="N1363" s="37">
        <v>5</v>
      </c>
      <c r="O1363" s="37" t="s">
        <v>79</v>
      </c>
      <c r="P1363" s="37"/>
    </row>
    <row r="1364" spans="1:16">
      <c r="A1364" s="37" t="s">
        <v>4178</v>
      </c>
      <c r="B1364" s="37" t="s">
        <v>236</v>
      </c>
      <c r="C1364" s="37" t="s">
        <v>121</v>
      </c>
      <c r="D1364" s="37" t="s">
        <v>213</v>
      </c>
      <c r="E1364" s="37" t="s">
        <v>42</v>
      </c>
      <c r="F1364" s="37" t="s">
        <v>214</v>
      </c>
      <c r="G1364" s="37" t="s">
        <v>346</v>
      </c>
      <c r="H1364" s="37" t="s">
        <v>32</v>
      </c>
      <c r="I1364" s="37" t="s">
        <v>1565</v>
      </c>
      <c r="J1364" s="37" t="s">
        <v>115</v>
      </c>
      <c r="K1364" s="37">
        <v>4</v>
      </c>
      <c r="L1364" s="37" t="s">
        <v>240</v>
      </c>
      <c r="M1364" s="37" t="s">
        <v>72</v>
      </c>
      <c r="N1364" s="37">
        <v>3</v>
      </c>
      <c r="O1364" s="37" t="s">
        <v>152</v>
      </c>
      <c r="P1364" s="37"/>
    </row>
    <row r="1365" spans="1:16">
      <c r="A1365" s="46" t="s">
        <v>4179</v>
      </c>
      <c r="B1365" s="46" t="s">
        <v>2055</v>
      </c>
      <c r="C1365" s="46" t="s">
        <v>155</v>
      </c>
      <c r="D1365" s="46" t="s">
        <v>184</v>
      </c>
      <c r="E1365" s="46" t="s">
        <v>325</v>
      </c>
      <c r="F1365" s="46" t="s">
        <v>843</v>
      </c>
      <c r="G1365" s="46" t="s">
        <v>470</v>
      </c>
      <c r="H1365" s="46" t="s">
        <v>126</v>
      </c>
      <c r="I1365" s="46" t="s">
        <v>4180</v>
      </c>
      <c r="J1365" s="46" t="s">
        <v>4181</v>
      </c>
      <c r="K1365" s="46">
        <v>4</v>
      </c>
      <c r="L1365" s="46" t="s">
        <v>4182</v>
      </c>
      <c r="M1365" s="46" t="s">
        <v>117</v>
      </c>
      <c r="N1365" s="46">
        <v>4</v>
      </c>
      <c r="O1365" s="46" t="s">
        <v>79</v>
      </c>
      <c r="P1365" s="46"/>
    </row>
    <row r="1366" spans="1:16">
      <c r="A1366" s="37" t="s">
        <v>4183</v>
      </c>
      <c r="B1366" s="37" t="s">
        <v>2018</v>
      </c>
      <c r="C1366" s="37" t="s">
        <v>566</v>
      </c>
      <c r="D1366" s="37" t="s">
        <v>213</v>
      </c>
      <c r="E1366" s="37" t="s">
        <v>110</v>
      </c>
      <c r="F1366" s="37" t="s">
        <v>237</v>
      </c>
      <c r="G1366" s="37" t="s">
        <v>125</v>
      </c>
      <c r="H1366" s="37" t="s">
        <v>91</v>
      </c>
      <c r="I1366" s="37" t="s">
        <v>4184</v>
      </c>
      <c r="J1366" s="37" t="s">
        <v>4185</v>
      </c>
      <c r="K1366" s="37">
        <v>6</v>
      </c>
      <c r="L1366" s="37" t="s">
        <v>2293</v>
      </c>
      <c r="M1366" s="37" t="s">
        <v>105</v>
      </c>
      <c r="N1366" s="37">
        <v>3</v>
      </c>
      <c r="O1366" s="37" t="s">
        <v>118</v>
      </c>
      <c r="P1366" s="37"/>
    </row>
    <row r="1367" spans="1:16">
      <c r="A1367" s="46" t="s">
        <v>4186</v>
      </c>
      <c r="B1367" s="46" t="s">
        <v>1256</v>
      </c>
      <c r="C1367" s="46" t="s">
        <v>91</v>
      </c>
      <c r="D1367" s="46" t="s">
        <v>230</v>
      </c>
      <c r="E1367" s="46" t="s">
        <v>137</v>
      </c>
      <c r="F1367" s="46" t="s">
        <v>177</v>
      </c>
      <c r="G1367" s="46" t="s">
        <v>197</v>
      </c>
      <c r="H1367" s="46" t="s">
        <v>93</v>
      </c>
      <c r="I1367" s="46" t="s">
        <v>3647</v>
      </c>
      <c r="J1367" s="46" t="s">
        <v>4187</v>
      </c>
      <c r="K1367" s="46">
        <v>8</v>
      </c>
      <c r="L1367" s="46" t="s">
        <v>2494</v>
      </c>
      <c r="M1367" s="46" t="s">
        <v>200</v>
      </c>
      <c r="N1367" s="46">
        <v>3</v>
      </c>
      <c r="O1367" s="46" t="s">
        <v>181</v>
      </c>
      <c r="P1367" s="46"/>
    </row>
    <row r="1368" spans="1:16">
      <c r="A1368" s="37" t="s">
        <v>4188</v>
      </c>
      <c r="B1368" s="37" t="s">
        <v>564</v>
      </c>
      <c r="C1368" s="37" t="s">
        <v>374</v>
      </c>
      <c r="D1368" s="37" t="s">
        <v>223</v>
      </c>
      <c r="E1368" s="37" t="s">
        <v>137</v>
      </c>
      <c r="F1368" s="37" t="s">
        <v>271</v>
      </c>
      <c r="G1368" s="37" t="s">
        <v>418</v>
      </c>
      <c r="H1368" s="37" t="s">
        <v>93</v>
      </c>
      <c r="I1368" s="37" t="s">
        <v>4189</v>
      </c>
      <c r="J1368" s="37" t="s">
        <v>4190</v>
      </c>
      <c r="K1368" s="37">
        <v>6</v>
      </c>
      <c r="L1368" s="37" t="s">
        <v>1164</v>
      </c>
      <c r="M1368" s="37" t="s">
        <v>143</v>
      </c>
      <c r="N1368" s="37">
        <v>5</v>
      </c>
      <c r="O1368" s="37" t="s">
        <v>131</v>
      </c>
      <c r="P1368" s="37"/>
    </row>
    <row r="1369" spans="1:16">
      <c r="A1369" s="46" t="s">
        <v>4191</v>
      </c>
      <c r="B1369" s="46" t="s">
        <v>1207</v>
      </c>
      <c r="C1369" s="46" t="s">
        <v>97</v>
      </c>
      <c r="D1369" s="46" t="s">
        <v>194</v>
      </c>
      <c r="E1369" s="46" t="s">
        <v>147</v>
      </c>
      <c r="F1369" s="46" t="s">
        <v>430</v>
      </c>
      <c r="G1369" s="46" t="s">
        <v>380</v>
      </c>
      <c r="H1369" s="46" t="s">
        <v>294</v>
      </c>
      <c r="I1369" s="46" t="s">
        <v>1312</v>
      </c>
      <c r="J1369" s="46" t="s">
        <v>825</v>
      </c>
      <c r="K1369" s="46">
        <v>8</v>
      </c>
      <c r="L1369" s="46"/>
      <c r="M1369" s="46" t="s">
        <v>1439</v>
      </c>
      <c r="N1369" s="46"/>
      <c r="O1369" s="46" t="s">
        <v>286</v>
      </c>
      <c r="P1369" s="46"/>
    </row>
    <row r="1370" spans="1:16">
      <c r="A1370" s="37" t="s">
        <v>4192</v>
      </c>
      <c r="B1370" s="37" t="s">
        <v>1377</v>
      </c>
      <c r="C1370" s="37" t="s">
        <v>97</v>
      </c>
      <c r="D1370" s="37" t="s">
        <v>367</v>
      </c>
      <c r="E1370" s="37" t="s">
        <v>147</v>
      </c>
      <c r="F1370" s="37" t="s">
        <v>368</v>
      </c>
      <c r="G1370" s="37" t="s">
        <v>92</v>
      </c>
      <c r="H1370" s="37" t="s">
        <v>294</v>
      </c>
      <c r="I1370" s="37" t="s">
        <v>4193</v>
      </c>
      <c r="J1370" s="37" t="s">
        <v>4194</v>
      </c>
      <c r="K1370" s="37">
        <v>8</v>
      </c>
      <c r="L1370" s="37" t="s">
        <v>661</v>
      </c>
      <c r="M1370" s="37" t="s">
        <v>143</v>
      </c>
      <c r="N1370" s="37">
        <v>3</v>
      </c>
      <c r="O1370" s="37" t="s">
        <v>131</v>
      </c>
      <c r="P1370" s="37"/>
    </row>
    <row r="1371" spans="1:16">
      <c r="A1371" s="46" t="s">
        <v>4195</v>
      </c>
      <c r="B1371" s="46" t="s">
        <v>2715</v>
      </c>
      <c r="C1371" s="46" t="s">
        <v>469</v>
      </c>
      <c r="D1371" s="46" t="s">
        <v>213</v>
      </c>
      <c r="E1371" s="46" t="s">
        <v>325</v>
      </c>
      <c r="F1371" s="46" t="s">
        <v>368</v>
      </c>
      <c r="G1371" s="46" t="s">
        <v>257</v>
      </c>
      <c r="H1371" s="46" t="s">
        <v>206</v>
      </c>
      <c r="I1371" s="46" t="s">
        <v>4196</v>
      </c>
      <c r="J1371" s="46" t="s">
        <v>4197</v>
      </c>
      <c r="K1371" s="46">
        <v>4</v>
      </c>
      <c r="L1371" s="46" t="s">
        <v>1782</v>
      </c>
      <c r="M1371" s="46" t="s">
        <v>200</v>
      </c>
      <c r="N1371" s="46">
        <v>1</v>
      </c>
      <c r="O1371" s="46" t="s">
        <v>79</v>
      </c>
      <c r="P1371" s="46"/>
    </row>
    <row r="1372" spans="1:16">
      <c r="A1372" s="37" t="s">
        <v>4198</v>
      </c>
      <c r="B1372" s="37" t="s">
        <v>4199</v>
      </c>
      <c r="C1372" s="37" t="s">
        <v>90</v>
      </c>
      <c r="D1372" s="37" t="s">
        <v>184</v>
      </c>
      <c r="E1372" s="37" t="s">
        <v>325</v>
      </c>
      <c r="F1372" s="37" t="s">
        <v>360</v>
      </c>
      <c r="G1372" s="37" t="s">
        <v>346</v>
      </c>
      <c r="H1372" s="37" t="s">
        <v>113</v>
      </c>
      <c r="I1372" s="37" t="s">
        <v>2673</v>
      </c>
      <c r="J1372" s="37" t="s">
        <v>4200</v>
      </c>
      <c r="K1372" s="37">
        <v>4</v>
      </c>
      <c r="L1372" s="37" t="s">
        <v>4201</v>
      </c>
      <c r="M1372" s="37" t="s">
        <v>143</v>
      </c>
      <c r="N1372" s="37">
        <v>3</v>
      </c>
      <c r="O1372" s="37" t="s">
        <v>286</v>
      </c>
      <c r="P1372" s="37"/>
    </row>
    <row r="1373" spans="1:16">
      <c r="A1373" s="46" t="s">
        <v>4202</v>
      </c>
      <c r="B1373" s="46" t="s">
        <v>742</v>
      </c>
      <c r="C1373" s="46" t="s">
        <v>282</v>
      </c>
      <c r="D1373" s="46" t="s">
        <v>184</v>
      </c>
      <c r="E1373" s="46" t="s">
        <v>224</v>
      </c>
      <c r="F1373" s="46" t="s">
        <v>111</v>
      </c>
      <c r="G1373" s="46" t="s">
        <v>159</v>
      </c>
      <c r="H1373" s="46" t="s">
        <v>93</v>
      </c>
      <c r="I1373" s="46" t="s">
        <v>686</v>
      </c>
      <c r="J1373" s="46" t="s">
        <v>370</v>
      </c>
      <c r="K1373" s="46">
        <v>4</v>
      </c>
      <c r="L1373" s="46" t="s">
        <v>481</v>
      </c>
      <c r="M1373" s="46" t="s">
        <v>172</v>
      </c>
      <c r="N1373" s="46">
        <v>3</v>
      </c>
      <c r="O1373" s="46" t="s">
        <v>181</v>
      </c>
      <c r="P1373" s="46"/>
    </row>
    <row r="1374" spans="1:16">
      <c r="A1374" s="37" t="s">
        <v>4203</v>
      </c>
      <c r="B1374" s="37" t="s">
        <v>1335</v>
      </c>
      <c r="C1374" s="37" t="s">
        <v>174</v>
      </c>
      <c r="D1374" s="37" t="s">
        <v>213</v>
      </c>
      <c r="E1374" s="37" t="s">
        <v>123</v>
      </c>
      <c r="F1374" s="37" t="s">
        <v>100</v>
      </c>
      <c r="G1374" s="37" t="s">
        <v>197</v>
      </c>
      <c r="H1374" s="37" t="s">
        <v>327</v>
      </c>
      <c r="I1374" s="37" t="s">
        <v>1413</v>
      </c>
      <c r="J1374" s="37" t="s">
        <v>2298</v>
      </c>
      <c r="K1374" s="37">
        <v>4</v>
      </c>
      <c r="L1374" s="37" t="s">
        <v>2362</v>
      </c>
      <c r="M1374" s="37" t="s">
        <v>172</v>
      </c>
      <c r="N1374" s="37">
        <v>3</v>
      </c>
      <c r="O1374" s="37" t="s">
        <v>131</v>
      </c>
      <c r="P1374" s="37"/>
    </row>
    <row r="1375" spans="1:16">
      <c r="A1375" s="46" t="s">
        <v>4204</v>
      </c>
      <c r="B1375" s="46" t="s">
        <v>3030</v>
      </c>
      <c r="C1375" s="46" t="s">
        <v>251</v>
      </c>
      <c r="D1375" s="46" t="s">
        <v>175</v>
      </c>
      <c r="E1375" s="46" t="s">
        <v>244</v>
      </c>
      <c r="F1375" s="46" t="s">
        <v>231</v>
      </c>
      <c r="G1375" s="46" t="s">
        <v>139</v>
      </c>
      <c r="H1375" s="46" t="s">
        <v>215</v>
      </c>
      <c r="I1375" s="46" t="s">
        <v>4205</v>
      </c>
      <c r="J1375" s="46" t="s">
        <v>4206</v>
      </c>
      <c r="K1375" s="46">
        <v>2</v>
      </c>
      <c r="L1375" s="46" t="s">
        <v>3076</v>
      </c>
      <c r="M1375" s="46" t="s">
        <v>219</v>
      </c>
      <c r="N1375" s="46">
        <v>5</v>
      </c>
      <c r="O1375" s="46" t="s">
        <v>152</v>
      </c>
      <c r="P1375" s="46"/>
    </row>
    <row r="1376" spans="1:16">
      <c r="A1376" s="37" t="s">
        <v>4207</v>
      </c>
      <c r="B1376" s="37" t="s">
        <v>2646</v>
      </c>
      <c r="C1376" s="37" t="s">
        <v>566</v>
      </c>
      <c r="D1376" s="37" t="s">
        <v>367</v>
      </c>
      <c r="E1376" s="37" t="s">
        <v>137</v>
      </c>
      <c r="F1376" s="37" t="s">
        <v>167</v>
      </c>
      <c r="G1376" s="37" t="s">
        <v>89</v>
      </c>
      <c r="H1376" s="37" t="s">
        <v>206</v>
      </c>
      <c r="I1376" s="37" t="s">
        <v>2271</v>
      </c>
      <c r="J1376" s="37" t="s">
        <v>3607</v>
      </c>
      <c r="K1376" s="37">
        <v>8</v>
      </c>
      <c r="L1376" s="37" t="s">
        <v>2808</v>
      </c>
      <c r="M1376" s="37" t="s">
        <v>172</v>
      </c>
      <c r="N1376" s="37">
        <v>2</v>
      </c>
      <c r="O1376" s="37" t="s">
        <v>286</v>
      </c>
      <c r="P1376" s="37"/>
    </row>
    <row r="1377" spans="1:16">
      <c r="A1377" s="46" t="s">
        <v>4208</v>
      </c>
      <c r="B1377" s="46" t="s">
        <v>2278</v>
      </c>
      <c r="C1377" s="46" t="s">
        <v>135</v>
      </c>
      <c r="D1377" s="46" t="s">
        <v>270</v>
      </c>
      <c r="E1377" s="46" t="s">
        <v>157</v>
      </c>
      <c r="F1377" s="46" t="s">
        <v>214</v>
      </c>
      <c r="G1377" s="46" t="s">
        <v>139</v>
      </c>
      <c r="H1377" s="46" t="s">
        <v>354</v>
      </c>
      <c r="I1377" s="46" t="s">
        <v>1448</v>
      </c>
      <c r="J1377" s="46" t="s">
        <v>4209</v>
      </c>
      <c r="K1377" s="46">
        <v>6</v>
      </c>
      <c r="L1377" s="46" t="s">
        <v>1901</v>
      </c>
      <c r="M1377" s="46" t="s">
        <v>163</v>
      </c>
      <c r="N1377" s="46">
        <v>3</v>
      </c>
      <c r="O1377" s="46" t="s">
        <v>118</v>
      </c>
      <c r="P1377" s="46"/>
    </row>
    <row r="1378" spans="1:16">
      <c r="A1378" s="37" t="s">
        <v>4210</v>
      </c>
      <c r="B1378" s="37" t="s">
        <v>1164</v>
      </c>
      <c r="C1378" s="37" t="s">
        <v>93</v>
      </c>
      <c r="D1378" s="37" t="s">
        <v>98</v>
      </c>
      <c r="E1378" s="37" t="s">
        <v>244</v>
      </c>
      <c r="F1378" s="37" t="s">
        <v>430</v>
      </c>
      <c r="G1378" s="37" t="s">
        <v>87</v>
      </c>
      <c r="H1378" s="37" t="s">
        <v>215</v>
      </c>
      <c r="I1378" s="37" t="s">
        <v>858</v>
      </c>
      <c r="J1378" s="37" t="s">
        <v>3425</v>
      </c>
      <c r="K1378" s="37">
        <v>4</v>
      </c>
      <c r="L1378" s="37" t="s">
        <v>1653</v>
      </c>
      <c r="M1378" s="37" t="s">
        <v>219</v>
      </c>
      <c r="N1378" s="37">
        <v>4</v>
      </c>
      <c r="O1378" s="37" t="s">
        <v>131</v>
      </c>
      <c r="P1378" s="37"/>
    </row>
    <row r="1379" spans="1:16">
      <c r="A1379" s="46" t="s">
        <v>4211</v>
      </c>
      <c r="B1379" s="46" t="s">
        <v>1763</v>
      </c>
      <c r="C1379" s="46" t="s">
        <v>566</v>
      </c>
      <c r="D1379" s="46" t="s">
        <v>270</v>
      </c>
      <c r="E1379" s="46" t="s">
        <v>345</v>
      </c>
      <c r="F1379" s="46" t="s">
        <v>301</v>
      </c>
      <c r="G1379" s="46" t="s">
        <v>139</v>
      </c>
      <c r="H1379" s="46" t="s">
        <v>215</v>
      </c>
      <c r="I1379" s="46" t="s">
        <v>4212</v>
      </c>
      <c r="J1379" s="46" t="s">
        <v>4213</v>
      </c>
      <c r="K1379" s="46">
        <v>6</v>
      </c>
      <c r="L1379" s="46" t="s">
        <v>676</v>
      </c>
      <c r="M1379" s="46" t="s">
        <v>172</v>
      </c>
      <c r="N1379" s="46">
        <v>1</v>
      </c>
      <c r="O1379" s="46" t="s">
        <v>191</v>
      </c>
      <c r="P1379" s="46"/>
    </row>
    <row r="1380" spans="1:16">
      <c r="A1380" s="37" t="s">
        <v>4214</v>
      </c>
      <c r="B1380" s="37" t="s">
        <v>676</v>
      </c>
      <c r="C1380" s="37" t="s">
        <v>366</v>
      </c>
      <c r="D1380" s="37" t="s">
        <v>156</v>
      </c>
      <c r="E1380" s="37" t="s">
        <v>345</v>
      </c>
      <c r="F1380" s="37" t="s">
        <v>425</v>
      </c>
      <c r="G1380" s="37" t="s">
        <v>112</v>
      </c>
      <c r="H1380" s="37" t="s">
        <v>113</v>
      </c>
      <c r="I1380" s="37" t="s">
        <v>475</v>
      </c>
      <c r="J1380" s="37" t="s">
        <v>3560</v>
      </c>
      <c r="K1380" s="37">
        <v>6</v>
      </c>
      <c r="L1380" s="37" t="s">
        <v>569</v>
      </c>
      <c r="M1380" s="37" t="s">
        <v>172</v>
      </c>
      <c r="N1380" s="37">
        <v>4</v>
      </c>
      <c r="O1380" s="37" t="s">
        <v>79</v>
      </c>
      <c r="P1380" s="37"/>
    </row>
    <row r="1381" spans="1:16">
      <c r="A1381" s="46" t="s">
        <v>4215</v>
      </c>
      <c r="B1381" s="46" t="s">
        <v>1434</v>
      </c>
      <c r="C1381" s="46" t="s">
        <v>203</v>
      </c>
      <c r="D1381" s="46" t="s">
        <v>122</v>
      </c>
      <c r="E1381" s="46" t="s">
        <v>244</v>
      </c>
      <c r="F1381" s="46" t="s">
        <v>158</v>
      </c>
      <c r="G1381" s="46" t="s">
        <v>139</v>
      </c>
      <c r="H1381" s="46" t="s">
        <v>354</v>
      </c>
      <c r="I1381" s="46" t="s">
        <v>1780</v>
      </c>
      <c r="J1381" s="46" t="s">
        <v>4216</v>
      </c>
      <c r="K1381" s="46">
        <v>4</v>
      </c>
      <c r="L1381" s="46" t="s">
        <v>388</v>
      </c>
      <c r="M1381" s="46" t="s">
        <v>72</v>
      </c>
      <c r="N1381" s="46">
        <v>3</v>
      </c>
      <c r="O1381" s="46" t="s">
        <v>152</v>
      </c>
      <c r="P1381" s="46"/>
    </row>
    <row r="1382" spans="1:16">
      <c r="A1382" s="37" t="s">
        <v>4217</v>
      </c>
      <c r="B1382" s="37" t="s">
        <v>600</v>
      </c>
      <c r="C1382" s="37" t="s">
        <v>451</v>
      </c>
      <c r="D1382" s="37" t="s">
        <v>270</v>
      </c>
      <c r="E1382" s="37" t="s">
        <v>440</v>
      </c>
      <c r="F1382" s="37" t="s">
        <v>664</v>
      </c>
      <c r="G1382" s="37" t="s">
        <v>112</v>
      </c>
      <c r="H1382" s="37" t="s">
        <v>354</v>
      </c>
      <c r="I1382" s="37"/>
      <c r="J1382" s="37" t="s">
        <v>3833</v>
      </c>
      <c r="K1382" s="37">
        <v>6</v>
      </c>
      <c r="L1382" s="37" t="s">
        <v>1786</v>
      </c>
      <c r="M1382" s="37" t="s">
        <v>163</v>
      </c>
      <c r="N1382" s="37">
        <v>2</v>
      </c>
      <c r="O1382" s="37" t="s">
        <v>152</v>
      </c>
      <c r="P1382" s="37"/>
    </row>
    <row r="1383" spans="1:16">
      <c r="A1383" s="46" t="s">
        <v>4218</v>
      </c>
      <c r="B1383" s="46" t="s">
        <v>433</v>
      </c>
      <c r="C1383" s="46" t="s">
        <v>374</v>
      </c>
      <c r="D1383" s="46" t="s">
        <v>194</v>
      </c>
      <c r="E1383" s="46" t="s">
        <v>440</v>
      </c>
      <c r="F1383" s="46" t="s">
        <v>301</v>
      </c>
      <c r="G1383" s="46" t="s">
        <v>257</v>
      </c>
      <c r="H1383" s="46" t="s">
        <v>187</v>
      </c>
      <c r="I1383" s="46" t="s">
        <v>4219</v>
      </c>
      <c r="J1383" s="46" t="s">
        <v>4220</v>
      </c>
      <c r="K1383" s="46">
        <v>8</v>
      </c>
      <c r="L1383" s="46" t="s">
        <v>349</v>
      </c>
      <c r="M1383" s="46" t="s">
        <v>105</v>
      </c>
      <c r="N1383" s="46">
        <v>5</v>
      </c>
      <c r="O1383" s="46" t="s">
        <v>106</v>
      </c>
      <c r="P1383" s="46"/>
    </row>
    <row r="1384" spans="1:16">
      <c r="A1384" s="37" t="s">
        <v>4221</v>
      </c>
      <c r="B1384" s="37" t="s">
        <v>1586</v>
      </c>
      <c r="C1384" s="37" t="s">
        <v>566</v>
      </c>
      <c r="D1384" s="37" t="s">
        <v>919</v>
      </c>
      <c r="E1384" s="37" t="s">
        <v>185</v>
      </c>
      <c r="F1384" s="37" t="s">
        <v>47</v>
      </c>
      <c r="G1384" s="37" t="s">
        <v>334</v>
      </c>
      <c r="H1384" s="37" t="s">
        <v>354</v>
      </c>
      <c r="I1384" s="37" t="s">
        <v>4222</v>
      </c>
      <c r="J1384" s="37" t="s">
        <v>4223</v>
      </c>
      <c r="K1384" s="37">
        <v>6</v>
      </c>
      <c r="L1384" s="37" t="s">
        <v>2526</v>
      </c>
      <c r="M1384" s="37" t="s">
        <v>200</v>
      </c>
      <c r="N1384" s="37">
        <v>4</v>
      </c>
      <c r="O1384" s="37" t="s">
        <v>152</v>
      </c>
      <c r="P1384" s="37"/>
    </row>
    <row r="1385" spans="1:16">
      <c r="A1385" s="46" t="s">
        <v>4224</v>
      </c>
      <c r="B1385" s="46" t="s">
        <v>813</v>
      </c>
      <c r="C1385" s="46" t="s">
        <v>307</v>
      </c>
      <c r="D1385" s="46" t="s">
        <v>213</v>
      </c>
      <c r="E1385" s="46" t="s">
        <v>176</v>
      </c>
      <c r="F1385" s="46" t="s">
        <v>498</v>
      </c>
      <c r="G1385" s="46" t="s">
        <v>89</v>
      </c>
      <c r="H1385" s="46" t="s">
        <v>88</v>
      </c>
      <c r="I1385" s="46" t="s">
        <v>2176</v>
      </c>
      <c r="J1385" s="46" t="s">
        <v>530</v>
      </c>
      <c r="K1385" s="46">
        <v>6</v>
      </c>
      <c r="L1385" s="46" t="s">
        <v>602</v>
      </c>
      <c r="M1385" s="46" t="s">
        <v>624</v>
      </c>
      <c r="N1385" s="46"/>
      <c r="O1385" s="46" t="s">
        <v>79</v>
      </c>
      <c r="P1385" s="46" t="s">
        <v>625</v>
      </c>
    </row>
    <row r="1386" spans="1:16">
      <c r="A1386" s="37" t="s">
        <v>4225</v>
      </c>
      <c r="B1386" s="37" t="s">
        <v>2278</v>
      </c>
      <c r="C1386" s="37" t="s">
        <v>243</v>
      </c>
      <c r="D1386" s="37" t="s">
        <v>352</v>
      </c>
      <c r="E1386" s="37" t="s">
        <v>123</v>
      </c>
      <c r="F1386" s="37" t="s">
        <v>313</v>
      </c>
      <c r="G1386" s="37" t="s">
        <v>51</v>
      </c>
      <c r="H1386" s="37" t="s">
        <v>90</v>
      </c>
      <c r="I1386" s="37" t="s">
        <v>4226</v>
      </c>
      <c r="J1386" s="37" t="s">
        <v>4227</v>
      </c>
      <c r="K1386" s="37">
        <v>2</v>
      </c>
      <c r="L1386" s="37" t="s">
        <v>1252</v>
      </c>
      <c r="M1386" s="37" t="s">
        <v>72</v>
      </c>
      <c r="N1386" s="37">
        <v>4</v>
      </c>
      <c r="O1386" s="37" t="s">
        <v>181</v>
      </c>
      <c r="P1386" s="37"/>
    </row>
    <row r="1387" spans="1:16">
      <c r="A1387" s="46" t="s">
        <v>4228</v>
      </c>
      <c r="B1387" s="46" t="s">
        <v>1564</v>
      </c>
      <c r="C1387" s="46" t="s">
        <v>424</v>
      </c>
      <c r="D1387" s="46" t="s">
        <v>136</v>
      </c>
      <c r="E1387" s="46" t="s">
        <v>99</v>
      </c>
      <c r="F1387" s="46" t="s">
        <v>231</v>
      </c>
      <c r="G1387" s="46" t="s">
        <v>197</v>
      </c>
      <c r="H1387" s="46" t="s">
        <v>90</v>
      </c>
      <c r="I1387" s="46" t="s">
        <v>4229</v>
      </c>
      <c r="J1387" s="46" t="s">
        <v>4230</v>
      </c>
      <c r="K1387" s="46">
        <v>2</v>
      </c>
      <c r="L1387" s="46" t="s">
        <v>959</v>
      </c>
      <c r="M1387" s="46" t="s">
        <v>172</v>
      </c>
      <c r="N1387" s="46">
        <v>1</v>
      </c>
      <c r="O1387" s="46" t="s">
        <v>181</v>
      </c>
      <c r="P1387" s="46"/>
    </row>
    <row r="1388" spans="1:16">
      <c r="A1388" s="37" t="s">
        <v>4231</v>
      </c>
      <c r="B1388" s="37" t="s">
        <v>269</v>
      </c>
      <c r="C1388" s="37" t="s">
        <v>212</v>
      </c>
      <c r="D1388" s="37" t="s">
        <v>146</v>
      </c>
      <c r="E1388" s="37" t="s">
        <v>123</v>
      </c>
      <c r="F1388" s="37" t="s">
        <v>186</v>
      </c>
      <c r="G1388" s="37" t="s">
        <v>51</v>
      </c>
      <c r="H1388" s="37" t="s">
        <v>54</v>
      </c>
      <c r="I1388" s="37" t="s">
        <v>4232</v>
      </c>
      <c r="J1388" s="37" t="s">
        <v>4233</v>
      </c>
      <c r="K1388" s="37">
        <v>4</v>
      </c>
      <c r="L1388" s="37" t="s">
        <v>1496</v>
      </c>
      <c r="M1388" s="37" t="s">
        <v>219</v>
      </c>
      <c r="N1388" s="37">
        <v>4</v>
      </c>
      <c r="O1388" s="37" t="s">
        <v>286</v>
      </c>
      <c r="P1388" s="37"/>
    </row>
    <row r="1389" spans="1:16">
      <c r="A1389" s="46" t="s">
        <v>4234</v>
      </c>
      <c r="B1389" s="46" t="s">
        <v>1322</v>
      </c>
      <c r="C1389" s="46" t="s">
        <v>366</v>
      </c>
      <c r="D1389" s="46" t="s">
        <v>194</v>
      </c>
      <c r="E1389" s="46" t="s">
        <v>147</v>
      </c>
      <c r="F1389" s="46" t="s">
        <v>734</v>
      </c>
      <c r="G1389" s="46" t="s">
        <v>257</v>
      </c>
      <c r="H1389" s="46" t="s">
        <v>88</v>
      </c>
      <c r="I1389" s="46" t="s">
        <v>4235</v>
      </c>
      <c r="J1389" s="46" t="s">
        <v>706</v>
      </c>
      <c r="K1389" s="46">
        <v>8</v>
      </c>
      <c r="L1389" s="46" t="s">
        <v>1377</v>
      </c>
      <c r="M1389" s="46" t="s">
        <v>143</v>
      </c>
      <c r="N1389" s="46">
        <v>3</v>
      </c>
      <c r="O1389" s="46" t="s">
        <v>181</v>
      </c>
      <c r="P1389" s="46"/>
    </row>
    <row r="1390" spans="1:16">
      <c r="A1390" s="37" t="s">
        <v>4236</v>
      </c>
      <c r="B1390" s="37" t="s">
        <v>1149</v>
      </c>
      <c r="C1390" s="37" t="s">
        <v>212</v>
      </c>
      <c r="D1390" s="37" t="s">
        <v>204</v>
      </c>
      <c r="E1390" s="37" t="s">
        <v>325</v>
      </c>
      <c r="F1390" s="37" t="s">
        <v>430</v>
      </c>
      <c r="G1390" s="37" t="s">
        <v>264</v>
      </c>
      <c r="H1390" s="37" t="s">
        <v>187</v>
      </c>
      <c r="I1390" s="37" t="s">
        <v>413</v>
      </c>
      <c r="J1390" s="37" t="s">
        <v>530</v>
      </c>
      <c r="K1390" s="37">
        <v>2</v>
      </c>
      <c r="L1390" s="37" t="s">
        <v>1496</v>
      </c>
      <c r="M1390" s="37" t="s">
        <v>143</v>
      </c>
      <c r="N1390" s="37">
        <v>4</v>
      </c>
      <c r="O1390" s="37" t="s">
        <v>106</v>
      </c>
      <c r="P1390" s="37"/>
    </row>
    <row r="1391" spans="1:16">
      <c r="A1391" s="46" t="s">
        <v>4237</v>
      </c>
      <c r="B1391" s="46" t="s">
        <v>2221</v>
      </c>
      <c r="C1391" s="46" t="s">
        <v>366</v>
      </c>
      <c r="D1391" s="46" t="s">
        <v>544</v>
      </c>
      <c r="E1391" s="46" t="s">
        <v>137</v>
      </c>
      <c r="F1391" s="46" t="s">
        <v>263</v>
      </c>
      <c r="G1391" s="46" t="s">
        <v>92</v>
      </c>
      <c r="H1391" s="46" t="s">
        <v>396</v>
      </c>
      <c r="I1391" s="46" t="s">
        <v>974</v>
      </c>
      <c r="J1391" s="46" t="s">
        <v>4238</v>
      </c>
      <c r="K1391" s="46">
        <v>6</v>
      </c>
      <c r="L1391" s="46" t="s">
        <v>1317</v>
      </c>
      <c r="M1391" s="46" t="s">
        <v>219</v>
      </c>
      <c r="N1391" s="46">
        <v>1</v>
      </c>
      <c r="O1391" s="46" t="s">
        <v>152</v>
      </c>
      <c r="P1391" s="46"/>
    </row>
    <row r="1392" spans="1:16">
      <c r="A1392" s="37" t="s">
        <v>4239</v>
      </c>
      <c r="B1392" s="37" t="s">
        <v>240</v>
      </c>
      <c r="C1392" s="37" t="s">
        <v>222</v>
      </c>
      <c r="D1392" s="37" t="s">
        <v>367</v>
      </c>
      <c r="E1392" s="37" t="s">
        <v>123</v>
      </c>
      <c r="F1392" s="37" t="s">
        <v>498</v>
      </c>
      <c r="G1392" s="37" t="s">
        <v>264</v>
      </c>
      <c r="H1392" s="37" t="s">
        <v>206</v>
      </c>
      <c r="I1392" s="37" t="s">
        <v>4240</v>
      </c>
      <c r="J1392" s="37" t="s">
        <v>1000</v>
      </c>
      <c r="K1392" s="37">
        <v>2</v>
      </c>
      <c r="L1392" s="37" t="s">
        <v>2225</v>
      </c>
      <c r="M1392" s="37" t="s">
        <v>624</v>
      </c>
      <c r="N1392" s="37"/>
      <c r="O1392" s="37" t="s">
        <v>191</v>
      </c>
      <c r="P1392" s="37" t="s">
        <v>818</v>
      </c>
    </row>
    <row r="1393" spans="1:16">
      <c r="A1393" s="46" t="s">
        <v>4241</v>
      </c>
      <c r="B1393" s="46" t="s">
        <v>4242</v>
      </c>
      <c r="C1393" s="46" t="s">
        <v>424</v>
      </c>
      <c r="D1393" s="46" t="s">
        <v>312</v>
      </c>
      <c r="E1393" s="46" t="s">
        <v>325</v>
      </c>
      <c r="F1393" s="46" t="s">
        <v>158</v>
      </c>
      <c r="G1393" s="46" t="s">
        <v>112</v>
      </c>
      <c r="H1393" s="46" t="s">
        <v>32</v>
      </c>
      <c r="I1393" s="46" t="s">
        <v>2574</v>
      </c>
      <c r="J1393" s="46" t="s">
        <v>4243</v>
      </c>
      <c r="K1393" s="46">
        <v>4</v>
      </c>
      <c r="L1393" s="46" t="s">
        <v>851</v>
      </c>
      <c r="M1393" s="46" t="s">
        <v>200</v>
      </c>
      <c r="N1393" s="46">
        <v>4</v>
      </c>
      <c r="O1393" s="46" t="s">
        <v>191</v>
      </c>
      <c r="P1393" s="46"/>
    </row>
    <row r="1394" spans="1:16">
      <c r="A1394" s="37" t="s">
        <v>4244</v>
      </c>
      <c r="B1394" s="37" t="s">
        <v>142</v>
      </c>
      <c r="C1394" s="37" t="s">
        <v>54</v>
      </c>
      <c r="D1394" s="37" t="s">
        <v>184</v>
      </c>
      <c r="E1394" s="37" t="s">
        <v>440</v>
      </c>
      <c r="F1394" s="37" t="s">
        <v>283</v>
      </c>
      <c r="G1394" s="37" t="s">
        <v>51</v>
      </c>
      <c r="H1394" s="37" t="s">
        <v>90</v>
      </c>
      <c r="I1394" s="37" t="s">
        <v>2068</v>
      </c>
      <c r="J1394" s="37" t="s">
        <v>432</v>
      </c>
      <c r="K1394" s="37">
        <v>6</v>
      </c>
      <c r="L1394" s="37" t="s">
        <v>1897</v>
      </c>
      <c r="M1394" s="37" t="s">
        <v>105</v>
      </c>
      <c r="N1394" s="37">
        <v>5</v>
      </c>
      <c r="O1394" s="37" t="s">
        <v>106</v>
      </c>
      <c r="P1394" s="37"/>
    </row>
    <row r="1395" spans="1:16">
      <c r="A1395" s="46" t="s">
        <v>4245</v>
      </c>
      <c r="B1395" s="46" t="s">
        <v>3797</v>
      </c>
      <c r="C1395" s="46" t="s">
        <v>91</v>
      </c>
      <c r="D1395" s="46" t="s">
        <v>136</v>
      </c>
      <c r="E1395" s="46" t="s">
        <v>440</v>
      </c>
      <c r="F1395" s="46" t="s">
        <v>177</v>
      </c>
      <c r="G1395" s="46" t="s">
        <v>264</v>
      </c>
      <c r="H1395" s="46" t="s">
        <v>278</v>
      </c>
      <c r="I1395" s="46" t="s">
        <v>1291</v>
      </c>
      <c r="J1395" s="46" t="s">
        <v>4246</v>
      </c>
      <c r="K1395" s="46">
        <v>8</v>
      </c>
      <c r="L1395" s="46" t="s">
        <v>623</v>
      </c>
      <c r="M1395" s="46" t="s">
        <v>172</v>
      </c>
      <c r="N1395" s="46">
        <v>2</v>
      </c>
      <c r="O1395" s="46" t="s">
        <v>152</v>
      </c>
      <c r="P1395" s="46"/>
    </row>
    <row r="1396" spans="1:16">
      <c r="A1396" s="37" t="s">
        <v>4247</v>
      </c>
      <c r="B1396" s="37" t="s">
        <v>685</v>
      </c>
      <c r="C1396" s="37" t="s">
        <v>407</v>
      </c>
      <c r="D1396" s="37" t="s">
        <v>367</v>
      </c>
      <c r="E1396" s="37" t="s">
        <v>110</v>
      </c>
      <c r="F1396" s="37" t="s">
        <v>214</v>
      </c>
      <c r="G1396" s="37" t="s">
        <v>168</v>
      </c>
      <c r="H1396" s="37" t="s">
        <v>206</v>
      </c>
      <c r="I1396" s="37" t="s">
        <v>4248</v>
      </c>
      <c r="J1396" s="37" t="s">
        <v>2629</v>
      </c>
      <c r="K1396" s="37">
        <v>6</v>
      </c>
      <c r="L1396" s="37" t="s">
        <v>318</v>
      </c>
      <c r="M1396" s="37" t="s">
        <v>117</v>
      </c>
      <c r="N1396" s="37">
        <v>5</v>
      </c>
      <c r="O1396" s="37" t="s">
        <v>106</v>
      </c>
      <c r="P1396" s="37"/>
    </row>
    <row r="1397" spans="1:16">
      <c r="A1397" s="46" t="s">
        <v>4249</v>
      </c>
      <c r="B1397" s="46" t="s">
        <v>3602</v>
      </c>
      <c r="C1397" s="46" t="s">
        <v>174</v>
      </c>
      <c r="D1397" s="46" t="s">
        <v>223</v>
      </c>
      <c r="E1397" s="46" t="s">
        <v>110</v>
      </c>
      <c r="F1397" s="46" t="s">
        <v>664</v>
      </c>
      <c r="G1397" s="46" t="s">
        <v>101</v>
      </c>
      <c r="H1397" s="46" t="s">
        <v>187</v>
      </c>
      <c r="I1397" s="46" t="s">
        <v>3932</v>
      </c>
      <c r="J1397" s="46" t="s">
        <v>4250</v>
      </c>
      <c r="K1397" s="46">
        <v>4</v>
      </c>
      <c r="L1397" s="46" t="s">
        <v>3089</v>
      </c>
      <c r="M1397" s="46" t="s">
        <v>72</v>
      </c>
      <c r="N1397" s="46">
        <v>3</v>
      </c>
      <c r="O1397" s="46" t="s">
        <v>118</v>
      </c>
      <c r="P1397" s="46"/>
    </row>
    <row r="1398" spans="1:16">
      <c r="A1398" s="37" t="s">
        <v>4251</v>
      </c>
      <c r="B1398" s="37" t="s">
        <v>2535</v>
      </c>
      <c r="C1398" s="37" t="s">
        <v>32</v>
      </c>
      <c r="D1398" s="37" t="s">
        <v>156</v>
      </c>
      <c r="E1398" s="37" t="s">
        <v>110</v>
      </c>
      <c r="F1398" s="37" t="s">
        <v>498</v>
      </c>
      <c r="G1398" s="37" t="s">
        <v>101</v>
      </c>
      <c r="H1398" s="37" t="s">
        <v>278</v>
      </c>
      <c r="I1398" s="37" t="s">
        <v>1989</v>
      </c>
      <c r="J1398" s="37" t="s">
        <v>4252</v>
      </c>
      <c r="K1398" s="37">
        <v>6</v>
      </c>
      <c r="L1398" s="37" t="s">
        <v>2501</v>
      </c>
      <c r="M1398" s="37" t="s">
        <v>143</v>
      </c>
      <c r="N1398" s="37">
        <v>5</v>
      </c>
      <c r="O1398" s="37" t="s">
        <v>79</v>
      </c>
      <c r="P1398" s="37"/>
    </row>
    <row r="1399" spans="1:16">
      <c r="A1399" s="46" t="s">
        <v>4253</v>
      </c>
      <c r="B1399" s="46" t="s">
        <v>1415</v>
      </c>
      <c r="C1399" s="46" t="s">
        <v>307</v>
      </c>
      <c r="D1399" s="46" t="s">
        <v>213</v>
      </c>
      <c r="E1399" s="46" t="s">
        <v>325</v>
      </c>
      <c r="F1399" s="46" t="s">
        <v>167</v>
      </c>
      <c r="G1399" s="46" t="s">
        <v>92</v>
      </c>
      <c r="H1399" s="46" t="s">
        <v>91</v>
      </c>
      <c r="I1399" s="46" t="s">
        <v>4254</v>
      </c>
      <c r="J1399" s="46" t="s">
        <v>4255</v>
      </c>
      <c r="K1399" s="46">
        <v>4</v>
      </c>
      <c r="L1399" s="46" t="s">
        <v>322</v>
      </c>
      <c r="M1399" s="46" t="s">
        <v>72</v>
      </c>
      <c r="N1399" s="46">
        <v>2</v>
      </c>
      <c r="O1399" s="46" t="s">
        <v>181</v>
      </c>
      <c r="P1399" s="46"/>
    </row>
    <row r="1400" spans="1:16">
      <c r="A1400" s="37" t="s">
        <v>4256</v>
      </c>
      <c r="B1400" s="37" t="s">
        <v>725</v>
      </c>
      <c r="C1400" s="37" t="s">
        <v>374</v>
      </c>
      <c r="D1400" s="37" t="s">
        <v>146</v>
      </c>
      <c r="E1400" s="37" t="s">
        <v>42</v>
      </c>
      <c r="F1400" s="37" t="s">
        <v>237</v>
      </c>
      <c r="G1400" s="37" t="s">
        <v>197</v>
      </c>
      <c r="H1400" s="37" t="s">
        <v>93</v>
      </c>
      <c r="I1400" s="37" t="s">
        <v>2859</v>
      </c>
      <c r="J1400" s="37" t="s">
        <v>2572</v>
      </c>
      <c r="K1400" s="37">
        <v>4</v>
      </c>
      <c r="L1400" s="37" t="s">
        <v>1115</v>
      </c>
      <c r="M1400" s="37" t="s">
        <v>143</v>
      </c>
      <c r="N1400" s="37">
        <v>3</v>
      </c>
      <c r="O1400" s="37" t="s">
        <v>191</v>
      </c>
      <c r="P1400" s="37"/>
    </row>
    <row r="1401" spans="1:16">
      <c r="A1401" s="46" t="s">
        <v>4257</v>
      </c>
      <c r="B1401" s="46" t="s">
        <v>108</v>
      </c>
      <c r="C1401" s="46" t="s">
        <v>88</v>
      </c>
      <c r="D1401" s="46" t="s">
        <v>270</v>
      </c>
      <c r="E1401" s="46" t="s">
        <v>99</v>
      </c>
      <c r="F1401" s="46" t="s">
        <v>612</v>
      </c>
      <c r="G1401" s="46" t="s">
        <v>257</v>
      </c>
      <c r="H1401" s="46" t="s">
        <v>278</v>
      </c>
      <c r="I1401" s="46" t="s">
        <v>3868</v>
      </c>
      <c r="J1401" s="46" t="s">
        <v>4258</v>
      </c>
      <c r="K1401" s="46">
        <v>2</v>
      </c>
      <c r="L1401" s="46" t="s">
        <v>853</v>
      </c>
      <c r="M1401" s="46" t="s">
        <v>219</v>
      </c>
      <c r="N1401" s="46">
        <v>5</v>
      </c>
      <c r="O1401" s="46" t="s">
        <v>191</v>
      </c>
      <c r="P1401" s="46"/>
    </row>
    <row r="1402" spans="1:16">
      <c r="A1402" s="37" t="s">
        <v>4259</v>
      </c>
      <c r="B1402" s="37" t="s">
        <v>1297</v>
      </c>
      <c r="C1402" s="37" t="s">
        <v>300</v>
      </c>
      <c r="D1402" s="37" t="s">
        <v>312</v>
      </c>
      <c r="E1402" s="37" t="s">
        <v>345</v>
      </c>
      <c r="F1402" s="37" t="s">
        <v>1145</v>
      </c>
      <c r="G1402" s="37" t="s">
        <v>125</v>
      </c>
      <c r="H1402" s="37" t="s">
        <v>294</v>
      </c>
      <c r="I1402" s="37" t="s">
        <v>2976</v>
      </c>
      <c r="J1402" s="37" t="s">
        <v>4260</v>
      </c>
      <c r="K1402" s="37">
        <v>6</v>
      </c>
      <c r="L1402" s="37" t="s">
        <v>877</v>
      </c>
      <c r="M1402" s="37" t="s">
        <v>219</v>
      </c>
      <c r="N1402" s="37">
        <v>4</v>
      </c>
      <c r="O1402" s="37" t="s">
        <v>152</v>
      </c>
      <c r="P1402" s="37"/>
    </row>
    <row r="1403" spans="1:16">
      <c r="A1403" s="46" t="s">
        <v>4261</v>
      </c>
      <c r="B1403" s="46" t="s">
        <v>712</v>
      </c>
      <c r="C1403" s="46" t="s">
        <v>251</v>
      </c>
      <c r="D1403" s="46" t="s">
        <v>194</v>
      </c>
      <c r="E1403" s="46" t="s">
        <v>440</v>
      </c>
      <c r="F1403" s="46" t="s">
        <v>425</v>
      </c>
      <c r="G1403" s="46" t="s">
        <v>89</v>
      </c>
      <c r="H1403" s="46" t="s">
        <v>88</v>
      </c>
      <c r="I1403" s="46" t="s">
        <v>4262</v>
      </c>
      <c r="J1403" s="46" t="s">
        <v>4263</v>
      </c>
      <c r="K1403" s="46">
        <v>8</v>
      </c>
      <c r="L1403" s="46" t="s">
        <v>3192</v>
      </c>
      <c r="M1403" s="46" t="s">
        <v>219</v>
      </c>
      <c r="N1403" s="46">
        <v>4</v>
      </c>
      <c r="O1403" s="46" t="s">
        <v>131</v>
      </c>
      <c r="P1403" s="46"/>
    </row>
    <row r="1404" spans="1:16">
      <c r="A1404" s="37" t="s">
        <v>4264</v>
      </c>
      <c r="B1404" s="37" t="s">
        <v>2379</v>
      </c>
      <c r="C1404" s="37" t="s">
        <v>88</v>
      </c>
      <c r="D1404" s="37" t="s">
        <v>312</v>
      </c>
      <c r="E1404" s="37" t="s">
        <v>147</v>
      </c>
      <c r="F1404" s="37" t="s">
        <v>283</v>
      </c>
      <c r="G1404" s="37" t="s">
        <v>264</v>
      </c>
      <c r="H1404" s="37" t="s">
        <v>206</v>
      </c>
      <c r="I1404" s="37" t="s">
        <v>1199</v>
      </c>
      <c r="J1404" s="37" t="s">
        <v>4265</v>
      </c>
      <c r="K1404" s="37">
        <v>6</v>
      </c>
      <c r="L1404" s="37" t="s">
        <v>2883</v>
      </c>
      <c r="M1404" s="37" t="s">
        <v>219</v>
      </c>
      <c r="N1404" s="37">
        <v>4</v>
      </c>
      <c r="O1404" s="37" t="s">
        <v>286</v>
      </c>
      <c r="P1404" s="37"/>
    </row>
    <row r="1405" spans="1:16">
      <c r="A1405" s="46" t="s">
        <v>4266</v>
      </c>
      <c r="B1405" s="46" t="s">
        <v>398</v>
      </c>
      <c r="C1405" s="46" t="s">
        <v>469</v>
      </c>
      <c r="D1405" s="46" t="s">
        <v>352</v>
      </c>
      <c r="E1405" s="46" t="s">
        <v>224</v>
      </c>
      <c r="F1405" s="46" t="s">
        <v>186</v>
      </c>
      <c r="G1405" s="46" t="s">
        <v>159</v>
      </c>
      <c r="H1405" s="46" t="s">
        <v>54</v>
      </c>
      <c r="I1405" s="46" t="s">
        <v>3335</v>
      </c>
      <c r="J1405" s="46" t="s">
        <v>4267</v>
      </c>
      <c r="K1405" s="46">
        <v>4</v>
      </c>
      <c r="L1405" s="46" t="s">
        <v>2602</v>
      </c>
      <c r="M1405" s="46" t="s">
        <v>143</v>
      </c>
      <c r="N1405" s="46">
        <v>1</v>
      </c>
      <c r="O1405" s="46" t="s">
        <v>79</v>
      </c>
      <c r="P1405" s="46"/>
    </row>
    <row r="1406" spans="1:16">
      <c r="A1406" s="37" t="s">
        <v>4268</v>
      </c>
      <c r="B1406" s="37" t="s">
        <v>417</v>
      </c>
      <c r="C1406" s="37" t="s">
        <v>469</v>
      </c>
      <c r="D1406" s="37" t="s">
        <v>37</v>
      </c>
      <c r="E1406" s="37" t="s">
        <v>195</v>
      </c>
      <c r="F1406" s="37" t="s">
        <v>277</v>
      </c>
      <c r="G1406" s="37" t="s">
        <v>125</v>
      </c>
      <c r="H1406" s="37" t="s">
        <v>126</v>
      </c>
      <c r="I1406" s="37" t="s">
        <v>127</v>
      </c>
      <c r="J1406" s="37" t="s">
        <v>4269</v>
      </c>
      <c r="K1406" s="37">
        <v>6</v>
      </c>
      <c r="L1406" s="37" t="s">
        <v>835</v>
      </c>
      <c r="M1406" s="37" t="s">
        <v>72</v>
      </c>
      <c r="N1406" s="37">
        <v>3</v>
      </c>
      <c r="O1406" s="37" t="s">
        <v>131</v>
      </c>
      <c r="P1406" s="37"/>
    </row>
    <row r="1407" spans="1:16">
      <c r="A1407" s="46" t="s">
        <v>4270</v>
      </c>
      <c r="B1407" s="46" t="s">
        <v>4199</v>
      </c>
      <c r="C1407" s="46" t="s">
        <v>88</v>
      </c>
      <c r="D1407" s="46" t="s">
        <v>312</v>
      </c>
      <c r="E1407" s="46" t="s">
        <v>42</v>
      </c>
      <c r="F1407" s="46" t="s">
        <v>498</v>
      </c>
      <c r="G1407" s="46" t="s">
        <v>470</v>
      </c>
      <c r="H1407" s="46" t="s">
        <v>396</v>
      </c>
      <c r="I1407" s="46" t="s">
        <v>4271</v>
      </c>
      <c r="J1407" s="46" t="s">
        <v>4272</v>
      </c>
      <c r="K1407" s="46">
        <v>6</v>
      </c>
      <c r="L1407" s="46" t="s">
        <v>1945</v>
      </c>
      <c r="M1407" s="46" t="s">
        <v>200</v>
      </c>
      <c r="N1407" s="46">
        <v>4</v>
      </c>
      <c r="O1407" s="46" t="s">
        <v>106</v>
      </c>
      <c r="P1407" s="46"/>
    </row>
    <row r="1408" spans="1:16">
      <c r="A1408" s="37" t="s">
        <v>4273</v>
      </c>
      <c r="B1408" s="37" t="s">
        <v>1072</v>
      </c>
      <c r="C1408" s="37" t="s">
        <v>251</v>
      </c>
      <c r="D1408" s="37" t="s">
        <v>194</v>
      </c>
      <c r="E1408" s="37" t="s">
        <v>42</v>
      </c>
      <c r="F1408" s="37" t="s">
        <v>47</v>
      </c>
      <c r="G1408" s="37" t="s">
        <v>257</v>
      </c>
      <c r="H1408" s="37" t="s">
        <v>278</v>
      </c>
      <c r="I1408" s="37" t="s">
        <v>4274</v>
      </c>
      <c r="J1408" s="37" t="s">
        <v>3540</v>
      </c>
      <c r="K1408" s="37">
        <v>6</v>
      </c>
      <c r="L1408" s="37" t="s">
        <v>116</v>
      </c>
      <c r="M1408" s="37" t="s">
        <v>172</v>
      </c>
      <c r="N1408" s="37">
        <v>5</v>
      </c>
      <c r="O1408" s="37" t="s">
        <v>181</v>
      </c>
      <c r="P1408" s="37"/>
    </row>
    <row r="1409" spans="1:16">
      <c r="A1409" s="46" t="s">
        <v>4275</v>
      </c>
      <c r="B1409" s="46" t="s">
        <v>965</v>
      </c>
      <c r="C1409" s="46" t="s">
        <v>212</v>
      </c>
      <c r="D1409" s="46" t="s">
        <v>156</v>
      </c>
      <c r="E1409" s="46" t="s">
        <v>42</v>
      </c>
      <c r="F1409" s="46" t="s">
        <v>237</v>
      </c>
      <c r="G1409" s="46" t="s">
        <v>197</v>
      </c>
      <c r="H1409" s="46" t="s">
        <v>327</v>
      </c>
      <c r="I1409" s="46" t="s">
        <v>4276</v>
      </c>
      <c r="J1409" s="46" t="s">
        <v>4277</v>
      </c>
      <c r="K1409" s="46">
        <v>6</v>
      </c>
      <c r="L1409" s="46" t="s">
        <v>2221</v>
      </c>
      <c r="M1409" s="46" t="s">
        <v>219</v>
      </c>
      <c r="N1409" s="46">
        <v>1</v>
      </c>
      <c r="O1409" s="46" t="s">
        <v>181</v>
      </c>
      <c r="P1409" s="46"/>
    </row>
    <row r="1410" spans="1:16">
      <c r="A1410" s="37" t="s">
        <v>4278</v>
      </c>
      <c r="B1410" s="37" t="s">
        <v>1397</v>
      </c>
      <c r="C1410" s="37" t="s">
        <v>174</v>
      </c>
      <c r="D1410" s="37" t="s">
        <v>367</v>
      </c>
      <c r="E1410" s="37" t="s">
        <v>195</v>
      </c>
      <c r="F1410" s="37" t="s">
        <v>205</v>
      </c>
      <c r="G1410" s="37" t="s">
        <v>257</v>
      </c>
      <c r="H1410" s="37" t="s">
        <v>88</v>
      </c>
      <c r="I1410" s="37" t="s">
        <v>4279</v>
      </c>
      <c r="J1410" s="37" t="s">
        <v>4280</v>
      </c>
      <c r="K1410" s="37">
        <v>6</v>
      </c>
      <c r="L1410" s="37" t="s">
        <v>3467</v>
      </c>
      <c r="M1410" s="37" t="s">
        <v>172</v>
      </c>
      <c r="N1410" s="37">
        <v>3</v>
      </c>
      <c r="O1410" s="37" t="s">
        <v>131</v>
      </c>
      <c r="P1410" s="37"/>
    </row>
    <row r="1411" spans="1:16">
      <c r="A1411" s="46" t="s">
        <v>4281</v>
      </c>
      <c r="B1411" s="46" t="s">
        <v>961</v>
      </c>
      <c r="C1411" s="46" t="s">
        <v>340</v>
      </c>
      <c r="D1411" s="46" t="s">
        <v>122</v>
      </c>
      <c r="E1411" s="46" t="s">
        <v>224</v>
      </c>
      <c r="F1411" s="46" t="s">
        <v>186</v>
      </c>
      <c r="G1411" s="46" t="s">
        <v>92</v>
      </c>
      <c r="H1411" s="46" t="s">
        <v>91</v>
      </c>
      <c r="I1411" s="46" t="s">
        <v>4282</v>
      </c>
      <c r="J1411" s="46" t="s">
        <v>4283</v>
      </c>
      <c r="K1411" s="46">
        <v>4</v>
      </c>
      <c r="L1411" s="46" t="s">
        <v>3470</v>
      </c>
      <c r="M1411" s="46" t="s">
        <v>117</v>
      </c>
      <c r="N1411" s="46">
        <v>5</v>
      </c>
      <c r="O1411" s="46" t="s">
        <v>131</v>
      </c>
      <c r="P1411" s="46"/>
    </row>
    <row r="1412" spans="1:16">
      <c r="A1412" s="37" t="s">
        <v>4284</v>
      </c>
      <c r="B1412" s="37" t="s">
        <v>457</v>
      </c>
      <c r="C1412" s="37" t="s">
        <v>90</v>
      </c>
      <c r="D1412" s="37" t="s">
        <v>223</v>
      </c>
      <c r="E1412" s="37" t="s">
        <v>244</v>
      </c>
      <c r="F1412" s="37" t="s">
        <v>167</v>
      </c>
      <c r="G1412" s="37" t="s">
        <v>346</v>
      </c>
      <c r="H1412" s="37" t="s">
        <v>215</v>
      </c>
      <c r="I1412" s="37" t="s">
        <v>1298</v>
      </c>
      <c r="J1412" s="37" t="s">
        <v>1299</v>
      </c>
      <c r="K1412" s="37">
        <v>4</v>
      </c>
      <c r="L1412" s="37" t="s">
        <v>2848</v>
      </c>
      <c r="M1412" s="37" t="s">
        <v>200</v>
      </c>
      <c r="N1412" s="37">
        <v>3</v>
      </c>
      <c r="O1412" s="37" t="s">
        <v>152</v>
      </c>
      <c r="P1412" s="37"/>
    </row>
    <row r="1413" spans="1:16">
      <c r="A1413" s="46" t="s">
        <v>4285</v>
      </c>
      <c r="B1413" s="46" t="s">
        <v>1670</v>
      </c>
      <c r="C1413" s="46" t="s">
        <v>91</v>
      </c>
      <c r="D1413" s="46" t="s">
        <v>919</v>
      </c>
      <c r="E1413" s="46" t="s">
        <v>195</v>
      </c>
      <c r="F1413" s="46" t="s">
        <v>1734</v>
      </c>
      <c r="G1413" s="46" t="s">
        <v>380</v>
      </c>
      <c r="H1413" s="46" t="s">
        <v>294</v>
      </c>
      <c r="I1413" s="46" t="s">
        <v>2352</v>
      </c>
      <c r="J1413" s="46" t="s">
        <v>4286</v>
      </c>
      <c r="K1413" s="46">
        <v>6</v>
      </c>
      <c r="L1413" s="46" t="s">
        <v>1228</v>
      </c>
      <c r="M1413" s="46" t="s">
        <v>219</v>
      </c>
      <c r="N1413" s="46">
        <v>5</v>
      </c>
      <c r="O1413" s="46" t="s">
        <v>131</v>
      </c>
      <c r="P1413" s="46"/>
    </row>
    <row r="1414" spans="1:16">
      <c r="A1414" s="37" t="s">
        <v>4287</v>
      </c>
      <c r="B1414" s="37" t="s">
        <v>556</v>
      </c>
      <c r="C1414" s="37" t="s">
        <v>32</v>
      </c>
      <c r="D1414" s="37" t="s">
        <v>312</v>
      </c>
      <c r="E1414" s="37" t="s">
        <v>99</v>
      </c>
      <c r="F1414" s="37" t="s">
        <v>138</v>
      </c>
      <c r="G1414" s="37" t="s">
        <v>197</v>
      </c>
      <c r="H1414" s="37" t="s">
        <v>93</v>
      </c>
      <c r="I1414" s="37" t="s">
        <v>3384</v>
      </c>
      <c r="J1414" s="37" t="s">
        <v>4288</v>
      </c>
      <c r="K1414" s="37">
        <v>4</v>
      </c>
      <c r="L1414" s="37" t="s">
        <v>3080</v>
      </c>
      <c r="M1414" s="37" t="s">
        <v>117</v>
      </c>
      <c r="N1414" s="37">
        <v>2</v>
      </c>
      <c r="O1414" s="37" t="s">
        <v>152</v>
      </c>
      <c r="P1414" s="37"/>
    </row>
    <row r="1415" spans="1:16">
      <c r="A1415" s="46" t="s">
        <v>4289</v>
      </c>
      <c r="B1415" s="46" t="s">
        <v>1622</v>
      </c>
      <c r="C1415" s="46" t="s">
        <v>91</v>
      </c>
      <c r="D1415" s="46" t="s">
        <v>333</v>
      </c>
      <c r="E1415" s="46" t="s">
        <v>176</v>
      </c>
      <c r="F1415" s="46" t="s">
        <v>263</v>
      </c>
      <c r="G1415" s="46" t="s">
        <v>101</v>
      </c>
      <c r="H1415" s="46" t="s">
        <v>187</v>
      </c>
      <c r="I1415" s="46" t="s">
        <v>509</v>
      </c>
      <c r="J1415" s="46" t="s">
        <v>4290</v>
      </c>
      <c r="K1415" s="46">
        <v>8</v>
      </c>
      <c r="L1415" s="46" t="s">
        <v>4291</v>
      </c>
      <c r="M1415" s="46" t="s">
        <v>117</v>
      </c>
      <c r="N1415" s="46">
        <v>5</v>
      </c>
      <c r="O1415" s="46" t="s">
        <v>106</v>
      </c>
      <c r="P1415" s="46"/>
    </row>
    <row r="1416" spans="1:16">
      <c r="A1416" s="37" t="s">
        <v>4292</v>
      </c>
      <c r="B1416" s="37" t="s">
        <v>1984</v>
      </c>
      <c r="C1416" s="37" t="s">
        <v>54</v>
      </c>
      <c r="D1416" s="37" t="s">
        <v>223</v>
      </c>
      <c r="E1416" s="37" t="s">
        <v>185</v>
      </c>
      <c r="F1416" s="37" t="s">
        <v>148</v>
      </c>
      <c r="G1416" s="37" t="s">
        <v>125</v>
      </c>
      <c r="H1416" s="37" t="s">
        <v>396</v>
      </c>
      <c r="I1416" s="37" t="s">
        <v>2609</v>
      </c>
      <c r="J1416" s="37" t="s">
        <v>4293</v>
      </c>
      <c r="K1416" s="37">
        <v>6</v>
      </c>
      <c r="L1416" s="37" t="s">
        <v>681</v>
      </c>
      <c r="M1416" s="37" t="s">
        <v>163</v>
      </c>
      <c r="N1416" s="37">
        <v>5</v>
      </c>
      <c r="O1416" s="37" t="s">
        <v>181</v>
      </c>
      <c r="P1416" s="37"/>
    </row>
    <row r="1417" spans="1:16">
      <c r="A1417" s="46" t="s">
        <v>4294</v>
      </c>
      <c r="B1417" s="46" t="s">
        <v>393</v>
      </c>
      <c r="C1417" s="46" t="s">
        <v>203</v>
      </c>
      <c r="D1417" s="46" t="s">
        <v>367</v>
      </c>
      <c r="E1417" s="46" t="s">
        <v>440</v>
      </c>
      <c r="F1417" s="46"/>
      <c r="G1417" s="46" t="s">
        <v>470</v>
      </c>
      <c r="H1417" s="46" t="s">
        <v>294</v>
      </c>
      <c r="I1417" s="46" t="s">
        <v>436</v>
      </c>
      <c r="J1417" s="46" t="s">
        <v>2931</v>
      </c>
      <c r="K1417" s="46">
        <v>8</v>
      </c>
      <c r="L1417" s="46" t="s">
        <v>1765</v>
      </c>
      <c r="M1417" s="46" t="s">
        <v>172</v>
      </c>
      <c r="N1417" s="46">
        <v>3</v>
      </c>
      <c r="O1417" s="46" t="s">
        <v>79</v>
      </c>
      <c r="P1417" s="46"/>
    </row>
    <row r="1418" spans="1:16">
      <c r="A1418" s="37" t="s">
        <v>4295</v>
      </c>
      <c r="B1418" s="37" t="s">
        <v>1351</v>
      </c>
      <c r="C1418" s="37" t="s">
        <v>203</v>
      </c>
      <c r="D1418" s="37" t="s">
        <v>37</v>
      </c>
      <c r="E1418" s="37" t="s">
        <v>123</v>
      </c>
      <c r="F1418" s="37" t="s">
        <v>430</v>
      </c>
      <c r="G1418" s="37" t="s">
        <v>112</v>
      </c>
      <c r="H1418" s="37" t="s">
        <v>215</v>
      </c>
      <c r="I1418" s="37" t="s">
        <v>682</v>
      </c>
      <c r="J1418" s="37" t="s">
        <v>1515</v>
      </c>
      <c r="K1418" s="37">
        <v>4</v>
      </c>
      <c r="L1418" s="37" t="s">
        <v>1838</v>
      </c>
      <c r="M1418" s="37" t="s">
        <v>219</v>
      </c>
      <c r="N1418" s="37">
        <v>4</v>
      </c>
      <c r="O1418" s="37" t="s">
        <v>286</v>
      </c>
      <c r="P1418" s="37"/>
    </row>
    <row r="1419" spans="1:16">
      <c r="A1419" s="46" t="s">
        <v>4296</v>
      </c>
      <c r="B1419" s="46" t="s">
        <v>1294</v>
      </c>
      <c r="C1419" s="46" t="s">
        <v>93</v>
      </c>
      <c r="D1419" s="46" t="s">
        <v>37</v>
      </c>
      <c r="E1419" s="46" t="s">
        <v>42</v>
      </c>
      <c r="F1419" s="46" t="s">
        <v>186</v>
      </c>
      <c r="G1419" s="46" t="s">
        <v>302</v>
      </c>
      <c r="H1419" s="46" t="s">
        <v>396</v>
      </c>
      <c r="I1419" s="46" t="s">
        <v>3320</v>
      </c>
      <c r="J1419" s="46" t="s">
        <v>4297</v>
      </c>
      <c r="K1419" s="46">
        <v>6</v>
      </c>
      <c r="L1419" s="46" t="s">
        <v>2535</v>
      </c>
      <c r="M1419" s="46" t="s">
        <v>143</v>
      </c>
      <c r="N1419" s="46">
        <v>3</v>
      </c>
      <c r="O1419" s="46" t="s">
        <v>286</v>
      </c>
      <c r="P1419" s="46"/>
    </row>
    <row r="1420" spans="1:16">
      <c r="A1420" s="37" t="s">
        <v>4298</v>
      </c>
      <c r="B1420" s="37" t="s">
        <v>933</v>
      </c>
      <c r="C1420" s="37" t="s">
        <v>424</v>
      </c>
      <c r="D1420" s="37" t="s">
        <v>156</v>
      </c>
      <c r="E1420" s="37" t="s">
        <v>157</v>
      </c>
      <c r="F1420" s="37" t="s">
        <v>592</v>
      </c>
      <c r="G1420" s="37" t="s">
        <v>470</v>
      </c>
      <c r="H1420" s="37" t="s">
        <v>126</v>
      </c>
      <c r="I1420" s="37" t="s">
        <v>1070</v>
      </c>
      <c r="J1420" s="37" t="s">
        <v>1295</v>
      </c>
      <c r="K1420" s="37">
        <v>6</v>
      </c>
      <c r="L1420" s="37" t="s">
        <v>1619</v>
      </c>
      <c r="M1420" s="37" t="s">
        <v>117</v>
      </c>
      <c r="N1420" s="37">
        <v>4</v>
      </c>
      <c r="O1420" s="37" t="s">
        <v>181</v>
      </c>
      <c r="P1420" s="37"/>
    </row>
    <row r="1421" spans="1:16">
      <c r="A1421" s="46" t="s">
        <v>4299</v>
      </c>
      <c r="B1421" s="46" t="s">
        <v>104</v>
      </c>
      <c r="C1421" s="46" t="s">
        <v>155</v>
      </c>
      <c r="D1421" s="46" t="s">
        <v>544</v>
      </c>
      <c r="E1421" s="46" t="s">
        <v>123</v>
      </c>
      <c r="F1421" s="46" t="s">
        <v>981</v>
      </c>
      <c r="G1421" s="46" t="s">
        <v>257</v>
      </c>
      <c r="H1421" s="46" t="s">
        <v>88</v>
      </c>
      <c r="I1421" s="46" t="s">
        <v>3494</v>
      </c>
      <c r="J1421" s="46" t="s">
        <v>4300</v>
      </c>
      <c r="K1421" s="46">
        <v>4</v>
      </c>
      <c r="L1421" s="46" t="s">
        <v>1160</v>
      </c>
      <c r="M1421" s="46" t="s">
        <v>163</v>
      </c>
      <c r="N1421" s="46">
        <v>5</v>
      </c>
      <c r="O1421" s="46" t="s">
        <v>106</v>
      </c>
      <c r="P1421" s="46"/>
    </row>
    <row r="1422" spans="1:16">
      <c r="A1422" s="37" t="s">
        <v>4301</v>
      </c>
      <c r="B1422" s="37" t="s">
        <v>322</v>
      </c>
      <c r="C1422" s="37" t="s">
        <v>135</v>
      </c>
      <c r="D1422" s="37" t="s">
        <v>122</v>
      </c>
      <c r="E1422" s="37" t="s">
        <v>176</v>
      </c>
      <c r="F1422" s="37" t="s">
        <v>214</v>
      </c>
      <c r="G1422" s="37" t="s">
        <v>168</v>
      </c>
      <c r="H1422" s="37" t="s">
        <v>278</v>
      </c>
      <c r="I1422" s="37" t="s">
        <v>3675</v>
      </c>
      <c r="J1422" s="37" t="s">
        <v>3298</v>
      </c>
      <c r="K1422" s="37">
        <v>6</v>
      </c>
      <c r="L1422" s="37" t="s">
        <v>218</v>
      </c>
      <c r="M1422" s="37" t="s">
        <v>163</v>
      </c>
      <c r="N1422" s="37">
        <v>3</v>
      </c>
      <c r="O1422" s="37" t="s">
        <v>191</v>
      </c>
      <c r="P1422" s="37"/>
    </row>
    <row r="1423" spans="1:16">
      <c r="A1423" s="46" t="s">
        <v>4302</v>
      </c>
      <c r="B1423" s="46" t="s">
        <v>1689</v>
      </c>
      <c r="C1423" s="46" t="s">
        <v>566</v>
      </c>
      <c r="D1423" s="46" t="s">
        <v>98</v>
      </c>
      <c r="E1423" s="46" t="s">
        <v>176</v>
      </c>
      <c r="F1423" s="46" t="s">
        <v>167</v>
      </c>
      <c r="G1423" s="46" t="s">
        <v>257</v>
      </c>
      <c r="H1423" s="46" t="s">
        <v>187</v>
      </c>
      <c r="I1423" s="46" t="s">
        <v>838</v>
      </c>
      <c r="J1423" s="46" t="s">
        <v>2106</v>
      </c>
      <c r="K1423" s="46">
        <v>8</v>
      </c>
      <c r="L1423" s="46" t="s">
        <v>2902</v>
      </c>
      <c r="M1423" s="46" t="s">
        <v>172</v>
      </c>
      <c r="N1423" s="46">
        <v>2</v>
      </c>
      <c r="O1423" s="46" t="s">
        <v>286</v>
      </c>
      <c r="P1423" s="46"/>
    </row>
    <row r="1424" spans="1:16">
      <c r="A1424" s="46" t="s">
        <v>4303</v>
      </c>
      <c r="B1424" s="46" t="s">
        <v>609</v>
      </c>
      <c r="C1424" s="46" t="s">
        <v>97</v>
      </c>
      <c r="D1424" s="46" t="s">
        <v>37</v>
      </c>
      <c r="E1424" s="46" t="s">
        <v>123</v>
      </c>
      <c r="F1424" s="46" t="s">
        <v>231</v>
      </c>
      <c r="G1424" s="46" t="s">
        <v>101</v>
      </c>
      <c r="H1424" s="46" t="s">
        <v>206</v>
      </c>
      <c r="I1424" s="46" t="s">
        <v>4304</v>
      </c>
      <c r="J1424" s="46" t="s">
        <v>4305</v>
      </c>
      <c r="K1424" s="46">
        <v>4</v>
      </c>
      <c r="L1424" s="46" t="s">
        <v>3389</v>
      </c>
      <c r="M1424" s="46" t="s">
        <v>72</v>
      </c>
      <c r="N1424" s="46">
        <v>5</v>
      </c>
      <c r="O1424" s="46" t="s">
        <v>118</v>
      </c>
      <c r="P1424" s="46"/>
    </row>
    <row r="1425" spans="1:16">
      <c r="A1425" s="37" t="s">
        <v>4306</v>
      </c>
      <c r="B1425" s="37" t="s">
        <v>288</v>
      </c>
      <c r="C1425" s="37" t="s">
        <v>366</v>
      </c>
      <c r="D1425" s="37" t="s">
        <v>156</v>
      </c>
      <c r="E1425" s="37" t="s">
        <v>325</v>
      </c>
      <c r="F1425" s="37" t="s">
        <v>498</v>
      </c>
      <c r="G1425" s="37" t="s">
        <v>380</v>
      </c>
      <c r="H1425" s="37" t="s">
        <v>91</v>
      </c>
      <c r="I1425" s="37" t="s">
        <v>792</v>
      </c>
      <c r="J1425" s="37" t="s">
        <v>4307</v>
      </c>
      <c r="K1425" s="37">
        <v>2</v>
      </c>
      <c r="L1425" s="37" t="s">
        <v>2225</v>
      </c>
      <c r="M1425" s="37" t="s">
        <v>105</v>
      </c>
      <c r="N1425" s="37">
        <v>5</v>
      </c>
      <c r="O1425" s="37" t="s">
        <v>152</v>
      </c>
      <c r="P1425" s="37"/>
    </row>
    <row r="1426" spans="1:16">
      <c r="A1426" s="46" t="s">
        <v>4308</v>
      </c>
      <c r="B1426" s="46" t="s">
        <v>506</v>
      </c>
      <c r="C1426" s="46" t="s">
        <v>307</v>
      </c>
      <c r="D1426" s="46" t="s">
        <v>352</v>
      </c>
      <c r="E1426" s="46" t="s">
        <v>147</v>
      </c>
      <c r="F1426" s="46" t="s">
        <v>385</v>
      </c>
      <c r="G1426" s="46" t="s">
        <v>168</v>
      </c>
      <c r="H1426" s="46" t="s">
        <v>278</v>
      </c>
      <c r="I1426" s="46" t="s">
        <v>4309</v>
      </c>
      <c r="J1426" s="46" t="s">
        <v>3818</v>
      </c>
      <c r="K1426" s="46">
        <v>6</v>
      </c>
      <c r="L1426" s="46" t="s">
        <v>1317</v>
      </c>
      <c r="M1426" s="46" t="s">
        <v>163</v>
      </c>
      <c r="N1426" s="46">
        <v>5</v>
      </c>
      <c r="O1426" s="46" t="s">
        <v>118</v>
      </c>
      <c r="P1426" s="46"/>
    </row>
    <row r="1427" spans="1:16">
      <c r="A1427" s="37" t="s">
        <v>4310</v>
      </c>
      <c r="B1427" s="37" t="s">
        <v>1491</v>
      </c>
      <c r="C1427" s="37" t="s">
        <v>451</v>
      </c>
      <c r="D1427" s="37" t="s">
        <v>352</v>
      </c>
      <c r="E1427" s="37" t="s">
        <v>325</v>
      </c>
      <c r="F1427" s="37" t="s">
        <v>664</v>
      </c>
      <c r="G1427" s="37" t="s">
        <v>159</v>
      </c>
      <c r="H1427" s="37" t="s">
        <v>54</v>
      </c>
      <c r="I1427" s="37" t="s">
        <v>1630</v>
      </c>
      <c r="J1427" s="37" t="s">
        <v>4311</v>
      </c>
      <c r="K1427" s="37">
        <v>4</v>
      </c>
      <c r="L1427" s="37" t="s">
        <v>679</v>
      </c>
      <c r="M1427" s="37" t="s">
        <v>200</v>
      </c>
      <c r="N1427" s="37">
        <v>4</v>
      </c>
      <c r="O1427" s="37" t="s">
        <v>106</v>
      </c>
      <c r="P1427" s="37"/>
    </row>
    <row r="1428" spans="1:16">
      <c r="A1428" s="46" t="s">
        <v>4312</v>
      </c>
      <c r="B1428" s="46" t="s">
        <v>1169</v>
      </c>
      <c r="C1428" s="46" t="s">
        <v>97</v>
      </c>
      <c r="D1428" s="46" t="s">
        <v>544</v>
      </c>
      <c r="E1428" s="46" t="s">
        <v>244</v>
      </c>
      <c r="F1428" s="46" t="s">
        <v>385</v>
      </c>
      <c r="G1428" s="46" t="s">
        <v>346</v>
      </c>
      <c r="H1428" s="46" t="s">
        <v>113</v>
      </c>
      <c r="I1428" s="46" t="s">
        <v>4094</v>
      </c>
      <c r="J1428" s="46" t="s">
        <v>4313</v>
      </c>
      <c r="K1428" s="46">
        <v>4</v>
      </c>
      <c r="L1428" s="46" t="s">
        <v>2132</v>
      </c>
      <c r="M1428" s="46" t="s">
        <v>163</v>
      </c>
      <c r="N1428" s="46">
        <v>4</v>
      </c>
      <c r="O1428" s="46" t="s">
        <v>118</v>
      </c>
      <c r="P1428" s="46"/>
    </row>
    <row r="1429" spans="1:16">
      <c r="A1429" s="37" t="s">
        <v>4314</v>
      </c>
      <c r="B1429" s="37" t="s">
        <v>1061</v>
      </c>
      <c r="C1429" s="37" t="s">
        <v>366</v>
      </c>
      <c r="D1429" s="37" t="s">
        <v>919</v>
      </c>
      <c r="E1429" s="37" t="s">
        <v>99</v>
      </c>
      <c r="F1429" s="37" t="s">
        <v>158</v>
      </c>
      <c r="G1429" s="37" t="s">
        <v>92</v>
      </c>
      <c r="H1429" s="37" t="s">
        <v>396</v>
      </c>
      <c r="I1429" s="37" t="s">
        <v>265</v>
      </c>
      <c r="J1429" s="37" t="s">
        <v>2272</v>
      </c>
      <c r="K1429" s="37">
        <v>2</v>
      </c>
      <c r="L1429" s="37" t="s">
        <v>796</v>
      </c>
      <c r="M1429" s="37" t="s">
        <v>117</v>
      </c>
      <c r="N1429" s="37">
        <v>2</v>
      </c>
      <c r="O1429" s="37" t="s">
        <v>191</v>
      </c>
      <c r="P1429" s="37"/>
    </row>
    <row r="1430" spans="1:16">
      <c r="A1430" s="46" t="s">
        <v>4315</v>
      </c>
      <c r="B1430" s="46" t="s">
        <v>1454</v>
      </c>
      <c r="C1430" s="46" t="s">
        <v>340</v>
      </c>
      <c r="D1430" s="46" t="s">
        <v>919</v>
      </c>
      <c r="E1430" s="46" t="s">
        <v>99</v>
      </c>
      <c r="F1430" s="46" t="s">
        <v>167</v>
      </c>
      <c r="G1430" s="46" t="s">
        <v>89</v>
      </c>
      <c r="H1430" s="46" t="s">
        <v>278</v>
      </c>
      <c r="I1430" s="46" t="s">
        <v>265</v>
      </c>
      <c r="J1430" s="46" t="s">
        <v>4169</v>
      </c>
      <c r="K1430" s="46">
        <v>4</v>
      </c>
      <c r="L1430" s="46" t="s">
        <v>752</v>
      </c>
      <c r="M1430" s="46" t="s">
        <v>219</v>
      </c>
      <c r="N1430" s="46">
        <v>5</v>
      </c>
      <c r="O1430" s="46" t="s">
        <v>118</v>
      </c>
      <c r="P1430" s="46"/>
    </row>
    <row r="1431" spans="1:16">
      <c r="A1431" s="37" t="s">
        <v>4316</v>
      </c>
      <c r="B1431" s="37" t="s">
        <v>154</v>
      </c>
      <c r="C1431" s="37" t="s">
        <v>424</v>
      </c>
      <c r="D1431" s="37" t="s">
        <v>122</v>
      </c>
      <c r="E1431" s="37" t="s">
        <v>224</v>
      </c>
      <c r="F1431" s="37" t="s">
        <v>582</v>
      </c>
      <c r="G1431" s="37" t="s">
        <v>197</v>
      </c>
      <c r="H1431" s="37" t="s">
        <v>93</v>
      </c>
      <c r="I1431" s="37" t="s">
        <v>4317</v>
      </c>
      <c r="J1431" s="37" t="s">
        <v>4318</v>
      </c>
      <c r="K1431" s="37">
        <v>2</v>
      </c>
      <c r="L1431" s="37" t="s">
        <v>4319</v>
      </c>
      <c r="M1431" s="37" t="s">
        <v>117</v>
      </c>
      <c r="N1431" s="37">
        <v>5</v>
      </c>
      <c r="O1431" s="37" t="s">
        <v>152</v>
      </c>
      <c r="P1431" s="37"/>
    </row>
    <row r="1432" spans="1:16">
      <c r="A1432" s="46" t="s">
        <v>4320</v>
      </c>
      <c r="B1432" s="46" t="s">
        <v>324</v>
      </c>
      <c r="C1432" s="46" t="s">
        <v>424</v>
      </c>
      <c r="D1432" s="46" t="s">
        <v>156</v>
      </c>
      <c r="E1432" s="46" t="s">
        <v>147</v>
      </c>
      <c r="F1432" s="46" t="s">
        <v>148</v>
      </c>
      <c r="G1432" s="46" t="s">
        <v>89</v>
      </c>
      <c r="H1432" s="46" t="s">
        <v>206</v>
      </c>
      <c r="I1432" s="46" t="s">
        <v>1441</v>
      </c>
      <c r="J1432" s="46" t="s">
        <v>4321</v>
      </c>
      <c r="K1432" s="46">
        <v>8</v>
      </c>
      <c r="L1432" s="46" t="s">
        <v>3102</v>
      </c>
      <c r="M1432" s="46" t="s">
        <v>105</v>
      </c>
      <c r="N1432" s="46">
        <v>4</v>
      </c>
      <c r="O1432" s="46" t="s">
        <v>152</v>
      </c>
      <c r="P1432" s="46"/>
    </row>
    <row r="1433" spans="1:16">
      <c r="A1433" s="37" t="s">
        <v>4322</v>
      </c>
      <c r="B1433" s="37" t="s">
        <v>4057</v>
      </c>
      <c r="C1433" s="37" t="s">
        <v>282</v>
      </c>
      <c r="D1433" s="37" t="s">
        <v>544</v>
      </c>
      <c r="E1433" s="37" t="s">
        <v>440</v>
      </c>
      <c r="F1433" s="37" t="s">
        <v>326</v>
      </c>
      <c r="G1433" s="37" t="s">
        <v>401</v>
      </c>
      <c r="H1433" s="37" t="s">
        <v>90</v>
      </c>
      <c r="I1433" s="37" t="s">
        <v>567</v>
      </c>
      <c r="J1433" s="37" t="s">
        <v>4323</v>
      </c>
      <c r="K1433" s="37">
        <v>8</v>
      </c>
      <c r="L1433" s="37" t="s">
        <v>359</v>
      </c>
      <c r="M1433" s="37" t="s">
        <v>117</v>
      </c>
      <c r="N1433" s="37">
        <v>4</v>
      </c>
      <c r="O1433" s="37" t="s">
        <v>118</v>
      </c>
      <c r="P1433" s="37"/>
    </row>
    <row r="1434" spans="1:16">
      <c r="A1434" s="46" t="s">
        <v>4324</v>
      </c>
      <c r="B1434" s="46" t="s">
        <v>2808</v>
      </c>
      <c r="C1434" s="46" t="s">
        <v>212</v>
      </c>
      <c r="D1434" s="46" t="s">
        <v>122</v>
      </c>
      <c r="E1434" s="46" t="s">
        <v>99</v>
      </c>
      <c r="F1434" s="46" t="s">
        <v>283</v>
      </c>
      <c r="G1434" s="46" t="s">
        <v>334</v>
      </c>
      <c r="H1434" s="46" t="s">
        <v>354</v>
      </c>
      <c r="I1434" s="46" t="s">
        <v>1234</v>
      </c>
      <c r="J1434" s="46" t="s">
        <v>1091</v>
      </c>
      <c r="K1434" s="46">
        <v>4</v>
      </c>
      <c r="L1434" s="46" t="s">
        <v>154</v>
      </c>
      <c r="M1434" s="46" t="s">
        <v>200</v>
      </c>
      <c r="N1434" s="46">
        <v>1</v>
      </c>
      <c r="O1434" s="46" t="s">
        <v>106</v>
      </c>
      <c r="P1434" s="46"/>
    </row>
    <row r="1435" spans="1:16">
      <c r="A1435" s="37" t="s">
        <v>4325</v>
      </c>
      <c r="B1435" s="37" t="s">
        <v>1903</v>
      </c>
      <c r="C1435" s="37" t="s">
        <v>469</v>
      </c>
      <c r="D1435" s="37" t="s">
        <v>919</v>
      </c>
      <c r="E1435" s="37" t="s">
        <v>157</v>
      </c>
      <c r="F1435" s="37" t="s">
        <v>592</v>
      </c>
      <c r="G1435" s="37" t="s">
        <v>346</v>
      </c>
      <c r="H1435" s="37" t="s">
        <v>113</v>
      </c>
      <c r="I1435" s="37" t="s">
        <v>4326</v>
      </c>
      <c r="J1435" s="37" t="s">
        <v>4327</v>
      </c>
      <c r="K1435" s="37">
        <v>6</v>
      </c>
      <c r="L1435" s="37" t="s">
        <v>3659</v>
      </c>
      <c r="M1435" s="37" t="s">
        <v>105</v>
      </c>
      <c r="N1435" s="37">
        <v>5</v>
      </c>
      <c r="O1435" s="37" t="s">
        <v>191</v>
      </c>
      <c r="P1435" s="37"/>
    </row>
    <row r="1436" spans="1:16">
      <c r="A1436" s="46" t="s">
        <v>4328</v>
      </c>
      <c r="B1436" s="46" t="s">
        <v>2455</v>
      </c>
      <c r="C1436" s="46" t="s">
        <v>203</v>
      </c>
      <c r="D1436" s="46" t="s">
        <v>333</v>
      </c>
      <c r="E1436" s="46" t="s">
        <v>440</v>
      </c>
      <c r="F1436" s="46" t="s">
        <v>1734</v>
      </c>
      <c r="G1436" s="46" t="s">
        <v>302</v>
      </c>
      <c r="H1436" s="46" t="s">
        <v>126</v>
      </c>
      <c r="I1436" s="46" t="s">
        <v>4329</v>
      </c>
      <c r="J1436" s="46" t="s">
        <v>815</v>
      </c>
      <c r="K1436" s="46">
        <v>8</v>
      </c>
      <c r="L1436" s="46" t="s">
        <v>3192</v>
      </c>
      <c r="M1436" s="46" t="s">
        <v>219</v>
      </c>
      <c r="N1436" s="46">
        <v>5</v>
      </c>
      <c r="O1436" s="46" t="s">
        <v>131</v>
      </c>
      <c r="P1436" s="46"/>
    </row>
    <row r="1437" spans="1:16">
      <c r="A1437" s="37" t="s">
        <v>4330</v>
      </c>
      <c r="B1437" s="37" t="s">
        <v>2767</v>
      </c>
      <c r="C1437" s="37" t="s">
        <v>243</v>
      </c>
      <c r="D1437" s="37" t="s">
        <v>204</v>
      </c>
      <c r="E1437" s="37" t="s">
        <v>440</v>
      </c>
      <c r="F1437" s="37" t="s">
        <v>612</v>
      </c>
      <c r="G1437" s="37" t="s">
        <v>197</v>
      </c>
      <c r="H1437" s="37" t="s">
        <v>90</v>
      </c>
      <c r="I1437" s="37" t="s">
        <v>4331</v>
      </c>
      <c r="J1437" s="37" t="s">
        <v>4290</v>
      </c>
      <c r="K1437" s="37">
        <v>6</v>
      </c>
      <c r="L1437" s="37" t="s">
        <v>1931</v>
      </c>
      <c r="M1437" s="37" t="s">
        <v>143</v>
      </c>
      <c r="N1437" s="37">
        <v>3</v>
      </c>
      <c r="O1437" s="37" t="s">
        <v>286</v>
      </c>
      <c r="P1437" s="37"/>
    </row>
    <row r="1438" spans="1:16">
      <c r="A1438" s="46" t="s">
        <v>4332</v>
      </c>
      <c r="B1438" s="46" t="s">
        <v>1931</v>
      </c>
      <c r="C1438" s="46" t="s">
        <v>424</v>
      </c>
      <c r="D1438" s="46" t="s">
        <v>175</v>
      </c>
      <c r="E1438" s="46" t="s">
        <v>176</v>
      </c>
      <c r="F1438" s="46" t="s">
        <v>237</v>
      </c>
      <c r="G1438" s="46" t="s">
        <v>125</v>
      </c>
      <c r="H1438" s="46" t="s">
        <v>396</v>
      </c>
      <c r="I1438" s="46" t="s">
        <v>4333</v>
      </c>
      <c r="J1438" s="46" t="s">
        <v>4334</v>
      </c>
      <c r="K1438" s="46">
        <v>8</v>
      </c>
      <c r="L1438" s="46" t="s">
        <v>3141</v>
      </c>
      <c r="M1438" s="46" t="s">
        <v>219</v>
      </c>
      <c r="N1438" s="46">
        <v>5</v>
      </c>
      <c r="O1438" s="46" t="s">
        <v>118</v>
      </c>
      <c r="P1438" s="46"/>
    </row>
    <row r="1439" spans="1:16">
      <c r="A1439" s="37" t="s">
        <v>4335</v>
      </c>
      <c r="B1439" s="37" t="s">
        <v>4336</v>
      </c>
      <c r="C1439" s="37" t="s">
        <v>633</v>
      </c>
      <c r="D1439" s="37" t="s">
        <v>223</v>
      </c>
      <c r="E1439" s="37" t="s">
        <v>99</v>
      </c>
      <c r="F1439" s="37" t="s">
        <v>205</v>
      </c>
      <c r="G1439" s="37" t="s">
        <v>264</v>
      </c>
      <c r="H1439" s="37" t="s">
        <v>187</v>
      </c>
      <c r="I1439" s="37" t="s">
        <v>4337</v>
      </c>
      <c r="J1439" s="37" t="s">
        <v>4338</v>
      </c>
      <c r="K1439" s="37">
        <v>4</v>
      </c>
      <c r="L1439" s="37" t="s">
        <v>1582</v>
      </c>
      <c r="M1439" s="37" t="s">
        <v>200</v>
      </c>
      <c r="N1439" s="37">
        <v>1</v>
      </c>
      <c r="O1439" s="37" t="s">
        <v>152</v>
      </c>
      <c r="P1439" s="37"/>
    </row>
    <row r="1440" spans="1:16">
      <c r="A1440" s="46" t="s">
        <v>4339</v>
      </c>
      <c r="B1440" s="46" t="s">
        <v>765</v>
      </c>
      <c r="C1440" s="46" t="s">
        <v>174</v>
      </c>
      <c r="D1440" s="46" t="s">
        <v>136</v>
      </c>
      <c r="E1440" s="46" t="s">
        <v>325</v>
      </c>
      <c r="F1440" s="46" t="s">
        <v>326</v>
      </c>
      <c r="G1440" s="46" t="s">
        <v>125</v>
      </c>
      <c r="H1440" s="46" t="s">
        <v>294</v>
      </c>
      <c r="I1440" s="46" t="s">
        <v>1312</v>
      </c>
      <c r="J1440" s="46" t="s">
        <v>4340</v>
      </c>
      <c r="K1440" s="46">
        <v>4</v>
      </c>
      <c r="L1440" s="46" t="s">
        <v>1008</v>
      </c>
      <c r="M1440" s="46" t="s">
        <v>143</v>
      </c>
      <c r="N1440" s="46">
        <v>4</v>
      </c>
      <c r="O1440" s="46" t="s">
        <v>286</v>
      </c>
      <c r="P1440" s="46"/>
    </row>
    <row r="1441" spans="1:16">
      <c r="A1441" s="37" t="s">
        <v>4341</v>
      </c>
      <c r="B1441" s="37" t="s">
        <v>922</v>
      </c>
      <c r="C1441" s="37" t="s">
        <v>212</v>
      </c>
      <c r="D1441" s="37" t="s">
        <v>230</v>
      </c>
      <c r="E1441" s="37" t="s">
        <v>195</v>
      </c>
      <c r="F1441" s="37" t="s">
        <v>612</v>
      </c>
      <c r="G1441" s="37" t="s">
        <v>159</v>
      </c>
      <c r="H1441" s="37" t="s">
        <v>54</v>
      </c>
      <c r="I1441" s="37" t="s">
        <v>4342</v>
      </c>
      <c r="J1441" s="37" t="s">
        <v>4343</v>
      </c>
      <c r="K1441" s="37">
        <v>8</v>
      </c>
      <c r="L1441" s="37" t="s">
        <v>690</v>
      </c>
      <c r="M1441" s="37" t="s">
        <v>163</v>
      </c>
      <c r="N1441" s="37">
        <v>4</v>
      </c>
      <c r="O1441" s="37" t="s">
        <v>181</v>
      </c>
      <c r="P1441" s="37"/>
    </row>
    <row r="1442" spans="1:16">
      <c r="A1442" s="46" t="s">
        <v>4344</v>
      </c>
      <c r="B1442" s="46" t="s">
        <v>4242</v>
      </c>
      <c r="C1442" s="46" t="s">
        <v>243</v>
      </c>
      <c r="D1442" s="46" t="s">
        <v>98</v>
      </c>
      <c r="E1442" s="46" t="s">
        <v>42</v>
      </c>
      <c r="F1442" s="46" t="s">
        <v>353</v>
      </c>
      <c r="G1442" s="46" t="s">
        <v>139</v>
      </c>
      <c r="H1442" s="46" t="s">
        <v>32</v>
      </c>
      <c r="I1442" s="46" t="s">
        <v>1330</v>
      </c>
      <c r="J1442" s="46" t="s">
        <v>4345</v>
      </c>
      <c r="K1442" s="46">
        <v>6</v>
      </c>
      <c r="L1442" s="46" t="s">
        <v>2840</v>
      </c>
      <c r="M1442" s="46" t="s">
        <v>143</v>
      </c>
      <c r="N1442" s="46">
        <v>1</v>
      </c>
      <c r="O1442" s="46" t="s">
        <v>191</v>
      </c>
      <c r="P1442" s="46"/>
    </row>
    <row r="1443" spans="1:16">
      <c r="A1443" s="37" t="s">
        <v>4346</v>
      </c>
      <c r="B1443" s="37" t="s">
        <v>1343</v>
      </c>
      <c r="C1443" s="37" t="s">
        <v>93</v>
      </c>
      <c r="D1443" s="37" t="s">
        <v>194</v>
      </c>
      <c r="E1443" s="37" t="s">
        <v>244</v>
      </c>
      <c r="F1443" s="37" t="s">
        <v>313</v>
      </c>
      <c r="G1443" s="37" t="s">
        <v>125</v>
      </c>
      <c r="H1443" s="37" t="s">
        <v>396</v>
      </c>
      <c r="I1443" s="37" t="s">
        <v>567</v>
      </c>
      <c r="J1443" s="37" t="s">
        <v>103</v>
      </c>
      <c r="K1443" s="37">
        <v>4</v>
      </c>
      <c r="L1443" s="37" t="s">
        <v>2324</v>
      </c>
      <c r="M1443" s="37" t="s">
        <v>105</v>
      </c>
      <c r="N1443" s="37">
        <v>5</v>
      </c>
      <c r="O1443" s="37" t="s">
        <v>118</v>
      </c>
      <c r="P1443" s="37"/>
    </row>
    <row r="1444" spans="1:16">
      <c r="A1444" s="46" t="s">
        <v>4347</v>
      </c>
      <c r="B1444" s="46" t="s">
        <v>2848</v>
      </c>
      <c r="C1444" s="46" t="s">
        <v>469</v>
      </c>
      <c r="D1444" s="46" t="s">
        <v>204</v>
      </c>
      <c r="E1444" s="46" t="s">
        <v>224</v>
      </c>
      <c r="F1444" s="46" t="s">
        <v>430</v>
      </c>
      <c r="G1444" s="46" t="s">
        <v>89</v>
      </c>
      <c r="H1444" s="46" t="s">
        <v>206</v>
      </c>
      <c r="I1444" s="46" t="s">
        <v>3118</v>
      </c>
      <c r="J1444" s="46" t="s">
        <v>4348</v>
      </c>
      <c r="K1444" s="46">
        <v>4</v>
      </c>
      <c r="L1444" s="46" t="s">
        <v>2278</v>
      </c>
      <c r="M1444" s="46" t="s">
        <v>163</v>
      </c>
      <c r="N1444" s="46">
        <v>2</v>
      </c>
      <c r="O1444" s="46" t="s">
        <v>131</v>
      </c>
      <c r="P1444" s="46"/>
    </row>
    <row r="1445" spans="1:16">
      <c r="A1445" s="37" t="s">
        <v>4349</v>
      </c>
      <c r="B1445" s="37" t="s">
        <v>1586</v>
      </c>
      <c r="C1445" s="37" t="s">
        <v>307</v>
      </c>
      <c r="D1445" s="37" t="s">
        <v>333</v>
      </c>
      <c r="E1445" s="37" t="s">
        <v>123</v>
      </c>
      <c r="F1445" s="37" t="s">
        <v>326</v>
      </c>
      <c r="G1445" s="37" t="s">
        <v>264</v>
      </c>
      <c r="H1445" s="37" t="s">
        <v>278</v>
      </c>
      <c r="I1445" s="37" t="s">
        <v>572</v>
      </c>
      <c r="J1445" s="37" t="s">
        <v>2617</v>
      </c>
      <c r="K1445" s="37">
        <v>2</v>
      </c>
      <c r="L1445" s="37" t="s">
        <v>3023</v>
      </c>
      <c r="M1445" s="37" t="s">
        <v>163</v>
      </c>
      <c r="N1445" s="37">
        <v>5</v>
      </c>
      <c r="O1445" s="37" t="s">
        <v>152</v>
      </c>
      <c r="P1445" s="37"/>
    </row>
    <row r="1446" spans="1:16">
      <c r="A1446" s="46" t="s">
        <v>4350</v>
      </c>
      <c r="B1446" s="46" t="s">
        <v>293</v>
      </c>
      <c r="C1446" s="46" t="s">
        <v>91</v>
      </c>
      <c r="D1446" s="46" t="s">
        <v>544</v>
      </c>
      <c r="E1446" s="46" t="s">
        <v>440</v>
      </c>
      <c r="F1446" s="46" t="s">
        <v>47</v>
      </c>
      <c r="G1446" s="46" t="s">
        <v>334</v>
      </c>
      <c r="H1446" s="46" t="s">
        <v>113</v>
      </c>
      <c r="I1446" s="46" t="s">
        <v>1568</v>
      </c>
      <c r="J1446" s="46" t="s">
        <v>4351</v>
      </c>
      <c r="K1446" s="46">
        <v>8</v>
      </c>
      <c r="L1446" s="46" t="s">
        <v>324</v>
      </c>
      <c r="M1446" s="46" t="s">
        <v>105</v>
      </c>
      <c r="N1446" s="46">
        <v>4</v>
      </c>
      <c r="O1446" s="46" t="s">
        <v>118</v>
      </c>
      <c r="P1446" s="46"/>
    </row>
    <row r="1447" spans="1:16">
      <c r="A1447" s="37" t="s">
        <v>4352</v>
      </c>
      <c r="B1447" s="37" t="s">
        <v>211</v>
      </c>
      <c r="C1447" s="37" t="s">
        <v>91</v>
      </c>
      <c r="D1447" s="37" t="s">
        <v>213</v>
      </c>
      <c r="E1447" s="37" t="s">
        <v>345</v>
      </c>
      <c r="F1447" s="37" t="s">
        <v>533</v>
      </c>
      <c r="G1447" s="37" t="s">
        <v>334</v>
      </c>
      <c r="H1447" s="37" t="s">
        <v>32</v>
      </c>
      <c r="I1447" s="37" t="s">
        <v>1199</v>
      </c>
      <c r="J1447" s="37" t="s">
        <v>4353</v>
      </c>
      <c r="K1447" s="37">
        <v>6</v>
      </c>
      <c r="L1447" s="37" t="s">
        <v>1823</v>
      </c>
      <c r="M1447" s="37" t="s">
        <v>105</v>
      </c>
      <c r="N1447" s="37">
        <v>4</v>
      </c>
      <c r="O1447" s="37" t="s">
        <v>286</v>
      </c>
      <c r="P1447" s="37"/>
    </row>
    <row r="1448" spans="1:16">
      <c r="A1448" s="46" t="s">
        <v>4354</v>
      </c>
      <c r="B1448" s="46" t="s">
        <v>227</v>
      </c>
      <c r="C1448" s="46" t="s">
        <v>97</v>
      </c>
      <c r="D1448" s="46" t="s">
        <v>230</v>
      </c>
      <c r="E1448" s="46" t="s">
        <v>176</v>
      </c>
      <c r="F1448" s="46" t="s">
        <v>47</v>
      </c>
      <c r="G1448" s="46" t="s">
        <v>302</v>
      </c>
      <c r="H1448" s="46" t="s">
        <v>396</v>
      </c>
      <c r="I1448" s="46" t="s">
        <v>1986</v>
      </c>
      <c r="J1448" s="46" t="s">
        <v>4025</v>
      </c>
      <c r="K1448" s="46">
        <v>8</v>
      </c>
      <c r="L1448" s="46" t="s">
        <v>3257</v>
      </c>
      <c r="M1448" s="46" t="s">
        <v>1513</v>
      </c>
      <c r="N1448" s="46"/>
      <c r="O1448" s="46" t="s">
        <v>286</v>
      </c>
      <c r="P1448" s="46" t="s">
        <v>759</v>
      </c>
    </row>
    <row r="1449" spans="1:16">
      <c r="A1449" s="37" t="s">
        <v>4355</v>
      </c>
      <c r="B1449" s="37" t="s">
        <v>2052</v>
      </c>
      <c r="C1449" s="37" t="s">
        <v>212</v>
      </c>
      <c r="D1449" s="37" t="s">
        <v>223</v>
      </c>
      <c r="E1449" s="37" t="s">
        <v>99</v>
      </c>
      <c r="F1449" s="37" t="s">
        <v>592</v>
      </c>
      <c r="G1449" s="37" t="s">
        <v>257</v>
      </c>
      <c r="H1449" s="37" t="s">
        <v>88</v>
      </c>
      <c r="I1449" s="37" t="s">
        <v>493</v>
      </c>
      <c r="J1449" s="37" t="s">
        <v>1951</v>
      </c>
      <c r="K1449" s="37">
        <v>2</v>
      </c>
      <c r="L1449" s="37" t="s">
        <v>965</v>
      </c>
      <c r="M1449" s="37" t="s">
        <v>72</v>
      </c>
      <c r="N1449" s="37">
        <v>4</v>
      </c>
      <c r="O1449" s="37" t="s">
        <v>181</v>
      </c>
      <c r="P1449" s="37"/>
    </row>
    <row r="1450" spans="1:16">
      <c r="A1450" s="46" t="s">
        <v>4356</v>
      </c>
      <c r="B1450" s="46" t="s">
        <v>1380</v>
      </c>
      <c r="C1450" s="46" t="s">
        <v>166</v>
      </c>
      <c r="D1450" s="46" t="s">
        <v>352</v>
      </c>
      <c r="E1450" s="46" t="s">
        <v>440</v>
      </c>
      <c r="F1450" s="46"/>
      <c r="G1450" s="46" t="s">
        <v>257</v>
      </c>
      <c r="H1450" s="46" t="s">
        <v>206</v>
      </c>
      <c r="I1450" s="46" t="s">
        <v>1312</v>
      </c>
      <c r="J1450" s="46" t="s">
        <v>3427</v>
      </c>
      <c r="K1450" s="46">
        <v>8</v>
      </c>
      <c r="L1450" s="46" t="s">
        <v>1261</v>
      </c>
      <c r="M1450" s="46" t="s">
        <v>143</v>
      </c>
      <c r="N1450" s="46">
        <v>2</v>
      </c>
      <c r="O1450" s="46" t="s">
        <v>118</v>
      </c>
      <c r="P1450" s="46"/>
    </row>
    <row r="1451" spans="1:16">
      <c r="A1451" s="37" t="s">
        <v>4357</v>
      </c>
      <c r="B1451" s="37" t="s">
        <v>2359</v>
      </c>
      <c r="C1451" s="37" t="s">
        <v>54</v>
      </c>
      <c r="D1451" s="37" t="s">
        <v>146</v>
      </c>
      <c r="E1451" s="37" t="s">
        <v>110</v>
      </c>
      <c r="F1451" s="37" t="s">
        <v>425</v>
      </c>
      <c r="G1451" s="37" t="s">
        <v>401</v>
      </c>
      <c r="H1451" s="37" t="s">
        <v>327</v>
      </c>
      <c r="I1451" s="37" t="s">
        <v>3777</v>
      </c>
      <c r="J1451" s="37" t="s">
        <v>629</v>
      </c>
      <c r="K1451" s="37">
        <v>4</v>
      </c>
      <c r="L1451" s="37" t="s">
        <v>2059</v>
      </c>
      <c r="M1451" s="37" t="s">
        <v>143</v>
      </c>
      <c r="N1451" s="37">
        <v>3</v>
      </c>
      <c r="O1451" s="37" t="s">
        <v>286</v>
      </c>
      <c r="P1451" s="37"/>
    </row>
    <row r="1452" spans="1:16">
      <c r="A1452" s="46" t="s">
        <v>4358</v>
      </c>
      <c r="B1452" s="46" t="s">
        <v>330</v>
      </c>
      <c r="C1452" s="46" t="s">
        <v>91</v>
      </c>
      <c r="D1452" s="46" t="s">
        <v>367</v>
      </c>
      <c r="E1452" s="46" t="s">
        <v>440</v>
      </c>
      <c r="F1452" s="46" t="s">
        <v>186</v>
      </c>
      <c r="G1452" s="46" t="s">
        <v>380</v>
      </c>
      <c r="H1452" s="46" t="s">
        <v>294</v>
      </c>
      <c r="I1452" s="46" t="s">
        <v>4359</v>
      </c>
      <c r="J1452" s="46" t="s">
        <v>4360</v>
      </c>
      <c r="K1452" s="46">
        <v>6</v>
      </c>
      <c r="L1452" s="46" t="s">
        <v>1649</v>
      </c>
      <c r="M1452" s="46" t="s">
        <v>72</v>
      </c>
      <c r="N1452" s="46">
        <v>5</v>
      </c>
      <c r="O1452" s="46" t="s">
        <v>131</v>
      </c>
      <c r="P1452" s="46"/>
    </row>
    <row r="1453" spans="1:16">
      <c r="A1453" s="37" t="s">
        <v>4361</v>
      </c>
      <c r="B1453" s="37" t="s">
        <v>1025</v>
      </c>
      <c r="C1453" s="37" t="s">
        <v>251</v>
      </c>
      <c r="D1453" s="37" t="s">
        <v>230</v>
      </c>
      <c r="E1453" s="37" t="s">
        <v>244</v>
      </c>
      <c r="F1453" s="37" t="s">
        <v>582</v>
      </c>
      <c r="G1453" s="37" t="s">
        <v>168</v>
      </c>
      <c r="H1453" s="37" t="s">
        <v>88</v>
      </c>
      <c r="I1453" s="37" t="s">
        <v>436</v>
      </c>
      <c r="J1453" s="37" t="s">
        <v>1785</v>
      </c>
      <c r="K1453" s="37">
        <v>4</v>
      </c>
      <c r="L1453" s="37" t="s">
        <v>4362</v>
      </c>
      <c r="M1453" s="37" t="s">
        <v>143</v>
      </c>
      <c r="N1453" s="37">
        <v>5</v>
      </c>
      <c r="O1453" s="37" t="s">
        <v>191</v>
      </c>
      <c r="P1453" s="37"/>
    </row>
    <row r="1454" spans="1:16">
      <c r="A1454" s="46" t="s">
        <v>4363</v>
      </c>
      <c r="B1454" s="46" t="s">
        <v>729</v>
      </c>
      <c r="C1454" s="46" t="s">
        <v>307</v>
      </c>
      <c r="D1454" s="46" t="s">
        <v>37</v>
      </c>
      <c r="E1454" s="46" t="s">
        <v>176</v>
      </c>
      <c r="F1454" s="46" t="s">
        <v>612</v>
      </c>
      <c r="G1454" s="46" t="s">
        <v>92</v>
      </c>
      <c r="H1454" s="46" t="s">
        <v>396</v>
      </c>
      <c r="I1454" s="46" t="s">
        <v>2553</v>
      </c>
      <c r="J1454" s="46" t="s">
        <v>2058</v>
      </c>
      <c r="K1454" s="46">
        <v>8</v>
      </c>
      <c r="L1454" s="46" t="s">
        <v>423</v>
      </c>
      <c r="M1454" s="46" t="s">
        <v>72</v>
      </c>
      <c r="N1454" s="46">
        <v>3</v>
      </c>
      <c r="O1454" s="46" t="s">
        <v>191</v>
      </c>
      <c r="P1454" s="46"/>
    </row>
    <row r="1455" spans="1:16">
      <c r="A1455" s="37" t="s">
        <v>4364</v>
      </c>
      <c r="B1455" s="37" t="s">
        <v>2618</v>
      </c>
      <c r="C1455" s="37" t="s">
        <v>424</v>
      </c>
      <c r="D1455" s="37" t="s">
        <v>204</v>
      </c>
      <c r="E1455" s="37" t="s">
        <v>99</v>
      </c>
      <c r="F1455" s="37" t="s">
        <v>167</v>
      </c>
      <c r="G1455" s="37" t="s">
        <v>302</v>
      </c>
      <c r="H1455" s="37" t="s">
        <v>91</v>
      </c>
      <c r="I1455" s="37" t="s">
        <v>1557</v>
      </c>
      <c r="J1455" s="37" t="s">
        <v>4365</v>
      </c>
      <c r="K1455" s="37">
        <v>4</v>
      </c>
      <c r="L1455" s="37" t="s">
        <v>1001</v>
      </c>
      <c r="M1455" s="37" t="s">
        <v>200</v>
      </c>
      <c r="N1455" s="37">
        <v>2</v>
      </c>
      <c r="O1455" s="37" t="s">
        <v>118</v>
      </c>
      <c r="P1455" s="37"/>
    </row>
    <row r="1456" spans="1:16">
      <c r="A1456" s="46" t="s">
        <v>4366</v>
      </c>
      <c r="B1456" s="46" t="s">
        <v>4367</v>
      </c>
      <c r="C1456" s="46" t="s">
        <v>97</v>
      </c>
      <c r="D1456" s="46" t="s">
        <v>175</v>
      </c>
      <c r="E1456" s="46" t="s">
        <v>123</v>
      </c>
      <c r="F1456" s="46" t="s">
        <v>148</v>
      </c>
      <c r="G1456" s="46" t="s">
        <v>112</v>
      </c>
      <c r="H1456" s="46" t="s">
        <v>215</v>
      </c>
      <c r="I1456" s="46" t="s">
        <v>238</v>
      </c>
      <c r="J1456" s="46" t="s">
        <v>4368</v>
      </c>
      <c r="K1456" s="46">
        <v>4</v>
      </c>
      <c r="L1456" s="46" t="s">
        <v>2715</v>
      </c>
      <c r="M1456" s="46" t="s">
        <v>143</v>
      </c>
      <c r="N1456" s="46">
        <v>4</v>
      </c>
      <c r="O1456" s="46" t="s">
        <v>152</v>
      </c>
      <c r="P1456" s="46"/>
    </row>
    <row r="1457" spans="1:16">
      <c r="A1457" s="37" t="s">
        <v>4369</v>
      </c>
      <c r="B1457" s="37" t="s">
        <v>463</v>
      </c>
      <c r="C1457" s="37" t="s">
        <v>300</v>
      </c>
      <c r="D1457" s="37" t="s">
        <v>230</v>
      </c>
      <c r="E1457" s="37" t="s">
        <v>110</v>
      </c>
      <c r="F1457" s="37" t="s">
        <v>167</v>
      </c>
      <c r="G1457" s="37" t="s">
        <v>401</v>
      </c>
      <c r="H1457" s="37" t="s">
        <v>90</v>
      </c>
      <c r="I1457" s="37" t="s">
        <v>3534</v>
      </c>
      <c r="J1457" s="37" t="s">
        <v>530</v>
      </c>
      <c r="K1457" s="37">
        <v>4</v>
      </c>
      <c r="L1457" s="37" t="s">
        <v>466</v>
      </c>
      <c r="M1457" s="37" t="s">
        <v>172</v>
      </c>
      <c r="N1457" s="37">
        <v>4</v>
      </c>
      <c r="O1457" s="37" t="s">
        <v>191</v>
      </c>
      <c r="P1457" s="37"/>
    </row>
    <row r="1458" spans="1:16">
      <c r="A1458" s="46" t="s">
        <v>4370</v>
      </c>
      <c r="B1458" s="46" t="s">
        <v>1971</v>
      </c>
      <c r="C1458" s="46" t="s">
        <v>155</v>
      </c>
      <c r="D1458" s="46" t="s">
        <v>367</v>
      </c>
      <c r="E1458" s="46" t="s">
        <v>99</v>
      </c>
      <c r="F1458" s="46" t="s">
        <v>177</v>
      </c>
      <c r="G1458" s="46" t="s">
        <v>89</v>
      </c>
      <c r="H1458" s="46" t="s">
        <v>187</v>
      </c>
      <c r="I1458" s="46" t="s">
        <v>730</v>
      </c>
      <c r="J1458" s="46" t="s">
        <v>4371</v>
      </c>
      <c r="K1458" s="46">
        <v>4</v>
      </c>
      <c r="L1458" s="46" t="s">
        <v>1292</v>
      </c>
      <c r="M1458" s="46" t="s">
        <v>143</v>
      </c>
      <c r="N1458" s="46">
        <v>2</v>
      </c>
      <c r="O1458" s="46" t="s">
        <v>191</v>
      </c>
      <c r="P1458" s="46"/>
    </row>
    <row r="1459" spans="1:16">
      <c r="A1459" s="37" t="s">
        <v>4372</v>
      </c>
      <c r="B1459" s="37" t="s">
        <v>4373</v>
      </c>
      <c r="C1459" s="37" t="s">
        <v>88</v>
      </c>
      <c r="D1459" s="37" t="s">
        <v>175</v>
      </c>
      <c r="E1459" s="37" t="s">
        <v>157</v>
      </c>
      <c r="F1459" s="37" t="s">
        <v>111</v>
      </c>
      <c r="G1459" s="37" t="s">
        <v>334</v>
      </c>
      <c r="H1459" s="37" t="s">
        <v>32</v>
      </c>
      <c r="I1459" s="37" t="s">
        <v>1357</v>
      </c>
      <c r="J1459" s="37" t="s">
        <v>2833</v>
      </c>
      <c r="K1459" s="37">
        <v>6</v>
      </c>
      <c r="L1459" s="37" t="s">
        <v>145</v>
      </c>
      <c r="M1459" s="37" t="s">
        <v>172</v>
      </c>
      <c r="N1459" s="37">
        <v>3</v>
      </c>
      <c r="O1459" s="37" t="s">
        <v>152</v>
      </c>
      <c r="P1459" s="37"/>
    </row>
    <row r="1460" spans="1:16">
      <c r="A1460" s="46" t="s">
        <v>4374</v>
      </c>
      <c r="B1460" s="46" t="s">
        <v>1085</v>
      </c>
      <c r="C1460" s="46" t="s">
        <v>633</v>
      </c>
      <c r="D1460" s="46" t="s">
        <v>98</v>
      </c>
      <c r="E1460" s="46" t="s">
        <v>110</v>
      </c>
      <c r="F1460" s="46" t="s">
        <v>425</v>
      </c>
      <c r="G1460" s="46" t="s">
        <v>112</v>
      </c>
      <c r="H1460" s="46" t="s">
        <v>354</v>
      </c>
      <c r="I1460" s="46" t="s">
        <v>4375</v>
      </c>
      <c r="J1460" s="46" t="s">
        <v>4376</v>
      </c>
      <c r="K1460" s="46">
        <v>6</v>
      </c>
      <c r="L1460" s="46" t="s">
        <v>1158</v>
      </c>
      <c r="M1460" s="46" t="s">
        <v>143</v>
      </c>
      <c r="N1460" s="46">
        <v>2</v>
      </c>
      <c r="O1460" s="46" t="s">
        <v>191</v>
      </c>
      <c r="P1460" s="46"/>
    </row>
    <row r="1461" spans="1:16">
      <c r="A1461" s="37" t="s">
        <v>4377</v>
      </c>
      <c r="B1461" s="37" t="s">
        <v>466</v>
      </c>
      <c r="C1461" s="37" t="s">
        <v>243</v>
      </c>
      <c r="D1461" s="37" t="s">
        <v>204</v>
      </c>
      <c r="E1461" s="37" t="s">
        <v>345</v>
      </c>
      <c r="F1461" s="37" t="s">
        <v>425</v>
      </c>
      <c r="G1461" s="37" t="s">
        <v>264</v>
      </c>
      <c r="H1461" s="37" t="s">
        <v>187</v>
      </c>
      <c r="I1461" s="37" t="s">
        <v>2592</v>
      </c>
      <c r="J1461" s="37" t="s">
        <v>1177</v>
      </c>
      <c r="K1461" s="37">
        <v>6</v>
      </c>
      <c r="L1461" s="37" t="s">
        <v>2154</v>
      </c>
      <c r="M1461" s="37" t="s">
        <v>200</v>
      </c>
      <c r="N1461" s="37">
        <v>1</v>
      </c>
      <c r="O1461" s="37" t="s">
        <v>286</v>
      </c>
      <c r="P1461" s="37"/>
    </row>
    <row r="1462" spans="1:16">
      <c r="A1462" s="46" t="s">
        <v>4378</v>
      </c>
      <c r="B1462" s="46" t="s">
        <v>1115</v>
      </c>
      <c r="C1462" s="46" t="s">
        <v>424</v>
      </c>
      <c r="D1462" s="46" t="s">
        <v>333</v>
      </c>
      <c r="E1462" s="46" t="s">
        <v>195</v>
      </c>
      <c r="F1462" s="46" t="s">
        <v>498</v>
      </c>
      <c r="G1462" s="46" t="s">
        <v>51</v>
      </c>
      <c r="H1462" s="46" t="s">
        <v>54</v>
      </c>
      <c r="I1462" s="46" t="s">
        <v>4240</v>
      </c>
      <c r="J1462" s="46" t="s">
        <v>161</v>
      </c>
      <c r="K1462" s="46">
        <v>6</v>
      </c>
      <c r="L1462" s="46" t="s">
        <v>3602</v>
      </c>
      <c r="M1462" s="46" t="s">
        <v>200</v>
      </c>
      <c r="N1462" s="46">
        <v>2</v>
      </c>
      <c r="O1462" s="46" t="s">
        <v>118</v>
      </c>
      <c r="P1462" s="46"/>
    </row>
    <row r="1463" spans="1:16">
      <c r="A1463" s="37" t="s">
        <v>4379</v>
      </c>
      <c r="B1463" s="37" t="s">
        <v>1807</v>
      </c>
      <c r="C1463" s="37" t="s">
        <v>91</v>
      </c>
      <c r="D1463" s="37" t="s">
        <v>204</v>
      </c>
      <c r="E1463" s="37" t="s">
        <v>244</v>
      </c>
      <c r="F1463" s="37" t="s">
        <v>186</v>
      </c>
      <c r="G1463" s="37" t="s">
        <v>346</v>
      </c>
      <c r="H1463" s="37" t="s">
        <v>32</v>
      </c>
      <c r="I1463" s="37" t="s">
        <v>4380</v>
      </c>
      <c r="J1463" s="37" t="s">
        <v>1133</v>
      </c>
      <c r="K1463" s="37">
        <v>4</v>
      </c>
      <c r="L1463" s="37" t="s">
        <v>560</v>
      </c>
      <c r="M1463" s="37" t="s">
        <v>200</v>
      </c>
      <c r="N1463" s="37">
        <v>3</v>
      </c>
      <c r="O1463" s="37" t="s">
        <v>106</v>
      </c>
      <c r="P1463" s="37"/>
    </row>
    <row r="1464" spans="1:16">
      <c r="A1464" s="46" t="s">
        <v>4381</v>
      </c>
      <c r="B1464" s="46" t="s">
        <v>857</v>
      </c>
      <c r="C1464" s="46" t="s">
        <v>407</v>
      </c>
      <c r="D1464" s="46" t="s">
        <v>544</v>
      </c>
      <c r="E1464" s="46" t="s">
        <v>185</v>
      </c>
      <c r="F1464" s="46" t="s">
        <v>582</v>
      </c>
      <c r="G1464" s="46" t="s">
        <v>418</v>
      </c>
      <c r="H1464" s="46" t="s">
        <v>54</v>
      </c>
      <c r="I1464" s="46" t="s">
        <v>303</v>
      </c>
      <c r="J1464" s="46" t="s">
        <v>4382</v>
      </c>
      <c r="K1464" s="46">
        <v>6</v>
      </c>
      <c r="L1464" s="46" t="s">
        <v>180</v>
      </c>
      <c r="M1464" s="46" t="s">
        <v>163</v>
      </c>
      <c r="N1464" s="46">
        <v>5</v>
      </c>
      <c r="O1464" s="46" t="s">
        <v>191</v>
      </c>
      <c r="P1464" s="46"/>
    </row>
    <row r="1465" spans="1:16">
      <c r="A1465" s="37" t="s">
        <v>4383</v>
      </c>
      <c r="B1465" s="37" t="s">
        <v>3365</v>
      </c>
      <c r="C1465" s="37" t="s">
        <v>424</v>
      </c>
      <c r="D1465" s="37" t="s">
        <v>184</v>
      </c>
      <c r="E1465" s="37" t="s">
        <v>195</v>
      </c>
      <c r="F1465" s="37" t="s">
        <v>326</v>
      </c>
      <c r="G1465" s="37" t="s">
        <v>159</v>
      </c>
      <c r="H1465" s="37" t="s">
        <v>54</v>
      </c>
      <c r="I1465" s="37" t="s">
        <v>4384</v>
      </c>
      <c r="J1465" s="37" t="s">
        <v>3781</v>
      </c>
      <c r="K1465" s="37">
        <v>6</v>
      </c>
      <c r="L1465" s="37" t="s">
        <v>2020</v>
      </c>
      <c r="M1465" s="37" t="s">
        <v>72</v>
      </c>
      <c r="N1465" s="37">
        <v>2</v>
      </c>
      <c r="O1465" s="37" t="s">
        <v>79</v>
      </c>
      <c r="P1465" s="37"/>
    </row>
    <row r="1466" spans="1:16">
      <c r="A1466" s="46" t="s">
        <v>4385</v>
      </c>
      <c r="B1466" s="46" t="s">
        <v>256</v>
      </c>
      <c r="C1466" s="46" t="s">
        <v>469</v>
      </c>
      <c r="D1466" s="46" t="s">
        <v>312</v>
      </c>
      <c r="E1466" s="46" t="s">
        <v>42</v>
      </c>
      <c r="F1466" s="46" t="s">
        <v>498</v>
      </c>
      <c r="G1466" s="46" t="s">
        <v>257</v>
      </c>
      <c r="H1466" s="46" t="s">
        <v>88</v>
      </c>
      <c r="I1466" s="46" t="s">
        <v>160</v>
      </c>
      <c r="J1466" s="46" t="s">
        <v>4386</v>
      </c>
      <c r="K1466" s="46">
        <v>6</v>
      </c>
      <c r="L1466" s="46" t="s">
        <v>853</v>
      </c>
      <c r="M1466" s="46" t="s">
        <v>200</v>
      </c>
      <c r="N1466" s="46">
        <v>2</v>
      </c>
      <c r="O1466" s="46" t="s">
        <v>79</v>
      </c>
      <c r="P1466" s="46"/>
    </row>
    <row r="1467" spans="1:16">
      <c r="A1467" s="37" t="s">
        <v>4387</v>
      </c>
      <c r="B1467" s="37" t="s">
        <v>3756</v>
      </c>
      <c r="C1467" s="37" t="s">
        <v>469</v>
      </c>
      <c r="D1467" s="37" t="s">
        <v>98</v>
      </c>
      <c r="E1467" s="37" t="s">
        <v>42</v>
      </c>
      <c r="F1467" s="37" t="s">
        <v>1014</v>
      </c>
      <c r="G1467" s="37" t="s">
        <v>101</v>
      </c>
      <c r="H1467" s="37" t="s">
        <v>187</v>
      </c>
      <c r="I1467" s="37" t="s">
        <v>1298</v>
      </c>
      <c r="J1467" s="37" t="s">
        <v>3731</v>
      </c>
      <c r="K1467" s="37">
        <v>6</v>
      </c>
      <c r="L1467" s="37" t="s">
        <v>1626</v>
      </c>
      <c r="M1467" s="37" t="s">
        <v>105</v>
      </c>
      <c r="N1467" s="37">
        <v>4</v>
      </c>
      <c r="O1467" s="37" t="s">
        <v>118</v>
      </c>
      <c r="P1467" s="37"/>
    </row>
    <row r="1468" spans="1:16">
      <c r="A1468" s="46" t="s">
        <v>4388</v>
      </c>
      <c r="B1468" s="46" t="s">
        <v>190</v>
      </c>
      <c r="C1468" s="46" t="s">
        <v>407</v>
      </c>
      <c r="D1468" s="46" t="s">
        <v>544</v>
      </c>
      <c r="E1468" s="46" t="s">
        <v>440</v>
      </c>
      <c r="F1468" s="46" t="s">
        <v>186</v>
      </c>
      <c r="G1468" s="46" t="s">
        <v>112</v>
      </c>
      <c r="H1468" s="46" t="s">
        <v>32</v>
      </c>
      <c r="I1468" s="46" t="s">
        <v>770</v>
      </c>
      <c r="J1468" s="46" t="s">
        <v>3214</v>
      </c>
      <c r="K1468" s="46">
        <v>8</v>
      </c>
      <c r="L1468" s="46" t="s">
        <v>1224</v>
      </c>
      <c r="M1468" s="46" t="s">
        <v>105</v>
      </c>
      <c r="N1468" s="46">
        <v>4</v>
      </c>
      <c r="O1468" s="46" t="s">
        <v>191</v>
      </c>
      <c r="P1468" s="46"/>
    </row>
    <row r="1469" spans="1:16">
      <c r="A1469" s="37" t="s">
        <v>4389</v>
      </c>
      <c r="B1469" s="37" t="s">
        <v>521</v>
      </c>
      <c r="C1469" s="37" t="s">
        <v>212</v>
      </c>
      <c r="D1469" s="37" t="s">
        <v>223</v>
      </c>
      <c r="E1469" s="37" t="s">
        <v>325</v>
      </c>
      <c r="F1469" s="37" t="s">
        <v>425</v>
      </c>
      <c r="G1469" s="37" t="s">
        <v>125</v>
      </c>
      <c r="H1469" s="37" t="s">
        <v>294</v>
      </c>
      <c r="I1469" s="37" t="s">
        <v>4390</v>
      </c>
      <c r="J1469" s="37" t="s">
        <v>4391</v>
      </c>
      <c r="K1469" s="37">
        <v>4</v>
      </c>
      <c r="L1469" s="37" t="s">
        <v>495</v>
      </c>
      <c r="M1469" s="37" t="s">
        <v>163</v>
      </c>
      <c r="N1469" s="37">
        <v>3</v>
      </c>
      <c r="O1469" s="37" t="s">
        <v>181</v>
      </c>
      <c r="P1469" s="37"/>
    </row>
    <row r="1470" spans="1:16">
      <c r="A1470" s="46" t="s">
        <v>4392</v>
      </c>
      <c r="B1470" s="46" t="s">
        <v>2046</v>
      </c>
      <c r="C1470" s="46" t="s">
        <v>300</v>
      </c>
      <c r="D1470" s="46" t="s">
        <v>122</v>
      </c>
      <c r="E1470" s="46" t="s">
        <v>123</v>
      </c>
      <c r="F1470" s="46" t="s">
        <v>263</v>
      </c>
      <c r="G1470" s="46" t="s">
        <v>125</v>
      </c>
      <c r="H1470" s="46" t="s">
        <v>126</v>
      </c>
      <c r="I1470" s="46" t="s">
        <v>2689</v>
      </c>
      <c r="J1470" s="46" t="s">
        <v>4393</v>
      </c>
      <c r="K1470" s="46">
        <v>4</v>
      </c>
      <c r="L1470" s="46" t="s">
        <v>1105</v>
      </c>
      <c r="M1470" s="46" t="s">
        <v>624</v>
      </c>
      <c r="N1470" s="46"/>
      <c r="O1470" s="46" t="s">
        <v>118</v>
      </c>
      <c r="P1470" s="46" t="s">
        <v>818</v>
      </c>
    </row>
    <row r="1471" spans="1:16">
      <c r="A1471" s="37" t="s">
        <v>4394</v>
      </c>
      <c r="B1471" s="37" t="s">
        <v>2331</v>
      </c>
      <c r="C1471" s="37" t="s">
        <v>121</v>
      </c>
      <c r="D1471" s="37" t="s">
        <v>98</v>
      </c>
      <c r="E1471" s="37" t="s">
        <v>110</v>
      </c>
      <c r="F1471" s="37" t="s">
        <v>498</v>
      </c>
      <c r="G1471" s="37" t="s">
        <v>92</v>
      </c>
      <c r="H1471" s="37" t="s">
        <v>126</v>
      </c>
      <c r="I1471" s="37" t="s">
        <v>4395</v>
      </c>
      <c r="J1471" s="37" t="s">
        <v>2615</v>
      </c>
      <c r="K1471" s="37">
        <v>6</v>
      </c>
      <c r="L1471" s="37" t="s">
        <v>1054</v>
      </c>
      <c r="M1471" s="37" t="s">
        <v>200</v>
      </c>
      <c r="N1471" s="37">
        <v>2</v>
      </c>
      <c r="O1471" s="37" t="s">
        <v>152</v>
      </c>
      <c r="P1471" s="37"/>
    </row>
    <row r="1472" spans="1:16">
      <c r="A1472" s="46" t="s">
        <v>4396</v>
      </c>
      <c r="B1472" s="46" t="s">
        <v>145</v>
      </c>
      <c r="C1472" s="46" t="s">
        <v>451</v>
      </c>
      <c r="D1472" s="46" t="s">
        <v>37</v>
      </c>
      <c r="E1472" s="46" t="s">
        <v>137</v>
      </c>
      <c r="F1472" s="46" t="s">
        <v>326</v>
      </c>
      <c r="G1472" s="46" t="s">
        <v>112</v>
      </c>
      <c r="H1472" s="46" t="s">
        <v>215</v>
      </c>
      <c r="I1472" s="46" t="s">
        <v>1557</v>
      </c>
      <c r="J1472" s="46" t="s">
        <v>432</v>
      </c>
      <c r="K1472" s="46">
        <v>6</v>
      </c>
      <c r="L1472" s="46" t="s">
        <v>4199</v>
      </c>
      <c r="M1472" s="46" t="s">
        <v>143</v>
      </c>
      <c r="N1472" s="46">
        <v>2</v>
      </c>
      <c r="O1472" s="46" t="s">
        <v>191</v>
      </c>
      <c r="P1472" s="46"/>
    </row>
    <row r="1473" spans="1:16">
      <c r="A1473" s="37" t="s">
        <v>4397</v>
      </c>
      <c r="B1473" s="37" t="s">
        <v>3105</v>
      </c>
      <c r="C1473" s="37" t="s">
        <v>91</v>
      </c>
      <c r="D1473" s="37" t="s">
        <v>194</v>
      </c>
      <c r="E1473" s="37" t="s">
        <v>345</v>
      </c>
      <c r="F1473" s="37" t="s">
        <v>612</v>
      </c>
      <c r="G1473" s="37" t="s">
        <v>168</v>
      </c>
      <c r="H1473" s="37" t="s">
        <v>187</v>
      </c>
      <c r="I1473" s="37" t="s">
        <v>1762</v>
      </c>
      <c r="J1473" s="37" t="s">
        <v>4398</v>
      </c>
      <c r="K1473" s="37">
        <v>6</v>
      </c>
      <c r="L1473" s="37" t="s">
        <v>681</v>
      </c>
      <c r="M1473" s="37" t="s">
        <v>172</v>
      </c>
      <c r="N1473" s="37">
        <v>1</v>
      </c>
      <c r="O1473" s="37" t="s">
        <v>286</v>
      </c>
      <c r="P1473" s="37"/>
    </row>
    <row r="1474" spans="1:16">
      <c r="A1474" s="46" t="s">
        <v>4399</v>
      </c>
      <c r="B1474" s="46" t="s">
        <v>654</v>
      </c>
      <c r="C1474" s="46" t="s">
        <v>90</v>
      </c>
      <c r="D1474" s="46" t="s">
        <v>367</v>
      </c>
      <c r="E1474" s="46" t="s">
        <v>42</v>
      </c>
      <c r="F1474" s="46" t="s">
        <v>177</v>
      </c>
      <c r="G1474" s="46" t="s">
        <v>89</v>
      </c>
      <c r="H1474" s="46" t="s">
        <v>278</v>
      </c>
      <c r="I1474" s="46" t="s">
        <v>730</v>
      </c>
      <c r="J1474" s="46" t="s">
        <v>4246</v>
      </c>
      <c r="K1474" s="46">
        <v>6</v>
      </c>
      <c r="L1474" s="46" t="s">
        <v>1509</v>
      </c>
      <c r="M1474" s="46" t="s">
        <v>219</v>
      </c>
      <c r="N1474" s="46">
        <v>1</v>
      </c>
      <c r="O1474" s="46" t="s">
        <v>181</v>
      </c>
      <c r="P1474" s="46"/>
    </row>
    <row r="1475" spans="1:16">
      <c r="A1475" s="37" t="s">
        <v>4400</v>
      </c>
      <c r="B1475" s="37" t="s">
        <v>1984</v>
      </c>
      <c r="C1475" s="37" t="s">
        <v>366</v>
      </c>
      <c r="D1475" s="37" t="s">
        <v>333</v>
      </c>
      <c r="E1475" s="37" t="s">
        <v>123</v>
      </c>
      <c r="F1475" s="37" t="s">
        <v>271</v>
      </c>
      <c r="G1475" s="37" t="s">
        <v>139</v>
      </c>
      <c r="H1475" s="37" t="s">
        <v>32</v>
      </c>
      <c r="I1475" s="37" t="s">
        <v>413</v>
      </c>
      <c r="J1475" s="37" t="s">
        <v>4401</v>
      </c>
      <c r="K1475" s="37">
        <v>4</v>
      </c>
      <c r="L1475" s="37" t="s">
        <v>681</v>
      </c>
      <c r="M1475" s="37" t="s">
        <v>143</v>
      </c>
      <c r="N1475" s="37">
        <v>1</v>
      </c>
      <c r="O1475" s="37" t="s">
        <v>118</v>
      </c>
      <c r="P1475" s="37"/>
    </row>
    <row r="1476" spans="1:16">
      <c r="A1476" s="46" t="s">
        <v>4402</v>
      </c>
      <c r="B1476" s="46" t="s">
        <v>587</v>
      </c>
      <c r="C1476" s="46" t="s">
        <v>32</v>
      </c>
      <c r="D1476" s="46" t="s">
        <v>544</v>
      </c>
      <c r="E1476" s="46" t="s">
        <v>244</v>
      </c>
      <c r="F1476" s="46" t="s">
        <v>138</v>
      </c>
      <c r="G1476" s="46" t="s">
        <v>380</v>
      </c>
      <c r="H1476" s="46" t="s">
        <v>91</v>
      </c>
      <c r="I1476" s="46" t="s">
        <v>2271</v>
      </c>
      <c r="J1476" s="46" t="s">
        <v>3024</v>
      </c>
      <c r="K1476" s="46">
        <v>4</v>
      </c>
      <c r="L1476" s="46" t="s">
        <v>979</v>
      </c>
      <c r="M1476" s="46" t="s">
        <v>143</v>
      </c>
      <c r="N1476" s="46">
        <v>3</v>
      </c>
      <c r="O1476" s="46" t="s">
        <v>181</v>
      </c>
      <c r="P1476" s="46"/>
    </row>
    <row r="1477" spans="1:16">
      <c r="A1477" s="37" t="s">
        <v>4403</v>
      </c>
      <c r="B1477" s="37" t="s">
        <v>2356</v>
      </c>
      <c r="C1477" s="37" t="s">
        <v>54</v>
      </c>
      <c r="D1477" s="37" t="s">
        <v>312</v>
      </c>
      <c r="E1477" s="37" t="s">
        <v>157</v>
      </c>
      <c r="F1477" s="37" t="s">
        <v>158</v>
      </c>
      <c r="G1477" s="37" t="s">
        <v>125</v>
      </c>
      <c r="H1477" s="37" t="s">
        <v>126</v>
      </c>
      <c r="I1477" s="37" t="s">
        <v>974</v>
      </c>
      <c r="J1477" s="37" t="s">
        <v>3333</v>
      </c>
      <c r="K1477" s="37">
        <v>6</v>
      </c>
      <c r="L1477" s="37" t="s">
        <v>269</v>
      </c>
      <c r="M1477" s="37" t="s">
        <v>200</v>
      </c>
      <c r="N1477" s="37">
        <v>1</v>
      </c>
      <c r="O1477" s="37" t="s">
        <v>286</v>
      </c>
      <c r="P1477" s="37"/>
    </row>
    <row r="1478" spans="1:16">
      <c r="A1478" s="46" t="s">
        <v>4404</v>
      </c>
      <c r="B1478" s="46" t="s">
        <v>1297</v>
      </c>
      <c r="C1478" s="46" t="s">
        <v>135</v>
      </c>
      <c r="D1478" s="46" t="s">
        <v>223</v>
      </c>
      <c r="E1478" s="46" t="s">
        <v>147</v>
      </c>
      <c r="F1478" s="46" t="s">
        <v>158</v>
      </c>
      <c r="G1478" s="46" t="s">
        <v>92</v>
      </c>
      <c r="H1478" s="46" t="s">
        <v>126</v>
      </c>
      <c r="I1478" s="46" t="s">
        <v>787</v>
      </c>
      <c r="J1478" s="46" t="s">
        <v>4405</v>
      </c>
      <c r="K1478" s="46">
        <v>8</v>
      </c>
      <c r="L1478" s="46" t="s">
        <v>2526</v>
      </c>
      <c r="M1478" s="46" t="s">
        <v>117</v>
      </c>
      <c r="N1478" s="46">
        <v>4</v>
      </c>
      <c r="O1478" s="46" t="s">
        <v>152</v>
      </c>
      <c r="P1478" s="46"/>
    </row>
    <row r="1479" spans="1:16">
      <c r="A1479" s="37" t="s">
        <v>4406</v>
      </c>
      <c r="B1479" s="37" t="s">
        <v>609</v>
      </c>
      <c r="C1479" s="37" t="s">
        <v>109</v>
      </c>
      <c r="D1479" s="37" t="s">
        <v>230</v>
      </c>
      <c r="E1479" s="37" t="s">
        <v>147</v>
      </c>
      <c r="F1479" s="37"/>
      <c r="G1479" s="37" t="s">
        <v>302</v>
      </c>
      <c r="H1479" s="37" t="s">
        <v>396</v>
      </c>
      <c r="I1479" s="37" t="s">
        <v>4407</v>
      </c>
      <c r="J1479" s="37" t="s">
        <v>4408</v>
      </c>
      <c r="K1479" s="37">
        <v>8</v>
      </c>
      <c r="L1479" s="37" t="s">
        <v>2419</v>
      </c>
      <c r="M1479" s="37" t="s">
        <v>337</v>
      </c>
      <c r="N1479" s="37"/>
      <c r="O1479" s="37" t="s">
        <v>152</v>
      </c>
      <c r="P1479" s="37" t="s">
        <v>759</v>
      </c>
    </row>
    <row r="1480" spans="1:16">
      <c r="A1480" s="37" t="s">
        <v>4409</v>
      </c>
      <c r="B1480" s="37" t="s">
        <v>2305</v>
      </c>
      <c r="C1480" s="37" t="s">
        <v>90</v>
      </c>
      <c r="D1480" s="37" t="s">
        <v>223</v>
      </c>
      <c r="E1480" s="37" t="s">
        <v>110</v>
      </c>
      <c r="F1480" s="37" t="s">
        <v>111</v>
      </c>
      <c r="G1480" s="37" t="s">
        <v>380</v>
      </c>
      <c r="H1480" s="37" t="s">
        <v>126</v>
      </c>
      <c r="I1480" s="37" t="s">
        <v>246</v>
      </c>
      <c r="J1480" s="37" t="s">
        <v>2935</v>
      </c>
      <c r="K1480" s="37">
        <v>6</v>
      </c>
      <c r="L1480" s="37" t="s">
        <v>1102</v>
      </c>
      <c r="M1480" s="37" t="s">
        <v>117</v>
      </c>
      <c r="N1480" s="37">
        <v>3</v>
      </c>
      <c r="O1480" s="37" t="s">
        <v>286</v>
      </c>
      <c r="P1480" s="37"/>
    </row>
    <row r="1481" spans="1:16">
      <c r="A1481" s="46" t="s">
        <v>4410</v>
      </c>
      <c r="B1481" s="46" t="s">
        <v>786</v>
      </c>
      <c r="C1481" s="46" t="s">
        <v>243</v>
      </c>
      <c r="D1481" s="46" t="s">
        <v>136</v>
      </c>
      <c r="E1481" s="46" t="s">
        <v>440</v>
      </c>
      <c r="F1481" s="46" t="s">
        <v>277</v>
      </c>
      <c r="G1481" s="46" t="s">
        <v>197</v>
      </c>
      <c r="H1481" s="46" t="s">
        <v>327</v>
      </c>
      <c r="I1481" s="46" t="s">
        <v>1898</v>
      </c>
      <c r="J1481" s="46" t="s">
        <v>4411</v>
      </c>
      <c r="K1481" s="46">
        <v>6</v>
      </c>
      <c r="L1481" s="46" t="s">
        <v>2822</v>
      </c>
      <c r="M1481" s="46" t="s">
        <v>117</v>
      </c>
      <c r="N1481" s="46">
        <v>5</v>
      </c>
      <c r="O1481" s="46" t="s">
        <v>118</v>
      </c>
      <c r="P1481" s="46"/>
    </row>
    <row r="1482" spans="1:16">
      <c r="A1482" s="37" t="s">
        <v>4412</v>
      </c>
      <c r="B1482" s="37" t="s">
        <v>641</v>
      </c>
      <c r="C1482" s="37" t="s">
        <v>93</v>
      </c>
      <c r="D1482" s="37" t="s">
        <v>98</v>
      </c>
      <c r="E1482" s="37" t="s">
        <v>123</v>
      </c>
      <c r="F1482" s="37" t="s">
        <v>158</v>
      </c>
      <c r="G1482" s="37" t="s">
        <v>401</v>
      </c>
      <c r="H1482" s="37" t="s">
        <v>90</v>
      </c>
      <c r="I1482" s="37" t="s">
        <v>4413</v>
      </c>
      <c r="J1482" s="37" t="s">
        <v>4414</v>
      </c>
      <c r="K1482" s="37">
        <v>4</v>
      </c>
      <c r="L1482" s="37" t="s">
        <v>2179</v>
      </c>
      <c r="M1482" s="37" t="s">
        <v>72</v>
      </c>
      <c r="N1482" s="37">
        <v>5</v>
      </c>
      <c r="O1482" s="37" t="s">
        <v>181</v>
      </c>
      <c r="P1482" s="37"/>
    </row>
    <row r="1483" spans="1:16">
      <c r="A1483" s="46" t="s">
        <v>4415</v>
      </c>
      <c r="B1483" s="46" t="s">
        <v>4416</v>
      </c>
      <c r="C1483" s="46" t="s">
        <v>135</v>
      </c>
      <c r="D1483" s="46" t="s">
        <v>98</v>
      </c>
      <c r="E1483" s="46" t="s">
        <v>42</v>
      </c>
      <c r="F1483" s="46" t="s">
        <v>313</v>
      </c>
      <c r="G1483" s="46" t="s">
        <v>401</v>
      </c>
      <c r="H1483" s="46" t="s">
        <v>327</v>
      </c>
      <c r="I1483" s="46" t="s">
        <v>4417</v>
      </c>
      <c r="J1483" s="46" t="s">
        <v>4418</v>
      </c>
      <c r="K1483" s="46">
        <v>6</v>
      </c>
      <c r="L1483" s="46" t="s">
        <v>240</v>
      </c>
      <c r="M1483" s="46" t="s">
        <v>219</v>
      </c>
      <c r="N1483" s="46">
        <v>3</v>
      </c>
      <c r="O1483" s="46" t="s">
        <v>131</v>
      </c>
      <c r="P1483" s="46"/>
    </row>
    <row r="1484" spans="1:16">
      <c r="A1484" s="37" t="s">
        <v>4419</v>
      </c>
      <c r="B1484" s="37" t="s">
        <v>632</v>
      </c>
      <c r="C1484" s="37" t="s">
        <v>93</v>
      </c>
      <c r="D1484" s="37" t="s">
        <v>146</v>
      </c>
      <c r="E1484" s="37" t="s">
        <v>176</v>
      </c>
      <c r="F1484" s="37" t="s">
        <v>47</v>
      </c>
      <c r="G1484" s="37" t="s">
        <v>346</v>
      </c>
      <c r="H1484" s="37" t="s">
        <v>215</v>
      </c>
      <c r="I1484" s="37" t="s">
        <v>4420</v>
      </c>
      <c r="J1484" s="37" t="s">
        <v>4327</v>
      </c>
      <c r="K1484" s="37">
        <v>8</v>
      </c>
      <c r="L1484" s="37" t="s">
        <v>936</v>
      </c>
      <c r="M1484" s="37" t="s">
        <v>172</v>
      </c>
      <c r="N1484" s="37">
        <v>2</v>
      </c>
      <c r="O1484" s="37" t="s">
        <v>181</v>
      </c>
      <c r="P1484" s="37"/>
    </row>
    <row r="1485" spans="1:16">
      <c r="A1485" s="46" t="s">
        <v>4421</v>
      </c>
      <c r="B1485" s="46" t="s">
        <v>457</v>
      </c>
      <c r="C1485" s="46" t="s">
        <v>243</v>
      </c>
      <c r="D1485" s="46" t="s">
        <v>156</v>
      </c>
      <c r="E1485" s="46" t="s">
        <v>244</v>
      </c>
      <c r="F1485" s="46" t="s">
        <v>277</v>
      </c>
      <c r="G1485" s="46" t="s">
        <v>197</v>
      </c>
      <c r="H1485" s="46" t="s">
        <v>54</v>
      </c>
      <c r="I1485" s="46" t="s">
        <v>2166</v>
      </c>
      <c r="J1485" s="46" t="s">
        <v>161</v>
      </c>
      <c r="K1485" s="46">
        <v>2</v>
      </c>
      <c r="L1485" s="46" t="s">
        <v>874</v>
      </c>
      <c r="M1485" s="46" t="s">
        <v>200</v>
      </c>
      <c r="N1485" s="46">
        <v>3</v>
      </c>
      <c r="O1485" s="46" t="s">
        <v>191</v>
      </c>
      <c r="P1485" s="46"/>
    </row>
    <row r="1486" spans="1:16">
      <c r="A1486" s="37" t="s">
        <v>4422</v>
      </c>
      <c r="B1486" s="37" t="s">
        <v>571</v>
      </c>
      <c r="C1486" s="37" t="s">
        <v>407</v>
      </c>
      <c r="D1486" s="37" t="s">
        <v>136</v>
      </c>
      <c r="E1486" s="37" t="s">
        <v>224</v>
      </c>
      <c r="F1486" s="37" t="s">
        <v>271</v>
      </c>
      <c r="G1486" s="37" t="s">
        <v>92</v>
      </c>
      <c r="H1486" s="37" t="s">
        <v>126</v>
      </c>
      <c r="I1486" s="37" t="s">
        <v>4423</v>
      </c>
      <c r="J1486" s="37" t="s">
        <v>4424</v>
      </c>
      <c r="K1486" s="37">
        <v>2</v>
      </c>
      <c r="L1486" s="37" t="s">
        <v>2169</v>
      </c>
      <c r="M1486" s="37" t="s">
        <v>72</v>
      </c>
      <c r="N1486" s="37">
        <v>3</v>
      </c>
      <c r="O1486" s="37" t="s">
        <v>131</v>
      </c>
      <c r="P1486" s="37"/>
    </row>
    <row r="1487" spans="1:16">
      <c r="A1487" s="46" t="s">
        <v>4425</v>
      </c>
      <c r="B1487" s="46" t="s">
        <v>4336</v>
      </c>
      <c r="C1487" s="46" t="s">
        <v>366</v>
      </c>
      <c r="D1487" s="46" t="s">
        <v>194</v>
      </c>
      <c r="E1487" s="46" t="s">
        <v>99</v>
      </c>
      <c r="F1487" s="46" t="s">
        <v>319</v>
      </c>
      <c r="G1487" s="46" t="s">
        <v>380</v>
      </c>
      <c r="H1487" s="46" t="s">
        <v>91</v>
      </c>
      <c r="I1487" s="46" t="s">
        <v>1541</v>
      </c>
      <c r="J1487" s="46" t="s">
        <v>3967</v>
      </c>
      <c r="K1487" s="46">
        <v>2</v>
      </c>
      <c r="L1487" s="46" t="s">
        <v>1072</v>
      </c>
      <c r="M1487" s="46" t="s">
        <v>200</v>
      </c>
      <c r="N1487" s="46">
        <v>4</v>
      </c>
      <c r="O1487" s="46" t="s">
        <v>106</v>
      </c>
      <c r="P1487" s="46"/>
    </row>
    <row r="1488" spans="1:16">
      <c r="A1488" s="37" t="s">
        <v>4426</v>
      </c>
      <c r="B1488" s="37" t="s">
        <v>1248</v>
      </c>
      <c r="C1488" s="37" t="s">
        <v>203</v>
      </c>
      <c r="D1488" s="37" t="s">
        <v>333</v>
      </c>
      <c r="E1488" s="37" t="s">
        <v>185</v>
      </c>
      <c r="F1488" s="37" t="s">
        <v>319</v>
      </c>
      <c r="G1488" s="37" t="s">
        <v>87</v>
      </c>
      <c r="H1488" s="37" t="s">
        <v>215</v>
      </c>
      <c r="I1488" s="37" t="s">
        <v>1741</v>
      </c>
      <c r="J1488" s="37" t="s">
        <v>2621</v>
      </c>
      <c r="K1488" s="37">
        <v>6</v>
      </c>
      <c r="L1488" s="37" t="s">
        <v>2429</v>
      </c>
      <c r="M1488" s="37" t="s">
        <v>219</v>
      </c>
      <c r="N1488" s="37">
        <v>5</v>
      </c>
      <c r="O1488" s="37" t="s">
        <v>118</v>
      </c>
      <c r="P1488" s="37"/>
    </row>
    <row r="1489" spans="1:16">
      <c r="A1489" s="46" t="s">
        <v>4427</v>
      </c>
      <c r="B1489" s="46" t="s">
        <v>1573</v>
      </c>
      <c r="C1489" s="46" t="s">
        <v>174</v>
      </c>
      <c r="D1489" s="46" t="s">
        <v>213</v>
      </c>
      <c r="E1489" s="46" t="s">
        <v>137</v>
      </c>
      <c r="F1489" s="46" t="s">
        <v>582</v>
      </c>
      <c r="G1489" s="46" t="s">
        <v>125</v>
      </c>
      <c r="H1489" s="46" t="s">
        <v>294</v>
      </c>
      <c r="I1489" s="46" t="s">
        <v>951</v>
      </c>
      <c r="J1489" s="46" t="s">
        <v>4428</v>
      </c>
      <c r="K1489" s="46">
        <v>8</v>
      </c>
      <c r="L1489" s="46" t="s">
        <v>2840</v>
      </c>
      <c r="M1489" s="46" t="s">
        <v>200</v>
      </c>
      <c r="N1489" s="46">
        <v>4</v>
      </c>
      <c r="O1489" s="46" t="s">
        <v>152</v>
      </c>
      <c r="P1489" s="46"/>
    </row>
    <row r="1490" spans="1:16">
      <c r="A1490" s="37" t="s">
        <v>4429</v>
      </c>
      <c r="B1490" s="37" t="s">
        <v>752</v>
      </c>
      <c r="C1490" s="37" t="s">
        <v>243</v>
      </c>
      <c r="D1490" s="37" t="s">
        <v>136</v>
      </c>
      <c r="E1490" s="37" t="s">
        <v>440</v>
      </c>
      <c r="F1490" s="37" t="s">
        <v>734</v>
      </c>
      <c r="G1490" s="37" t="s">
        <v>89</v>
      </c>
      <c r="H1490" s="37" t="s">
        <v>206</v>
      </c>
      <c r="I1490" s="37" t="s">
        <v>3728</v>
      </c>
      <c r="J1490" s="37" t="s">
        <v>4430</v>
      </c>
      <c r="K1490" s="37">
        <v>8</v>
      </c>
      <c r="L1490" s="37" t="s">
        <v>478</v>
      </c>
      <c r="M1490" s="37" t="s">
        <v>117</v>
      </c>
      <c r="N1490" s="37">
        <v>4</v>
      </c>
      <c r="O1490" s="37" t="s">
        <v>181</v>
      </c>
      <c r="P1490" s="37"/>
    </row>
    <row r="1491" spans="1:16">
      <c r="A1491" s="46" t="s">
        <v>4431</v>
      </c>
      <c r="B1491" s="46" t="s">
        <v>2007</v>
      </c>
      <c r="C1491" s="46" t="s">
        <v>469</v>
      </c>
      <c r="D1491" s="46" t="s">
        <v>204</v>
      </c>
      <c r="E1491" s="46" t="s">
        <v>244</v>
      </c>
      <c r="F1491" s="46" t="s">
        <v>148</v>
      </c>
      <c r="G1491" s="46" t="s">
        <v>168</v>
      </c>
      <c r="H1491" s="46" t="s">
        <v>187</v>
      </c>
      <c r="I1491" s="46" t="s">
        <v>4432</v>
      </c>
      <c r="J1491" s="46" t="s">
        <v>4433</v>
      </c>
      <c r="K1491" s="46">
        <v>4</v>
      </c>
      <c r="L1491" s="46" t="s">
        <v>1525</v>
      </c>
      <c r="M1491" s="46" t="s">
        <v>219</v>
      </c>
      <c r="N1491" s="46">
        <v>4</v>
      </c>
      <c r="O1491" s="46" t="s">
        <v>131</v>
      </c>
      <c r="P1491" s="46"/>
    </row>
    <row r="1492" spans="1:16">
      <c r="A1492" s="37" t="s">
        <v>4434</v>
      </c>
      <c r="B1492" s="37" t="s">
        <v>2359</v>
      </c>
      <c r="C1492" s="37" t="s">
        <v>91</v>
      </c>
      <c r="D1492" s="37" t="s">
        <v>98</v>
      </c>
      <c r="E1492" s="37" t="s">
        <v>195</v>
      </c>
      <c r="F1492" s="37" t="s">
        <v>301</v>
      </c>
      <c r="G1492" s="37" t="s">
        <v>346</v>
      </c>
      <c r="H1492" s="37" t="s">
        <v>32</v>
      </c>
      <c r="I1492" s="37" t="s">
        <v>4435</v>
      </c>
      <c r="J1492" s="37" t="s">
        <v>4436</v>
      </c>
      <c r="K1492" s="37">
        <v>8</v>
      </c>
      <c r="L1492" s="37" t="s">
        <v>1152</v>
      </c>
      <c r="M1492" s="37" t="s">
        <v>219</v>
      </c>
      <c r="N1492" s="37">
        <v>5</v>
      </c>
      <c r="O1492" s="37" t="s">
        <v>118</v>
      </c>
      <c r="P1492" s="37"/>
    </row>
    <row r="1493" spans="1:16">
      <c r="A1493" s="46" t="s">
        <v>4437</v>
      </c>
      <c r="B1493" s="46" t="s">
        <v>1248</v>
      </c>
      <c r="C1493" s="46" t="s">
        <v>251</v>
      </c>
      <c r="D1493" s="46" t="s">
        <v>919</v>
      </c>
      <c r="E1493" s="46" t="s">
        <v>123</v>
      </c>
      <c r="F1493" s="46" t="s">
        <v>167</v>
      </c>
      <c r="G1493" s="46" t="s">
        <v>401</v>
      </c>
      <c r="H1493" s="46" t="s">
        <v>327</v>
      </c>
      <c r="I1493" s="46" t="s">
        <v>1989</v>
      </c>
      <c r="J1493" s="46" t="s">
        <v>4438</v>
      </c>
      <c r="K1493" s="46">
        <v>4</v>
      </c>
      <c r="L1493" s="46" t="s">
        <v>2852</v>
      </c>
      <c r="M1493" s="46" t="s">
        <v>143</v>
      </c>
      <c r="N1493" s="46">
        <v>2</v>
      </c>
      <c r="O1493" s="46" t="s">
        <v>131</v>
      </c>
      <c r="P1493" s="46"/>
    </row>
    <row r="1494" spans="1:16">
      <c r="A1494" s="37" t="s">
        <v>4439</v>
      </c>
      <c r="B1494" s="37" t="s">
        <v>888</v>
      </c>
      <c r="C1494" s="37" t="s">
        <v>174</v>
      </c>
      <c r="D1494" s="37" t="s">
        <v>544</v>
      </c>
      <c r="E1494" s="37" t="s">
        <v>147</v>
      </c>
      <c r="F1494" s="37" t="s">
        <v>158</v>
      </c>
      <c r="G1494" s="37" t="s">
        <v>159</v>
      </c>
      <c r="H1494" s="37" t="s">
        <v>93</v>
      </c>
      <c r="I1494" s="37" t="s">
        <v>863</v>
      </c>
      <c r="J1494" s="37" t="s">
        <v>4440</v>
      </c>
      <c r="K1494" s="37">
        <v>8</v>
      </c>
      <c r="L1494" s="37" t="s">
        <v>1552</v>
      </c>
      <c r="M1494" s="37" t="s">
        <v>172</v>
      </c>
      <c r="N1494" s="37">
        <v>4</v>
      </c>
      <c r="O1494" s="37" t="s">
        <v>191</v>
      </c>
      <c r="P1494" s="37"/>
    </row>
    <row r="1495" spans="1:16">
      <c r="A1495" s="46" t="s">
        <v>4441</v>
      </c>
      <c r="B1495" s="46" t="s">
        <v>571</v>
      </c>
      <c r="C1495" s="46" t="s">
        <v>451</v>
      </c>
      <c r="D1495" s="46" t="s">
        <v>184</v>
      </c>
      <c r="E1495" s="46" t="s">
        <v>224</v>
      </c>
      <c r="F1495" s="46" t="s">
        <v>167</v>
      </c>
      <c r="G1495" s="46" t="s">
        <v>264</v>
      </c>
      <c r="H1495" s="46" t="s">
        <v>278</v>
      </c>
      <c r="I1495" s="46" t="s">
        <v>2176</v>
      </c>
      <c r="J1495" s="46" t="s">
        <v>253</v>
      </c>
      <c r="K1495" s="46">
        <v>4</v>
      </c>
      <c r="L1495" s="46" t="s">
        <v>202</v>
      </c>
      <c r="M1495" s="46" t="s">
        <v>163</v>
      </c>
      <c r="N1495" s="46">
        <v>4</v>
      </c>
      <c r="O1495" s="46" t="s">
        <v>191</v>
      </c>
      <c r="P1495" s="46"/>
    </row>
    <row r="1496" spans="1:16">
      <c r="A1496" s="37" t="s">
        <v>4442</v>
      </c>
      <c r="B1496" s="37" t="s">
        <v>1252</v>
      </c>
      <c r="C1496" s="37" t="s">
        <v>91</v>
      </c>
      <c r="D1496" s="37" t="s">
        <v>136</v>
      </c>
      <c r="E1496" s="37" t="s">
        <v>345</v>
      </c>
      <c r="F1496" s="37" t="s">
        <v>245</v>
      </c>
      <c r="G1496" s="37" t="s">
        <v>418</v>
      </c>
      <c r="H1496" s="37" t="s">
        <v>93</v>
      </c>
      <c r="I1496" s="37" t="s">
        <v>284</v>
      </c>
      <c r="J1496" s="37" t="s">
        <v>640</v>
      </c>
      <c r="K1496" s="37">
        <v>6</v>
      </c>
      <c r="L1496" s="37" t="s">
        <v>1588</v>
      </c>
      <c r="M1496" s="37" t="s">
        <v>817</v>
      </c>
      <c r="N1496" s="37"/>
      <c r="O1496" s="37" t="s">
        <v>181</v>
      </c>
      <c r="P1496" s="37" t="s">
        <v>625</v>
      </c>
    </row>
    <row r="1497" spans="1:16">
      <c r="A1497" s="46" t="s">
        <v>4443</v>
      </c>
      <c r="B1497" s="46" t="s">
        <v>661</v>
      </c>
      <c r="C1497" s="46" t="s">
        <v>97</v>
      </c>
      <c r="D1497" s="46" t="s">
        <v>367</v>
      </c>
      <c r="E1497" s="46" t="s">
        <v>325</v>
      </c>
      <c r="F1497" s="46" t="s">
        <v>263</v>
      </c>
      <c r="G1497" s="46" t="s">
        <v>125</v>
      </c>
      <c r="H1497" s="46" t="s">
        <v>126</v>
      </c>
      <c r="I1497" s="46" t="s">
        <v>479</v>
      </c>
      <c r="J1497" s="46" t="s">
        <v>4444</v>
      </c>
      <c r="K1497" s="46">
        <v>4</v>
      </c>
      <c r="L1497" s="46" t="s">
        <v>468</v>
      </c>
      <c r="M1497" s="46" t="s">
        <v>72</v>
      </c>
      <c r="N1497" s="46">
        <v>1</v>
      </c>
      <c r="O1497" s="46" t="s">
        <v>286</v>
      </c>
      <c r="P1497" s="46"/>
    </row>
    <row r="1498" spans="1:16">
      <c r="A1498" s="37" t="s">
        <v>4445</v>
      </c>
      <c r="B1498" s="37" t="s">
        <v>468</v>
      </c>
      <c r="C1498" s="37" t="s">
        <v>155</v>
      </c>
      <c r="D1498" s="37" t="s">
        <v>544</v>
      </c>
      <c r="E1498" s="37" t="s">
        <v>42</v>
      </c>
      <c r="F1498" s="37" t="s">
        <v>124</v>
      </c>
      <c r="G1498" s="37" t="s">
        <v>168</v>
      </c>
      <c r="H1498" s="37" t="s">
        <v>206</v>
      </c>
      <c r="I1498" s="37" t="s">
        <v>4446</v>
      </c>
      <c r="J1498" s="37" t="s">
        <v>4447</v>
      </c>
      <c r="K1498" s="37">
        <v>6</v>
      </c>
      <c r="L1498" s="37" t="s">
        <v>1335</v>
      </c>
      <c r="M1498" s="37" t="s">
        <v>105</v>
      </c>
      <c r="N1498" s="37">
        <v>4</v>
      </c>
      <c r="O1498" s="37" t="s">
        <v>152</v>
      </c>
      <c r="P1498" s="37"/>
    </row>
    <row r="1499" spans="1:16">
      <c r="A1499" s="46" t="s">
        <v>4448</v>
      </c>
      <c r="B1499" s="46" t="s">
        <v>3467</v>
      </c>
      <c r="C1499" s="46" t="s">
        <v>469</v>
      </c>
      <c r="D1499" s="46" t="s">
        <v>122</v>
      </c>
      <c r="E1499" s="46" t="s">
        <v>325</v>
      </c>
      <c r="F1499" s="46" t="s">
        <v>326</v>
      </c>
      <c r="G1499" s="46" t="s">
        <v>159</v>
      </c>
      <c r="H1499" s="46" t="s">
        <v>327</v>
      </c>
      <c r="I1499" s="46" t="s">
        <v>2651</v>
      </c>
      <c r="J1499" s="46" t="s">
        <v>4449</v>
      </c>
      <c r="K1499" s="46">
        <v>4</v>
      </c>
      <c r="L1499" s="46" t="s">
        <v>2324</v>
      </c>
      <c r="M1499" s="46" t="s">
        <v>172</v>
      </c>
      <c r="N1499" s="46">
        <v>4</v>
      </c>
      <c r="O1499" s="46" t="s">
        <v>106</v>
      </c>
      <c r="P1499" s="46"/>
    </row>
    <row r="1500" spans="1:16">
      <c r="A1500" s="37" t="s">
        <v>4450</v>
      </c>
      <c r="B1500" s="37" t="s">
        <v>2001</v>
      </c>
      <c r="C1500" s="37" t="s">
        <v>32</v>
      </c>
      <c r="D1500" s="37" t="s">
        <v>367</v>
      </c>
      <c r="E1500" s="37" t="s">
        <v>147</v>
      </c>
      <c r="F1500" s="37" t="s">
        <v>158</v>
      </c>
      <c r="G1500" s="37" t="s">
        <v>418</v>
      </c>
      <c r="H1500" s="37" t="s">
        <v>327</v>
      </c>
      <c r="I1500" s="37" t="s">
        <v>792</v>
      </c>
      <c r="J1500" s="37" t="s">
        <v>3032</v>
      </c>
      <c r="K1500" s="37">
        <v>8</v>
      </c>
      <c r="L1500" s="37" t="s">
        <v>828</v>
      </c>
      <c r="M1500" s="37" t="s">
        <v>105</v>
      </c>
      <c r="N1500" s="37">
        <v>3</v>
      </c>
      <c r="O1500" s="37" t="s">
        <v>106</v>
      </c>
      <c r="P1500" s="37"/>
    </row>
    <row r="1501" spans="1:16">
      <c r="A1501" s="46" t="s">
        <v>4451</v>
      </c>
      <c r="B1501" s="46" t="s">
        <v>2767</v>
      </c>
      <c r="C1501" s="46" t="s">
        <v>451</v>
      </c>
      <c r="D1501" s="46" t="s">
        <v>184</v>
      </c>
      <c r="E1501" s="46" t="s">
        <v>185</v>
      </c>
      <c r="F1501" s="46" t="s">
        <v>47</v>
      </c>
      <c r="G1501" s="46" t="s">
        <v>51</v>
      </c>
      <c r="H1501" s="46" t="s">
        <v>327</v>
      </c>
      <c r="I1501" s="46" t="s">
        <v>4262</v>
      </c>
      <c r="J1501" s="46" t="s">
        <v>4452</v>
      </c>
      <c r="K1501" s="46">
        <v>6</v>
      </c>
      <c r="L1501" s="46" t="s">
        <v>1758</v>
      </c>
      <c r="M1501" s="46" t="s">
        <v>172</v>
      </c>
      <c r="N1501" s="46">
        <v>4</v>
      </c>
      <c r="O1501" s="46" t="s">
        <v>152</v>
      </c>
      <c r="P1501" s="46"/>
    </row>
    <row r="1502" spans="1:16">
      <c r="A1502" s="37" t="s">
        <v>4453</v>
      </c>
      <c r="B1502" s="37" t="s">
        <v>969</v>
      </c>
      <c r="C1502" s="37" t="s">
        <v>54</v>
      </c>
      <c r="D1502" s="37" t="s">
        <v>919</v>
      </c>
      <c r="E1502" s="37" t="s">
        <v>99</v>
      </c>
      <c r="F1502" s="37" t="s">
        <v>360</v>
      </c>
      <c r="G1502" s="37" t="s">
        <v>470</v>
      </c>
      <c r="H1502" s="37" t="s">
        <v>91</v>
      </c>
      <c r="I1502" s="37" t="s">
        <v>4454</v>
      </c>
      <c r="J1502" s="37" t="s">
        <v>2717</v>
      </c>
      <c r="K1502" s="37">
        <v>4</v>
      </c>
      <c r="L1502" s="37" t="s">
        <v>597</v>
      </c>
      <c r="M1502" s="37" t="s">
        <v>105</v>
      </c>
      <c r="N1502" s="37">
        <v>3</v>
      </c>
      <c r="O1502" s="37" t="s">
        <v>191</v>
      </c>
      <c r="P1502" s="37"/>
    </row>
    <row r="1503" spans="1:16">
      <c r="A1503" s="46" t="s">
        <v>4455</v>
      </c>
      <c r="B1503" s="46" t="s">
        <v>96</v>
      </c>
      <c r="C1503" s="46" t="s">
        <v>88</v>
      </c>
      <c r="D1503" s="46" t="s">
        <v>544</v>
      </c>
      <c r="E1503" s="46" t="s">
        <v>440</v>
      </c>
      <c r="F1503" s="46" t="s">
        <v>237</v>
      </c>
      <c r="G1503" s="46" t="s">
        <v>302</v>
      </c>
      <c r="H1503" s="46" t="s">
        <v>91</v>
      </c>
      <c r="I1503" s="46" t="s">
        <v>814</v>
      </c>
      <c r="J1503" s="46" t="s">
        <v>3828</v>
      </c>
      <c r="K1503" s="46">
        <v>8</v>
      </c>
      <c r="L1503" s="46" t="s">
        <v>1559</v>
      </c>
      <c r="M1503" s="46" t="s">
        <v>143</v>
      </c>
      <c r="N1503" s="46">
        <v>5</v>
      </c>
      <c r="O1503" s="46" t="s">
        <v>152</v>
      </c>
      <c r="P1503" s="46"/>
    </row>
    <row r="1504" spans="1:16">
      <c r="A1504" s="37" t="s">
        <v>4456</v>
      </c>
      <c r="B1504" s="37" t="s">
        <v>1171</v>
      </c>
      <c r="C1504" s="37" t="s">
        <v>54</v>
      </c>
      <c r="D1504" s="37" t="s">
        <v>919</v>
      </c>
      <c r="E1504" s="37" t="s">
        <v>176</v>
      </c>
      <c r="F1504" s="37" t="s">
        <v>111</v>
      </c>
      <c r="G1504" s="37" t="s">
        <v>334</v>
      </c>
      <c r="H1504" s="37" t="s">
        <v>215</v>
      </c>
      <c r="I1504" s="37" t="s">
        <v>4457</v>
      </c>
      <c r="J1504" s="37" t="s">
        <v>2330</v>
      </c>
      <c r="K1504" s="37">
        <v>8</v>
      </c>
      <c r="L1504" s="37" t="s">
        <v>2830</v>
      </c>
      <c r="M1504" s="37" t="s">
        <v>105</v>
      </c>
      <c r="N1504" s="37">
        <v>4</v>
      </c>
      <c r="O1504" s="37" t="s">
        <v>79</v>
      </c>
      <c r="P1504" s="37"/>
    </row>
    <row r="1505" spans="1:16">
      <c r="A1505" s="46" t="s">
        <v>4458</v>
      </c>
      <c r="B1505" s="46" t="s">
        <v>3038</v>
      </c>
      <c r="C1505" s="46" t="s">
        <v>300</v>
      </c>
      <c r="D1505" s="46" t="s">
        <v>204</v>
      </c>
      <c r="E1505" s="46" t="s">
        <v>157</v>
      </c>
      <c r="F1505" s="46" t="s">
        <v>313</v>
      </c>
      <c r="G1505" s="46" t="s">
        <v>51</v>
      </c>
      <c r="H1505" s="46" t="s">
        <v>327</v>
      </c>
      <c r="I1505" s="46" t="s">
        <v>4459</v>
      </c>
      <c r="J1505" s="46" t="s">
        <v>4460</v>
      </c>
      <c r="K1505" s="46">
        <v>4</v>
      </c>
      <c r="L1505" s="46" t="s">
        <v>1798</v>
      </c>
      <c r="M1505" s="46" t="s">
        <v>163</v>
      </c>
      <c r="N1505" s="46">
        <v>3</v>
      </c>
      <c r="O1505" s="46" t="s">
        <v>118</v>
      </c>
      <c r="P1505" s="46"/>
    </row>
    <row r="1506" spans="1:16">
      <c r="A1506" s="37" t="s">
        <v>4461</v>
      </c>
      <c r="B1506" s="37" t="s">
        <v>556</v>
      </c>
      <c r="C1506" s="37" t="s">
        <v>135</v>
      </c>
      <c r="D1506" s="37" t="s">
        <v>367</v>
      </c>
      <c r="E1506" s="37" t="s">
        <v>42</v>
      </c>
      <c r="F1506" s="37" t="s">
        <v>47</v>
      </c>
      <c r="G1506" s="37" t="s">
        <v>125</v>
      </c>
      <c r="H1506" s="37" t="s">
        <v>91</v>
      </c>
      <c r="I1506" s="37" t="s">
        <v>3777</v>
      </c>
      <c r="J1506" s="37" t="s">
        <v>4462</v>
      </c>
      <c r="K1506" s="37">
        <v>6</v>
      </c>
      <c r="L1506" s="37" t="s">
        <v>221</v>
      </c>
      <c r="M1506" s="37" t="s">
        <v>200</v>
      </c>
      <c r="N1506" s="37">
        <v>1</v>
      </c>
      <c r="O1506" s="37" t="s">
        <v>152</v>
      </c>
      <c r="P1506" s="37"/>
    </row>
    <row r="1507" spans="1:16">
      <c r="A1507" s="46" t="s">
        <v>4463</v>
      </c>
      <c r="B1507" s="46" t="s">
        <v>154</v>
      </c>
      <c r="C1507" s="46" t="s">
        <v>166</v>
      </c>
      <c r="D1507" s="46" t="s">
        <v>204</v>
      </c>
      <c r="E1507" s="46" t="s">
        <v>99</v>
      </c>
      <c r="F1507" s="46" t="s">
        <v>301</v>
      </c>
      <c r="G1507" s="46" t="s">
        <v>264</v>
      </c>
      <c r="H1507" s="46" t="s">
        <v>206</v>
      </c>
      <c r="I1507" s="46" t="s">
        <v>4464</v>
      </c>
      <c r="J1507" s="46" t="s">
        <v>4465</v>
      </c>
      <c r="K1507" s="46">
        <v>4</v>
      </c>
      <c r="L1507" s="46" t="s">
        <v>1100</v>
      </c>
      <c r="M1507" s="46" t="s">
        <v>143</v>
      </c>
      <c r="N1507" s="46">
        <v>3</v>
      </c>
      <c r="O1507" s="46" t="s">
        <v>131</v>
      </c>
      <c r="P1507" s="46"/>
    </row>
    <row r="1508" spans="1:16">
      <c r="A1508" s="46" t="s">
        <v>4466</v>
      </c>
      <c r="B1508" s="46" t="s">
        <v>2246</v>
      </c>
      <c r="C1508" s="46" t="s">
        <v>109</v>
      </c>
      <c r="D1508" s="46" t="s">
        <v>146</v>
      </c>
      <c r="E1508" s="46" t="s">
        <v>157</v>
      </c>
      <c r="F1508" s="46" t="s">
        <v>612</v>
      </c>
      <c r="G1508" s="46" t="s">
        <v>92</v>
      </c>
      <c r="H1508" s="46" t="s">
        <v>294</v>
      </c>
      <c r="I1508" s="46" t="s">
        <v>4059</v>
      </c>
      <c r="J1508" s="46" t="s">
        <v>1904</v>
      </c>
      <c r="K1508" s="46">
        <v>6</v>
      </c>
      <c r="L1508" s="46" t="s">
        <v>560</v>
      </c>
      <c r="M1508" s="46" t="s">
        <v>200</v>
      </c>
      <c r="N1508" s="46">
        <v>2</v>
      </c>
      <c r="O1508" s="46" t="s">
        <v>131</v>
      </c>
      <c r="P1508" s="46"/>
    </row>
    <row r="1509" spans="1:16">
      <c r="A1509" s="37" t="s">
        <v>4467</v>
      </c>
      <c r="B1509" s="37" t="s">
        <v>2666</v>
      </c>
      <c r="C1509" s="37" t="s">
        <v>203</v>
      </c>
      <c r="D1509" s="37" t="s">
        <v>270</v>
      </c>
      <c r="E1509" s="37" t="s">
        <v>244</v>
      </c>
      <c r="F1509" s="37" t="s">
        <v>177</v>
      </c>
      <c r="G1509" s="37" t="s">
        <v>470</v>
      </c>
      <c r="H1509" s="37" t="s">
        <v>91</v>
      </c>
      <c r="I1509" s="37" t="s">
        <v>1518</v>
      </c>
      <c r="J1509" s="37" t="s">
        <v>2598</v>
      </c>
      <c r="K1509" s="37">
        <v>4</v>
      </c>
      <c r="L1509" s="37" t="s">
        <v>1828</v>
      </c>
      <c r="M1509" s="37" t="s">
        <v>219</v>
      </c>
      <c r="N1509" s="37">
        <v>4</v>
      </c>
      <c r="O1509" s="37" t="s">
        <v>152</v>
      </c>
      <c r="P1509" s="37"/>
    </row>
    <row r="1510" spans="1:16">
      <c r="A1510" s="46" t="s">
        <v>4468</v>
      </c>
      <c r="B1510" s="46" t="s">
        <v>717</v>
      </c>
      <c r="C1510" s="46" t="s">
        <v>109</v>
      </c>
      <c r="D1510" s="46" t="s">
        <v>184</v>
      </c>
      <c r="E1510" s="46" t="s">
        <v>99</v>
      </c>
      <c r="F1510" s="46" t="s">
        <v>612</v>
      </c>
      <c r="G1510" s="46" t="s">
        <v>418</v>
      </c>
      <c r="H1510" s="46" t="s">
        <v>327</v>
      </c>
      <c r="I1510" s="46" t="s">
        <v>1954</v>
      </c>
      <c r="J1510" s="46" t="s">
        <v>4469</v>
      </c>
      <c r="K1510" s="46">
        <v>4</v>
      </c>
      <c r="L1510" s="46" t="s">
        <v>3228</v>
      </c>
      <c r="M1510" s="46" t="s">
        <v>117</v>
      </c>
      <c r="N1510" s="46">
        <v>4</v>
      </c>
      <c r="O1510" s="46" t="s">
        <v>131</v>
      </c>
      <c r="P1510" s="46"/>
    </row>
    <row r="1511" spans="1:16">
      <c r="A1511" s="37" t="s">
        <v>4470</v>
      </c>
      <c r="B1511" s="37" t="s">
        <v>1850</v>
      </c>
      <c r="C1511" s="37" t="s">
        <v>93</v>
      </c>
      <c r="D1511" s="37" t="s">
        <v>544</v>
      </c>
      <c r="E1511" s="37" t="s">
        <v>224</v>
      </c>
      <c r="F1511" s="37" t="s">
        <v>1145</v>
      </c>
      <c r="G1511" s="37" t="s">
        <v>418</v>
      </c>
      <c r="H1511" s="37" t="s">
        <v>90</v>
      </c>
      <c r="I1511" s="37" t="s">
        <v>4471</v>
      </c>
      <c r="J1511" s="37" t="s">
        <v>4472</v>
      </c>
      <c r="K1511" s="37">
        <v>4</v>
      </c>
      <c r="L1511" s="37" t="s">
        <v>658</v>
      </c>
      <c r="M1511" s="37" t="s">
        <v>72</v>
      </c>
      <c r="N1511" s="37">
        <v>3</v>
      </c>
      <c r="O1511" s="37" t="s">
        <v>79</v>
      </c>
      <c r="P1511" s="37"/>
    </row>
    <row r="1512" spans="1:16">
      <c r="A1512" s="46" t="s">
        <v>4473</v>
      </c>
      <c r="B1512" s="46" t="s">
        <v>528</v>
      </c>
      <c r="C1512" s="46" t="s">
        <v>243</v>
      </c>
      <c r="D1512" s="46" t="s">
        <v>184</v>
      </c>
      <c r="E1512" s="46" t="s">
        <v>99</v>
      </c>
      <c r="F1512" s="46" t="s">
        <v>138</v>
      </c>
      <c r="G1512" s="46" t="s">
        <v>89</v>
      </c>
      <c r="H1512" s="46" t="s">
        <v>278</v>
      </c>
      <c r="I1512" s="46" t="s">
        <v>4474</v>
      </c>
      <c r="J1512" s="46" t="s">
        <v>4371</v>
      </c>
      <c r="K1512" s="46">
        <v>4</v>
      </c>
      <c r="L1512" s="46" t="s">
        <v>3470</v>
      </c>
      <c r="M1512" s="46" t="s">
        <v>143</v>
      </c>
      <c r="N1512" s="46">
        <v>4</v>
      </c>
      <c r="O1512" s="46" t="s">
        <v>106</v>
      </c>
      <c r="P1512" s="46"/>
    </row>
    <row r="1513" spans="1:16">
      <c r="A1513" s="37" t="s">
        <v>4475</v>
      </c>
      <c r="B1513" s="37" t="s">
        <v>840</v>
      </c>
      <c r="C1513" s="37" t="s">
        <v>135</v>
      </c>
      <c r="D1513" s="37" t="s">
        <v>333</v>
      </c>
      <c r="E1513" s="37" t="s">
        <v>157</v>
      </c>
      <c r="F1513" s="37" t="s">
        <v>177</v>
      </c>
      <c r="G1513" s="37" t="s">
        <v>264</v>
      </c>
      <c r="H1513" s="37" t="s">
        <v>206</v>
      </c>
      <c r="I1513" s="37" t="s">
        <v>1993</v>
      </c>
      <c r="J1513" s="37" t="s">
        <v>432</v>
      </c>
      <c r="K1513" s="37">
        <v>4</v>
      </c>
      <c r="L1513" s="37" t="s">
        <v>2322</v>
      </c>
      <c r="M1513" s="37" t="s">
        <v>72</v>
      </c>
      <c r="N1513" s="37">
        <v>1</v>
      </c>
      <c r="O1513" s="37" t="s">
        <v>131</v>
      </c>
      <c r="P1513" s="37"/>
    </row>
    <row r="1514" spans="1:16">
      <c r="A1514" s="46" t="s">
        <v>4476</v>
      </c>
      <c r="B1514" s="46" t="s">
        <v>840</v>
      </c>
      <c r="C1514" s="46" t="s">
        <v>424</v>
      </c>
      <c r="D1514" s="46" t="s">
        <v>367</v>
      </c>
      <c r="E1514" s="46" t="s">
        <v>325</v>
      </c>
      <c r="F1514" s="46" t="s">
        <v>368</v>
      </c>
      <c r="G1514" s="46" t="s">
        <v>92</v>
      </c>
      <c r="H1514" s="46" t="s">
        <v>294</v>
      </c>
      <c r="I1514" s="46" t="s">
        <v>4477</v>
      </c>
      <c r="J1514" s="46" t="s">
        <v>4478</v>
      </c>
      <c r="K1514" s="46">
        <v>4</v>
      </c>
      <c r="L1514" s="46" t="s">
        <v>1952</v>
      </c>
      <c r="M1514" s="46" t="s">
        <v>200</v>
      </c>
      <c r="N1514" s="46">
        <v>3</v>
      </c>
      <c r="O1514" s="46" t="s">
        <v>152</v>
      </c>
      <c r="P1514" s="46"/>
    </row>
    <row r="1515" spans="1:16">
      <c r="A1515" s="37" t="s">
        <v>4479</v>
      </c>
      <c r="B1515" s="37" t="s">
        <v>902</v>
      </c>
      <c r="C1515" s="37" t="s">
        <v>566</v>
      </c>
      <c r="D1515" s="37" t="s">
        <v>312</v>
      </c>
      <c r="E1515" s="37" t="s">
        <v>185</v>
      </c>
      <c r="F1515" s="37" t="s">
        <v>205</v>
      </c>
      <c r="G1515" s="37" t="s">
        <v>346</v>
      </c>
      <c r="H1515" s="37" t="s">
        <v>354</v>
      </c>
      <c r="I1515" s="37" t="s">
        <v>4480</v>
      </c>
      <c r="J1515" s="37" t="s">
        <v>4481</v>
      </c>
      <c r="K1515" s="37">
        <v>6</v>
      </c>
      <c r="L1515" s="37" t="s">
        <v>3105</v>
      </c>
      <c r="M1515" s="37" t="s">
        <v>200</v>
      </c>
      <c r="N1515" s="37">
        <v>1</v>
      </c>
      <c r="O1515" s="37" t="s">
        <v>152</v>
      </c>
      <c r="P1515" s="37"/>
    </row>
    <row r="1516" spans="1:16">
      <c r="A1516" s="46" t="s">
        <v>4482</v>
      </c>
      <c r="B1516" s="46" t="s">
        <v>254</v>
      </c>
      <c r="C1516" s="46" t="s">
        <v>91</v>
      </c>
      <c r="D1516" s="46" t="s">
        <v>146</v>
      </c>
      <c r="E1516" s="46" t="s">
        <v>440</v>
      </c>
      <c r="F1516" s="46" t="s">
        <v>452</v>
      </c>
      <c r="G1516" s="46" t="s">
        <v>92</v>
      </c>
      <c r="H1516" s="46" t="s">
        <v>126</v>
      </c>
      <c r="I1516" s="46" t="s">
        <v>598</v>
      </c>
      <c r="J1516" s="46" t="s">
        <v>3607</v>
      </c>
      <c r="K1516" s="46">
        <v>6</v>
      </c>
      <c r="L1516" s="46" t="s">
        <v>3141</v>
      </c>
      <c r="M1516" s="46" t="s">
        <v>143</v>
      </c>
      <c r="N1516" s="46">
        <v>4</v>
      </c>
      <c r="O1516" s="46" t="s">
        <v>131</v>
      </c>
      <c r="P1516" s="46"/>
    </row>
    <row r="1517" spans="1:16">
      <c r="A1517" s="37" t="s">
        <v>4483</v>
      </c>
      <c r="B1517" s="37" t="s">
        <v>1370</v>
      </c>
      <c r="C1517" s="37" t="s">
        <v>32</v>
      </c>
      <c r="D1517" s="37" t="s">
        <v>194</v>
      </c>
      <c r="E1517" s="37" t="s">
        <v>42</v>
      </c>
      <c r="F1517" s="37" t="s">
        <v>111</v>
      </c>
      <c r="G1517" s="37" t="s">
        <v>264</v>
      </c>
      <c r="H1517" s="37" t="s">
        <v>88</v>
      </c>
      <c r="I1517" s="37" t="s">
        <v>4484</v>
      </c>
      <c r="J1517" s="37" t="s">
        <v>1693</v>
      </c>
      <c r="K1517" s="37">
        <v>6</v>
      </c>
      <c r="L1517" s="37" t="s">
        <v>2670</v>
      </c>
      <c r="M1517" s="37" t="s">
        <v>105</v>
      </c>
      <c r="N1517" s="37">
        <v>4</v>
      </c>
      <c r="O1517" s="37" t="s">
        <v>286</v>
      </c>
      <c r="P1517" s="37"/>
    </row>
    <row r="1518" spans="1:16">
      <c r="A1518" s="46" t="s">
        <v>4485</v>
      </c>
      <c r="B1518" s="46" t="s">
        <v>1765</v>
      </c>
      <c r="C1518" s="46" t="s">
        <v>109</v>
      </c>
      <c r="D1518" s="46" t="s">
        <v>122</v>
      </c>
      <c r="E1518" s="46" t="s">
        <v>325</v>
      </c>
      <c r="F1518" s="46" t="s">
        <v>158</v>
      </c>
      <c r="G1518" s="46" t="s">
        <v>302</v>
      </c>
      <c r="H1518" s="46" t="s">
        <v>294</v>
      </c>
      <c r="I1518" s="46" t="s">
        <v>3929</v>
      </c>
      <c r="J1518" s="46" t="s">
        <v>4486</v>
      </c>
      <c r="K1518" s="46">
        <v>4</v>
      </c>
      <c r="L1518" s="46" t="s">
        <v>1171</v>
      </c>
      <c r="M1518" s="46" t="s">
        <v>117</v>
      </c>
      <c r="N1518" s="46">
        <v>4</v>
      </c>
      <c r="O1518" s="46" t="s">
        <v>106</v>
      </c>
      <c r="P1518" s="46"/>
    </row>
    <row r="1519" spans="1:16">
      <c r="A1519" s="37" t="s">
        <v>4487</v>
      </c>
      <c r="B1519" s="37" t="s">
        <v>758</v>
      </c>
      <c r="C1519" s="37" t="s">
        <v>212</v>
      </c>
      <c r="D1519" s="37" t="s">
        <v>919</v>
      </c>
      <c r="E1519" s="37" t="s">
        <v>440</v>
      </c>
      <c r="F1519" s="37" t="s">
        <v>385</v>
      </c>
      <c r="G1519" s="37" t="s">
        <v>168</v>
      </c>
      <c r="H1519" s="37" t="s">
        <v>187</v>
      </c>
      <c r="I1519" s="37" t="s">
        <v>4488</v>
      </c>
      <c r="J1519" s="37" t="s">
        <v>189</v>
      </c>
      <c r="K1519" s="37">
        <v>6</v>
      </c>
      <c r="L1519" s="37" t="s">
        <v>2804</v>
      </c>
      <c r="M1519" s="37" t="s">
        <v>163</v>
      </c>
      <c r="N1519" s="37">
        <v>4</v>
      </c>
      <c r="O1519" s="37" t="s">
        <v>181</v>
      </c>
      <c r="P1519" s="37"/>
    </row>
    <row r="1520" spans="1:16">
      <c r="A1520" s="46" t="s">
        <v>4489</v>
      </c>
      <c r="B1520" s="46" t="s">
        <v>2905</v>
      </c>
      <c r="C1520" s="46" t="s">
        <v>282</v>
      </c>
      <c r="D1520" s="46" t="s">
        <v>270</v>
      </c>
      <c r="E1520" s="46" t="s">
        <v>325</v>
      </c>
      <c r="F1520" s="46" t="s">
        <v>100</v>
      </c>
      <c r="G1520" s="46" t="s">
        <v>168</v>
      </c>
      <c r="H1520" s="46" t="s">
        <v>187</v>
      </c>
      <c r="I1520" s="46" t="s">
        <v>4490</v>
      </c>
      <c r="J1520" s="46" t="s">
        <v>4491</v>
      </c>
      <c r="K1520" s="46">
        <v>2</v>
      </c>
      <c r="L1520" s="46" t="s">
        <v>826</v>
      </c>
      <c r="M1520" s="46" t="s">
        <v>105</v>
      </c>
      <c r="N1520" s="46">
        <v>5</v>
      </c>
      <c r="O1520" s="46" t="s">
        <v>118</v>
      </c>
      <c r="P1520" s="46"/>
    </row>
    <row r="1521" spans="1:16">
      <c r="A1521" s="37" t="s">
        <v>4492</v>
      </c>
      <c r="B1521" s="37" t="s">
        <v>1491</v>
      </c>
      <c r="C1521" s="37" t="s">
        <v>88</v>
      </c>
      <c r="D1521" s="37" t="s">
        <v>146</v>
      </c>
      <c r="E1521" s="37" t="s">
        <v>137</v>
      </c>
      <c r="F1521" s="37" t="s">
        <v>301</v>
      </c>
      <c r="G1521" s="37" t="s">
        <v>418</v>
      </c>
      <c r="H1521" s="37" t="s">
        <v>93</v>
      </c>
      <c r="I1521" s="37" t="s">
        <v>4493</v>
      </c>
      <c r="J1521" s="37" t="s">
        <v>4494</v>
      </c>
      <c r="K1521" s="37">
        <v>8</v>
      </c>
      <c r="L1521" s="37" t="s">
        <v>3048</v>
      </c>
      <c r="M1521" s="37" t="s">
        <v>143</v>
      </c>
      <c r="N1521" s="37">
        <v>2</v>
      </c>
      <c r="O1521" s="37" t="s">
        <v>152</v>
      </c>
      <c r="P1521" s="37"/>
    </row>
    <row r="1522" spans="1:16">
      <c r="A1522" s="46" t="s">
        <v>4495</v>
      </c>
      <c r="B1522" s="46" t="s">
        <v>288</v>
      </c>
      <c r="C1522" s="46" t="s">
        <v>374</v>
      </c>
      <c r="D1522" s="46" t="s">
        <v>223</v>
      </c>
      <c r="E1522" s="46" t="s">
        <v>123</v>
      </c>
      <c r="F1522" s="46" t="s">
        <v>1734</v>
      </c>
      <c r="G1522" s="46" t="s">
        <v>139</v>
      </c>
      <c r="H1522" s="46" t="s">
        <v>32</v>
      </c>
      <c r="I1522" s="46" t="s">
        <v>4496</v>
      </c>
      <c r="J1522" s="46" t="s">
        <v>4497</v>
      </c>
      <c r="K1522" s="46">
        <v>4</v>
      </c>
      <c r="L1522" s="46" t="s">
        <v>1685</v>
      </c>
      <c r="M1522" s="46" t="s">
        <v>143</v>
      </c>
      <c r="N1522" s="46">
        <v>2</v>
      </c>
      <c r="O1522" s="46" t="s">
        <v>152</v>
      </c>
      <c r="P1522" s="46"/>
    </row>
    <row r="1523" spans="1:16">
      <c r="A1523" s="37" t="s">
        <v>4498</v>
      </c>
      <c r="B1523" s="37" t="s">
        <v>1807</v>
      </c>
      <c r="C1523" s="37" t="s">
        <v>91</v>
      </c>
      <c r="D1523" s="37" t="s">
        <v>230</v>
      </c>
      <c r="E1523" s="37" t="s">
        <v>244</v>
      </c>
      <c r="F1523" s="37" t="s">
        <v>360</v>
      </c>
      <c r="G1523" s="37" t="s">
        <v>197</v>
      </c>
      <c r="H1523" s="37" t="s">
        <v>90</v>
      </c>
      <c r="I1523" s="37" t="s">
        <v>4499</v>
      </c>
      <c r="J1523" s="37" t="s">
        <v>4500</v>
      </c>
      <c r="K1523" s="37">
        <v>4</v>
      </c>
      <c r="L1523" s="37" t="s">
        <v>2646</v>
      </c>
      <c r="M1523" s="37" t="s">
        <v>219</v>
      </c>
      <c r="N1523" s="37">
        <v>5</v>
      </c>
      <c r="O1523" s="37" t="s">
        <v>191</v>
      </c>
      <c r="P1523" s="37"/>
    </row>
    <row r="1524" spans="1:16">
      <c r="A1524" s="46" t="s">
        <v>4501</v>
      </c>
      <c r="B1524" s="46" t="s">
        <v>2902</v>
      </c>
      <c r="C1524" s="46" t="s">
        <v>54</v>
      </c>
      <c r="D1524" s="46" t="s">
        <v>270</v>
      </c>
      <c r="E1524" s="46" t="s">
        <v>440</v>
      </c>
      <c r="F1524" s="46" t="s">
        <v>1112</v>
      </c>
      <c r="G1524" s="46" t="s">
        <v>302</v>
      </c>
      <c r="H1524" s="46" t="s">
        <v>294</v>
      </c>
      <c r="I1524" s="46" t="s">
        <v>1302</v>
      </c>
      <c r="J1524" s="46" t="s">
        <v>4502</v>
      </c>
      <c r="K1524" s="46">
        <v>8</v>
      </c>
      <c r="L1524" s="46" t="s">
        <v>450</v>
      </c>
      <c r="M1524" s="46" t="s">
        <v>2041</v>
      </c>
      <c r="N1524" s="46"/>
      <c r="O1524" s="46" t="s">
        <v>106</v>
      </c>
      <c r="P1524" s="46" t="s">
        <v>818</v>
      </c>
    </row>
    <row r="1525" spans="1:16">
      <c r="A1525" s="37" t="s">
        <v>4503</v>
      </c>
      <c r="B1525" s="37" t="s">
        <v>1003</v>
      </c>
      <c r="C1525" s="37" t="s">
        <v>54</v>
      </c>
      <c r="D1525" s="37" t="s">
        <v>333</v>
      </c>
      <c r="E1525" s="37" t="s">
        <v>42</v>
      </c>
      <c r="F1525" s="37" t="s">
        <v>214</v>
      </c>
      <c r="G1525" s="37" t="s">
        <v>264</v>
      </c>
      <c r="H1525" s="37" t="s">
        <v>88</v>
      </c>
      <c r="I1525" s="37" t="s">
        <v>539</v>
      </c>
      <c r="J1525" s="37" t="s">
        <v>1023</v>
      </c>
      <c r="K1525" s="37">
        <v>6</v>
      </c>
      <c r="L1525" s="37" t="s">
        <v>171</v>
      </c>
      <c r="M1525" s="37" t="s">
        <v>163</v>
      </c>
      <c r="N1525" s="37">
        <v>4</v>
      </c>
      <c r="O1525" s="37" t="s">
        <v>152</v>
      </c>
      <c r="P1525" s="37"/>
    </row>
    <row r="1526" spans="1:16">
      <c r="A1526" s="46" t="s">
        <v>4504</v>
      </c>
      <c r="B1526" s="46" t="s">
        <v>211</v>
      </c>
      <c r="C1526" s="46" t="s">
        <v>566</v>
      </c>
      <c r="D1526" s="46" t="s">
        <v>37</v>
      </c>
      <c r="E1526" s="46" t="s">
        <v>224</v>
      </c>
      <c r="F1526" s="46" t="s">
        <v>326</v>
      </c>
      <c r="G1526" s="46" t="s">
        <v>92</v>
      </c>
      <c r="H1526" s="46" t="s">
        <v>396</v>
      </c>
      <c r="I1526" s="46" t="s">
        <v>2651</v>
      </c>
      <c r="J1526" s="46" t="s">
        <v>315</v>
      </c>
      <c r="K1526" s="46">
        <v>4</v>
      </c>
      <c r="L1526" s="46" t="s">
        <v>2670</v>
      </c>
      <c r="M1526" s="46" t="s">
        <v>117</v>
      </c>
      <c r="N1526" s="46">
        <v>5</v>
      </c>
      <c r="O1526" s="46" t="s">
        <v>79</v>
      </c>
      <c r="P1526" s="46"/>
    </row>
    <row r="1527" spans="1:16">
      <c r="A1527" s="37" t="s">
        <v>4505</v>
      </c>
      <c r="B1527" s="37" t="s">
        <v>1422</v>
      </c>
      <c r="C1527" s="37" t="s">
        <v>407</v>
      </c>
      <c r="D1527" s="37" t="s">
        <v>333</v>
      </c>
      <c r="E1527" s="37" t="s">
        <v>345</v>
      </c>
      <c r="F1527" s="37" t="s">
        <v>167</v>
      </c>
      <c r="G1527" s="37" t="s">
        <v>302</v>
      </c>
      <c r="H1527" s="37" t="s">
        <v>396</v>
      </c>
      <c r="I1527" s="37" t="s">
        <v>3647</v>
      </c>
      <c r="J1527" s="37" t="s">
        <v>530</v>
      </c>
      <c r="K1527" s="37">
        <v>4</v>
      </c>
      <c r="L1527" s="37" t="s">
        <v>1908</v>
      </c>
      <c r="M1527" s="37" t="s">
        <v>143</v>
      </c>
      <c r="N1527" s="37">
        <v>1</v>
      </c>
      <c r="O1527" s="37" t="s">
        <v>79</v>
      </c>
      <c r="P1527" s="37"/>
    </row>
    <row r="1528" spans="1:16">
      <c r="A1528" s="46" t="s">
        <v>4506</v>
      </c>
      <c r="B1528" s="46" t="s">
        <v>4242</v>
      </c>
      <c r="C1528" s="46" t="s">
        <v>90</v>
      </c>
      <c r="D1528" s="46" t="s">
        <v>352</v>
      </c>
      <c r="E1528" s="46" t="s">
        <v>185</v>
      </c>
      <c r="F1528" s="46" t="s">
        <v>100</v>
      </c>
      <c r="G1528" s="46" t="s">
        <v>197</v>
      </c>
      <c r="H1528" s="46" t="s">
        <v>54</v>
      </c>
      <c r="I1528" s="46" t="s">
        <v>1996</v>
      </c>
      <c r="J1528" s="46" t="s">
        <v>4507</v>
      </c>
      <c r="K1528" s="46">
        <v>4</v>
      </c>
      <c r="L1528" s="46" t="s">
        <v>1401</v>
      </c>
      <c r="M1528" s="46" t="s">
        <v>200</v>
      </c>
      <c r="N1528" s="46">
        <v>2</v>
      </c>
      <c r="O1528" s="46" t="s">
        <v>79</v>
      </c>
      <c r="P1528" s="46"/>
    </row>
    <row r="1529" spans="1:16">
      <c r="A1529" s="37" t="s">
        <v>4508</v>
      </c>
      <c r="B1529" s="37" t="s">
        <v>1586</v>
      </c>
      <c r="C1529" s="37" t="s">
        <v>407</v>
      </c>
      <c r="D1529" s="37" t="s">
        <v>156</v>
      </c>
      <c r="E1529" s="37" t="s">
        <v>440</v>
      </c>
      <c r="F1529" s="37" t="s">
        <v>167</v>
      </c>
      <c r="G1529" s="37" t="s">
        <v>264</v>
      </c>
      <c r="H1529" s="37" t="s">
        <v>187</v>
      </c>
      <c r="I1529" s="37" t="s">
        <v>1326</v>
      </c>
      <c r="J1529" s="37" t="s">
        <v>666</v>
      </c>
      <c r="K1529" s="37">
        <v>8</v>
      </c>
      <c r="L1529" s="37" t="s">
        <v>3141</v>
      </c>
      <c r="M1529" s="37" t="s">
        <v>1513</v>
      </c>
      <c r="N1529" s="37"/>
      <c r="O1529" s="37" t="s">
        <v>131</v>
      </c>
      <c r="P1529" s="37" t="s">
        <v>132</v>
      </c>
    </row>
    <row r="1530" spans="1:16">
      <c r="A1530" s="46" t="s">
        <v>4509</v>
      </c>
      <c r="B1530" s="46" t="s">
        <v>1171</v>
      </c>
      <c r="C1530" s="46" t="s">
        <v>282</v>
      </c>
      <c r="D1530" s="46" t="s">
        <v>175</v>
      </c>
      <c r="E1530" s="46" t="s">
        <v>224</v>
      </c>
      <c r="F1530" s="46" t="s">
        <v>1145</v>
      </c>
      <c r="G1530" s="46" t="s">
        <v>89</v>
      </c>
      <c r="H1530" s="46" t="s">
        <v>206</v>
      </c>
      <c r="I1530" s="46" t="s">
        <v>3124</v>
      </c>
      <c r="J1530" s="46" t="s">
        <v>4510</v>
      </c>
      <c r="K1530" s="46">
        <v>2</v>
      </c>
      <c r="L1530" s="46" t="s">
        <v>1480</v>
      </c>
      <c r="M1530" s="46" t="s">
        <v>117</v>
      </c>
      <c r="N1530" s="46">
        <v>5</v>
      </c>
      <c r="O1530" s="46" t="s">
        <v>191</v>
      </c>
      <c r="P1530" s="46"/>
    </row>
    <row r="1531" spans="1:16">
      <c r="A1531" s="37" t="s">
        <v>4511</v>
      </c>
      <c r="B1531" s="37" t="s">
        <v>134</v>
      </c>
      <c r="C1531" s="37" t="s">
        <v>566</v>
      </c>
      <c r="D1531" s="37" t="s">
        <v>544</v>
      </c>
      <c r="E1531" s="37" t="s">
        <v>176</v>
      </c>
      <c r="F1531" s="37" t="s">
        <v>533</v>
      </c>
      <c r="G1531" s="37" t="s">
        <v>159</v>
      </c>
      <c r="H1531" s="37" t="s">
        <v>54</v>
      </c>
      <c r="I1531" s="37" t="s">
        <v>3534</v>
      </c>
      <c r="J1531" s="37" t="s">
        <v>432</v>
      </c>
      <c r="K1531" s="37">
        <v>6</v>
      </c>
      <c r="L1531" s="37" t="s">
        <v>506</v>
      </c>
      <c r="M1531" s="37" t="s">
        <v>117</v>
      </c>
      <c r="N1531" s="37">
        <v>3</v>
      </c>
      <c r="O1531" s="37" t="s">
        <v>106</v>
      </c>
      <c r="P1531" s="37"/>
    </row>
    <row r="1532" spans="1:16">
      <c r="A1532" s="46" t="s">
        <v>4512</v>
      </c>
      <c r="B1532" s="46" t="s">
        <v>2879</v>
      </c>
      <c r="C1532" s="46" t="s">
        <v>155</v>
      </c>
      <c r="D1532" s="46" t="s">
        <v>136</v>
      </c>
      <c r="E1532" s="46" t="s">
        <v>157</v>
      </c>
      <c r="F1532" s="46" t="s">
        <v>205</v>
      </c>
      <c r="G1532" s="46" t="s">
        <v>89</v>
      </c>
      <c r="H1532" s="46" t="s">
        <v>88</v>
      </c>
      <c r="I1532" s="46" t="s">
        <v>4513</v>
      </c>
      <c r="J1532" s="46" t="s">
        <v>4514</v>
      </c>
      <c r="K1532" s="46">
        <v>6</v>
      </c>
      <c r="L1532" s="46" t="s">
        <v>1064</v>
      </c>
      <c r="M1532" s="46" t="s">
        <v>163</v>
      </c>
      <c r="N1532" s="46">
        <v>4</v>
      </c>
      <c r="O1532" s="46" t="s">
        <v>131</v>
      </c>
      <c r="P1532" s="46"/>
    </row>
    <row r="1533" spans="1:16">
      <c r="A1533" s="37" t="s">
        <v>4515</v>
      </c>
      <c r="B1533" s="37" t="s">
        <v>1707</v>
      </c>
      <c r="C1533" s="37" t="s">
        <v>93</v>
      </c>
      <c r="D1533" s="37" t="s">
        <v>213</v>
      </c>
      <c r="E1533" s="37" t="s">
        <v>147</v>
      </c>
      <c r="F1533" s="37" t="s">
        <v>843</v>
      </c>
      <c r="G1533" s="37" t="s">
        <v>257</v>
      </c>
      <c r="H1533" s="37" t="s">
        <v>187</v>
      </c>
      <c r="I1533" s="37" t="s">
        <v>4516</v>
      </c>
      <c r="J1533" s="37" t="s">
        <v>4517</v>
      </c>
      <c r="K1533" s="37">
        <v>6</v>
      </c>
      <c r="L1533" s="37" t="s">
        <v>2169</v>
      </c>
      <c r="M1533" s="37" t="s">
        <v>117</v>
      </c>
      <c r="N1533" s="37">
        <v>5</v>
      </c>
      <c r="O1533" s="37" t="s">
        <v>118</v>
      </c>
      <c r="P1533" s="37"/>
    </row>
    <row r="1534" spans="1:16">
      <c r="A1534" s="46" t="s">
        <v>4518</v>
      </c>
      <c r="B1534" s="46" t="s">
        <v>672</v>
      </c>
      <c r="C1534" s="46" t="s">
        <v>366</v>
      </c>
      <c r="D1534" s="46" t="s">
        <v>367</v>
      </c>
      <c r="E1534" s="46" t="s">
        <v>123</v>
      </c>
      <c r="F1534" s="46" t="s">
        <v>1112</v>
      </c>
      <c r="G1534" s="46" t="s">
        <v>380</v>
      </c>
      <c r="H1534" s="46" t="s">
        <v>91</v>
      </c>
      <c r="I1534" s="46" t="s">
        <v>4519</v>
      </c>
      <c r="J1534" s="46" t="s">
        <v>4520</v>
      </c>
      <c r="K1534" s="46">
        <v>2</v>
      </c>
      <c r="L1534" s="46" t="s">
        <v>492</v>
      </c>
      <c r="M1534" s="46" t="s">
        <v>163</v>
      </c>
      <c r="N1534" s="46">
        <v>2</v>
      </c>
      <c r="O1534" s="46" t="s">
        <v>191</v>
      </c>
      <c r="P1534" s="46"/>
    </row>
    <row r="1535" spans="1:16">
      <c r="A1535" s="37" t="s">
        <v>4521</v>
      </c>
      <c r="B1535" s="37" t="s">
        <v>654</v>
      </c>
      <c r="C1535" s="37" t="s">
        <v>469</v>
      </c>
      <c r="D1535" s="37" t="s">
        <v>37</v>
      </c>
      <c r="E1535" s="37" t="s">
        <v>185</v>
      </c>
      <c r="F1535" s="37" t="s">
        <v>319</v>
      </c>
      <c r="G1535" s="37" t="s">
        <v>302</v>
      </c>
      <c r="H1535" s="37" t="s">
        <v>91</v>
      </c>
      <c r="I1535" s="37" t="s">
        <v>3301</v>
      </c>
      <c r="J1535" s="37" t="s">
        <v>4353</v>
      </c>
      <c r="K1535" s="37">
        <v>4</v>
      </c>
      <c r="L1535" s="37" t="s">
        <v>1552</v>
      </c>
      <c r="M1535" s="37" t="s">
        <v>219</v>
      </c>
      <c r="N1535" s="37">
        <v>5</v>
      </c>
      <c r="O1535" s="37" t="s">
        <v>118</v>
      </c>
      <c r="P1535" s="37"/>
    </row>
    <row r="1536" spans="1:16">
      <c r="A1536" s="46" t="s">
        <v>4522</v>
      </c>
      <c r="B1536" s="46" t="s">
        <v>1485</v>
      </c>
      <c r="C1536" s="46" t="s">
        <v>97</v>
      </c>
      <c r="D1536" s="46" t="s">
        <v>270</v>
      </c>
      <c r="E1536" s="46" t="s">
        <v>110</v>
      </c>
      <c r="F1536" s="46" t="s">
        <v>425</v>
      </c>
      <c r="G1536" s="46" t="s">
        <v>302</v>
      </c>
      <c r="H1536" s="46" t="s">
        <v>294</v>
      </c>
      <c r="I1536" s="46" t="s">
        <v>2113</v>
      </c>
      <c r="J1536" s="46" t="s">
        <v>2558</v>
      </c>
      <c r="K1536" s="46">
        <v>6</v>
      </c>
      <c r="L1536" s="46" t="s">
        <v>630</v>
      </c>
      <c r="M1536" s="46" t="s">
        <v>200</v>
      </c>
      <c r="N1536" s="46">
        <v>3</v>
      </c>
      <c r="O1536" s="46" t="s">
        <v>191</v>
      </c>
      <c r="P1536" s="46"/>
    </row>
    <row r="1537" spans="1:16">
      <c r="A1537" s="37" t="s">
        <v>4523</v>
      </c>
      <c r="B1537" s="37" t="s">
        <v>2034</v>
      </c>
      <c r="C1537" s="37" t="s">
        <v>90</v>
      </c>
      <c r="D1537" s="37" t="s">
        <v>37</v>
      </c>
      <c r="E1537" s="37" t="s">
        <v>42</v>
      </c>
      <c r="F1537" s="37" t="s">
        <v>498</v>
      </c>
      <c r="G1537" s="37" t="s">
        <v>401</v>
      </c>
      <c r="H1537" s="37" t="s">
        <v>54</v>
      </c>
      <c r="I1537" s="37" t="s">
        <v>4089</v>
      </c>
      <c r="J1537" s="37" t="s">
        <v>432</v>
      </c>
      <c r="K1537" s="37">
        <v>4</v>
      </c>
      <c r="L1537" s="37" t="s">
        <v>433</v>
      </c>
      <c r="M1537" s="37" t="s">
        <v>72</v>
      </c>
      <c r="N1537" s="37">
        <v>3</v>
      </c>
      <c r="O1537" s="37" t="s">
        <v>131</v>
      </c>
      <c r="P1537" s="37"/>
    </row>
    <row r="1538" spans="1:16">
      <c r="A1538" s="46" t="s">
        <v>4524</v>
      </c>
      <c r="B1538" s="46" t="s">
        <v>1117</v>
      </c>
      <c r="C1538" s="46" t="s">
        <v>566</v>
      </c>
      <c r="D1538" s="46" t="s">
        <v>136</v>
      </c>
      <c r="E1538" s="46" t="s">
        <v>147</v>
      </c>
      <c r="F1538" s="46" t="s">
        <v>196</v>
      </c>
      <c r="G1538" s="46" t="s">
        <v>302</v>
      </c>
      <c r="H1538" s="46" t="s">
        <v>91</v>
      </c>
      <c r="I1538" s="46" t="s">
        <v>3714</v>
      </c>
      <c r="J1538" s="46" t="s">
        <v>2607</v>
      </c>
      <c r="K1538" s="46">
        <v>8</v>
      </c>
      <c r="L1538" s="46" t="s">
        <v>490</v>
      </c>
      <c r="M1538" s="46" t="s">
        <v>117</v>
      </c>
      <c r="N1538" s="46">
        <v>4</v>
      </c>
      <c r="O1538" s="46" t="s">
        <v>106</v>
      </c>
      <c r="P1538" s="46"/>
    </row>
    <row r="1539" spans="1:16">
      <c r="A1539" s="37" t="s">
        <v>4525</v>
      </c>
      <c r="B1539" s="37" t="s">
        <v>383</v>
      </c>
      <c r="C1539" s="37" t="s">
        <v>566</v>
      </c>
      <c r="D1539" s="37" t="s">
        <v>230</v>
      </c>
      <c r="E1539" s="37" t="s">
        <v>244</v>
      </c>
      <c r="F1539" s="37" t="s">
        <v>205</v>
      </c>
      <c r="G1539" s="37" t="s">
        <v>470</v>
      </c>
      <c r="H1539" s="37" t="s">
        <v>126</v>
      </c>
      <c r="I1539" s="37" t="s">
        <v>4526</v>
      </c>
      <c r="J1539" s="37" t="s">
        <v>4527</v>
      </c>
      <c r="K1539" s="37">
        <v>4</v>
      </c>
      <c r="L1539" s="37" t="s">
        <v>3991</v>
      </c>
      <c r="M1539" s="37" t="s">
        <v>143</v>
      </c>
      <c r="N1539" s="37">
        <v>1</v>
      </c>
      <c r="O1539" s="37" t="s">
        <v>131</v>
      </c>
      <c r="P1539" s="37"/>
    </row>
    <row r="1540" spans="1:16">
      <c r="A1540" s="46" t="s">
        <v>4528</v>
      </c>
      <c r="B1540" s="46" t="s">
        <v>2127</v>
      </c>
      <c r="C1540" s="46" t="s">
        <v>54</v>
      </c>
      <c r="D1540" s="46" t="s">
        <v>544</v>
      </c>
      <c r="E1540" s="46" t="s">
        <v>185</v>
      </c>
      <c r="F1540" s="46" t="s">
        <v>430</v>
      </c>
      <c r="G1540" s="46" t="s">
        <v>346</v>
      </c>
      <c r="H1540" s="46" t="s">
        <v>215</v>
      </c>
      <c r="I1540" s="46" t="s">
        <v>2105</v>
      </c>
      <c r="J1540" s="46" t="s">
        <v>1423</v>
      </c>
      <c r="K1540" s="46">
        <v>6</v>
      </c>
      <c r="L1540" s="46" t="s">
        <v>1259</v>
      </c>
      <c r="M1540" s="46" t="s">
        <v>105</v>
      </c>
      <c r="N1540" s="46">
        <v>4</v>
      </c>
      <c r="O1540" s="46" t="s">
        <v>286</v>
      </c>
      <c r="P1540" s="46"/>
    </row>
    <row r="1541" spans="1:16">
      <c r="A1541" s="37" t="s">
        <v>4529</v>
      </c>
      <c r="B1541" s="37" t="s">
        <v>2324</v>
      </c>
      <c r="C1541" s="37" t="s">
        <v>174</v>
      </c>
      <c r="D1541" s="37" t="s">
        <v>175</v>
      </c>
      <c r="E1541" s="37" t="s">
        <v>440</v>
      </c>
      <c r="F1541" s="37" t="s">
        <v>1701</v>
      </c>
      <c r="G1541" s="37" t="s">
        <v>334</v>
      </c>
      <c r="H1541" s="37" t="s">
        <v>354</v>
      </c>
      <c r="I1541" s="37" t="s">
        <v>748</v>
      </c>
      <c r="J1541" s="37" t="s">
        <v>4530</v>
      </c>
      <c r="K1541" s="37">
        <v>8</v>
      </c>
      <c r="L1541" s="37" t="s">
        <v>571</v>
      </c>
      <c r="M1541" s="37" t="s">
        <v>172</v>
      </c>
      <c r="N1541" s="37">
        <v>2</v>
      </c>
      <c r="O1541" s="37" t="s">
        <v>118</v>
      </c>
      <c r="P1541" s="37"/>
    </row>
    <row r="1542" spans="1:16">
      <c r="A1542" s="46" t="s">
        <v>4531</v>
      </c>
      <c r="B1542" s="46" t="s">
        <v>1256</v>
      </c>
      <c r="C1542" s="46" t="s">
        <v>54</v>
      </c>
      <c r="D1542" s="46" t="s">
        <v>136</v>
      </c>
      <c r="E1542" s="46" t="s">
        <v>345</v>
      </c>
      <c r="F1542" s="46" t="s">
        <v>263</v>
      </c>
      <c r="G1542" s="46" t="s">
        <v>346</v>
      </c>
      <c r="H1542" s="46" t="s">
        <v>32</v>
      </c>
      <c r="I1542" s="46" t="s">
        <v>1199</v>
      </c>
      <c r="J1542" s="46" t="s">
        <v>4532</v>
      </c>
      <c r="K1542" s="46">
        <v>6</v>
      </c>
      <c r="L1542" s="46" t="s">
        <v>1100</v>
      </c>
      <c r="M1542" s="46" t="s">
        <v>143</v>
      </c>
      <c r="N1542" s="46">
        <v>3</v>
      </c>
      <c r="O1542" s="46" t="s">
        <v>79</v>
      </c>
      <c r="P1542" s="46"/>
    </row>
    <row r="1543" spans="1:16">
      <c r="A1543" s="37" t="s">
        <v>4533</v>
      </c>
      <c r="B1543" s="37" t="s">
        <v>840</v>
      </c>
      <c r="C1543" s="37" t="s">
        <v>222</v>
      </c>
      <c r="D1543" s="37" t="s">
        <v>544</v>
      </c>
      <c r="E1543" s="37" t="s">
        <v>185</v>
      </c>
      <c r="F1543" s="37" t="s">
        <v>138</v>
      </c>
      <c r="G1543" s="37" t="s">
        <v>87</v>
      </c>
      <c r="H1543" s="37" t="s">
        <v>113</v>
      </c>
      <c r="I1543" s="37" t="s">
        <v>1762</v>
      </c>
      <c r="J1543" s="37" t="s">
        <v>1812</v>
      </c>
      <c r="K1543" s="37">
        <v>6</v>
      </c>
      <c r="L1543" s="37" t="s">
        <v>1582</v>
      </c>
      <c r="M1543" s="37" t="s">
        <v>172</v>
      </c>
      <c r="N1543" s="37">
        <v>2</v>
      </c>
      <c r="O1543" s="37" t="s">
        <v>152</v>
      </c>
      <c r="P1543" s="37"/>
    </row>
    <row r="1544" spans="1:16">
      <c r="A1544" s="46" t="s">
        <v>4534</v>
      </c>
      <c r="B1544" s="46" t="s">
        <v>3036</v>
      </c>
      <c r="C1544" s="46" t="s">
        <v>109</v>
      </c>
      <c r="D1544" s="46" t="s">
        <v>544</v>
      </c>
      <c r="E1544" s="46" t="s">
        <v>137</v>
      </c>
      <c r="F1544" s="46" t="s">
        <v>612</v>
      </c>
      <c r="G1544" s="46" t="s">
        <v>125</v>
      </c>
      <c r="H1544" s="46" t="s">
        <v>91</v>
      </c>
      <c r="I1544" s="46" t="s">
        <v>4535</v>
      </c>
      <c r="J1544" s="46" t="s">
        <v>1177</v>
      </c>
      <c r="K1544" s="46">
        <v>8</v>
      </c>
      <c r="L1544" s="46" t="s">
        <v>2879</v>
      </c>
      <c r="M1544" s="46" t="s">
        <v>219</v>
      </c>
      <c r="N1544" s="46">
        <v>4</v>
      </c>
      <c r="O1544" s="46" t="s">
        <v>118</v>
      </c>
      <c r="P1544" s="46"/>
    </row>
    <row r="1545" spans="1:16">
      <c r="A1545" s="37" t="s">
        <v>4536</v>
      </c>
      <c r="B1545" s="37" t="s">
        <v>1207</v>
      </c>
      <c r="C1545" s="37" t="s">
        <v>222</v>
      </c>
      <c r="D1545" s="37" t="s">
        <v>919</v>
      </c>
      <c r="E1545" s="37" t="s">
        <v>440</v>
      </c>
      <c r="F1545" s="37" t="s">
        <v>498</v>
      </c>
      <c r="G1545" s="37" t="s">
        <v>89</v>
      </c>
      <c r="H1545" s="37" t="s">
        <v>278</v>
      </c>
      <c r="I1545" s="37" t="s">
        <v>1094</v>
      </c>
      <c r="J1545" s="37" t="s">
        <v>161</v>
      </c>
      <c r="K1545" s="37">
        <v>6</v>
      </c>
      <c r="L1545" s="37" t="s">
        <v>2576</v>
      </c>
      <c r="M1545" s="37" t="s">
        <v>219</v>
      </c>
      <c r="N1545" s="37">
        <v>4</v>
      </c>
      <c r="O1545" s="37" t="s">
        <v>106</v>
      </c>
      <c r="P1545" s="37"/>
    </row>
    <row r="1546" spans="1:16">
      <c r="A1546" s="46" t="s">
        <v>4537</v>
      </c>
      <c r="B1546" s="46" t="s">
        <v>552</v>
      </c>
      <c r="C1546" s="46" t="s">
        <v>222</v>
      </c>
      <c r="D1546" s="46" t="s">
        <v>919</v>
      </c>
      <c r="E1546" s="46" t="s">
        <v>147</v>
      </c>
      <c r="F1546" s="46" t="s">
        <v>138</v>
      </c>
      <c r="G1546" s="46" t="s">
        <v>264</v>
      </c>
      <c r="H1546" s="46" t="s">
        <v>187</v>
      </c>
      <c r="I1546" s="46" t="s">
        <v>1875</v>
      </c>
      <c r="J1546" s="46" t="s">
        <v>4538</v>
      </c>
      <c r="K1546" s="46">
        <v>6</v>
      </c>
      <c r="L1546" s="46" t="s">
        <v>1325</v>
      </c>
      <c r="M1546" s="46" t="s">
        <v>219</v>
      </c>
      <c r="N1546" s="46">
        <v>5</v>
      </c>
      <c r="O1546" s="46" t="s">
        <v>131</v>
      </c>
      <c r="P1546" s="46"/>
    </row>
    <row r="1547" spans="1:16">
      <c r="A1547" s="37" t="s">
        <v>4539</v>
      </c>
      <c r="B1547" s="37" t="s">
        <v>2490</v>
      </c>
      <c r="C1547" s="37" t="s">
        <v>166</v>
      </c>
      <c r="D1547" s="37" t="s">
        <v>544</v>
      </c>
      <c r="E1547" s="37" t="s">
        <v>147</v>
      </c>
      <c r="F1547" s="37" t="s">
        <v>319</v>
      </c>
      <c r="G1547" s="37" t="s">
        <v>380</v>
      </c>
      <c r="H1547" s="37" t="s">
        <v>126</v>
      </c>
      <c r="I1547" s="37" t="s">
        <v>883</v>
      </c>
      <c r="J1547" s="37" t="s">
        <v>4540</v>
      </c>
      <c r="K1547" s="37">
        <v>6</v>
      </c>
      <c r="L1547" s="37" t="s">
        <v>2127</v>
      </c>
      <c r="M1547" s="37" t="s">
        <v>219</v>
      </c>
      <c r="N1547" s="37">
        <v>5</v>
      </c>
      <c r="O1547" s="37" t="s">
        <v>191</v>
      </c>
      <c r="P1547" s="37"/>
    </row>
    <row r="1548" spans="1:16">
      <c r="A1548" s="46" t="s">
        <v>4541</v>
      </c>
      <c r="B1548" s="46" t="s">
        <v>457</v>
      </c>
      <c r="C1548" s="46" t="s">
        <v>566</v>
      </c>
      <c r="D1548" s="46" t="s">
        <v>194</v>
      </c>
      <c r="E1548" s="46" t="s">
        <v>345</v>
      </c>
      <c r="F1548" s="46" t="s">
        <v>158</v>
      </c>
      <c r="G1548" s="46" t="s">
        <v>197</v>
      </c>
      <c r="H1548" s="46" t="s">
        <v>93</v>
      </c>
      <c r="I1548" s="46" t="s">
        <v>3714</v>
      </c>
      <c r="J1548" s="46" t="s">
        <v>432</v>
      </c>
      <c r="K1548" s="46">
        <v>4</v>
      </c>
      <c r="L1548" s="46" t="s">
        <v>4362</v>
      </c>
      <c r="M1548" s="46" t="s">
        <v>163</v>
      </c>
      <c r="N1548" s="46">
        <v>4</v>
      </c>
      <c r="O1548" s="46" t="s">
        <v>131</v>
      </c>
      <c r="P1548" s="46"/>
    </row>
    <row r="1549" spans="1:16">
      <c r="A1549" s="37" t="s">
        <v>4542</v>
      </c>
      <c r="B1549" s="37" t="s">
        <v>1164</v>
      </c>
      <c r="C1549" s="37" t="s">
        <v>97</v>
      </c>
      <c r="D1549" s="37" t="s">
        <v>98</v>
      </c>
      <c r="E1549" s="37" t="s">
        <v>176</v>
      </c>
      <c r="F1549" s="37" t="s">
        <v>1145</v>
      </c>
      <c r="G1549" s="37" t="s">
        <v>168</v>
      </c>
      <c r="H1549" s="37" t="s">
        <v>278</v>
      </c>
      <c r="I1549" s="37" t="s">
        <v>4543</v>
      </c>
      <c r="J1549" s="37" t="s">
        <v>4544</v>
      </c>
      <c r="K1549" s="37">
        <v>8</v>
      </c>
      <c r="L1549" s="37" t="s">
        <v>4545</v>
      </c>
      <c r="M1549" s="37" t="s">
        <v>72</v>
      </c>
      <c r="N1549" s="37">
        <v>1</v>
      </c>
      <c r="O1549" s="37" t="s">
        <v>79</v>
      </c>
      <c r="P1549" s="37"/>
    </row>
    <row r="1550" spans="1:16">
      <c r="A1550" s="46" t="s">
        <v>4546</v>
      </c>
      <c r="B1550" s="46" t="s">
        <v>1306</v>
      </c>
      <c r="C1550" s="46" t="s">
        <v>374</v>
      </c>
      <c r="D1550" s="46" t="s">
        <v>98</v>
      </c>
      <c r="E1550" s="46" t="s">
        <v>224</v>
      </c>
      <c r="F1550" s="46" t="s">
        <v>167</v>
      </c>
      <c r="G1550" s="46" t="s">
        <v>346</v>
      </c>
      <c r="H1550" s="46" t="s">
        <v>354</v>
      </c>
      <c r="I1550" s="46" t="s">
        <v>1877</v>
      </c>
      <c r="J1550" s="46" t="s">
        <v>4547</v>
      </c>
      <c r="K1550" s="46">
        <v>4</v>
      </c>
      <c r="L1550" s="46" t="s">
        <v>2030</v>
      </c>
      <c r="M1550" s="46" t="s">
        <v>200</v>
      </c>
      <c r="N1550" s="46">
        <v>4</v>
      </c>
      <c r="O1550" s="46" t="s">
        <v>131</v>
      </c>
      <c r="P1550" s="46"/>
    </row>
    <row r="1551" spans="1:16">
      <c r="A1551" s="37" t="s">
        <v>4548</v>
      </c>
      <c r="B1551" s="37" t="s">
        <v>2379</v>
      </c>
      <c r="C1551" s="37" t="s">
        <v>251</v>
      </c>
      <c r="D1551" s="37" t="s">
        <v>544</v>
      </c>
      <c r="E1551" s="37" t="s">
        <v>176</v>
      </c>
      <c r="F1551" s="37" t="s">
        <v>582</v>
      </c>
      <c r="G1551" s="37" t="s">
        <v>112</v>
      </c>
      <c r="H1551" s="37" t="s">
        <v>32</v>
      </c>
      <c r="I1551" s="37" t="s">
        <v>2463</v>
      </c>
      <c r="J1551" s="37" t="s">
        <v>3741</v>
      </c>
      <c r="K1551" s="37">
        <v>6</v>
      </c>
      <c r="L1551" s="37" t="s">
        <v>1028</v>
      </c>
      <c r="M1551" s="37" t="s">
        <v>200</v>
      </c>
      <c r="N1551" s="37">
        <v>2</v>
      </c>
      <c r="O1551" s="37" t="s">
        <v>118</v>
      </c>
      <c r="P1551" s="37"/>
    </row>
    <row r="1552" spans="1:16">
      <c r="A1552" s="46" t="s">
        <v>4549</v>
      </c>
      <c r="B1552" s="46" t="s">
        <v>837</v>
      </c>
      <c r="C1552" s="46" t="s">
        <v>282</v>
      </c>
      <c r="D1552" s="46" t="s">
        <v>175</v>
      </c>
      <c r="E1552" s="46" t="s">
        <v>176</v>
      </c>
      <c r="F1552" s="46" t="s">
        <v>385</v>
      </c>
      <c r="G1552" s="46" t="s">
        <v>418</v>
      </c>
      <c r="H1552" s="46" t="s">
        <v>327</v>
      </c>
      <c r="I1552" s="46" t="s">
        <v>4550</v>
      </c>
      <c r="J1552" s="46" t="s">
        <v>4551</v>
      </c>
      <c r="K1552" s="46">
        <v>8</v>
      </c>
      <c r="L1552" s="46" t="s">
        <v>229</v>
      </c>
      <c r="M1552" s="46" t="s">
        <v>143</v>
      </c>
      <c r="N1552" s="46">
        <v>3</v>
      </c>
      <c r="O1552" s="46" t="s">
        <v>106</v>
      </c>
      <c r="P1552" s="46"/>
    </row>
    <row r="1553" spans="1:16">
      <c r="A1553" s="37" t="s">
        <v>4552</v>
      </c>
      <c r="B1553" s="37" t="s">
        <v>1179</v>
      </c>
      <c r="C1553" s="37" t="s">
        <v>424</v>
      </c>
      <c r="D1553" s="37" t="s">
        <v>230</v>
      </c>
      <c r="E1553" s="37" t="s">
        <v>99</v>
      </c>
      <c r="F1553" s="37" t="s">
        <v>283</v>
      </c>
      <c r="G1553" s="37" t="s">
        <v>302</v>
      </c>
      <c r="H1553" s="37" t="s">
        <v>294</v>
      </c>
      <c r="I1553" s="37" t="s">
        <v>265</v>
      </c>
      <c r="J1553" s="37" t="s">
        <v>1979</v>
      </c>
      <c r="K1553" s="37">
        <v>4</v>
      </c>
      <c r="L1553" s="37" t="s">
        <v>820</v>
      </c>
      <c r="M1553" s="37" t="s">
        <v>163</v>
      </c>
      <c r="N1553" s="37">
        <v>4</v>
      </c>
      <c r="O1553" s="37" t="s">
        <v>131</v>
      </c>
      <c r="P1553" s="37"/>
    </row>
    <row r="1554" spans="1:16">
      <c r="A1554" s="46" t="s">
        <v>4553</v>
      </c>
      <c r="B1554" s="46" t="s">
        <v>954</v>
      </c>
      <c r="C1554" s="46" t="s">
        <v>97</v>
      </c>
      <c r="D1554" s="46" t="s">
        <v>98</v>
      </c>
      <c r="E1554" s="46" t="s">
        <v>157</v>
      </c>
      <c r="F1554" s="46" t="s">
        <v>734</v>
      </c>
      <c r="G1554" s="46" t="s">
        <v>264</v>
      </c>
      <c r="H1554" s="46" t="s">
        <v>206</v>
      </c>
      <c r="I1554" s="46" t="s">
        <v>1604</v>
      </c>
      <c r="J1554" s="46" t="s">
        <v>4554</v>
      </c>
      <c r="K1554" s="46">
        <v>6</v>
      </c>
      <c r="L1554" s="46" t="s">
        <v>1401</v>
      </c>
      <c r="M1554" s="46" t="s">
        <v>72</v>
      </c>
      <c r="N1554" s="46">
        <v>4</v>
      </c>
      <c r="O1554" s="46" t="s">
        <v>106</v>
      </c>
      <c r="P1554" s="46"/>
    </row>
    <row r="1555" spans="1:16">
      <c r="A1555" s="37" t="s">
        <v>4555</v>
      </c>
      <c r="B1555" s="37" t="s">
        <v>1798</v>
      </c>
      <c r="C1555" s="37" t="s">
        <v>166</v>
      </c>
      <c r="D1555" s="37" t="s">
        <v>204</v>
      </c>
      <c r="E1555" s="37" t="s">
        <v>440</v>
      </c>
      <c r="F1555" s="37" t="s">
        <v>283</v>
      </c>
      <c r="G1555" s="37" t="s">
        <v>470</v>
      </c>
      <c r="H1555" s="37" t="s">
        <v>91</v>
      </c>
      <c r="I1555" s="37" t="s">
        <v>802</v>
      </c>
      <c r="J1555" s="37" t="s">
        <v>161</v>
      </c>
      <c r="K1555" s="37">
        <v>6</v>
      </c>
      <c r="L1555" s="37" t="s">
        <v>120</v>
      </c>
      <c r="M1555" s="37" t="s">
        <v>163</v>
      </c>
      <c r="N1555" s="37">
        <v>4</v>
      </c>
      <c r="O1555" s="37" t="s">
        <v>191</v>
      </c>
      <c r="P1555" s="37"/>
    </row>
    <row r="1556" spans="1:16">
      <c r="A1556" s="46" t="s">
        <v>4556</v>
      </c>
      <c r="B1556" s="46" t="s">
        <v>234</v>
      </c>
      <c r="C1556" s="46" t="s">
        <v>566</v>
      </c>
      <c r="D1556" s="46" t="s">
        <v>175</v>
      </c>
      <c r="E1556" s="46" t="s">
        <v>137</v>
      </c>
      <c r="F1556" s="46" t="s">
        <v>177</v>
      </c>
      <c r="G1556" s="46" t="s">
        <v>101</v>
      </c>
      <c r="H1556" s="46" t="s">
        <v>278</v>
      </c>
      <c r="I1556" s="46" t="s">
        <v>634</v>
      </c>
      <c r="J1556" s="46" t="s">
        <v>4557</v>
      </c>
      <c r="K1556" s="46">
        <v>8</v>
      </c>
      <c r="L1556" s="46" t="s">
        <v>574</v>
      </c>
      <c r="M1556" s="46" t="s">
        <v>105</v>
      </c>
      <c r="N1556" s="46">
        <v>5</v>
      </c>
      <c r="O1556" s="46" t="s">
        <v>79</v>
      </c>
      <c r="P1556" s="46"/>
    </row>
    <row r="1557" spans="1:16">
      <c r="A1557" s="37" t="s">
        <v>4558</v>
      </c>
      <c r="B1557" s="37" t="s">
        <v>769</v>
      </c>
      <c r="C1557" s="37" t="s">
        <v>88</v>
      </c>
      <c r="D1557" s="37" t="s">
        <v>136</v>
      </c>
      <c r="E1557" s="37" t="s">
        <v>195</v>
      </c>
      <c r="F1557" s="37" t="s">
        <v>263</v>
      </c>
      <c r="G1557" s="37" t="s">
        <v>401</v>
      </c>
      <c r="H1557" s="37" t="s">
        <v>90</v>
      </c>
      <c r="I1557" s="37" t="s">
        <v>3216</v>
      </c>
      <c r="J1557" s="37" t="s">
        <v>4559</v>
      </c>
      <c r="K1557" s="37">
        <v>8</v>
      </c>
      <c r="L1557" s="37"/>
      <c r="M1557" s="37" t="s">
        <v>1439</v>
      </c>
      <c r="N1557" s="37"/>
      <c r="O1557" s="37" t="s">
        <v>106</v>
      </c>
      <c r="P1557" s="37"/>
    </row>
    <row r="1558" spans="1:16">
      <c r="A1558" s="46" t="s">
        <v>4560</v>
      </c>
      <c r="B1558" s="46" t="s">
        <v>508</v>
      </c>
      <c r="C1558" s="46" t="s">
        <v>251</v>
      </c>
      <c r="D1558" s="46" t="s">
        <v>270</v>
      </c>
      <c r="E1558" s="46" t="s">
        <v>99</v>
      </c>
      <c r="F1558" s="46" t="s">
        <v>231</v>
      </c>
      <c r="G1558" s="46" t="s">
        <v>380</v>
      </c>
      <c r="H1558" s="46" t="s">
        <v>126</v>
      </c>
      <c r="I1558" s="46" t="s">
        <v>4446</v>
      </c>
      <c r="J1558" s="46" t="s">
        <v>4561</v>
      </c>
      <c r="K1558" s="46">
        <v>4</v>
      </c>
      <c r="L1558" s="46" t="s">
        <v>1622</v>
      </c>
      <c r="M1558" s="46" t="s">
        <v>200</v>
      </c>
      <c r="N1558" s="46">
        <v>1</v>
      </c>
      <c r="O1558" s="46" t="s">
        <v>131</v>
      </c>
      <c r="P1558" s="46"/>
    </row>
    <row r="1559" spans="1:16">
      <c r="A1559" s="37" t="s">
        <v>4562</v>
      </c>
      <c r="B1559" s="37" t="s">
        <v>3257</v>
      </c>
      <c r="C1559" s="37" t="s">
        <v>203</v>
      </c>
      <c r="D1559" s="37" t="s">
        <v>136</v>
      </c>
      <c r="E1559" s="37" t="s">
        <v>244</v>
      </c>
      <c r="F1559" s="37" t="s">
        <v>385</v>
      </c>
      <c r="G1559" s="37" t="s">
        <v>334</v>
      </c>
      <c r="H1559" s="37" t="s">
        <v>113</v>
      </c>
      <c r="I1559" s="37" t="s">
        <v>4563</v>
      </c>
      <c r="J1559" s="37" t="s">
        <v>4564</v>
      </c>
      <c r="K1559" s="37">
        <v>4</v>
      </c>
      <c r="L1559" s="37" t="s">
        <v>2773</v>
      </c>
      <c r="M1559" s="37" t="s">
        <v>219</v>
      </c>
      <c r="N1559" s="37">
        <v>3</v>
      </c>
      <c r="O1559" s="37" t="s">
        <v>106</v>
      </c>
      <c r="P1559" s="37"/>
    </row>
    <row r="1560" spans="1:16">
      <c r="A1560" s="46" t="s">
        <v>4565</v>
      </c>
      <c r="B1560" s="46" t="s">
        <v>3401</v>
      </c>
      <c r="C1560" s="46" t="s">
        <v>121</v>
      </c>
      <c r="D1560" s="46" t="s">
        <v>544</v>
      </c>
      <c r="E1560" s="46" t="s">
        <v>185</v>
      </c>
      <c r="F1560" s="46" t="s">
        <v>301</v>
      </c>
      <c r="G1560" s="46" t="s">
        <v>112</v>
      </c>
      <c r="H1560" s="46" t="s">
        <v>32</v>
      </c>
      <c r="I1560" s="46" t="s">
        <v>2266</v>
      </c>
      <c r="J1560" s="46" t="s">
        <v>4566</v>
      </c>
      <c r="K1560" s="46">
        <v>4</v>
      </c>
      <c r="L1560" s="46" t="s">
        <v>837</v>
      </c>
      <c r="M1560" s="46" t="s">
        <v>72</v>
      </c>
      <c r="N1560" s="46">
        <v>2</v>
      </c>
      <c r="O1560" s="46" t="s">
        <v>118</v>
      </c>
      <c r="P1560" s="46"/>
    </row>
    <row r="1561" spans="1:16">
      <c r="A1561" s="37" t="s">
        <v>4567</v>
      </c>
      <c r="B1561" s="37" t="s">
        <v>1034</v>
      </c>
      <c r="C1561" s="37" t="s">
        <v>300</v>
      </c>
      <c r="D1561" s="37" t="s">
        <v>230</v>
      </c>
      <c r="E1561" s="37" t="s">
        <v>110</v>
      </c>
      <c r="F1561" s="37" t="s">
        <v>158</v>
      </c>
      <c r="G1561" s="37" t="s">
        <v>401</v>
      </c>
      <c r="H1561" s="37" t="s">
        <v>327</v>
      </c>
      <c r="I1561" s="37" t="s">
        <v>1730</v>
      </c>
      <c r="J1561" s="37" t="s">
        <v>4568</v>
      </c>
      <c r="K1561" s="37">
        <v>4</v>
      </c>
      <c r="L1561" s="37" t="s">
        <v>1677</v>
      </c>
      <c r="M1561" s="37" t="s">
        <v>172</v>
      </c>
      <c r="N1561" s="37">
        <v>1</v>
      </c>
      <c r="O1561" s="37" t="s">
        <v>106</v>
      </c>
      <c r="P1561" s="37"/>
    </row>
    <row r="1562" spans="1:16">
      <c r="A1562" s="46" t="s">
        <v>4569</v>
      </c>
      <c r="B1562" s="46" t="s">
        <v>690</v>
      </c>
      <c r="C1562" s="46" t="s">
        <v>109</v>
      </c>
      <c r="D1562" s="46" t="s">
        <v>122</v>
      </c>
      <c r="E1562" s="46" t="s">
        <v>137</v>
      </c>
      <c r="F1562" s="46" t="s">
        <v>167</v>
      </c>
      <c r="G1562" s="46" t="s">
        <v>380</v>
      </c>
      <c r="H1562" s="46" t="s">
        <v>126</v>
      </c>
      <c r="I1562" s="46" t="s">
        <v>2220</v>
      </c>
      <c r="J1562" s="46" t="s">
        <v>942</v>
      </c>
      <c r="K1562" s="46">
        <v>8</v>
      </c>
      <c r="L1562" s="46" t="s">
        <v>1361</v>
      </c>
      <c r="M1562" s="46" t="s">
        <v>200</v>
      </c>
      <c r="N1562" s="46">
        <v>1</v>
      </c>
      <c r="O1562" s="46" t="s">
        <v>152</v>
      </c>
      <c r="P1562" s="46"/>
    </row>
    <row r="1563" spans="1:16">
      <c r="A1563" s="37" t="s">
        <v>4570</v>
      </c>
      <c r="B1563" s="37" t="s">
        <v>995</v>
      </c>
      <c r="C1563" s="37" t="s">
        <v>243</v>
      </c>
      <c r="D1563" s="37" t="s">
        <v>204</v>
      </c>
      <c r="E1563" s="37" t="s">
        <v>147</v>
      </c>
      <c r="F1563" s="37" t="s">
        <v>385</v>
      </c>
      <c r="G1563" s="37" t="s">
        <v>257</v>
      </c>
      <c r="H1563" s="37" t="s">
        <v>187</v>
      </c>
      <c r="I1563" s="37" t="s">
        <v>4571</v>
      </c>
      <c r="J1563" s="37" t="s">
        <v>4572</v>
      </c>
      <c r="K1563" s="37">
        <v>8</v>
      </c>
      <c r="L1563" s="37" t="s">
        <v>846</v>
      </c>
      <c r="M1563" s="37" t="s">
        <v>117</v>
      </c>
      <c r="N1563" s="37">
        <v>4</v>
      </c>
      <c r="O1563" s="37" t="s">
        <v>131</v>
      </c>
      <c r="P1563" s="37"/>
    </row>
    <row r="1564" spans="1:16">
      <c r="A1564" s="37" t="s">
        <v>4573</v>
      </c>
      <c r="B1564" s="37" t="s">
        <v>1564</v>
      </c>
      <c r="C1564" s="37" t="s">
        <v>340</v>
      </c>
      <c r="D1564" s="37" t="s">
        <v>919</v>
      </c>
      <c r="E1564" s="37" t="s">
        <v>244</v>
      </c>
      <c r="F1564" s="37" t="s">
        <v>177</v>
      </c>
      <c r="G1564" s="37" t="s">
        <v>51</v>
      </c>
      <c r="H1564" s="37" t="s">
        <v>54</v>
      </c>
      <c r="I1564" s="37" t="s">
        <v>669</v>
      </c>
      <c r="J1564" s="37" t="s">
        <v>4574</v>
      </c>
      <c r="K1564" s="37">
        <v>4</v>
      </c>
      <c r="L1564" s="37" t="s">
        <v>1380</v>
      </c>
      <c r="M1564" s="37" t="s">
        <v>219</v>
      </c>
      <c r="N1564" s="37">
        <v>3</v>
      </c>
      <c r="O1564" s="37" t="s">
        <v>118</v>
      </c>
      <c r="P1564" s="37"/>
    </row>
    <row r="1565" spans="1:16">
      <c r="A1565" s="46" t="s">
        <v>4575</v>
      </c>
      <c r="B1565" s="46" t="s">
        <v>2883</v>
      </c>
      <c r="C1565" s="46" t="s">
        <v>222</v>
      </c>
      <c r="D1565" s="46" t="s">
        <v>175</v>
      </c>
      <c r="E1565" s="46" t="s">
        <v>110</v>
      </c>
      <c r="F1565" s="46" t="s">
        <v>430</v>
      </c>
      <c r="G1565" s="46" t="s">
        <v>101</v>
      </c>
      <c r="H1565" s="46" t="s">
        <v>278</v>
      </c>
      <c r="I1565" s="46" t="s">
        <v>1741</v>
      </c>
      <c r="J1565" s="46" t="s">
        <v>2816</v>
      </c>
      <c r="K1565" s="46">
        <v>4</v>
      </c>
      <c r="L1565" s="46" t="s">
        <v>1528</v>
      </c>
      <c r="M1565" s="46" t="s">
        <v>219</v>
      </c>
      <c r="N1565" s="46">
        <v>4</v>
      </c>
      <c r="O1565" s="46" t="s">
        <v>118</v>
      </c>
      <c r="P1565" s="46"/>
    </row>
    <row r="1566" spans="1:16">
      <c r="A1566" s="37" t="s">
        <v>4576</v>
      </c>
      <c r="B1566" s="37" t="s">
        <v>1626</v>
      </c>
      <c r="C1566" s="37" t="s">
        <v>243</v>
      </c>
      <c r="D1566" s="37" t="s">
        <v>122</v>
      </c>
      <c r="E1566" s="37" t="s">
        <v>137</v>
      </c>
      <c r="F1566" s="37" t="s">
        <v>148</v>
      </c>
      <c r="G1566" s="37" t="s">
        <v>168</v>
      </c>
      <c r="H1566" s="37" t="s">
        <v>187</v>
      </c>
      <c r="I1566" s="37" t="s">
        <v>1201</v>
      </c>
      <c r="J1566" s="37" t="s">
        <v>4577</v>
      </c>
      <c r="K1566" s="37">
        <v>8</v>
      </c>
      <c r="L1566" s="37" t="s">
        <v>1120</v>
      </c>
      <c r="M1566" s="37" t="s">
        <v>143</v>
      </c>
      <c r="N1566" s="37">
        <v>1</v>
      </c>
      <c r="O1566" s="37" t="s">
        <v>152</v>
      </c>
      <c r="P1566" s="37"/>
    </row>
    <row r="1567" spans="1:16">
      <c r="A1567" s="46" t="s">
        <v>4578</v>
      </c>
      <c r="B1567" s="46" t="s">
        <v>2852</v>
      </c>
      <c r="C1567" s="46" t="s">
        <v>93</v>
      </c>
      <c r="D1567" s="46" t="s">
        <v>223</v>
      </c>
      <c r="E1567" s="46" t="s">
        <v>157</v>
      </c>
      <c r="F1567" s="46" t="s">
        <v>612</v>
      </c>
      <c r="G1567" s="46" t="s">
        <v>346</v>
      </c>
      <c r="H1567" s="46" t="s">
        <v>215</v>
      </c>
      <c r="I1567" s="46" t="s">
        <v>2515</v>
      </c>
      <c r="J1567" s="46" t="s">
        <v>4579</v>
      </c>
      <c r="K1567" s="46">
        <v>6</v>
      </c>
      <c r="L1567" s="46" t="s">
        <v>931</v>
      </c>
      <c r="M1567" s="46" t="s">
        <v>143</v>
      </c>
      <c r="N1567" s="46">
        <v>1</v>
      </c>
      <c r="O1567" s="46" t="s">
        <v>131</v>
      </c>
      <c r="P1567" s="46"/>
    </row>
    <row r="1568" spans="1:16">
      <c r="A1568" s="37" t="s">
        <v>4580</v>
      </c>
      <c r="B1568" s="37" t="s">
        <v>2547</v>
      </c>
      <c r="C1568" s="37" t="s">
        <v>251</v>
      </c>
      <c r="D1568" s="37" t="s">
        <v>230</v>
      </c>
      <c r="E1568" s="37" t="s">
        <v>176</v>
      </c>
      <c r="F1568" s="37" t="s">
        <v>1145</v>
      </c>
      <c r="G1568" s="37" t="s">
        <v>101</v>
      </c>
      <c r="H1568" s="37" t="s">
        <v>88</v>
      </c>
      <c r="I1568" s="37" t="s">
        <v>3384</v>
      </c>
      <c r="J1568" s="37" t="s">
        <v>1951</v>
      </c>
      <c r="K1568" s="37">
        <v>8</v>
      </c>
      <c r="L1568" s="37" t="s">
        <v>615</v>
      </c>
      <c r="M1568" s="37" t="s">
        <v>105</v>
      </c>
      <c r="N1568" s="37">
        <v>4</v>
      </c>
      <c r="O1568" s="37" t="s">
        <v>79</v>
      </c>
      <c r="P1568" s="37"/>
    </row>
    <row r="1569" spans="1:16">
      <c r="A1569" s="46" t="s">
        <v>4581</v>
      </c>
      <c r="B1569" s="46" t="s">
        <v>1823</v>
      </c>
      <c r="C1569" s="46" t="s">
        <v>155</v>
      </c>
      <c r="D1569" s="46" t="s">
        <v>919</v>
      </c>
      <c r="E1569" s="46" t="s">
        <v>185</v>
      </c>
      <c r="F1569" s="46" t="s">
        <v>385</v>
      </c>
      <c r="G1569" s="46" t="s">
        <v>168</v>
      </c>
      <c r="H1569" s="46" t="s">
        <v>278</v>
      </c>
      <c r="I1569" s="46" t="s">
        <v>4582</v>
      </c>
      <c r="J1569" s="46" t="s">
        <v>4583</v>
      </c>
      <c r="K1569" s="46">
        <v>6</v>
      </c>
      <c r="L1569" s="46" t="s">
        <v>2920</v>
      </c>
      <c r="M1569" s="46" t="s">
        <v>143</v>
      </c>
      <c r="N1569" s="46">
        <v>5</v>
      </c>
      <c r="O1569" s="46" t="s">
        <v>286</v>
      </c>
      <c r="P1569" s="46"/>
    </row>
    <row r="1570" spans="1:16">
      <c r="A1570" s="37" t="s">
        <v>4584</v>
      </c>
      <c r="B1570" s="37" t="s">
        <v>2679</v>
      </c>
      <c r="C1570" s="37" t="s">
        <v>469</v>
      </c>
      <c r="D1570" s="37" t="s">
        <v>37</v>
      </c>
      <c r="E1570" s="37" t="s">
        <v>244</v>
      </c>
      <c r="F1570" s="37" t="s">
        <v>283</v>
      </c>
      <c r="G1570" s="37" t="s">
        <v>257</v>
      </c>
      <c r="H1570" s="37" t="s">
        <v>278</v>
      </c>
      <c r="I1570" s="37" t="s">
        <v>639</v>
      </c>
      <c r="J1570" s="37" t="s">
        <v>4585</v>
      </c>
      <c r="K1570" s="37">
        <v>4</v>
      </c>
      <c r="L1570" s="37" t="s">
        <v>508</v>
      </c>
      <c r="M1570" s="37" t="s">
        <v>117</v>
      </c>
      <c r="N1570" s="37">
        <v>4</v>
      </c>
      <c r="O1570" s="37" t="s">
        <v>152</v>
      </c>
      <c r="P1570" s="37"/>
    </row>
    <row r="1571" spans="1:16">
      <c r="A1571" s="46" t="s">
        <v>4586</v>
      </c>
      <c r="B1571" s="46" t="s">
        <v>2347</v>
      </c>
      <c r="C1571" s="46" t="s">
        <v>109</v>
      </c>
      <c r="D1571" s="46" t="s">
        <v>270</v>
      </c>
      <c r="E1571" s="46" t="s">
        <v>99</v>
      </c>
      <c r="F1571" s="46" t="s">
        <v>1112</v>
      </c>
      <c r="G1571" s="46" t="s">
        <v>125</v>
      </c>
      <c r="H1571" s="46" t="s">
        <v>396</v>
      </c>
      <c r="I1571" s="46" t="s">
        <v>3384</v>
      </c>
      <c r="J1571" s="46" t="s">
        <v>645</v>
      </c>
      <c r="K1571" s="46">
        <v>4</v>
      </c>
      <c r="L1571" s="46" t="s">
        <v>1064</v>
      </c>
      <c r="M1571" s="46" t="s">
        <v>172</v>
      </c>
      <c r="N1571" s="46">
        <v>2</v>
      </c>
      <c r="O1571" s="46" t="s">
        <v>191</v>
      </c>
      <c r="P1571" s="46"/>
    </row>
    <row r="1572" spans="1:16">
      <c r="A1572" s="37" t="s">
        <v>4587</v>
      </c>
      <c r="B1572" s="37" t="s">
        <v>492</v>
      </c>
      <c r="C1572" s="37" t="s">
        <v>222</v>
      </c>
      <c r="D1572" s="37" t="s">
        <v>146</v>
      </c>
      <c r="E1572" s="37" t="s">
        <v>176</v>
      </c>
      <c r="F1572" s="37" t="s">
        <v>360</v>
      </c>
      <c r="G1572" s="37" t="s">
        <v>418</v>
      </c>
      <c r="H1572" s="37" t="s">
        <v>93</v>
      </c>
      <c r="I1572" s="37" t="s">
        <v>4588</v>
      </c>
      <c r="J1572" s="37" t="s">
        <v>4589</v>
      </c>
      <c r="K1572" s="37">
        <v>8</v>
      </c>
      <c r="L1572" s="37" t="s">
        <v>1864</v>
      </c>
      <c r="M1572" s="37" t="s">
        <v>337</v>
      </c>
      <c r="N1572" s="37"/>
      <c r="O1572" s="37" t="s">
        <v>118</v>
      </c>
      <c r="P1572" s="37" t="s">
        <v>132</v>
      </c>
    </row>
    <row r="1573" spans="1:16">
      <c r="A1573" s="46" t="s">
        <v>4590</v>
      </c>
      <c r="B1573" s="46" t="s">
        <v>579</v>
      </c>
      <c r="C1573" s="46" t="s">
        <v>109</v>
      </c>
      <c r="D1573" s="46" t="s">
        <v>270</v>
      </c>
      <c r="E1573" s="46" t="s">
        <v>123</v>
      </c>
      <c r="F1573" s="46" t="s">
        <v>148</v>
      </c>
      <c r="G1573" s="46" t="s">
        <v>125</v>
      </c>
      <c r="H1573" s="46" t="s">
        <v>396</v>
      </c>
      <c r="I1573" s="46" t="s">
        <v>1081</v>
      </c>
      <c r="J1573" s="46" t="s">
        <v>4591</v>
      </c>
      <c r="K1573" s="46">
        <v>4</v>
      </c>
      <c r="L1573" s="46" t="s">
        <v>2367</v>
      </c>
      <c r="M1573" s="46" t="s">
        <v>105</v>
      </c>
      <c r="N1573" s="46">
        <v>4</v>
      </c>
      <c r="O1573" s="46" t="s">
        <v>131</v>
      </c>
      <c r="P1573" s="46"/>
    </row>
    <row r="1574" spans="1:16">
      <c r="A1574" s="37" t="s">
        <v>4592</v>
      </c>
      <c r="B1574" s="37" t="s">
        <v>909</v>
      </c>
      <c r="C1574" s="37" t="s">
        <v>282</v>
      </c>
      <c r="D1574" s="37" t="s">
        <v>37</v>
      </c>
      <c r="E1574" s="37" t="s">
        <v>137</v>
      </c>
      <c r="F1574" s="37" t="s">
        <v>214</v>
      </c>
      <c r="G1574" s="37" t="s">
        <v>89</v>
      </c>
      <c r="H1574" s="37" t="s">
        <v>88</v>
      </c>
      <c r="I1574" s="37" t="s">
        <v>4593</v>
      </c>
      <c r="J1574" s="37" t="s">
        <v>4594</v>
      </c>
      <c r="K1574" s="37">
        <v>6</v>
      </c>
      <c r="L1574" s="37" t="s">
        <v>490</v>
      </c>
      <c r="M1574" s="37" t="s">
        <v>105</v>
      </c>
      <c r="N1574" s="37">
        <v>4</v>
      </c>
      <c r="O1574" s="37" t="s">
        <v>286</v>
      </c>
      <c r="P1574" s="37"/>
    </row>
    <row r="1575" spans="1:16">
      <c r="A1575" s="46" t="s">
        <v>4595</v>
      </c>
      <c r="B1575" s="46" t="s">
        <v>1117</v>
      </c>
      <c r="C1575" s="46" t="s">
        <v>212</v>
      </c>
      <c r="D1575" s="46" t="s">
        <v>37</v>
      </c>
      <c r="E1575" s="46" t="s">
        <v>440</v>
      </c>
      <c r="F1575" s="46" t="s">
        <v>385</v>
      </c>
      <c r="G1575" s="46" t="s">
        <v>139</v>
      </c>
      <c r="H1575" s="46" t="s">
        <v>113</v>
      </c>
      <c r="I1575" s="46" t="s">
        <v>4596</v>
      </c>
      <c r="J1575" s="46" t="s">
        <v>4597</v>
      </c>
      <c r="K1575" s="46">
        <v>8</v>
      </c>
      <c r="L1575" s="46" t="s">
        <v>490</v>
      </c>
      <c r="M1575" s="46" t="s">
        <v>105</v>
      </c>
      <c r="N1575" s="46">
        <v>3</v>
      </c>
      <c r="O1575" s="46" t="s">
        <v>106</v>
      </c>
      <c r="P1575" s="46"/>
    </row>
    <row r="1576" spans="1:16">
      <c r="A1576" s="37" t="s">
        <v>4598</v>
      </c>
      <c r="B1576" s="37" t="s">
        <v>1389</v>
      </c>
      <c r="C1576" s="37" t="s">
        <v>121</v>
      </c>
      <c r="D1576" s="37" t="s">
        <v>146</v>
      </c>
      <c r="E1576" s="37" t="s">
        <v>157</v>
      </c>
      <c r="F1576" s="37" t="s">
        <v>111</v>
      </c>
      <c r="G1576" s="37" t="s">
        <v>264</v>
      </c>
      <c r="H1576" s="37" t="s">
        <v>88</v>
      </c>
      <c r="I1576" s="37" t="s">
        <v>1315</v>
      </c>
      <c r="J1576" s="37" t="s">
        <v>4599</v>
      </c>
      <c r="K1576" s="37">
        <v>6</v>
      </c>
      <c r="L1576" s="37" t="s">
        <v>254</v>
      </c>
      <c r="M1576" s="37" t="s">
        <v>172</v>
      </c>
      <c r="N1576" s="37">
        <v>4</v>
      </c>
      <c r="O1576" s="37" t="s">
        <v>118</v>
      </c>
      <c r="P1576" s="37"/>
    </row>
    <row r="1577" spans="1:16">
      <c r="A1577" s="46" t="s">
        <v>4600</v>
      </c>
      <c r="B1577" s="46" t="s">
        <v>3299</v>
      </c>
      <c r="C1577" s="46" t="s">
        <v>32</v>
      </c>
      <c r="D1577" s="46" t="s">
        <v>204</v>
      </c>
      <c r="E1577" s="46" t="s">
        <v>137</v>
      </c>
      <c r="F1577" s="46" t="s">
        <v>271</v>
      </c>
      <c r="G1577" s="46" t="s">
        <v>302</v>
      </c>
      <c r="H1577" s="46" t="s">
        <v>396</v>
      </c>
      <c r="I1577" s="46" t="s">
        <v>534</v>
      </c>
      <c r="J1577" s="46" t="s">
        <v>4144</v>
      </c>
      <c r="K1577" s="46">
        <v>8</v>
      </c>
      <c r="L1577" s="46" t="s">
        <v>2749</v>
      </c>
      <c r="M1577" s="46" t="s">
        <v>143</v>
      </c>
      <c r="N1577" s="46">
        <v>3</v>
      </c>
      <c r="O1577" s="46" t="s">
        <v>79</v>
      </c>
      <c r="P1577" s="46"/>
    </row>
    <row r="1578" spans="1:16">
      <c r="A1578" s="37" t="s">
        <v>4601</v>
      </c>
      <c r="B1578" s="37" t="s">
        <v>3354</v>
      </c>
      <c r="C1578" s="37" t="s">
        <v>300</v>
      </c>
      <c r="D1578" s="37" t="s">
        <v>194</v>
      </c>
      <c r="E1578" s="37" t="s">
        <v>224</v>
      </c>
      <c r="F1578" s="37" t="s">
        <v>186</v>
      </c>
      <c r="G1578" s="37" t="s">
        <v>112</v>
      </c>
      <c r="H1578" s="37" t="s">
        <v>354</v>
      </c>
      <c r="I1578" s="37" t="s">
        <v>4602</v>
      </c>
      <c r="J1578" s="37" t="s">
        <v>4603</v>
      </c>
      <c r="K1578" s="37">
        <v>4</v>
      </c>
      <c r="L1578" s="37" t="s">
        <v>457</v>
      </c>
      <c r="M1578" s="37" t="s">
        <v>143</v>
      </c>
      <c r="N1578" s="37">
        <v>3</v>
      </c>
      <c r="O1578" s="37" t="s">
        <v>152</v>
      </c>
      <c r="P1578" s="37"/>
    </row>
    <row r="1579" spans="1:16">
      <c r="A1579" s="46" t="s">
        <v>4604</v>
      </c>
      <c r="B1579" s="46" t="s">
        <v>1782</v>
      </c>
      <c r="C1579" s="46" t="s">
        <v>282</v>
      </c>
      <c r="D1579" s="46" t="s">
        <v>98</v>
      </c>
      <c r="E1579" s="46" t="s">
        <v>244</v>
      </c>
      <c r="F1579" s="46" t="s">
        <v>277</v>
      </c>
      <c r="G1579" s="46" t="s">
        <v>418</v>
      </c>
      <c r="H1579" s="46" t="s">
        <v>327</v>
      </c>
      <c r="I1579" s="46" t="s">
        <v>1780</v>
      </c>
      <c r="J1579" s="46" t="s">
        <v>3333</v>
      </c>
      <c r="K1579" s="46">
        <v>4</v>
      </c>
      <c r="L1579" s="46" t="s">
        <v>1317</v>
      </c>
      <c r="M1579" s="46" t="s">
        <v>143</v>
      </c>
      <c r="N1579" s="46">
        <v>4</v>
      </c>
      <c r="O1579" s="46" t="s">
        <v>286</v>
      </c>
      <c r="P1579" s="46"/>
    </row>
    <row r="1580" spans="1:16">
      <c r="A1580" s="37" t="s">
        <v>4605</v>
      </c>
      <c r="B1580" s="37" t="s">
        <v>717</v>
      </c>
      <c r="C1580" s="37" t="s">
        <v>282</v>
      </c>
      <c r="D1580" s="37" t="s">
        <v>352</v>
      </c>
      <c r="E1580" s="37" t="s">
        <v>176</v>
      </c>
      <c r="F1580" s="37" t="s">
        <v>196</v>
      </c>
      <c r="G1580" s="37" t="s">
        <v>159</v>
      </c>
      <c r="H1580" s="37" t="s">
        <v>93</v>
      </c>
      <c r="I1580" s="37" t="s">
        <v>4606</v>
      </c>
      <c r="J1580" s="37" t="s">
        <v>4156</v>
      </c>
      <c r="K1580" s="37">
        <v>8</v>
      </c>
      <c r="L1580" s="37" t="s">
        <v>2879</v>
      </c>
      <c r="M1580" s="37" t="s">
        <v>172</v>
      </c>
      <c r="N1580" s="37">
        <v>2</v>
      </c>
      <c r="O1580" s="37" t="s">
        <v>118</v>
      </c>
      <c r="P1580" s="37"/>
    </row>
    <row r="1581" spans="1:16">
      <c r="A1581" s="46" t="s">
        <v>4607</v>
      </c>
      <c r="B1581" s="46" t="s">
        <v>1078</v>
      </c>
      <c r="C1581" s="46" t="s">
        <v>366</v>
      </c>
      <c r="D1581" s="46" t="s">
        <v>156</v>
      </c>
      <c r="E1581" s="46" t="s">
        <v>195</v>
      </c>
      <c r="F1581" s="46" t="s">
        <v>271</v>
      </c>
      <c r="G1581" s="46" t="s">
        <v>101</v>
      </c>
      <c r="H1581" s="46" t="s">
        <v>88</v>
      </c>
      <c r="I1581" s="46" t="s">
        <v>4608</v>
      </c>
      <c r="J1581" s="46" t="s">
        <v>2281</v>
      </c>
      <c r="K1581" s="46">
        <v>8</v>
      </c>
      <c r="L1581" s="46" t="s">
        <v>3361</v>
      </c>
      <c r="M1581" s="46" t="s">
        <v>219</v>
      </c>
      <c r="N1581" s="46">
        <v>3</v>
      </c>
      <c r="O1581" s="46" t="s">
        <v>118</v>
      </c>
      <c r="P1581" s="46"/>
    </row>
    <row r="1582" spans="1:16">
      <c r="A1582" s="37" t="s">
        <v>4609</v>
      </c>
      <c r="B1582" s="37" t="s">
        <v>1544</v>
      </c>
      <c r="C1582" s="37" t="s">
        <v>109</v>
      </c>
      <c r="D1582" s="37" t="s">
        <v>37</v>
      </c>
      <c r="E1582" s="37" t="s">
        <v>99</v>
      </c>
      <c r="F1582" s="37" t="s">
        <v>319</v>
      </c>
      <c r="G1582" s="37" t="s">
        <v>139</v>
      </c>
      <c r="H1582" s="37" t="s">
        <v>113</v>
      </c>
      <c r="I1582" s="37" t="s">
        <v>2047</v>
      </c>
      <c r="J1582" s="37" t="s">
        <v>3399</v>
      </c>
      <c r="K1582" s="37">
        <v>4</v>
      </c>
      <c r="L1582" s="37" t="s">
        <v>2985</v>
      </c>
      <c r="M1582" s="37" t="s">
        <v>117</v>
      </c>
      <c r="N1582" s="37">
        <v>4</v>
      </c>
      <c r="O1582" s="37" t="s">
        <v>286</v>
      </c>
      <c r="P1582" s="37"/>
    </row>
    <row r="1583" spans="1:16">
      <c r="A1583" s="46" t="s">
        <v>4610</v>
      </c>
      <c r="B1583" s="46" t="s">
        <v>2540</v>
      </c>
      <c r="C1583" s="46" t="s">
        <v>566</v>
      </c>
      <c r="D1583" s="46" t="s">
        <v>204</v>
      </c>
      <c r="E1583" s="46" t="s">
        <v>325</v>
      </c>
      <c r="F1583" s="46" t="s">
        <v>100</v>
      </c>
      <c r="G1583" s="46" t="s">
        <v>470</v>
      </c>
      <c r="H1583" s="46" t="s">
        <v>126</v>
      </c>
      <c r="I1583" s="46" t="s">
        <v>1536</v>
      </c>
      <c r="J1583" s="46" t="s">
        <v>912</v>
      </c>
      <c r="K1583" s="46">
        <v>4</v>
      </c>
      <c r="L1583" s="46" t="s">
        <v>2879</v>
      </c>
      <c r="M1583" s="46" t="s">
        <v>143</v>
      </c>
      <c r="N1583" s="46">
        <v>2</v>
      </c>
      <c r="O1583" s="46" t="s">
        <v>191</v>
      </c>
      <c r="P1583" s="46"/>
    </row>
    <row r="1584" spans="1:16">
      <c r="A1584" s="37" t="s">
        <v>4611</v>
      </c>
      <c r="B1584" s="37" t="s">
        <v>931</v>
      </c>
      <c r="C1584" s="37" t="s">
        <v>469</v>
      </c>
      <c r="D1584" s="37" t="s">
        <v>37</v>
      </c>
      <c r="E1584" s="37" t="s">
        <v>244</v>
      </c>
      <c r="F1584" s="37" t="s">
        <v>158</v>
      </c>
      <c r="G1584" s="37" t="s">
        <v>401</v>
      </c>
      <c r="H1584" s="37" t="s">
        <v>90</v>
      </c>
      <c r="I1584" s="37" t="s">
        <v>3647</v>
      </c>
      <c r="J1584" s="37" t="s">
        <v>1975</v>
      </c>
      <c r="K1584" s="37">
        <v>4</v>
      </c>
      <c r="L1584" s="37" t="s">
        <v>398</v>
      </c>
      <c r="M1584" s="37" t="s">
        <v>172</v>
      </c>
      <c r="N1584" s="37">
        <v>2</v>
      </c>
      <c r="O1584" s="37" t="s">
        <v>118</v>
      </c>
      <c r="P1584" s="37"/>
    </row>
    <row r="1585" spans="1:16">
      <c r="A1585" s="46" t="s">
        <v>4612</v>
      </c>
      <c r="B1585" s="46" t="s">
        <v>468</v>
      </c>
      <c r="C1585" s="46" t="s">
        <v>633</v>
      </c>
      <c r="D1585" s="46" t="s">
        <v>194</v>
      </c>
      <c r="E1585" s="46" t="s">
        <v>157</v>
      </c>
      <c r="F1585" s="46" t="s">
        <v>47</v>
      </c>
      <c r="G1585" s="46" t="s">
        <v>87</v>
      </c>
      <c r="H1585" s="46" t="s">
        <v>32</v>
      </c>
      <c r="I1585" s="46" t="s">
        <v>2810</v>
      </c>
      <c r="J1585" s="46" t="s">
        <v>2791</v>
      </c>
      <c r="K1585" s="46">
        <v>6</v>
      </c>
      <c r="L1585" s="46" t="s">
        <v>1228</v>
      </c>
      <c r="M1585" s="46" t="s">
        <v>172</v>
      </c>
      <c r="N1585" s="46">
        <v>1</v>
      </c>
      <c r="O1585" s="46" t="s">
        <v>191</v>
      </c>
      <c r="P1585" s="46"/>
    </row>
    <row r="1586" spans="1:16">
      <c r="A1586" s="37" t="s">
        <v>4613</v>
      </c>
      <c r="B1586" s="37" t="s">
        <v>1193</v>
      </c>
      <c r="C1586" s="37" t="s">
        <v>155</v>
      </c>
      <c r="D1586" s="37" t="s">
        <v>194</v>
      </c>
      <c r="E1586" s="37" t="s">
        <v>137</v>
      </c>
      <c r="F1586" s="37" t="s">
        <v>100</v>
      </c>
      <c r="G1586" s="37" t="s">
        <v>346</v>
      </c>
      <c r="H1586" s="37" t="s">
        <v>354</v>
      </c>
      <c r="I1586" s="37" t="s">
        <v>802</v>
      </c>
      <c r="J1586" s="37" t="s">
        <v>4614</v>
      </c>
      <c r="K1586" s="37">
        <v>8</v>
      </c>
      <c r="L1586" s="37" t="s">
        <v>595</v>
      </c>
      <c r="M1586" s="37" t="s">
        <v>817</v>
      </c>
      <c r="N1586" s="37"/>
      <c r="O1586" s="37" t="s">
        <v>118</v>
      </c>
      <c r="P1586" s="37" t="s">
        <v>83</v>
      </c>
    </row>
    <row r="1587" spans="1:16">
      <c r="A1587" s="46" t="s">
        <v>4615</v>
      </c>
      <c r="B1587" s="46" t="s">
        <v>2595</v>
      </c>
      <c r="C1587" s="46" t="s">
        <v>366</v>
      </c>
      <c r="D1587" s="46" t="s">
        <v>146</v>
      </c>
      <c r="E1587" s="46" t="s">
        <v>123</v>
      </c>
      <c r="F1587" s="46" t="s">
        <v>301</v>
      </c>
      <c r="G1587" s="46" t="s">
        <v>197</v>
      </c>
      <c r="H1587" s="46" t="s">
        <v>54</v>
      </c>
      <c r="I1587" s="46" t="s">
        <v>4616</v>
      </c>
      <c r="J1587" s="46" t="s">
        <v>4617</v>
      </c>
      <c r="K1587" s="46">
        <v>4</v>
      </c>
      <c r="L1587" s="46" t="s">
        <v>636</v>
      </c>
      <c r="M1587" s="46" t="s">
        <v>200</v>
      </c>
      <c r="N1587" s="46">
        <v>4</v>
      </c>
      <c r="O1587" s="46" t="s">
        <v>79</v>
      </c>
      <c r="P1587" s="46"/>
    </row>
    <row r="1588" spans="1:16">
      <c r="A1588" s="37" t="s">
        <v>4618</v>
      </c>
      <c r="B1588" s="37" t="s">
        <v>1230</v>
      </c>
      <c r="C1588" s="37" t="s">
        <v>300</v>
      </c>
      <c r="D1588" s="37" t="s">
        <v>194</v>
      </c>
      <c r="E1588" s="37" t="s">
        <v>224</v>
      </c>
      <c r="F1588" s="37" t="s">
        <v>385</v>
      </c>
      <c r="G1588" s="37" t="s">
        <v>125</v>
      </c>
      <c r="H1588" s="37" t="s">
        <v>294</v>
      </c>
      <c r="I1588" s="37" t="s">
        <v>4619</v>
      </c>
      <c r="J1588" s="37" t="s">
        <v>4620</v>
      </c>
      <c r="K1588" s="37">
        <v>4</v>
      </c>
      <c r="L1588" s="37" t="s">
        <v>373</v>
      </c>
      <c r="M1588" s="37" t="s">
        <v>143</v>
      </c>
      <c r="N1588" s="37">
        <v>2</v>
      </c>
      <c r="O1588" s="37" t="s">
        <v>152</v>
      </c>
      <c r="P1588" s="37"/>
    </row>
    <row r="1589" spans="1:16">
      <c r="A1589" s="46" t="s">
        <v>4621</v>
      </c>
      <c r="B1589" s="46" t="s">
        <v>1677</v>
      </c>
      <c r="C1589" s="46" t="s">
        <v>166</v>
      </c>
      <c r="D1589" s="46" t="s">
        <v>223</v>
      </c>
      <c r="E1589" s="46" t="s">
        <v>147</v>
      </c>
      <c r="F1589" s="46" t="s">
        <v>498</v>
      </c>
      <c r="G1589" s="46" t="s">
        <v>346</v>
      </c>
      <c r="H1589" s="46" t="s">
        <v>215</v>
      </c>
      <c r="I1589" s="46" t="s">
        <v>1518</v>
      </c>
      <c r="J1589" s="46" t="s">
        <v>4622</v>
      </c>
      <c r="K1589" s="46">
        <v>8</v>
      </c>
      <c r="L1589" s="46" t="s">
        <v>218</v>
      </c>
      <c r="M1589" s="46" t="s">
        <v>200</v>
      </c>
      <c r="N1589" s="46">
        <v>3</v>
      </c>
      <c r="O1589" s="46" t="s">
        <v>106</v>
      </c>
      <c r="P1589" s="46"/>
    </row>
    <row r="1590" spans="1:16">
      <c r="A1590" s="37" t="s">
        <v>4623</v>
      </c>
      <c r="B1590" s="37" t="s">
        <v>120</v>
      </c>
      <c r="C1590" s="37" t="s">
        <v>251</v>
      </c>
      <c r="D1590" s="37" t="s">
        <v>352</v>
      </c>
      <c r="E1590" s="37" t="s">
        <v>42</v>
      </c>
      <c r="F1590" s="37" t="s">
        <v>148</v>
      </c>
      <c r="G1590" s="37" t="s">
        <v>112</v>
      </c>
      <c r="H1590" s="37" t="s">
        <v>215</v>
      </c>
      <c r="I1590" s="37" t="s">
        <v>4624</v>
      </c>
      <c r="J1590" s="37" t="s">
        <v>4340</v>
      </c>
      <c r="K1590" s="37">
        <v>4</v>
      </c>
      <c r="L1590" s="37" t="s">
        <v>1064</v>
      </c>
      <c r="M1590" s="37" t="s">
        <v>200</v>
      </c>
      <c r="N1590" s="37">
        <v>1</v>
      </c>
      <c r="O1590" s="37" t="s">
        <v>191</v>
      </c>
      <c r="P1590" s="37"/>
    </row>
    <row r="1591" spans="1:16">
      <c r="A1591" s="46" t="s">
        <v>4625</v>
      </c>
      <c r="B1591" s="46" t="s">
        <v>1670</v>
      </c>
      <c r="C1591" s="46" t="s">
        <v>374</v>
      </c>
      <c r="D1591" s="46" t="s">
        <v>136</v>
      </c>
      <c r="E1591" s="46" t="s">
        <v>99</v>
      </c>
      <c r="F1591" s="46" t="s">
        <v>425</v>
      </c>
      <c r="G1591" s="46" t="s">
        <v>470</v>
      </c>
      <c r="H1591" s="46" t="s">
        <v>126</v>
      </c>
      <c r="I1591" s="46" t="s">
        <v>1612</v>
      </c>
      <c r="J1591" s="46" t="s">
        <v>4626</v>
      </c>
      <c r="K1591" s="46">
        <v>4</v>
      </c>
      <c r="L1591" s="46" t="s">
        <v>1480</v>
      </c>
      <c r="M1591" s="46" t="s">
        <v>143</v>
      </c>
      <c r="N1591" s="46">
        <v>4</v>
      </c>
      <c r="O1591" s="46" t="s">
        <v>152</v>
      </c>
      <c r="P1591" s="46"/>
    </row>
    <row r="1592" spans="1:16">
      <c r="A1592" s="37" t="s">
        <v>4627</v>
      </c>
      <c r="B1592" s="37" t="s">
        <v>1134</v>
      </c>
      <c r="C1592" s="37" t="s">
        <v>155</v>
      </c>
      <c r="D1592" s="37" t="s">
        <v>333</v>
      </c>
      <c r="E1592" s="37" t="s">
        <v>224</v>
      </c>
      <c r="F1592" s="37" t="s">
        <v>353</v>
      </c>
      <c r="G1592" s="37" t="s">
        <v>257</v>
      </c>
      <c r="H1592" s="37" t="s">
        <v>187</v>
      </c>
      <c r="I1592" s="37" t="s">
        <v>4628</v>
      </c>
      <c r="J1592" s="37" t="s">
        <v>4629</v>
      </c>
      <c r="K1592" s="37">
        <v>4</v>
      </c>
      <c r="L1592" s="37" t="s">
        <v>199</v>
      </c>
      <c r="M1592" s="37" t="s">
        <v>143</v>
      </c>
      <c r="N1592" s="37">
        <v>3</v>
      </c>
      <c r="O1592" s="37" t="s">
        <v>152</v>
      </c>
      <c r="P1592" s="37"/>
    </row>
    <row r="1593" spans="1:16">
      <c r="A1593" s="46" t="s">
        <v>4630</v>
      </c>
      <c r="B1593" s="46" t="s">
        <v>2498</v>
      </c>
      <c r="C1593" s="46" t="s">
        <v>366</v>
      </c>
      <c r="D1593" s="46" t="s">
        <v>230</v>
      </c>
      <c r="E1593" s="46" t="s">
        <v>42</v>
      </c>
      <c r="F1593" s="46" t="s">
        <v>231</v>
      </c>
      <c r="G1593" s="46" t="s">
        <v>401</v>
      </c>
      <c r="H1593" s="46" t="s">
        <v>90</v>
      </c>
      <c r="I1593" s="46" t="s">
        <v>4631</v>
      </c>
      <c r="J1593" s="46" t="s">
        <v>4632</v>
      </c>
      <c r="K1593" s="46">
        <v>6</v>
      </c>
      <c r="L1593" s="46" t="s">
        <v>1005</v>
      </c>
      <c r="M1593" s="46" t="s">
        <v>72</v>
      </c>
      <c r="N1593" s="46">
        <v>2</v>
      </c>
      <c r="O1593" s="46" t="s">
        <v>191</v>
      </c>
      <c r="P1593" s="46"/>
    </row>
    <row r="1594" spans="1:16">
      <c r="A1594" s="37" t="s">
        <v>4633</v>
      </c>
      <c r="B1594" s="37" t="s">
        <v>202</v>
      </c>
      <c r="C1594" s="37" t="s">
        <v>307</v>
      </c>
      <c r="D1594" s="37" t="s">
        <v>156</v>
      </c>
      <c r="E1594" s="37" t="s">
        <v>99</v>
      </c>
      <c r="F1594" s="37" t="s">
        <v>1145</v>
      </c>
      <c r="G1594" s="37" t="s">
        <v>197</v>
      </c>
      <c r="H1594" s="37" t="s">
        <v>90</v>
      </c>
      <c r="I1594" s="37" t="s">
        <v>4634</v>
      </c>
      <c r="J1594" s="37" t="s">
        <v>4635</v>
      </c>
      <c r="K1594" s="37">
        <v>4</v>
      </c>
      <c r="L1594" s="37" t="s">
        <v>989</v>
      </c>
      <c r="M1594" s="37" t="s">
        <v>624</v>
      </c>
      <c r="N1594" s="37"/>
      <c r="O1594" s="37" t="s">
        <v>181</v>
      </c>
      <c r="P1594" s="37" t="s">
        <v>1478</v>
      </c>
    </row>
    <row r="1595" spans="1:16">
      <c r="A1595" s="46" t="s">
        <v>4636</v>
      </c>
      <c r="B1595" s="46" t="s">
        <v>995</v>
      </c>
      <c r="C1595" s="46" t="s">
        <v>93</v>
      </c>
      <c r="D1595" s="46" t="s">
        <v>544</v>
      </c>
      <c r="E1595" s="46" t="s">
        <v>42</v>
      </c>
      <c r="F1595" s="46" t="s">
        <v>1734</v>
      </c>
      <c r="G1595" s="46" t="s">
        <v>418</v>
      </c>
      <c r="H1595" s="46" t="s">
        <v>54</v>
      </c>
      <c r="I1595" s="46" t="s">
        <v>4637</v>
      </c>
      <c r="J1595" s="46" t="s">
        <v>2572</v>
      </c>
      <c r="K1595" s="46">
        <v>6</v>
      </c>
      <c r="L1595" s="46" t="s">
        <v>846</v>
      </c>
      <c r="M1595" s="46" t="s">
        <v>72</v>
      </c>
      <c r="N1595" s="46">
        <v>1</v>
      </c>
      <c r="O1595" s="46" t="s">
        <v>152</v>
      </c>
      <c r="P1595" s="46"/>
    </row>
    <row r="1596" spans="1:16">
      <c r="A1596" s="37" t="s">
        <v>4638</v>
      </c>
      <c r="B1596" s="37" t="s">
        <v>349</v>
      </c>
      <c r="C1596" s="37" t="s">
        <v>97</v>
      </c>
      <c r="D1596" s="37" t="s">
        <v>919</v>
      </c>
      <c r="E1596" s="37" t="s">
        <v>244</v>
      </c>
      <c r="F1596" s="37" t="s">
        <v>326</v>
      </c>
      <c r="G1596" s="37" t="s">
        <v>89</v>
      </c>
      <c r="H1596" s="37" t="s">
        <v>278</v>
      </c>
      <c r="I1596" s="37" t="s">
        <v>934</v>
      </c>
      <c r="J1596" s="37" t="s">
        <v>4639</v>
      </c>
      <c r="K1596" s="37">
        <v>4</v>
      </c>
      <c r="L1596" s="37" t="s">
        <v>3119</v>
      </c>
      <c r="M1596" s="37" t="s">
        <v>143</v>
      </c>
      <c r="N1596" s="37">
        <v>5</v>
      </c>
      <c r="O1596" s="37" t="s">
        <v>131</v>
      </c>
      <c r="P1596" s="37"/>
    </row>
    <row r="1597" spans="1:16">
      <c r="A1597" s="46" t="s">
        <v>4640</v>
      </c>
      <c r="B1597" s="46" t="s">
        <v>1638</v>
      </c>
      <c r="C1597" s="46" t="s">
        <v>300</v>
      </c>
      <c r="D1597" s="46" t="s">
        <v>204</v>
      </c>
      <c r="E1597" s="46" t="s">
        <v>99</v>
      </c>
      <c r="F1597" s="46" t="s">
        <v>138</v>
      </c>
      <c r="G1597" s="46" t="s">
        <v>159</v>
      </c>
      <c r="H1597" s="46" t="s">
        <v>90</v>
      </c>
      <c r="I1597" s="46" t="s">
        <v>1587</v>
      </c>
      <c r="J1597" s="46" t="s">
        <v>4641</v>
      </c>
      <c r="K1597" s="46">
        <v>2</v>
      </c>
      <c r="L1597" s="46" t="s">
        <v>1550</v>
      </c>
      <c r="M1597" s="46" t="s">
        <v>163</v>
      </c>
      <c r="N1597" s="46">
        <v>5</v>
      </c>
      <c r="O1597" s="46" t="s">
        <v>152</v>
      </c>
      <c r="P1597" s="46"/>
    </row>
    <row r="1598" spans="1:16">
      <c r="A1598" s="37" t="s">
        <v>4642</v>
      </c>
      <c r="B1598" s="37" t="s">
        <v>276</v>
      </c>
      <c r="C1598" s="37" t="s">
        <v>374</v>
      </c>
      <c r="D1598" s="37" t="s">
        <v>230</v>
      </c>
      <c r="E1598" s="37" t="s">
        <v>325</v>
      </c>
      <c r="F1598" s="37" t="s">
        <v>319</v>
      </c>
      <c r="G1598" s="37" t="s">
        <v>112</v>
      </c>
      <c r="H1598" s="37" t="s">
        <v>354</v>
      </c>
      <c r="I1598" s="37" t="s">
        <v>279</v>
      </c>
      <c r="J1598" s="37" t="s">
        <v>4643</v>
      </c>
      <c r="K1598" s="37">
        <v>4</v>
      </c>
      <c r="L1598" s="37" t="s">
        <v>720</v>
      </c>
      <c r="M1598" s="37" t="s">
        <v>200</v>
      </c>
      <c r="N1598" s="37">
        <v>2</v>
      </c>
      <c r="O1598" s="37" t="s">
        <v>79</v>
      </c>
      <c r="P1598" s="37"/>
    </row>
    <row r="1599" spans="1:16">
      <c r="A1599" s="46" t="s">
        <v>4644</v>
      </c>
      <c r="B1599" s="46" t="s">
        <v>1034</v>
      </c>
      <c r="C1599" s="46" t="s">
        <v>340</v>
      </c>
      <c r="D1599" s="46" t="s">
        <v>98</v>
      </c>
      <c r="E1599" s="46" t="s">
        <v>325</v>
      </c>
      <c r="F1599" s="46" t="s">
        <v>138</v>
      </c>
      <c r="G1599" s="46" t="s">
        <v>159</v>
      </c>
      <c r="H1599" s="46" t="s">
        <v>93</v>
      </c>
      <c r="I1599" s="46" t="s">
        <v>3277</v>
      </c>
      <c r="J1599" s="46" t="s">
        <v>4645</v>
      </c>
      <c r="K1599" s="46">
        <v>4</v>
      </c>
      <c r="L1599" s="46" t="s">
        <v>336</v>
      </c>
      <c r="M1599" s="46" t="s">
        <v>200</v>
      </c>
      <c r="N1599" s="46">
        <v>3</v>
      </c>
      <c r="O1599" s="46" t="s">
        <v>106</v>
      </c>
      <c r="P1599" s="46"/>
    </row>
    <row r="1600" spans="1:16">
      <c r="A1600" s="37" t="s">
        <v>4646</v>
      </c>
      <c r="B1600" s="37" t="s">
        <v>1552</v>
      </c>
      <c r="C1600" s="37" t="s">
        <v>633</v>
      </c>
      <c r="D1600" s="37" t="s">
        <v>37</v>
      </c>
      <c r="E1600" s="37" t="s">
        <v>224</v>
      </c>
      <c r="F1600" s="37" t="s">
        <v>158</v>
      </c>
      <c r="G1600" s="37" t="s">
        <v>380</v>
      </c>
      <c r="H1600" s="37" t="s">
        <v>396</v>
      </c>
      <c r="I1600" s="37" t="s">
        <v>1042</v>
      </c>
      <c r="J1600" s="37" t="s">
        <v>4647</v>
      </c>
      <c r="K1600" s="37">
        <v>4</v>
      </c>
      <c r="L1600" s="37" t="s">
        <v>4648</v>
      </c>
      <c r="M1600" s="37" t="s">
        <v>219</v>
      </c>
      <c r="N1600" s="37">
        <v>4</v>
      </c>
      <c r="O1600" s="37" t="s">
        <v>131</v>
      </c>
      <c r="P1600" s="37"/>
    </row>
    <row r="1601" spans="1:16">
      <c r="A1601" s="46" t="s">
        <v>4649</v>
      </c>
      <c r="B1601" s="46" t="s">
        <v>2918</v>
      </c>
      <c r="C1601" s="46" t="s">
        <v>243</v>
      </c>
      <c r="D1601" s="46" t="s">
        <v>270</v>
      </c>
      <c r="E1601" s="46" t="s">
        <v>195</v>
      </c>
      <c r="F1601" s="46" t="s">
        <v>148</v>
      </c>
      <c r="G1601" s="46" t="s">
        <v>401</v>
      </c>
      <c r="H1601" s="46" t="s">
        <v>54</v>
      </c>
      <c r="I1601" s="46" t="s">
        <v>3494</v>
      </c>
      <c r="J1601" s="46" t="s">
        <v>711</v>
      </c>
      <c r="K1601" s="46">
        <v>6</v>
      </c>
      <c r="L1601" s="46" t="s">
        <v>3434</v>
      </c>
      <c r="M1601" s="46" t="s">
        <v>200</v>
      </c>
      <c r="N1601" s="46">
        <v>2</v>
      </c>
      <c r="O1601" s="46" t="s">
        <v>152</v>
      </c>
      <c r="P1601" s="46"/>
    </row>
    <row r="1621" ht="43.2" customHeight="1" spans="1:1">
      <c r="A1621" s="52" t="s">
        <v>4650</v>
      </c>
    </row>
  </sheetData>
  <mergeCells count="1">
    <mergeCell ref="A1621:H16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showGridLines="0" workbookViewId="0">
      <pane ySplit="2" topLeftCell="A24" activePane="bottomLeft" state="frozen"/>
      <selection/>
      <selection pane="bottomLeft" activeCell="B25" sqref="B25"/>
    </sheetView>
  </sheetViews>
  <sheetFormatPr defaultColWidth="8.66666666666667" defaultRowHeight="14.4" outlineLevelCol="3"/>
  <cols>
    <col min="1" max="1" width="5" customWidth="1"/>
    <col min="2" max="2" width="74.2222222222222" customWidth="1"/>
    <col min="3" max="3" width="34" customWidth="1"/>
    <col min="4" max="4" width="28" customWidth="1"/>
  </cols>
  <sheetData>
    <row r="1" ht="25.5" customHeight="1" spans="1:4">
      <c r="A1" s="56" t="s">
        <v>4651</v>
      </c>
    </row>
    <row r="3" ht="19.5" customHeight="1" spans="1:4">
      <c r="A3" s="57" t="s">
        <v>4652</v>
      </c>
    </row>
    <row r="4" spans="1:4">
      <c r="A4" s="30" t="s">
        <v>4653</v>
      </c>
      <c r="B4" s="30" t="s">
        <v>4654</v>
      </c>
      <c r="C4" s="30" t="s">
        <v>4655</v>
      </c>
      <c r="D4" s="30"/>
    </row>
    <row r="5" ht="33.75" customHeight="1" spans="1:4">
      <c r="A5" s="58">
        <v>1</v>
      </c>
      <c r="B5" s="59" t="s">
        <v>4656</v>
      </c>
      <c r="C5" s="60"/>
      <c r="D5" s="61"/>
    </row>
    <row r="6" ht="33.75" customHeight="1" spans="1:4">
      <c r="A6" s="58">
        <v>2</v>
      </c>
      <c r="B6" s="59" t="s">
        <v>4657</v>
      </c>
      <c r="C6" s="60"/>
      <c r="D6" s="61"/>
    </row>
    <row r="7" ht="33.75" customHeight="1" spans="1:4">
      <c r="A7" s="58">
        <v>3</v>
      </c>
      <c r="B7" s="59" t="s">
        <v>4658</v>
      </c>
      <c r="C7" s="60"/>
      <c r="D7" s="61"/>
    </row>
    <row r="8" ht="33.75" customHeight="1" spans="1:4">
      <c r="A8" s="58">
        <v>4</v>
      </c>
      <c r="B8" s="59" t="s">
        <v>4659</v>
      </c>
      <c r="C8" s="60"/>
      <c r="D8" s="61"/>
    </row>
    <row r="9" ht="33.75" customHeight="1" spans="1:4">
      <c r="A9" s="58">
        <v>5</v>
      </c>
      <c r="B9" s="59" t="s">
        <v>4660</v>
      </c>
      <c r="C9" s="60"/>
      <c r="D9" s="61"/>
    </row>
    <row r="10" ht="33.75" customHeight="1" spans="1:4">
      <c r="A10" s="58">
        <v>6</v>
      </c>
      <c r="B10" s="59" t="s">
        <v>4661</v>
      </c>
      <c r="C10" s="60"/>
      <c r="D10" s="61"/>
    </row>
    <row r="11" ht="33.75" customHeight="1" spans="1:4">
      <c r="A11" s="58">
        <v>7</v>
      </c>
      <c r="B11" s="59" t="s">
        <v>4662</v>
      </c>
      <c r="C11" s="60"/>
      <c r="D11" s="61"/>
    </row>
    <row r="12" ht="33.75" customHeight="1" spans="1:4">
      <c r="A12" s="58">
        <v>8</v>
      </c>
      <c r="B12" s="59" t="s">
        <v>4663</v>
      </c>
      <c r="C12" s="60"/>
      <c r="D12" s="61"/>
    </row>
    <row r="13" ht="33.75" customHeight="1" spans="1:4">
      <c r="A13" s="58">
        <v>9</v>
      </c>
      <c r="B13" s="59" t="s">
        <v>4664</v>
      </c>
      <c r="C13" s="60"/>
      <c r="D13" s="61"/>
    </row>
    <row r="15" ht="19.5" customHeight="1" spans="1:4">
      <c r="A15" s="57" t="s">
        <v>4665</v>
      </c>
    </row>
    <row r="16" spans="1:4">
      <c r="A16" s="30" t="s">
        <v>4653</v>
      </c>
      <c r="B16" s="30" t="s">
        <v>4654</v>
      </c>
      <c r="C16" s="30" t="s">
        <v>4655</v>
      </c>
      <c r="D16" s="30"/>
    </row>
    <row r="17" ht="33.75" customHeight="1" spans="1:4">
      <c r="A17" s="58">
        <v>1</v>
      </c>
      <c r="B17" s="59" t="s">
        <v>4666</v>
      </c>
      <c r="C17" s="60"/>
      <c r="D17" s="61"/>
    </row>
    <row r="18" ht="33.75" customHeight="1" spans="1:4">
      <c r="A18" s="58">
        <v>2</v>
      </c>
      <c r="B18" s="59" t="s">
        <v>4667</v>
      </c>
      <c r="C18" s="60"/>
      <c r="D18" s="61"/>
    </row>
    <row r="19" ht="33.75" customHeight="1" spans="1:4">
      <c r="A19" s="58">
        <v>3</v>
      </c>
      <c r="B19" s="59" t="s">
        <v>4668</v>
      </c>
      <c r="C19" s="60"/>
      <c r="D19" s="61"/>
    </row>
    <row r="20" ht="33.75" customHeight="1" spans="1:4">
      <c r="A20" s="58">
        <v>4</v>
      </c>
      <c r="B20" s="59" t="s">
        <v>4669</v>
      </c>
      <c r="C20" s="60"/>
      <c r="D20" s="61"/>
    </row>
    <row r="21" ht="33.75" customHeight="1" spans="1:4">
      <c r="A21" s="58">
        <v>5</v>
      </c>
      <c r="B21" s="59" t="s">
        <v>4670</v>
      </c>
      <c r="C21" s="60"/>
      <c r="D21" s="61"/>
    </row>
    <row r="23" ht="19.5" customHeight="1" spans="1:4">
      <c r="A23" s="57" t="s">
        <v>4671</v>
      </c>
    </row>
    <row r="24" spans="1:4">
      <c r="A24" s="30" t="s">
        <v>4653</v>
      </c>
      <c r="B24" s="30" t="s">
        <v>4672</v>
      </c>
      <c r="C24" s="30"/>
      <c r="D24" s="30" t="s">
        <v>4673</v>
      </c>
    </row>
    <row r="25" ht="42" customHeight="1" spans="1:4">
      <c r="A25" s="58">
        <v>1</v>
      </c>
      <c r="B25" s="59" t="s">
        <v>4674</v>
      </c>
      <c r="C25" s="62"/>
      <c r="D25" s="60"/>
    </row>
    <row r="26" ht="42" customHeight="1" spans="1:4">
      <c r="A26" s="58">
        <v>2</v>
      </c>
      <c r="B26" s="59" t="s">
        <v>4675</v>
      </c>
      <c r="C26" s="62"/>
      <c r="D26" s="60"/>
    </row>
    <row r="27" ht="42" customHeight="1" spans="1:4">
      <c r="A27" s="58">
        <v>3</v>
      </c>
      <c r="B27" s="59" t="s">
        <v>4676</v>
      </c>
      <c r="C27" s="62"/>
      <c r="D27" s="60"/>
    </row>
    <row r="28" ht="42" customHeight="1" spans="1:4">
      <c r="A28" s="58">
        <v>4</v>
      </c>
      <c r="B28" s="59" t="s">
        <v>4677</v>
      </c>
      <c r="C28" s="62"/>
      <c r="D28" s="60"/>
    </row>
    <row r="29" ht="42" customHeight="1" spans="1:4">
      <c r="A29" s="58">
        <v>5</v>
      </c>
      <c r="B29" s="59" t="s">
        <v>4678</v>
      </c>
      <c r="C29" s="62"/>
      <c r="D29" s="60"/>
    </row>
    <row r="30" ht="42" customHeight="1" spans="1:4">
      <c r="A30" s="58">
        <v>6</v>
      </c>
      <c r="B30" s="59" t="s">
        <v>4679</v>
      </c>
      <c r="C30" s="62"/>
      <c r="D30" s="60"/>
    </row>
    <row r="31" ht="42" customHeight="1" spans="1:4">
      <c r="A31" s="58">
        <v>7</v>
      </c>
      <c r="B31" s="59" t="s">
        <v>4680</v>
      </c>
      <c r="C31" s="62"/>
      <c r="D31" s="60"/>
    </row>
    <row r="32" ht="42" customHeight="1" spans="1:4">
      <c r="A32" s="58">
        <v>8</v>
      </c>
      <c r="B32" s="59" t="s">
        <v>4681</v>
      </c>
      <c r="C32" s="62"/>
      <c r="D32" s="60"/>
    </row>
  </sheetData>
  <mergeCells count="18">
    <mergeCell ref="A1:D1"/>
    <mergeCell ref="A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D15"/>
    <mergeCell ref="C17:D17"/>
    <mergeCell ref="C18:D18"/>
    <mergeCell ref="C19:D19"/>
    <mergeCell ref="C20:D20"/>
    <mergeCell ref="C21:D21"/>
    <mergeCell ref="A23:D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21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8.66666666666667" defaultRowHeight="14.4"/>
  <cols>
    <col min="1" max="1" width="11" customWidth="1"/>
    <col min="2" max="2" width="14" style="24" customWidth="1"/>
    <col min="3" max="3" width="13.7777777777778" style="25" customWidth="1"/>
    <col min="4" max="4" width="12" style="25" customWidth="1"/>
    <col min="5" max="5" width="17.2222222222222" customWidth="1"/>
    <col min="6" max="6" width="17.2222222222222" customWidth="1"/>
    <col min="7" max="7" width="16" customWidth="1"/>
    <col min="8" max="8" width="17.5555555555556" customWidth="1"/>
    <col min="9" max="9" width="19.4444444444444" customWidth="1"/>
    <col min="10" max="10" width="21.5555555555556" customWidth="1"/>
    <col min="11" max="11" width="20.8888888888889" customWidth="1"/>
    <col min="12" max="12" width="17.2222222222222" customWidth="1"/>
    <col min="13" max="13" width="16.4444444444444" customWidth="1"/>
    <col min="14" max="14" width="13" customWidth="1"/>
    <col min="15" max="16" width="15.3333333333333" style="26" customWidth="1"/>
    <col min="17" max="17" width="13" style="26" customWidth="1"/>
    <col min="18" max="18" width="17.7777777777778" style="27" customWidth="1"/>
    <col min="19" max="19" width="12" customWidth="1"/>
    <col min="20" max="20" width="14" customWidth="1"/>
    <col min="21" max="21" width="17.5555555555556" style="28" customWidth="1"/>
    <col min="22" max="22" width="17.3333333333333" style="28" customWidth="1"/>
    <col min="23" max="23" width="19.8888888888889" style="29" customWidth="1"/>
    <col min="24" max="24" width="14.8888888888889" customWidth="1"/>
    <col min="25" max="25" width="14" customWidth="1"/>
    <col min="26" max="26" width="14.4444444444444" customWidth="1"/>
    <col min="27" max="27" width="20.5555555555556" customWidth="1"/>
    <col min="28" max="28" width="11" customWidth="1"/>
    <col min="29" max="29" width="21" customWidth="1"/>
    <col min="30" max="31" width="11" customWidth="1"/>
    <col min="32" max="32" width="16.3333333333333" customWidth="1"/>
    <col min="33" max="35" width="20" customWidth="1"/>
  </cols>
  <sheetData>
    <row r="1" ht="31.5" customHeight="1" spans="1:35">
      <c r="A1" s="30" t="s">
        <v>22</v>
      </c>
      <c r="B1" s="31" t="s">
        <v>26</v>
      </c>
      <c r="C1" s="32" t="s">
        <v>4682</v>
      </c>
      <c r="D1" s="33" t="s">
        <v>30</v>
      </c>
      <c r="E1" s="30" t="s">
        <v>4683</v>
      </c>
      <c r="F1" s="30" t="s">
        <v>35</v>
      </c>
      <c r="G1" s="30" t="s">
        <v>35</v>
      </c>
      <c r="H1" s="30" t="s">
        <v>40</v>
      </c>
      <c r="I1" s="30" t="s">
        <v>40</v>
      </c>
      <c r="J1" s="30" t="s">
        <v>45</v>
      </c>
      <c r="K1" s="30" t="s">
        <v>45</v>
      </c>
      <c r="L1" s="30" t="s">
        <v>49</v>
      </c>
      <c r="M1" s="30" t="s">
        <v>49</v>
      </c>
      <c r="N1" s="30" t="s">
        <v>52</v>
      </c>
      <c r="O1" s="32" t="s">
        <v>4684</v>
      </c>
      <c r="P1" s="32" t="s">
        <v>55</v>
      </c>
      <c r="Q1" s="32" t="s">
        <v>59</v>
      </c>
      <c r="R1" s="34" t="s">
        <v>4685</v>
      </c>
      <c r="S1" s="30" t="s">
        <v>63</v>
      </c>
      <c r="T1" s="30" t="s">
        <v>66</v>
      </c>
      <c r="U1" s="35" t="s">
        <v>66</v>
      </c>
      <c r="V1" s="35" t="s">
        <v>66</v>
      </c>
      <c r="W1" s="36" t="s">
        <v>4686</v>
      </c>
      <c r="X1" s="30" t="s">
        <v>4687</v>
      </c>
      <c r="Y1" s="30" t="s">
        <v>70</v>
      </c>
      <c r="Z1" s="30" t="s">
        <v>70</v>
      </c>
      <c r="AA1" s="30" t="s">
        <v>4688</v>
      </c>
      <c r="AB1" s="30" t="s">
        <v>4689</v>
      </c>
      <c r="AC1" s="30" t="s">
        <v>4690</v>
      </c>
      <c r="AD1" s="30" t="s">
        <v>4688</v>
      </c>
      <c r="AE1" s="30" t="s">
        <v>74</v>
      </c>
      <c r="AF1" s="30" t="s">
        <v>77</v>
      </c>
      <c r="AG1" s="30" t="s">
        <v>77</v>
      </c>
      <c r="AH1" s="30" t="s">
        <v>77</v>
      </c>
      <c r="AI1" s="30" t="s">
        <v>81</v>
      </c>
    </row>
    <row r="2" spans="1:35">
      <c r="A2" s="37" t="s">
        <v>95</v>
      </c>
      <c r="B2" s="38" t="s">
        <v>4691</v>
      </c>
      <c r="C2" s="39">
        <f t="shared" ref="C2:C65" si="0">IF(ISNUMBER(B2),B2,DATE(RIGHT(TRIM(B2),4),MID(TRIM(B2),4,2),LEFT(TRIM(B2),2)))</f>
        <v>45313</v>
      </c>
      <c r="D2" s="40" t="s">
        <v>633</v>
      </c>
      <c r="E2" s="37" t="str" cm="1">
        <f t="array" ref="E2">_xlfn.IFS(D2="delhi","north",D2="mumbai","west",D2="bengaluru","south",D2="chennai","south",D2="kolkata","east",TRUE,"west")</f>
        <v>south</v>
      </c>
      <c r="F2" s="37" t="s">
        <v>98</v>
      </c>
      <c r="G2" s="37" t="str">
        <f t="shared" ref="G2:G65" si="1">SUBSTITUTE(LOWER(F2)," ","")</f>
        <v>dtdc</v>
      </c>
      <c r="H2" s="37" t="s">
        <v>99</v>
      </c>
      <c r="I2" s="37" t="str">
        <f t="shared" ref="I2:I65" si="2">SUBSTITUTE(LOWER(H2)," ","")</f>
        <v>air</v>
      </c>
      <c r="J2" s="37" t="s">
        <v>100</v>
      </c>
      <c r="K2" s="37" t="str">
        <f t="shared" ref="K2:K65" si="3">SUBSTITUTE(LOWER(J2)," ","")</f>
        <v>electronics</v>
      </c>
      <c r="L2" s="37" t="s">
        <v>101</v>
      </c>
      <c r="M2" s="37" t="str">
        <f t="shared" ref="M2:M65" si="4">SUBSTITUTE(LOWER(L2)," ","")</f>
        <v>west</v>
      </c>
      <c r="N2" s="37" t="s">
        <v>88</v>
      </c>
      <c r="O2" s="41" t="str">
        <f t="shared" ref="O2:O65" si="5">IF(OR(D2="",M2=""),"",IF(D2=M2,"No","Yes"))</f>
        <v>Yes</v>
      </c>
      <c r="P2" s="41">
        <v>7.4</v>
      </c>
      <c r="Q2" s="41">
        <v>495</v>
      </c>
      <c r="R2" s="42">
        <f t="shared" ref="R2:R65" si="6">IF(OR(Q2="",P2="",P2=0),"",Q2/P2)</f>
        <v>66.8918918918919</v>
      </c>
      <c r="S2" s="37">
        <v>4</v>
      </c>
      <c r="T2" s="37" t="s">
        <v>104</v>
      </c>
      <c r="U2" s="43" t="str">
        <f t="shared" ref="U2:U65" si="7">SUBSTITUTE(LOWER(T2)," ","")</f>
        <v>25/01/2024</v>
      </c>
      <c r="V2" s="43">
        <f t="shared" ref="V2:V65" si="8">DATEVALUE(TEXT(U2,"yyyy-mm-dd"))</f>
        <v>45316</v>
      </c>
      <c r="W2" s="44">
        <f t="array" ref="W2">_xlfn.IFS(TRIM(C2)="","",TRIM(V2)="","",TRUE,V2-C2)</f>
        <v>3</v>
      </c>
      <c r="X2" s="37">
        <f t="shared" ref="X2:X65" si="9">IF(OR(W2="",S2=""),"",W2-S2)</f>
        <v>-1</v>
      </c>
      <c r="Y2" s="37" t="s">
        <v>105</v>
      </c>
      <c r="Z2" s="37" t="str">
        <f t="shared" ref="Z2:Z65" si="10">SUBSTITUTE(LOWER(Y2)," ","")</f>
        <v>delivered</v>
      </c>
      <c r="AA2" s="37" t="str">
        <f t="shared" ref="AA2:AA65" si="11">IF(Z2="In-Transit","N/A",IF(X2="","",IF(X2&gt;0,"Late","On Time")))</f>
        <v>On Time</v>
      </c>
      <c r="AB2" s="37" t="str">
        <f>IF(Z2="In-Transit","N/A",IF(X2="","",IF(X2&gt;0,"1","0")))</f>
        <v>0</v>
      </c>
      <c r="AC2" s="37">
        <f>IF(TRIM(AB2&amp;"")="","",VALUE(TRIM(AB2&amp;"")))</f>
        <v>0</v>
      </c>
      <c r="AD2" s="45">
        <f>COUNTIF(AC2:AC1601,1)/COUNT(AC2:AC1601)</f>
        <v>0.50346565847511</v>
      </c>
      <c r="AE2" s="37">
        <v>4</v>
      </c>
      <c r="AF2" s="37" t="s">
        <v>106</v>
      </c>
      <c r="AG2" s="37" t="str">
        <f t="shared" ref="AG2:AG65" si="12">SUBSTITUTE(LOWER(AF2)," ","")</f>
        <v>yes</v>
      </c>
      <c r="AH2" s="37" t="str">
        <f t="array" ref="AH2">_xlfn.IFS(LOWER(AG2)="n","no",LOWER(AG2)="y","yes",TRUE,LOWER(AG2))</f>
        <v>yes</v>
      </c>
      <c r="AI2" s="37" t="s">
        <v>4692</v>
      </c>
    </row>
    <row r="3" spans="1:35">
      <c r="A3" s="46" t="s">
        <v>107</v>
      </c>
      <c r="B3" s="47" t="s">
        <v>4693</v>
      </c>
      <c r="C3" s="39">
        <f t="shared" si="0"/>
        <v>45453</v>
      </c>
      <c r="D3" s="48" t="s">
        <v>109</v>
      </c>
      <c r="E3" s="37" t="str" cm="1">
        <f t="array" ref="E3">_xlfn.IFS(D3="delhi","north",D3="mumbai","west",D3="bengaluru","south",D3="chennai","south",D3="kolkata","east",TRUE,"west")</f>
        <v>west</v>
      </c>
      <c r="F3" s="46" t="s">
        <v>37</v>
      </c>
      <c r="G3" s="37" t="str">
        <f t="shared" si="1"/>
        <v>bluedart</v>
      </c>
      <c r="H3" s="46" t="s">
        <v>110</v>
      </c>
      <c r="I3" s="37" t="str">
        <f t="shared" si="2"/>
        <v>surface</v>
      </c>
      <c r="J3" s="46" t="s">
        <v>111</v>
      </c>
      <c r="K3" s="37" t="str">
        <f t="shared" si="3"/>
        <v>grocery&amp;fmcg</v>
      </c>
      <c r="L3" s="46" t="s">
        <v>112</v>
      </c>
      <c r="M3" s="37" t="str">
        <f t="shared" si="4"/>
        <v>north</v>
      </c>
      <c r="N3" s="46" t="s">
        <v>113</v>
      </c>
      <c r="O3" s="41" t="str">
        <f t="shared" si="5"/>
        <v>Yes</v>
      </c>
      <c r="P3" s="49">
        <v>2.2</v>
      </c>
      <c r="Q3" s="49">
        <v>200</v>
      </c>
      <c r="R3" s="42">
        <f t="shared" si="6"/>
        <v>90.9090909090909</v>
      </c>
      <c r="S3" s="46">
        <v>6</v>
      </c>
      <c r="T3" s="46" t="s">
        <v>116</v>
      </c>
      <c r="U3" s="43" t="str">
        <f t="shared" si="7"/>
        <v>2024-06-16</v>
      </c>
      <c r="V3" s="43">
        <f t="shared" si="8"/>
        <v>45459</v>
      </c>
      <c r="W3" s="44">
        <f t="array" ref="W3">_xlfn.IFS(TRIM(C3)="","",TRIM(V3)="","",TRUE,V3-C3)</f>
        <v>6</v>
      </c>
      <c r="X3" s="37">
        <f t="shared" si="9"/>
        <v>0</v>
      </c>
      <c r="Y3" s="46" t="s">
        <v>117</v>
      </c>
      <c r="Z3" s="37" t="str">
        <f t="shared" si="10"/>
        <v>delivered</v>
      </c>
      <c r="AA3" s="37" t="str">
        <f t="shared" si="11"/>
        <v>On Time</v>
      </c>
      <c r="AB3" s="37" t="str">
        <f>IF(Z3="In-Transit","N/A",IF(X3="","",IF(X3&gt;0,"1","0")))</f>
        <v>0</v>
      </c>
      <c r="AC3" s="37">
        <f>IF(TRIM(AB3&amp;"")="","",VALUE(TRIM(AB3&amp;"")))</f>
        <v>0</v>
      </c>
      <c r="AD3" s="45">
        <f t="shared" ref="AD3:AD66" si="13">COUNTIF(AC3:AC1602,1)/COUNT(AC3:AC1602)</f>
        <v>0.503783102143758</v>
      </c>
      <c r="AE3" s="46">
        <v>5</v>
      </c>
      <c r="AF3" s="46" t="s">
        <v>118</v>
      </c>
      <c r="AG3" s="37" t="str">
        <f t="shared" si="12"/>
        <v>no</v>
      </c>
      <c r="AH3" s="37" t="str">
        <f t="array" ref="AH3">_xlfn.IFS(LOWER(AG3)="n","no",LOWER(AG3)="y","yes",TRUE,LOWER(AG3))</f>
        <v>no</v>
      </c>
      <c r="AI3" s="46" t="s">
        <v>4692</v>
      </c>
    </row>
    <row r="4" spans="1:35">
      <c r="A4" s="37" t="s">
        <v>119</v>
      </c>
      <c r="B4" s="38">
        <v>45435</v>
      </c>
      <c r="C4" s="39">
        <f t="shared" si="0"/>
        <v>45435</v>
      </c>
      <c r="D4" s="40" t="s">
        <v>121</v>
      </c>
      <c r="E4" s="37" t="str" cm="1">
        <f t="array" ref="E4">_xlfn.IFS(D4="delhi","north",D4="mumbai","west",D4="bengaluru","south",D4="chennai","south",D4="kolkata","east",TRUE,"west")</f>
        <v>west</v>
      </c>
      <c r="F4" s="37" t="s">
        <v>122</v>
      </c>
      <c r="G4" s="37" t="str">
        <f t="shared" si="1"/>
        <v>delhivery</v>
      </c>
      <c r="H4" s="37" t="s">
        <v>123</v>
      </c>
      <c r="I4" s="37" t="str">
        <f t="shared" si="2"/>
        <v>air</v>
      </c>
      <c r="J4" s="37" t="s">
        <v>124</v>
      </c>
      <c r="K4" s="37" t="str">
        <f t="shared" si="3"/>
        <v>automotiveparts</v>
      </c>
      <c r="L4" s="37" t="s">
        <v>125</v>
      </c>
      <c r="M4" s="37" t="str">
        <f t="shared" si="4"/>
        <v>east</v>
      </c>
      <c r="N4" s="37" t="s">
        <v>126</v>
      </c>
      <c r="O4" s="41" t="str">
        <f t="shared" si="5"/>
        <v>Yes</v>
      </c>
      <c r="P4" s="41">
        <v>5.7</v>
      </c>
      <c r="Q4" s="41">
        <v>444</v>
      </c>
      <c r="R4" s="42">
        <f t="shared" si="6"/>
        <v>77.8947368421053</v>
      </c>
      <c r="S4" s="37">
        <v>4</v>
      </c>
      <c r="T4" s="37" t="s">
        <v>129</v>
      </c>
      <c r="U4" s="43" t="str">
        <f t="shared" si="7"/>
        <v>05-jun-2024</v>
      </c>
      <c r="V4" s="43">
        <f t="shared" si="8"/>
        <v>45448</v>
      </c>
      <c r="W4" s="44">
        <f t="array" ref="W4">_xlfn.IFS(TRIM(C4)="","",TRIM(V4)="","",TRUE,V4-C4)</f>
        <v>13</v>
      </c>
      <c r="X4" s="37">
        <f t="shared" si="9"/>
        <v>9</v>
      </c>
      <c r="Y4" s="37" t="s">
        <v>130</v>
      </c>
      <c r="Z4" s="37" t="str">
        <f t="shared" si="10"/>
        <v>damaged</v>
      </c>
      <c r="AA4" s="37" t="str">
        <f t="shared" si="11"/>
        <v>Late</v>
      </c>
      <c r="AB4" s="37" t="str">
        <f>IF(Z4="In-Transit","N/A",IF(X4="","",IF(X4&gt;0,"1","0")))</f>
        <v>1</v>
      </c>
      <c r="AC4" s="37">
        <f>IF(TRIM(AB4&amp;"")="","",VALUE(TRIM(AB4&amp;"")))</f>
        <v>1</v>
      </c>
      <c r="AD4" s="45">
        <f t="shared" si="13"/>
        <v>0.50410094637224</v>
      </c>
      <c r="AE4" s="37"/>
      <c r="AF4" s="37" t="s">
        <v>131</v>
      </c>
      <c r="AG4" s="37" t="str">
        <f t="shared" si="12"/>
        <v>n</v>
      </c>
      <c r="AH4" s="37" t="str">
        <f t="array" ref="AH4">_xlfn.IFS(LOWER(AG4)="n","no",LOWER(AG4)="y","yes",TRUE,LOWER(AG4))</f>
        <v>no</v>
      </c>
      <c r="AI4" s="37" t="s">
        <v>132</v>
      </c>
    </row>
    <row r="5" spans="1:35">
      <c r="A5" s="46" t="s">
        <v>133</v>
      </c>
      <c r="B5" s="47">
        <v>45304</v>
      </c>
      <c r="C5" s="39">
        <f t="shared" si="0"/>
        <v>45304</v>
      </c>
      <c r="D5" s="48" t="s">
        <v>135</v>
      </c>
      <c r="E5" s="37" t="str" cm="1">
        <f t="array" ref="E5">_xlfn.IFS(D5="delhi","north",D5="mumbai","west",D5="bengaluru","south",D5="chennai","south",D5="kolkata","east",TRUE,"west")</f>
        <v>west</v>
      </c>
      <c r="F5" s="46" t="s">
        <v>136</v>
      </c>
      <c r="G5" s="37" t="str">
        <f t="shared" si="1"/>
        <v>bluedart</v>
      </c>
      <c r="H5" s="46" t="s">
        <v>137</v>
      </c>
      <c r="I5" s="37" t="str">
        <f t="shared" si="2"/>
        <v>road</v>
      </c>
      <c r="J5" s="46" t="s">
        <v>138</v>
      </c>
      <c r="K5" s="37" t="str">
        <f t="shared" si="3"/>
        <v>apparel</v>
      </c>
      <c r="L5" s="46" t="s">
        <v>139</v>
      </c>
      <c r="M5" s="37" t="str">
        <f t="shared" si="4"/>
        <v>north</v>
      </c>
      <c r="N5" s="46" t="s">
        <v>32</v>
      </c>
      <c r="O5" s="41" t="str">
        <f t="shared" si="5"/>
        <v>Yes</v>
      </c>
      <c r="P5" s="49">
        <v>0.6</v>
      </c>
      <c r="Q5" s="49">
        <v>165</v>
      </c>
      <c r="R5" s="42">
        <f t="shared" si="6"/>
        <v>275</v>
      </c>
      <c r="S5" s="46">
        <v>8</v>
      </c>
      <c r="T5" s="46" t="s">
        <v>142</v>
      </c>
      <c r="U5" s="43" t="str">
        <f t="shared" si="7"/>
        <v>22-jan-2024</v>
      </c>
      <c r="V5" s="43">
        <f t="shared" si="8"/>
        <v>45313</v>
      </c>
      <c r="W5" s="44">
        <f t="array" ref="W5">_xlfn.IFS(TRIM(C5)="","",TRIM(V5)="","",TRUE,V5-C5)</f>
        <v>9</v>
      </c>
      <c r="X5" s="37">
        <f t="shared" si="9"/>
        <v>1</v>
      </c>
      <c r="Y5" s="46" t="s">
        <v>143</v>
      </c>
      <c r="Z5" s="37" t="str">
        <f t="shared" si="10"/>
        <v>delayed</v>
      </c>
      <c r="AA5" s="37" t="str">
        <f t="shared" si="11"/>
        <v>Late</v>
      </c>
      <c r="AB5" s="37" t="str">
        <f>IF(Z5="In-Transit","N/A",IF(X5="","",IF(X5&gt;0,"1","0")))</f>
        <v>1</v>
      </c>
      <c r="AC5" s="37">
        <f>IF(TRIM(AB5&amp;"")="","",VALUE(TRIM(AB5&amp;"")))</f>
        <v>1</v>
      </c>
      <c r="AD5" s="45">
        <f t="shared" si="13"/>
        <v>0.503787878787879</v>
      </c>
      <c r="AE5" s="46">
        <v>3</v>
      </c>
      <c r="AF5" s="46" t="s">
        <v>131</v>
      </c>
      <c r="AG5" s="37" t="str">
        <f t="shared" si="12"/>
        <v>n</v>
      </c>
      <c r="AH5" s="37" t="str">
        <f t="array" ref="AH5">_xlfn.IFS(LOWER(AG5)="n","no",LOWER(AG5)="y","yes",TRUE,LOWER(AG5))</f>
        <v>no</v>
      </c>
      <c r="AI5" s="46" t="s">
        <v>4692</v>
      </c>
    </row>
    <row r="6" spans="1:35">
      <c r="A6" s="37" t="s">
        <v>144</v>
      </c>
      <c r="B6" s="38">
        <v>45398</v>
      </c>
      <c r="C6" s="39">
        <f t="shared" si="0"/>
        <v>45398</v>
      </c>
      <c r="D6" s="40" t="s">
        <v>109</v>
      </c>
      <c r="E6" s="37" t="str" cm="1">
        <f t="array" ref="E6">_xlfn.IFS(D6="delhi","north",D6="mumbai","west",D6="bengaluru","south",D6="chennai","south",D6="kolkata","east",TRUE,"west")</f>
        <v>west</v>
      </c>
      <c r="F6" s="37" t="s">
        <v>146</v>
      </c>
      <c r="G6" s="37" t="str">
        <f t="shared" si="1"/>
        <v>ecomexpress</v>
      </c>
      <c r="H6" s="37" t="s">
        <v>147</v>
      </c>
      <c r="I6" s="37" t="str">
        <f t="shared" si="2"/>
        <v>road</v>
      </c>
      <c r="J6" s="37" t="s">
        <v>148</v>
      </c>
      <c r="K6" s="37" t="str">
        <f t="shared" si="3"/>
        <v>electronics</v>
      </c>
      <c r="L6" s="37" t="s">
        <v>139</v>
      </c>
      <c r="M6" s="37" t="str">
        <f t="shared" si="4"/>
        <v>north</v>
      </c>
      <c r="N6" s="37" t="s">
        <v>32</v>
      </c>
      <c r="O6" s="41" t="str">
        <f t="shared" si="5"/>
        <v>Yes</v>
      </c>
      <c r="P6" s="41">
        <v>8.2</v>
      </c>
      <c r="Q6" s="41" t="s">
        <v>150</v>
      </c>
      <c r="R6" s="42">
        <f t="shared" si="6"/>
        <v>34.390243902439</v>
      </c>
      <c r="S6" s="37">
        <v>8</v>
      </c>
      <c r="T6" s="37" t="s">
        <v>151</v>
      </c>
      <c r="U6" s="43" t="str">
        <f t="shared" si="7"/>
        <v>25/04/2024</v>
      </c>
      <c r="V6" s="43">
        <f t="shared" si="8"/>
        <v>45407</v>
      </c>
      <c r="W6" s="44">
        <f t="array" ref="W6">_xlfn.IFS(TRIM(C6)="","",TRIM(V6)="","",TRUE,V6-C6)</f>
        <v>9</v>
      </c>
      <c r="X6" s="37">
        <f t="shared" si="9"/>
        <v>1</v>
      </c>
      <c r="Y6" s="37" t="s">
        <v>72</v>
      </c>
      <c r="Z6" s="37" t="str">
        <f t="shared" si="10"/>
        <v>delayed</v>
      </c>
      <c r="AA6" s="37" t="str">
        <f t="shared" si="11"/>
        <v>Late</v>
      </c>
      <c r="AB6" s="37" t="str">
        <f t="shared" ref="AB6:AB69" si="14">IF(Z6="In-Transit","N/A",IF(X6="","",IF(X6&gt;0,"1","0")))</f>
        <v>1</v>
      </c>
      <c r="AC6" s="37">
        <f>IF(TRIM(AB6&amp;"")="","",VALUE(TRIM(AB6&amp;"")))</f>
        <v>1</v>
      </c>
      <c r="AD6" s="45">
        <f t="shared" si="13"/>
        <v>0.503474415666456</v>
      </c>
      <c r="AE6" s="37">
        <v>1</v>
      </c>
      <c r="AF6" s="37" t="s">
        <v>152</v>
      </c>
      <c r="AG6" s="37" t="str">
        <f t="shared" si="12"/>
        <v>no</v>
      </c>
      <c r="AH6" s="37" t="str">
        <f t="array" ref="AH6">_xlfn.IFS(LOWER(AG6)="n","no",LOWER(AG6)="y","yes",TRUE,LOWER(AG6))</f>
        <v>no</v>
      </c>
      <c r="AI6" s="37" t="s">
        <v>4692</v>
      </c>
    </row>
    <row r="7" spans="1:35">
      <c r="A7" s="46" t="s">
        <v>153</v>
      </c>
      <c r="B7" s="47">
        <v>45375</v>
      </c>
      <c r="C7" s="39">
        <f t="shared" si="0"/>
        <v>45375</v>
      </c>
      <c r="D7" s="48" t="s">
        <v>4694</v>
      </c>
      <c r="E7" s="37" t="str" cm="1">
        <f t="array" ref="E7">_xlfn.IFS(D7="delhi","north",D7="mumbai","west",D7="bengaluru","south",D7="chennai","south",D7="kolkata","east",TRUE,"west")</f>
        <v>west</v>
      </c>
      <c r="F7" s="46" t="s">
        <v>156</v>
      </c>
      <c r="G7" s="37" t="str">
        <f t="shared" si="1"/>
        <v>xpressbees</v>
      </c>
      <c r="H7" s="46" t="s">
        <v>157</v>
      </c>
      <c r="I7" s="37" t="str">
        <f t="shared" si="2"/>
        <v>surface</v>
      </c>
      <c r="J7" s="46" t="s">
        <v>158</v>
      </c>
      <c r="K7" s="37" t="str">
        <f t="shared" si="3"/>
        <v>pharma</v>
      </c>
      <c r="L7" s="46" t="s">
        <v>159</v>
      </c>
      <c r="M7" s="37" t="str">
        <f t="shared" si="4"/>
        <v>south</v>
      </c>
      <c r="N7" s="46" t="s">
        <v>90</v>
      </c>
      <c r="O7" s="41" t="str">
        <f t="shared" si="5"/>
        <v>Yes</v>
      </c>
      <c r="P7" s="49">
        <v>1.4</v>
      </c>
      <c r="Q7" s="49">
        <v>80</v>
      </c>
      <c r="R7" s="42">
        <f t="shared" si="6"/>
        <v>57.1428571428571</v>
      </c>
      <c r="S7" s="46">
        <v>4</v>
      </c>
      <c r="T7" s="46" t="s">
        <v>162</v>
      </c>
      <c r="U7" s="43" t="str">
        <f t="shared" si="7"/>
        <v>28/03/2024</v>
      </c>
      <c r="V7" s="43">
        <f t="shared" si="8"/>
        <v>45379</v>
      </c>
      <c r="W7" s="44">
        <f t="array" ref="W7">_xlfn.IFS(TRIM(C7)="","",TRIM(V7)="","",TRUE,V7-C7)</f>
        <v>4</v>
      </c>
      <c r="X7" s="37">
        <f t="shared" si="9"/>
        <v>0</v>
      </c>
      <c r="Y7" s="46" t="s">
        <v>163</v>
      </c>
      <c r="Z7" s="37" t="str">
        <f t="shared" si="10"/>
        <v>delivered</v>
      </c>
      <c r="AA7" s="37" t="str">
        <f t="shared" si="11"/>
        <v>On Time</v>
      </c>
      <c r="AB7" s="37" t="str">
        <f t="shared" si="14"/>
        <v>0</v>
      </c>
      <c r="AC7" s="37">
        <f t="shared" ref="AC7:AC70" si="15">IF(TRIM(AB7&amp;"")="","",VALUE(TRIM(AB7&amp;"")))</f>
        <v>0</v>
      </c>
      <c r="AD7" s="45">
        <f t="shared" si="13"/>
        <v>0.503160556257901</v>
      </c>
      <c r="AE7" s="46">
        <v>5</v>
      </c>
      <c r="AF7" s="46" t="s">
        <v>106</v>
      </c>
      <c r="AG7" s="37" t="str">
        <f t="shared" si="12"/>
        <v>yes</v>
      </c>
      <c r="AH7" s="37" t="str">
        <f t="array" ref="AH7">_xlfn.IFS(LOWER(AG7)="n","no",LOWER(AG7)="y","yes",TRUE,LOWER(AG7))</f>
        <v>yes</v>
      </c>
      <c r="AI7" s="46" t="s">
        <v>4692</v>
      </c>
    </row>
    <row r="8" spans="1:35">
      <c r="A8" s="37" t="s">
        <v>164</v>
      </c>
      <c r="B8" s="38">
        <v>45365</v>
      </c>
      <c r="C8" s="39">
        <f t="shared" si="0"/>
        <v>45365</v>
      </c>
      <c r="D8" s="40" t="s">
        <v>166</v>
      </c>
      <c r="E8" s="37" t="str" cm="1">
        <f t="array" ref="E8">_xlfn.IFS(D8="delhi","north",D8="mumbai","west",D8="bengaluru","south",D8="chennai","south",D8="kolkata","east",TRUE,"west")</f>
        <v>west</v>
      </c>
      <c r="F8" s="37" t="s">
        <v>122</v>
      </c>
      <c r="G8" s="37" t="str">
        <f t="shared" si="1"/>
        <v>delhivery</v>
      </c>
      <c r="H8" s="37" t="s">
        <v>137</v>
      </c>
      <c r="I8" s="37" t="str">
        <f t="shared" si="2"/>
        <v>road</v>
      </c>
      <c r="J8" s="37" t="s">
        <v>167</v>
      </c>
      <c r="K8" s="37" t="str">
        <f t="shared" si="3"/>
        <v>pharma</v>
      </c>
      <c r="L8" s="37" t="s">
        <v>168</v>
      </c>
      <c r="M8" s="37" t="str">
        <f t="shared" si="4"/>
        <v>west</v>
      </c>
      <c r="N8" s="37" t="s">
        <v>88</v>
      </c>
      <c r="O8" s="41" t="str">
        <f t="shared" si="5"/>
        <v>Yes</v>
      </c>
      <c r="P8" s="41">
        <v>0.8</v>
      </c>
      <c r="Q8" s="41">
        <v>216</v>
      </c>
      <c r="R8" s="42">
        <f t="shared" si="6"/>
        <v>270</v>
      </c>
      <c r="S8" s="37">
        <v>8</v>
      </c>
      <c r="T8" s="37" t="s">
        <v>171</v>
      </c>
      <c r="U8" s="43" t="str">
        <f t="shared" si="7"/>
        <v>23-mar-2024</v>
      </c>
      <c r="V8" s="43">
        <f t="shared" si="8"/>
        <v>45374</v>
      </c>
      <c r="W8" s="44">
        <f t="array" ref="W8">_xlfn.IFS(TRIM(C8)="","",TRIM(V8)="","",TRUE,V8-C8)</f>
        <v>9</v>
      </c>
      <c r="X8" s="37">
        <f t="shared" si="9"/>
        <v>1</v>
      </c>
      <c r="Y8" s="37" t="s">
        <v>172</v>
      </c>
      <c r="Z8" s="37" t="str">
        <f t="shared" si="10"/>
        <v>delayed</v>
      </c>
      <c r="AA8" s="37" t="str">
        <f t="shared" si="11"/>
        <v>Late</v>
      </c>
      <c r="AB8" s="37" t="str">
        <f t="shared" si="14"/>
        <v>1</v>
      </c>
      <c r="AC8" s="37">
        <f t="shared" si="15"/>
        <v>1</v>
      </c>
      <c r="AD8" s="45">
        <f t="shared" si="13"/>
        <v>0.50347881087919</v>
      </c>
      <c r="AE8" s="37">
        <v>3</v>
      </c>
      <c r="AF8" s="37" t="s">
        <v>118</v>
      </c>
      <c r="AG8" s="37" t="str">
        <f t="shared" si="12"/>
        <v>no</v>
      </c>
      <c r="AH8" s="37" t="str">
        <f t="array" ref="AH8">_xlfn.IFS(LOWER(AG8)="n","no",LOWER(AG8)="y","yes",TRUE,LOWER(AG8))</f>
        <v>no</v>
      </c>
      <c r="AI8" s="37" t="s">
        <v>4692</v>
      </c>
    </row>
    <row r="9" spans="1:35">
      <c r="A9" s="46" t="s">
        <v>173</v>
      </c>
      <c r="B9" s="47">
        <v>45316</v>
      </c>
      <c r="C9" s="39">
        <f t="shared" si="0"/>
        <v>45316</v>
      </c>
      <c r="D9" s="48" t="s">
        <v>4695</v>
      </c>
      <c r="E9" s="37" t="str" cm="1">
        <f t="array" ref="E9">_xlfn.IFS(D9="delhi","north",D9="mumbai","west",D9="bengaluru","south",D9="chennai","south",D9="kolkata","east",TRUE,"west")</f>
        <v>west</v>
      </c>
      <c r="F9" s="46" t="s">
        <v>175</v>
      </c>
      <c r="G9" s="37" t="str">
        <f t="shared" si="1"/>
        <v>ecomexpress</v>
      </c>
      <c r="H9" s="46" t="s">
        <v>176</v>
      </c>
      <c r="I9" s="37" t="str">
        <f t="shared" si="2"/>
        <v>road</v>
      </c>
      <c r="J9" s="46" t="s">
        <v>177</v>
      </c>
      <c r="K9" s="37" t="str">
        <f t="shared" si="3"/>
        <v>pharma</v>
      </c>
      <c r="L9" s="46" t="s">
        <v>139</v>
      </c>
      <c r="M9" s="37" t="str">
        <f t="shared" si="4"/>
        <v>north</v>
      </c>
      <c r="N9" s="46" t="s">
        <v>113</v>
      </c>
      <c r="O9" s="41" t="str">
        <f t="shared" si="5"/>
        <v>Yes</v>
      </c>
      <c r="P9" s="49">
        <v>3.6</v>
      </c>
      <c r="Q9" s="49">
        <v>181</v>
      </c>
      <c r="R9" s="42">
        <f t="shared" si="6"/>
        <v>50.2777777777778</v>
      </c>
      <c r="S9" s="46">
        <v>8</v>
      </c>
      <c r="T9" s="46" t="s">
        <v>180</v>
      </c>
      <c r="U9" s="43" t="str">
        <f t="shared" si="7"/>
        <v>02/02/2024</v>
      </c>
      <c r="V9" s="43">
        <f t="shared" si="8"/>
        <v>45324</v>
      </c>
      <c r="W9" s="44">
        <f t="array" ref="W9">_xlfn.IFS(TRIM(C9)="","",TRIM(V9)="","",TRUE,V9-C9)</f>
        <v>8</v>
      </c>
      <c r="X9" s="37">
        <f t="shared" si="9"/>
        <v>0</v>
      </c>
      <c r="Y9" s="46" t="s">
        <v>105</v>
      </c>
      <c r="Z9" s="37" t="str">
        <f t="shared" si="10"/>
        <v>delivered</v>
      </c>
      <c r="AA9" s="37" t="str">
        <f t="shared" si="11"/>
        <v>On Time</v>
      </c>
      <c r="AB9" s="37" t="str">
        <f t="shared" si="14"/>
        <v>0</v>
      </c>
      <c r="AC9" s="37">
        <f t="shared" si="15"/>
        <v>0</v>
      </c>
      <c r="AD9" s="45">
        <f t="shared" si="13"/>
        <v>0.503164556962025</v>
      </c>
      <c r="AE9" s="46">
        <v>5</v>
      </c>
      <c r="AF9" s="46" t="s">
        <v>181</v>
      </c>
      <c r="AG9" s="37" t="str">
        <f t="shared" si="12"/>
        <v>y</v>
      </c>
      <c r="AH9" s="37" t="str">
        <f t="array" ref="AH9">_xlfn.IFS(LOWER(AG9)="n","no",LOWER(AG9)="y","yes",TRUE,LOWER(AG9))</f>
        <v>yes</v>
      </c>
      <c r="AI9" s="46" t="s">
        <v>4692</v>
      </c>
    </row>
    <row r="10" spans="1:35">
      <c r="A10" s="37" t="s">
        <v>182</v>
      </c>
      <c r="B10" s="38">
        <v>45327</v>
      </c>
      <c r="C10" s="39">
        <f t="shared" si="0"/>
        <v>45327</v>
      </c>
      <c r="D10" s="40" t="s">
        <v>109</v>
      </c>
      <c r="E10" s="37" t="str" cm="1">
        <f t="array" ref="E10">_xlfn.IFS(D10="delhi","north",D10="mumbai","west",D10="bengaluru","south",D10="chennai","south",D10="kolkata","east",TRUE,"west")</f>
        <v>west</v>
      </c>
      <c r="F10" s="37" t="s">
        <v>184</v>
      </c>
      <c r="G10" s="37" t="str">
        <f t="shared" si="1"/>
        <v>ecomexpress</v>
      </c>
      <c r="H10" s="37" t="s">
        <v>185</v>
      </c>
      <c r="I10" s="37" t="str">
        <f t="shared" si="2"/>
        <v>surface</v>
      </c>
      <c r="J10" s="37" t="s">
        <v>186</v>
      </c>
      <c r="K10" s="37" t="str">
        <f t="shared" si="3"/>
        <v>automotiveparts</v>
      </c>
      <c r="L10" s="37" t="s">
        <v>89</v>
      </c>
      <c r="M10" s="37" t="str">
        <f t="shared" si="4"/>
        <v>west</v>
      </c>
      <c r="N10" s="37" t="s">
        <v>187</v>
      </c>
      <c r="O10" s="41" t="str">
        <f t="shared" si="5"/>
        <v>Yes</v>
      </c>
      <c r="P10" s="41">
        <v>20</v>
      </c>
      <c r="Q10" s="41">
        <v>477</v>
      </c>
      <c r="R10" s="42">
        <f t="shared" si="6"/>
        <v>23.85</v>
      </c>
      <c r="S10" s="37">
        <v>4</v>
      </c>
      <c r="T10" s="37" t="s">
        <v>190</v>
      </c>
      <c r="U10" s="43" t="str">
        <f t="shared" si="7"/>
        <v>14/02/2024</v>
      </c>
      <c r="V10" s="43">
        <f t="shared" si="8"/>
        <v>45336</v>
      </c>
      <c r="W10" s="44">
        <f t="array" ref="W10">_xlfn.IFS(TRIM(C10)="","",TRIM(V10)="","",TRUE,V10-C10)</f>
        <v>9</v>
      </c>
      <c r="X10" s="37">
        <f t="shared" si="9"/>
        <v>5</v>
      </c>
      <c r="Y10" s="37" t="s">
        <v>143</v>
      </c>
      <c r="Z10" s="37" t="str">
        <f t="shared" si="10"/>
        <v>delayed</v>
      </c>
      <c r="AA10" s="37" t="str">
        <f t="shared" si="11"/>
        <v>Late</v>
      </c>
      <c r="AB10" s="37" t="str">
        <f t="shared" si="14"/>
        <v>1</v>
      </c>
      <c r="AC10" s="37">
        <f t="shared" si="15"/>
        <v>1</v>
      </c>
      <c r="AD10" s="45">
        <f t="shared" si="13"/>
        <v>0.503483217226092</v>
      </c>
      <c r="AE10" s="37">
        <v>5</v>
      </c>
      <c r="AF10" s="37" t="s">
        <v>191</v>
      </c>
      <c r="AG10" s="37" t="str">
        <f t="shared" si="12"/>
        <v>no</v>
      </c>
      <c r="AH10" s="37" t="str">
        <f t="array" ref="AH10">_xlfn.IFS(LOWER(AG10)="n","no",LOWER(AG10)="y","yes",TRUE,LOWER(AG10))</f>
        <v>no</v>
      </c>
      <c r="AI10" s="37" t="s">
        <v>4692</v>
      </c>
    </row>
    <row r="11" spans="1:35">
      <c r="A11" s="46" t="s">
        <v>192</v>
      </c>
      <c r="B11" s="47">
        <v>45454</v>
      </c>
      <c r="C11" s="39">
        <f t="shared" si="0"/>
        <v>45454</v>
      </c>
      <c r="D11" s="48" t="s">
        <v>633</v>
      </c>
      <c r="E11" s="37" t="str" cm="1">
        <f t="array" ref="E11">_xlfn.IFS(D11="delhi","north",D11="mumbai","west",D11="bengaluru","south",D11="chennai","south",D11="kolkata","east",TRUE,"west")</f>
        <v>south</v>
      </c>
      <c r="F11" s="46" t="s">
        <v>194</v>
      </c>
      <c r="G11" s="37" t="str">
        <f t="shared" si="1"/>
        <v>xpressbees</v>
      </c>
      <c r="H11" s="46" t="s">
        <v>195</v>
      </c>
      <c r="I11" s="37" t="str">
        <f t="shared" si="2"/>
        <v>road</v>
      </c>
      <c r="J11" s="46" t="s">
        <v>196</v>
      </c>
      <c r="K11" s="37" t="str">
        <f t="shared" si="3"/>
        <v>apparel</v>
      </c>
      <c r="L11" s="46" t="s">
        <v>197</v>
      </c>
      <c r="M11" s="37" t="str">
        <f t="shared" si="4"/>
        <v>south</v>
      </c>
      <c r="N11" s="46" t="s">
        <v>54</v>
      </c>
      <c r="O11" s="41" t="str">
        <f t="shared" si="5"/>
        <v>Yes</v>
      </c>
      <c r="P11" s="49">
        <v>2.8</v>
      </c>
      <c r="Q11" s="49">
        <v>80</v>
      </c>
      <c r="R11" s="42">
        <f t="shared" si="6"/>
        <v>28.5714285714286</v>
      </c>
      <c r="S11" s="46">
        <v>6</v>
      </c>
      <c r="T11" s="46" t="s">
        <v>199</v>
      </c>
      <c r="U11" s="43" t="str">
        <f t="shared" si="7"/>
        <v>22/06/2024</v>
      </c>
      <c r="V11" s="43">
        <f t="shared" si="8"/>
        <v>45465</v>
      </c>
      <c r="W11" s="44">
        <f t="array" ref="W11">_xlfn.IFS(TRIM(C11)="","",TRIM(V11)="","",TRUE,V11-C11)</f>
        <v>11</v>
      </c>
      <c r="X11" s="37">
        <f t="shared" si="9"/>
        <v>5</v>
      </c>
      <c r="Y11" s="46" t="s">
        <v>200</v>
      </c>
      <c r="Z11" s="37" t="str">
        <f t="shared" si="10"/>
        <v>delayed</v>
      </c>
      <c r="AA11" s="37" t="str">
        <f t="shared" si="11"/>
        <v>Late</v>
      </c>
      <c r="AB11" s="37" t="str">
        <f t="shared" si="14"/>
        <v>1</v>
      </c>
      <c r="AC11" s="37">
        <f t="shared" si="15"/>
        <v>1</v>
      </c>
      <c r="AD11" s="45">
        <f t="shared" si="13"/>
        <v>0.503168567807351</v>
      </c>
      <c r="AE11" s="46">
        <v>3</v>
      </c>
      <c r="AF11" s="46" t="s">
        <v>131</v>
      </c>
      <c r="AG11" s="37" t="str">
        <f t="shared" si="12"/>
        <v>n</v>
      </c>
      <c r="AH11" s="37" t="str">
        <f t="array" ref="AH11">_xlfn.IFS(LOWER(AG11)="n","no",LOWER(AG11)="y","yes",TRUE,LOWER(AG11))</f>
        <v>no</v>
      </c>
      <c r="AI11" s="46" t="s">
        <v>4692</v>
      </c>
    </row>
    <row r="12" spans="1:35">
      <c r="A12" s="37" t="s">
        <v>201</v>
      </c>
      <c r="B12" s="38">
        <v>45463</v>
      </c>
      <c r="C12" s="39">
        <f t="shared" si="0"/>
        <v>45463</v>
      </c>
      <c r="D12" s="40" t="s">
        <v>212</v>
      </c>
      <c r="E12" s="37" t="str" cm="1">
        <f t="array" ref="E12">_xlfn.IFS(D12="delhi","north",D12="mumbai","west",D12="bengaluru","south",D12="chennai","south",D12="kolkata","east",TRUE,"west")</f>
        <v>west</v>
      </c>
      <c r="F12" s="37" t="s">
        <v>204</v>
      </c>
      <c r="G12" s="37" t="str">
        <f t="shared" si="1"/>
        <v>delhivery</v>
      </c>
      <c r="H12" s="37" t="s">
        <v>110</v>
      </c>
      <c r="I12" s="37" t="str">
        <f t="shared" si="2"/>
        <v>surface</v>
      </c>
      <c r="J12" s="37" t="s">
        <v>205</v>
      </c>
      <c r="K12" s="37" t="str">
        <f t="shared" si="3"/>
        <v>furniture</v>
      </c>
      <c r="L12" s="37" t="s">
        <v>89</v>
      </c>
      <c r="M12" s="37" t="str">
        <f t="shared" si="4"/>
        <v>west</v>
      </c>
      <c r="N12" s="37" t="s">
        <v>206</v>
      </c>
      <c r="O12" s="41" t="str">
        <f t="shared" si="5"/>
        <v>Yes</v>
      </c>
      <c r="P12" s="41">
        <v>24.5</v>
      </c>
      <c r="Q12" s="41">
        <v>512</v>
      </c>
      <c r="R12" s="42">
        <f t="shared" si="6"/>
        <v>20.8979591836735</v>
      </c>
      <c r="S12" s="37">
        <v>4</v>
      </c>
      <c r="T12" s="37" t="s">
        <v>209</v>
      </c>
      <c r="U12" s="43" t="str">
        <f t="shared" si="7"/>
        <v>02/07/2024</v>
      </c>
      <c r="V12" s="43">
        <f t="shared" si="8"/>
        <v>45475</v>
      </c>
      <c r="W12" s="44">
        <f t="array" ref="W12">_xlfn.IFS(TRIM(C12)="","",TRIM(V12)="","",TRUE,V12-C12)</f>
        <v>12</v>
      </c>
      <c r="X12" s="37">
        <f t="shared" si="9"/>
        <v>8</v>
      </c>
      <c r="Y12" s="37" t="s">
        <v>200</v>
      </c>
      <c r="Z12" s="37" t="str">
        <f t="shared" si="10"/>
        <v>delayed</v>
      </c>
      <c r="AA12" s="37" t="str">
        <f t="shared" si="11"/>
        <v>Late</v>
      </c>
      <c r="AB12" s="37" t="str">
        <f t="shared" si="14"/>
        <v>1</v>
      </c>
      <c r="AC12" s="37">
        <f t="shared" si="15"/>
        <v>1</v>
      </c>
      <c r="AD12" s="45">
        <f t="shared" si="13"/>
        <v>0.50285351934052</v>
      </c>
      <c r="AE12" s="37">
        <v>3</v>
      </c>
      <c r="AF12" s="37" t="s">
        <v>106</v>
      </c>
      <c r="AG12" s="37" t="str">
        <f t="shared" si="12"/>
        <v>yes</v>
      </c>
      <c r="AH12" s="37" t="str">
        <f t="array" ref="AH12">_xlfn.IFS(LOWER(AG12)="n","no",LOWER(AG12)="y","yes",TRUE,LOWER(AG12))</f>
        <v>yes</v>
      </c>
      <c r="AI12" s="37" t="s">
        <v>4692</v>
      </c>
    </row>
    <row r="13" spans="1:35">
      <c r="A13" s="46" t="s">
        <v>210</v>
      </c>
      <c r="B13" s="47">
        <v>45327</v>
      </c>
      <c r="C13" s="39">
        <f t="shared" si="0"/>
        <v>45327</v>
      </c>
      <c r="D13" s="48" t="s">
        <v>212</v>
      </c>
      <c r="E13" s="37" t="str" cm="1">
        <f t="array" ref="E13">_xlfn.IFS(D13="delhi","north",D13="mumbai","west",D13="bengaluru","south",D13="chennai","south",D13="kolkata","east",TRUE,"west")</f>
        <v>west</v>
      </c>
      <c r="F13" s="46" t="s">
        <v>213</v>
      </c>
      <c r="G13" s="37" t="str">
        <f t="shared" si="1"/>
        <v>dtdc</v>
      </c>
      <c r="H13" s="46" t="s">
        <v>147</v>
      </c>
      <c r="I13" s="37" t="str">
        <f t="shared" si="2"/>
        <v>road</v>
      </c>
      <c r="J13" s="46" t="s">
        <v>214</v>
      </c>
      <c r="K13" s="37" t="str">
        <f t="shared" si="3"/>
        <v>grocery&amp;fmcg</v>
      </c>
      <c r="L13" s="46" t="s">
        <v>139</v>
      </c>
      <c r="M13" s="37" t="str">
        <f t="shared" si="4"/>
        <v>north</v>
      </c>
      <c r="N13" s="46" t="s">
        <v>215</v>
      </c>
      <c r="O13" s="41" t="str">
        <f t="shared" si="5"/>
        <v>Yes</v>
      </c>
      <c r="P13" s="49">
        <v>8.2</v>
      </c>
      <c r="Q13" s="49">
        <v>301</v>
      </c>
      <c r="R13" s="42">
        <f t="shared" si="6"/>
        <v>36.7073170731707</v>
      </c>
      <c r="S13" s="46">
        <v>8</v>
      </c>
      <c r="T13" s="46" t="s">
        <v>218</v>
      </c>
      <c r="U13" s="43" t="str">
        <f t="shared" si="7"/>
        <v>13-feb-2024</v>
      </c>
      <c r="V13" s="43">
        <f t="shared" si="8"/>
        <v>45335</v>
      </c>
      <c r="W13" s="44">
        <f t="array" ref="W13">_xlfn.IFS(TRIM(C13)="","",TRIM(V13)="","",TRUE,V13-C13)</f>
        <v>8</v>
      </c>
      <c r="X13" s="37">
        <f t="shared" si="9"/>
        <v>0</v>
      </c>
      <c r="Y13" s="46" t="s">
        <v>219</v>
      </c>
      <c r="Z13" s="37" t="str">
        <f t="shared" si="10"/>
        <v>delivered</v>
      </c>
      <c r="AA13" s="37" t="str">
        <f t="shared" si="11"/>
        <v>On Time</v>
      </c>
      <c r="AB13" s="37" t="str">
        <f t="shared" si="14"/>
        <v>0</v>
      </c>
      <c r="AC13" s="37">
        <f t="shared" si="15"/>
        <v>0</v>
      </c>
      <c r="AD13" s="45">
        <f t="shared" si="13"/>
        <v>0.50253807106599</v>
      </c>
      <c r="AE13" s="46">
        <v>5</v>
      </c>
      <c r="AF13" s="46" t="s">
        <v>79</v>
      </c>
      <c r="AG13" s="37" t="str">
        <f t="shared" si="12"/>
        <v>yes</v>
      </c>
      <c r="AH13" s="37" t="str">
        <f t="array" ref="AH13">_xlfn.IFS(LOWER(AG13)="n","no",LOWER(AG13)="y","yes",TRUE,LOWER(AG13))</f>
        <v>yes</v>
      </c>
      <c r="AI13" s="46" t="s">
        <v>4692</v>
      </c>
    </row>
    <row r="14" spans="1:35">
      <c r="A14" s="37" t="s">
        <v>220</v>
      </c>
      <c r="B14" s="38">
        <v>45325</v>
      </c>
      <c r="C14" s="39">
        <f t="shared" si="0"/>
        <v>45325</v>
      </c>
      <c r="D14" s="40" t="s">
        <v>222</v>
      </c>
      <c r="E14" s="37" t="str" cm="1">
        <f t="array" ref="E14">_xlfn.IFS(D14="delhi","north",D14="mumbai","west",D14="bengaluru","south",D14="chennai","south",D14="kolkata","east",TRUE,"west")</f>
        <v>west</v>
      </c>
      <c r="F14" s="37" t="s">
        <v>223</v>
      </c>
      <c r="G14" s="37" t="str">
        <f t="shared" si="1"/>
        <v>xpressbees</v>
      </c>
      <c r="H14" s="37" t="s">
        <v>224</v>
      </c>
      <c r="I14" s="37" t="str">
        <f t="shared" si="2"/>
        <v>air</v>
      </c>
      <c r="J14" s="37" t="s">
        <v>177</v>
      </c>
      <c r="K14" s="37" t="str">
        <f t="shared" si="3"/>
        <v>pharma</v>
      </c>
      <c r="L14" s="37" t="s">
        <v>112</v>
      </c>
      <c r="M14" s="37" t="str">
        <f t="shared" si="4"/>
        <v>north</v>
      </c>
      <c r="N14" s="37" t="s">
        <v>32</v>
      </c>
      <c r="O14" s="41" t="str">
        <f t="shared" si="5"/>
        <v>Yes</v>
      </c>
      <c r="P14" s="41">
        <v>4</v>
      </c>
      <c r="Q14" s="41">
        <v>387</v>
      </c>
      <c r="R14" s="42">
        <f t="shared" si="6"/>
        <v>96.75</v>
      </c>
      <c r="S14" s="37">
        <v>4</v>
      </c>
      <c r="T14" s="37" t="s">
        <v>227</v>
      </c>
      <c r="U14" s="43" t="str">
        <f t="shared" si="7"/>
        <v>06-feb-2024</v>
      </c>
      <c r="V14" s="43">
        <f t="shared" si="8"/>
        <v>45328</v>
      </c>
      <c r="W14" s="44">
        <f t="array" ref="W14">_xlfn.IFS(TRIM(C14)="","",TRIM(V14)="","",TRUE,V14-C14)</f>
        <v>3</v>
      </c>
      <c r="X14" s="37">
        <f t="shared" si="9"/>
        <v>-1</v>
      </c>
      <c r="Y14" s="37" t="s">
        <v>105</v>
      </c>
      <c r="Z14" s="37" t="str">
        <f t="shared" si="10"/>
        <v>delivered</v>
      </c>
      <c r="AA14" s="37" t="str">
        <f t="shared" si="11"/>
        <v>On Time</v>
      </c>
      <c r="AB14" s="37" t="str">
        <f t="shared" si="14"/>
        <v>0</v>
      </c>
      <c r="AC14" s="37">
        <f t="shared" si="15"/>
        <v>0</v>
      </c>
      <c r="AD14" s="45">
        <f t="shared" si="13"/>
        <v>0.502857142857143</v>
      </c>
      <c r="AE14" s="37">
        <v>5</v>
      </c>
      <c r="AF14" s="37" t="s">
        <v>106</v>
      </c>
      <c r="AG14" s="37" t="str">
        <f t="shared" si="12"/>
        <v>yes</v>
      </c>
      <c r="AH14" s="37" t="str">
        <f t="array" ref="AH14">_xlfn.IFS(LOWER(AG14)="n","no",LOWER(AG14)="y","yes",TRUE,LOWER(AG14))</f>
        <v>yes</v>
      </c>
      <c r="AI14" s="37" t="s">
        <v>4692</v>
      </c>
    </row>
    <row r="15" spans="1:35">
      <c r="A15" s="46" t="s">
        <v>228</v>
      </c>
      <c r="B15" s="47">
        <v>45448</v>
      </c>
      <c r="C15" s="39">
        <f t="shared" si="0"/>
        <v>45448</v>
      </c>
      <c r="D15" s="48" t="s">
        <v>109</v>
      </c>
      <c r="E15" s="37" t="str" cm="1">
        <f t="array" ref="E15">_xlfn.IFS(D15="delhi","north",D15="mumbai","west",D15="bengaluru","south",D15="chennai","south",D15="kolkata","east",TRUE,"west")</f>
        <v>west</v>
      </c>
      <c r="F15" s="46" t="s">
        <v>230</v>
      </c>
      <c r="G15" s="37" t="str">
        <f t="shared" si="1"/>
        <v>dtdc</v>
      </c>
      <c r="H15" s="46" t="s">
        <v>137</v>
      </c>
      <c r="I15" s="37" t="str">
        <f t="shared" si="2"/>
        <v>road</v>
      </c>
      <c r="J15" s="46" t="s">
        <v>231</v>
      </c>
      <c r="K15" s="37" t="str">
        <f t="shared" si="3"/>
        <v>furniture</v>
      </c>
      <c r="L15" s="46" t="s">
        <v>51</v>
      </c>
      <c r="M15" s="37" t="str">
        <f t="shared" si="4"/>
        <v>south</v>
      </c>
      <c r="N15" s="46" t="s">
        <v>90</v>
      </c>
      <c r="O15" s="41" t="str">
        <f t="shared" si="5"/>
        <v>Yes</v>
      </c>
      <c r="P15" s="49">
        <v>23.9</v>
      </c>
      <c r="Q15" s="49">
        <v>538</v>
      </c>
      <c r="R15" s="42">
        <f t="shared" si="6"/>
        <v>22.510460251046</v>
      </c>
      <c r="S15" s="46">
        <v>8</v>
      </c>
      <c r="T15" s="46" t="s">
        <v>234</v>
      </c>
      <c r="U15" s="43" t="str">
        <f t="shared" si="7"/>
        <v>18/06/2024</v>
      </c>
      <c r="V15" s="43">
        <f t="shared" si="8"/>
        <v>45461</v>
      </c>
      <c r="W15" s="44">
        <f t="array" ref="W15">_xlfn.IFS(TRIM(C15)="","",TRIM(V15)="","",TRUE,V15-C15)</f>
        <v>13</v>
      </c>
      <c r="X15" s="37">
        <f t="shared" si="9"/>
        <v>5</v>
      </c>
      <c r="Y15" s="46" t="s">
        <v>200</v>
      </c>
      <c r="Z15" s="37" t="str">
        <f t="shared" si="10"/>
        <v>delayed</v>
      </c>
      <c r="AA15" s="37" t="str">
        <f t="shared" si="11"/>
        <v>Late</v>
      </c>
      <c r="AB15" s="37" t="str">
        <f t="shared" si="14"/>
        <v>1</v>
      </c>
      <c r="AC15" s="37">
        <f t="shared" si="15"/>
        <v>1</v>
      </c>
      <c r="AD15" s="45">
        <f t="shared" si="13"/>
        <v>0.503176620076239</v>
      </c>
      <c r="AE15" s="46">
        <v>1</v>
      </c>
      <c r="AF15" s="46" t="s">
        <v>152</v>
      </c>
      <c r="AG15" s="37" t="str">
        <f t="shared" si="12"/>
        <v>no</v>
      </c>
      <c r="AH15" s="37" t="str">
        <f t="array" ref="AH15">_xlfn.IFS(LOWER(AG15)="n","no",LOWER(AG15)="y","yes",TRUE,LOWER(AG15))</f>
        <v>no</v>
      </c>
      <c r="AI15" s="46" t="s">
        <v>4692</v>
      </c>
    </row>
    <row r="16" spans="1:35">
      <c r="A16" s="37" t="s">
        <v>235</v>
      </c>
      <c r="B16" s="38" t="s">
        <v>4696</v>
      </c>
      <c r="C16" s="39">
        <f t="shared" si="0"/>
        <v>45293</v>
      </c>
      <c r="D16" s="40" t="s">
        <v>4694</v>
      </c>
      <c r="E16" s="37" t="str" cm="1">
        <f t="array" ref="E16">_xlfn.IFS(D16="delhi","north",D16="mumbai","west",D16="bengaluru","south",D16="chennai","south",D16="kolkata","east",TRUE,"west")</f>
        <v>west</v>
      </c>
      <c r="F16" s="37" t="s">
        <v>194</v>
      </c>
      <c r="G16" s="37" t="str">
        <f t="shared" si="1"/>
        <v>xpressbees</v>
      </c>
      <c r="H16" s="37" t="s">
        <v>157</v>
      </c>
      <c r="I16" s="37" t="str">
        <f t="shared" si="2"/>
        <v>surface</v>
      </c>
      <c r="J16" s="37" t="s">
        <v>237</v>
      </c>
      <c r="K16" s="37" t="str">
        <f t="shared" si="3"/>
        <v>automotiveparts</v>
      </c>
      <c r="L16" s="37" t="s">
        <v>101</v>
      </c>
      <c r="M16" s="37" t="str">
        <f t="shared" si="4"/>
        <v>west</v>
      </c>
      <c r="N16" s="37" t="s">
        <v>187</v>
      </c>
      <c r="O16" s="41" t="str">
        <f t="shared" si="5"/>
        <v>Yes</v>
      </c>
      <c r="P16" s="41">
        <v>8.9</v>
      </c>
      <c r="Q16" s="41">
        <v>335</v>
      </c>
      <c r="R16" s="42">
        <f t="shared" si="6"/>
        <v>37.6404494382022</v>
      </c>
      <c r="S16" s="37">
        <v>6</v>
      </c>
      <c r="T16" s="37" t="s">
        <v>240</v>
      </c>
      <c r="U16" s="43" t="str">
        <f t="shared" si="7"/>
        <v>07/01/2024</v>
      </c>
      <c r="V16" s="43">
        <f t="shared" si="8"/>
        <v>45298</v>
      </c>
      <c r="W16" s="44">
        <f t="array" ref="W16">_xlfn.IFS(TRIM(C16)="","",TRIM(V16)="","",TRUE,V16-C16)</f>
        <v>5</v>
      </c>
      <c r="X16" s="37">
        <f t="shared" si="9"/>
        <v>-1</v>
      </c>
      <c r="Y16" s="37" t="s">
        <v>219</v>
      </c>
      <c r="Z16" s="37" t="str">
        <f t="shared" si="10"/>
        <v>delivered</v>
      </c>
      <c r="AA16" s="37" t="str">
        <f t="shared" si="11"/>
        <v>On Time</v>
      </c>
      <c r="AB16" s="37" t="str">
        <f t="shared" si="14"/>
        <v>0</v>
      </c>
      <c r="AC16" s="37">
        <f t="shared" si="15"/>
        <v>0</v>
      </c>
      <c r="AD16" s="45">
        <f t="shared" si="13"/>
        <v>0.502860775588048</v>
      </c>
      <c r="AE16" s="37">
        <v>4</v>
      </c>
      <c r="AF16" s="37" t="s">
        <v>79</v>
      </c>
      <c r="AG16" s="37" t="str">
        <f t="shared" si="12"/>
        <v>yes</v>
      </c>
      <c r="AH16" s="37" t="str">
        <f t="array" ref="AH16">_xlfn.IFS(LOWER(AG16)="n","no",LOWER(AG16)="y","yes",TRUE,LOWER(AG16))</f>
        <v>yes</v>
      </c>
      <c r="AI16" s="37" t="s">
        <v>4692</v>
      </c>
    </row>
    <row r="17" spans="1:35">
      <c r="A17" s="46" t="s">
        <v>241</v>
      </c>
      <c r="B17" s="47">
        <v>45343</v>
      </c>
      <c r="C17" s="39">
        <f t="shared" si="0"/>
        <v>45343</v>
      </c>
      <c r="D17" s="48" t="s">
        <v>243</v>
      </c>
      <c r="E17" s="37" t="str" cm="1">
        <f t="array" ref="E17">_xlfn.IFS(D17="delhi","north",D17="mumbai","west",D17="bengaluru","south",D17="chennai","south",D17="kolkata","east",TRUE,"west")</f>
        <v>west</v>
      </c>
      <c r="F17" s="46" t="s">
        <v>213</v>
      </c>
      <c r="G17" s="37" t="str">
        <f t="shared" si="1"/>
        <v>dtdc</v>
      </c>
      <c r="H17" s="46" t="s">
        <v>244</v>
      </c>
      <c r="I17" s="37" t="str">
        <f t="shared" si="2"/>
        <v>air</v>
      </c>
      <c r="J17" s="46" t="s">
        <v>245</v>
      </c>
      <c r="K17" s="37" t="str">
        <f t="shared" si="3"/>
        <v>electronics</v>
      </c>
      <c r="L17" s="46" t="s">
        <v>87</v>
      </c>
      <c r="M17" s="37" t="str">
        <f t="shared" si="4"/>
        <v>north</v>
      </c>
      <c r="N17" s="46" t="s">
        <v>215</v>
      </c>
      <c r="O17" s="41" t="str">
        <f t="shared" si="5"/>
        <v>Yes</v>
      </c>
      <c r="P17" s="49">
        <v>8.1</v>
      </c>
      <c r="Q17" s="49">
        <v>524</v>
      </c>
      <c r="R17" s="42">
        <f t="shared" si="6"/>
        <v>64.6913580246914</v>
      </c>
      <c r="S17" s="46">
        <v>4</v>
      </c>
      <c r="T17" s="46" t="s">
        <v>248</v>
      </c>
      <c r="U17" s="43" t="str">
        <f t="shared" si="7"/>
        <v>25-feb-2024</v>
      </c>
      <c r="V17" s="43">
        <f t="shared" si="8"/>
        <v>45347</v>
      </c>
      <c r="W17" s="44">
        <f t="array" ref="W17">_xlfn.IFS(TRIM(C17)="","",TRIM(V17)="","",TRUE,V17-C17)</f>
        <v>4</v>
      </c>
      <c r="X17" s="37">
        <f t="shared" si="9"/>
        <v>0</v>
      </c>
      <c r="Y17" s="46" t="s">
        <v>117</v>
      </c>
      <c r="Z17" s="37" t="str">
        <f t="shared" si="10"/>
        <v>delivered</v>
      </c>
      <c r="AA17" s="37" t="str">
        <f t="shared" si="11"/>
        <v>On Time</v>
      </c>
      <c r="AB17" s="37" t="str">
        <f t="shared" si="14"/>
        <v>0</v>
      </c>
      <c r="AC17" s="37">
        <f t="shared" si="15"/>
        <v>0</v>
      </c>
      <c r="AD17" s="45">
        <f t="shared" si="13"/>
        <v>0.503180661577608</v>
      </c>
      <c r="AE17" s="46">
        <v>5</v>
      </c>
      <c r="AF17" s="46" t="s">
        <v>79</v>
      </c>
      <c r="AG17" s="37" t="str">
        <f t="shared" si="12"/>
        <v>yes</v>
      </c>
      <c r="AH17" s="37" t="str">
        <f t="array" ref="AH17">_xlfn.IFS(LOWER(AG17)="n","no",LOWER(AG17)="y","yes",TRUE,LOWER(AG17))</f>
        <v>yes</v>
      </c>
      <c r="AI17" s="46" t="s">
        <v>4692</v>
      </c>
    </row>
    <row r="18" spans="1:35">
      <c r="A18" s="37" t="s">
        <v>249</v>
      </c>
      <c r="B18" s="38" t="s">
        <v>4697</v>
      </c>
      <c r="C18" s="39">
        <f t="shared" si="0"/>
        <v>45414</v>
      </c>
      <c r="D18" s="40" t="s">
        <v>340</v>
      </c>
      <c r="E18" s="37" t="str" cm="1">
        <f t="array" ref="E18">_xlfn.IFS(D18="delhi","north",D18="mumbai","west",D18="bengaluru","south",D18="chennai","south",D18="kolkata","east",TRUE,"west")</f>
        <v>north</v>
      </c>
      <c r="F18" s="37" t="s">
        <v>136</v>
      </c>
      <c r="G18" s="37" t="str">
        <f t="shared" si="1"/>
        <v>bluedart</v>
      </c>
      <c r="H18" s="37" t="s">
        <v>137</v>
      </c>
      <c r="I18" s="37" t="str">
        <f t="shared" si="2"/>
        <v>road</v>
      </c>
      <c r="J18" s="37" t="s">
        <v>158</v>
      </c>
      <c r="K18" s="37" t="str">
        <f t="shared" si="3"/>
        <v>pharma</v>
      </c>
      <c r="L18" s="37" t="s">
        <v>168</v>
      </c>
      <c r="M18" s="37" t="str">
        <f t="shared" si="4"/>
        <v>west</v>
      </c>
      <c r="N18" s="37" t="s">
        <v>88</v>
      </c>
      <c r="O18" s="41" t="str">
        <f t="shared" si="5"/>
        <v>Yes</v>
      </c>
      <c r="P18" s="41">
        <v>3.8</v>
      </c>
      <c r="Q18" s="41">
        <v>225</v>
      </c>
      <c r="R18" s="42">
        <f t="shared" si="6"/>
        <v>59.2105263157895</v>
      </c>
      <c r="S18" s="37">
        <v>8</v>
      </c>
      <c r="T18" s="37" t="s">
        <v>254</v>
      </c>
      <c r="U18" s="43" t="str">
        <f t="shared" si="7"/>
        <v>2024-05-09</v>
      </c>
      <c r="V18" s="43">
        <f t="shared" si="8"/>
        <v>45421</v>
      </c>
      <c r="W18" s="44">
        <f t="array" ref="W18">_xlfn.IFS(TRIM(C18)="","",TRIM(V18)="","",TRUE,V18-C18)</f>
        <v>7</v>
      </c>
      <c r="X18" s="37">
        <f t="shared" si="9"/>
        <v>-1</v>
      </c>
      <c r="Y18" s="37" t="s">
        <v>117</v>
      </c>
      <c r="Z18" s="37" t="str">
        <f t="shared" si="10"/>
        <v>delivered</v>
      </c>
      <c r="AA18" s="37" t="str">
        <f t="shared" si="11"/>
        <v>On Time</v>
      </c>
      <c r="AB18" s="37" t="str">
        <f t="shared" si="14"/>
        <v>0</v>
      </c>
      <c r="AC18" s="37">
        <f t="shared" si="15"/>
        <v>0</v>
      </c>
      <c r="AD18" s="45">
        <f t="shared" si="13"/>
        <v>0.503500954805856</v>
      </c>
      <c r="AE18" s="37">
        <v>4</v>
      </c>
      <c r="AF18" s="37" t="s">
        <v>152</v>
      </c>
      <c r="AG18" s="37" t="str">
        <f t="shared" si="12"/>
        <v>no</v>
      </c>
      <c r="AH18" s="37" t="str">
        <f t="array" ref="AH18">_xlfn.IFS(LOWER(AG18)="n","no",LOWER(AG18)="y","yes",TRUE,LOWER(AG18))</f>
        <v>no</v>
      </c>
      <c r="AI18" s="37" t="s">
        <v>4692</v>
      </c>
    </row>
    <row r="19" spans="1:35">
      <c r="A19" s="46" t="s">
        <v>255</v>
      </c>
      <c r="B19" s="47">
        <v>45447</v>
      </c>
      <c r="C19" s="39">
        <f t="shared" si="0"/>
        <v>45447</v>
      </c>
      <c r="D19" s="48" t="s">
        <v>109</v>
      </c>
      <c r="E19" s="37" t="str" cm="1">
        <f t="array" ref="E19">_xlfn.IFS(D19="delhi","north",D19="mumbai","west",D19="bengaluru","south",D19="chennai","south",D19="kolkata","east",TRUE,"west")</f>
        <v>west</v>
      </c>
      <c r="F19" s="46" t="s">
        <v>175</v>
      </c>
      <c r="G19" s="37" t="str">
        <f t="shared" si="1"/>
        <v>ecomexpress</v>
      </c>
      <c r="H19" s="46" t="s">
        <v>99</v>
      </c>
      <c r="I19" s="37" t="str">
        <f t="shared" si="2"/>
        <v>air</v>
      </c>
      <c r="J19" s="46" t="s">
        <v>138</v>
      </c>
      <c r="K19" s="37" t="str">
        <f t="shared" si="3"/>
        <v>apparel</v>
      </c>
      <c r="L19" s="46" t="s">
        <v>257</v>
      </c>
      <c r="M19" s="37" t="str">
        <f t="shared" si="4"/>
        <v>west</v>
      </c>
      <c r="N19" s="46" t="s">
        <v>187</v>
      </c>
      <c r="O19" s="41" t="str">
        <f t="shared" si="5"/>
        <v>Yes</v>
      </c>
      <c r="P19" s="49">
        <v>4.6</v>
      </c>
      <c r="Q19" s="49">
        <v>237</v>
      </c>
      <c r="R19" s="42">
        <f t="shared" si="6"/>
        <v>51.5217391304348</v>
      </c>
      <c r="S19" s="46">
        <v>2</v>
      </c>
      <c r="T19" s="46" t="s">
        <v>260</v>
      </c>
      <c r="U19" s="43" t="str">
        <f t="shared" si="7"/>
        <v>2024-06-06</v>
      </c>
      <c r="V19" s="43">
        <f t="shared" si="8"/>
        <v>45449</v>
      </c>
      <c r="W19" s="44">
        <f t="array" ref="W19">_xlfn.IFS(TRIM(C19)="","",TRIM(V19)="","",TRUE,V19-C19)</f>
        <v>2</v>
      </c>
      <c r="X19" s="37">
        <f t="shared" si="9"/>
        <v>0</v>
      </c>
      <c r="Y19" s="46" t="s">
        <v>117</v>
      </c>
      <c r="Z19" s="37" t="str">
        <f t="shared" si="10"/>
        <v>delivered</v>
      </c>
      <c r="AA19" s="37" t="str">
        <f t="shared" si="11"/>
        <v>On Time</v>
      </c>
      <c r="AB19" s="37" t="str">
        <f t="shared" si="14"/>
        <v>0</v>
      </c>
      <c r="AC19" s="37">
        <f t="shared" si="15"/>
        <v>0</v>
      </c>
      <c r="AD19" s="45">
        <f t="shared" si="13"/>
        <v>0.503821656050955</v>
      </c>
      <c r="AE19" s="46">
        <v>5</v>
      </c>
      <c r="AF19" s="46" t="s">
        <v>106</v>
      </c>
      <c r="AG19" s="37" t="str">
        <f t="shared" si="12"/>
        <v>yes</v>
      </c>
      <c r="AH19" s="37" t="str">
        <f t="array" ref="AH19">_xlfn.IFS(LOWER(AG19)="n","no",LOWER(AG19)="y","yes",TRUE,LOWER(AG19))</f>
        <v>yes</v>
      </c>
      <c r="AI19" s="46" t="s">
        <v>4692</v>
      </c>
    </row>
    <row r="20" spans="1:35">
      <c r="A20" s="37" t="s">
        <v>261</v>
      </c>
      <c r="B20" s="38">
        <v>45445</v>
      </c>
      <c r="C20" s="39">
        <f t="shared" si="0"/>
        <v>45445</v>
      </c>
      <c r="D20" s="40" t="s">
        <v>121</v>
      </c>
      <c r="E20" s="37" t="str" cm="1">
        <f t="array" ref="E20">_xlfn.IFS(D20="delhi","north",D20="mumbai","west",D20="bengaluru","south",D20="chennai","south",D20="kolkata","east",TRUE,"west")</f>
        <v>west</v>
      </c>
      <c r="F20" s="37" t="s">
        <v>156</v>
      </c>
      <c r="G20" s="37" t="str">
        <f t="shared" si="1"/>
        <v>xpressbees</v>
      </c>
      <c r="H20" s="37" t="s">
        <v>137</v>
      </c>
      <c r="I20" s="37" t="str">
        <f t="shared" si="2"/>
        <v>road</v>
      </c>
      <c r="J20" s="37" t="s">
        <v>263</v>
      </c>
      <c r="K20" s="37" t="str">
        <f t="shared" si="3"/>
        <v>apparel</v>
      </c>
      <c r="L20" s="37" t="s">
        <v>264</v>
      </c>
      <c r="M20" s="37" t="str">
        <f t="shared" si="4"/>
        <v>west</v>
      </c>
      <c r="N20" s="37" t="s">
        <v>187</v>
      </c>
      <c r="O20" s="41" t="str">
        <f t="shared" si="5"/>
        <v>Yes</v>
      </c>
      <c r="P20" s="41">
        <v>3.7</v>
      </c>
      <c r="Q20" s="41" t="s">
        <v>266</v>
      </c>
      <c r="R20" s="42">
        <f t="shared" si="6"/>
        <v>54.8648648648649</v>
      </c>
      <c r="S20" s="37">
        <v>8</v>
      </c>
      <c r="T20" s="37" t="s">
        <v>267</v>
      </c>
      <c r="U20" s="43" t="str">
        <f t="shared" si="7"/>
        <v>10-jun-2024</v>
      </c>
      <c r="V20" s="43">
        <f t="shared" si="8"/>
        <v>45453</v>
      </c>
      <c r="W20" s="44">
        <f t="array" ref="W20">_xlfn.IFS(TRIM(C20)="","",TRIM(V20)="","",TRUE,V20-C20)</f>
        <v>8</v>
      </c>
      <c r="X20" s="37">
        <f t="shared" si="9"/>
        <v>0</v>
      </c>
      <c r="Y20" s="37" t="s">
        <v>163</v>
      </c>
      <c r="Z20" s="37" t="str">
        <f t="shared" si="10"/>
        <v>delivered</v>
      </c>
      <c r="AA20" s="37" t="str">
        <f t="shared" si="11"/>
        <v>On Time</v>
      </c>
      <c r="AB20" s="37" t="str">
        <f t="shared" si="14"/>
        <v>0</v>
      </c>
      <c r="AC20" s="37">
        <f t="shared" si="15"/>
        <v>0</v>
      </c>
      <c r="AD20" s="45">
        <f t="shared" si="13"/>
        <v>0.504142766093053</v>
      </c>
      <c r="AE20" s="37">
        <v>5</v>
      </c>
      <c r="AF20" s="37" t="s">
        <v>191</v>
      </c>
      <c r="AG20" s="37" t="str">
        <f t="shared" si="12"/>
        <v>no</v>
      </c>
      <c r="AH20" s="37" t="str">
        <f t="array" ref="AH20">_xlfn.IFS(LOWER(AG20)="n","no",LOWER(AG20)="y","yes",TRUE,LOWER(AG20))</f>
        <v>no</v>
      </c>
      <c r="AI20" s="37" t="s">
        <v>4692</v>
      </c>
    </row>
    <row r="21" spans="1:35">
      <c r="A21" s="46" t="s">
        <v>268</v>
      </c>
      <c r="B21" s="47" t="s">
        <v>4698</v>
      </c>
      <c r="C21" s="39">
        <f t="shared" si="0"/>
        <v>45302</v>
      </c>
      <c r="D21" s="48" t="s">
        <v>424</v>
      </c>
      <c r="E21" s="37" t="str" cm="1">
        <f t="array" ref="E21">_xlfn.IFS(D21="delhi","north",D21="mumbai","west",D21="bengaluru","south",D21="chennai","south",D21="kolkata","east",TRUE,"west")</f>
        <v>south</v>
      </c>
      <c r="F21" s="46" t="s">
        <v>270</v>
      </c>
      <c r="G21" s="37" t="str">
        <f t="shared" si="1"/>
        <v>ecomexpress</v>
      </c>
      <c r="H21" s="46" t="s">
        <v>157</v>
      </c>
      <c r="I21" s="37" t="str">
        <f t="shared" si="2"/>
        <v>surface</v>
      </c>
      <c r="J21" s="46" t="s">
        <v>271</v>
      </c>
      <c r="K21" s="37" t="str">
        <f t="shared" si="3"/>
        <v>electronics</v>
      </c>
      <c r="L21" s="46" t="s">
        <v>264</v>
      </c>
      <c r="M21" s="37" t="str">
        <f t="shared" si="4"/>
        <v>west</v>
      </c>
      <c r="N21" s="46" t="s">
        <v>88</v>
      </c>
      <c r="O21" s="41" t="str">
        <f t="shared" si="5"/>
        <v>Yes</v>
      </c>
      <c r="P21" s="49">
        <v>11</v>
      </c>
      <c r="Q21" s="49">
        <v>375</v>
      </c>
      <c r="R21" s="42">
        <f t="shared" si="6"/>
        <v>34.0909090909091</v>
      </c>
      <c r="S21" s="46">
        <v>6</v>
      </c>
      <c r="T21" s="46" t="s">
        <v>274</v>
      </c>
      <c r="U21" s="43" t="str">
        <f t="shared" si="7"/>
        <v>2024-01-18</v>
      </c>
      <c r="V21" s="43">
        <f t="shared" si="8"/>
        <v>45309</v>
      </c>
      <c r="W21" s="44">
        <f t="array" ref="W21">_xlfn.IFS(TRIM(C21)="","",TRIM(V21)="","",TRUE,V21-C21)</f>
        <v>7</v>
      </c>
      <c r="X21" s="37">
        <f t="shared" si="9"/>
        <v>1</v>
      </c>
      <c r="Y21" s="46" t="s">
        <v>200</v>
      </c>
      <c r="Z21" s="37" t="str">
        <f t="shared" si="10"/>
        <v>delayed</v>
      </c>
      <c r="AA21" s="37" t="str">
        <f t="shared" si="11"/>
        <v>Late</v>
      </c>
      <c r="AB21" s="37" t="str">
        <f t="shared" si="14"/>
        <v>1</v>
      </c>
      <c r="AC21" s="37">
        <f t="shared" si="15"/>
        <v>1</v>
      </c>
      <c r="AD21" s="45">
        <f t="shared" si="13"/>
        <v>0.504464285714286</v>
      </c>
      <c r="AE21" s="46">
        <v>3</v>
      </c>
      <c r="AF21" s="46" t="s">
        <v>131</v>
      </c>
      <c r="AG21" s="37" t="str">
        <f t="shared" si="12"/>
        <v>n</v>
      </c>
      <c r="AH21" s="37" t="str">
        <f t="array" ref="AH21">_xlfn.IFS(LOWER(AG21)="n","no",LOWER(AG21)="y","yes",TRUE,LOWER(AG21))</f>
        <v>no</v>
      </c>
      <c r="AI21" s="46" t="s">
        <v>4692</v>
      </c>
    </row>
    <row r="22" spans="1:35">
      <c r="A22" s="37" t="s">
        <v>275</v>
      </c>
      <c r="B22" s="38">
        <v>45425</v>
      </c>
      <c r="C22" s="39">
        <f t="shared" si="0"/>
        <v>45425</v>
      </c>
      <c r="D22" s="40" t="s">
        <v>135</v>
      </c>
      <c r="E22" s="37" t="str" cm="1">
        <f t="array" ref="E22">_xlfn.IFS(D22="delhi","north",D22="mumbai","west",D22="bengaluru","south",D22="chennai","south",D22="kolkata","east",TRUE,"west")</f>
        <v>west</v>
      </c>
      <c r="F22" s="37" t="s">
        <v>156</v>
      </c>
      <c r="G22" s="37" t="str">
        <f t="shared" si="1"/>
        <v>xpressbees</v>
      </c>
      <c r="H22" s="37" t="s">
        <v>244</v>
      </c>
      <c r="I22" s="37" t="str">
        <f t="shared" si="2"/>
        <v>air</v>
      </c>
      <c r="J22" s="37" t="s">
        <v>277</v>
      </c>
      <c r="K22" s="37" t="str">
        <f t="shared" si="3"/>
        <v>apparel</v>
      </c>
      <c r="L22" s="37" t="s">
        <v>101</v>
      </c>
      <c r="M22" s="37" t="str">
        <f t="shared" si="4"/>
        <v>west</v>
      </c>
      <c r="N22" s="37" t="s">
        <v>278</v>
      </c>
      <c r="O22" s="41" t="str">
        <f t="shared" si="5"/>
        <v>Yes</v>
      </c>
      <c r="P22" s="41">
        <v>1.8</v>
      </c>
      <c r="Q22" s="41">
        <v>80</v>
      </c>
      <c r="R22" s="42">
        <f t="shared" si="6"/>
        <v>44.4444444444444</v>
      </c>
      <c r="S22" s="37">
        <v>2</v>
      </c>
      <c r="T22" s="37" t="s">
        <v>280</v>
      </c>
      <c r="U22" s="43" t="str">
        <f t="shared" si="7"/>
        <v>15/05/2024</v>
      </c>
      <c r="V22" s="43">
        <f t="shared" si="8"/>
        <v>45427</v>
      </c>
      <c r="W22" s="44">
        <f t="array" ref="W22">_xlfn.IFS(TRIM(C22)="","",TRIM(V22)="","",TRUE,V22-C22)</f>
        <v>2</v>
      </c>
      <c r="X22" s="37">
        <f t="shared" si="9"/>
        <v>0</v>
      </c>
      <c r="Y22" s="37" t="s">
        <v>219</v>
      </c>
      <c r="Z22" s="37" t="str">
        <f t="shared" si="10"/>
        <v>delivered</v>
      </c>
      <c r="AA22" s="37" t="str">
        <f t="shared" si="11"/>
        <v>On Time</v>
      </c>
      <c r="AB22" s="37" t="str">
        <f t="shared" si="14"/>
        <v>0</v>
      </c>
      <c r="AC22" s="37">
        <f t="shared" si="15"/>
        <v>0</v>
      </c>
      <c r="AD22" s="45">
        <f t="shared" si="13"/>
        <v>0.504148053605616</v>
      </c>
      <c r="AE22" s="37">
        <v>4</v>
      </c>
      <c r="AF22" s="37" t="s">
        <v>118</v>
      </c>
      <c r="AG22" s="37" t="str">
        <f t="shared" si="12"/>
        <v>no</v>
      </c>
      <c r="AH22" s="37" t="str">
        <f t="array" ref="AH22">_xlfn.IFS(LOWER(AG22)="n","no",LOWER(AG22)="y","yes",TRUE,LOWER(AG22))</f>
        <v>no</v>
      </c>
      <c r="AI22" s="37" t="s">
        <v>4692</v>
      </c>
    </row>
    <row r="23" spans="1:35">
      <c r="A23" s="46" t="s">
        <v>281</v>
      </c>
      <c r="B23" s="47" t="s">
        <v>4691</v>
      </c>
      <c r="C23" s="39">
        <f t="shared" si="0"/>
        <v>45313</v>
      </c>
      <c r="D23" s="48" t="s">
        <v>4699</v>
      </c>
      <c r="E23" s="37" t="str" cm="1">
        <f t="array" ref="E23">_xlfn.IFS(D23="delhi","north",D23="mumbai","west",D23="bengaluru","south",D23="chennai","south",D23="kolkata","east",TRUE,"west")</f>
        <v>west</v>
      </c>
      <c r="F23" s="46" t="s">
        <v>204</v>
      </c>
      <c r="G23" s="37" t="str">
        <f t="shared" si="1"/>
        <v>delhivery</v>
      </c>
      <c r="H23" s="46" t="s">
        <v>157</v>
      </c>
      <c r="I23" s="37" t="str">
        <f t="shared" si="2"/>
        <v>surface</v>
      </c>
      <c r="J23" s="46" t="s">
        <v>283</v>
      </c>
      <c r="K23" s="37" t="str">
        <f t="shared" si="3"/>
        <v>pharma</v>
      </c>
      <c r="L23" s="46" t="s">
        <v>168</v>
      </c>
      <c r="M23" s="37" t="str">
        <f t="shared" si="4"/>
        <v>west</v>
      </c>
      <c r="N23" s="46" t="s">
        <v>206</v>
      </c>
      <c r="O23" s="41" t="str">
        <f t="shared" si="5"/>
        <v>Yes</v>
      </c>
      <c r="P23" s="49" t="s">
        <v>284</v>
      </c>
      <c r="Q23" s="49">
        <v>80</v>
      </c>
      <c r="R23" s="42">
        <f t="shared" si="6"/>
        <v>72.7272727272727</v>
      </c>
      <c r="S23" s="46">
        <v>4</v>
      </c>
      <c r="T23" s="46" t="s">
        <v>285</v>
      </c>
      <c r="U23" s="43" t="str">
        <f t="shared" si="7"/>
        <v>27/01/2024</v>
      </c>
      <c r="V23" s="43">
        <f t="shared" si="8"/>
        <v>45318</v>
      </c>
      <c r="W23" s="44">
        <f t="array" ref="W23">_xlfn.IFS(TRIM(C23)="","",TRIM(V23)="","",TRUE,V23-C23)</f>
        <v>5</v>
      </c>
      <c r="X23" s="37">
        <f t="shared" si="9"/>
        <v>1</v>
      </c>
      <c r="Y23" s="46" t="s">
        <v>143</v>
      </c>
      <c r="Z23" s="37" t="str">
        <f t="shared" si="10"/>
        <v>delayed</v>
      </c>
      <c r="AA23" s="37" t="str">
        <f t="shared" si="11"/>
        <v>Late</v>
      </c>
      <c r="AB23" s="37" t="str">
        <f t="shared" si="14"/>
        <v>1</v>
      </c>
      <c r="AC23" s="37">
        <f t="shared" si="15"/>
        <v>1</v>
      </c>
      <c r="AD23" s="45">
        <f t="shared" si="13"/>
        <v>0.504469987228608</v>
      </c>
      <c r="AE23" s="46">
        <v>3</v>
      </c>
      <c r="AF23" s="46" t="s">
        <v>286</v>
      </c>
      <c r="AG23" s="37" t="str">
        <f t="shared" si="12"/>
        <v>yes</v>
      </c>
      <c r="AH23" s="37" t="str">
        <f t="array" ref="AH23">_xlfn.IFS(LOWER(AG23)="n","no",LOWER(AG23)="y","yes",TRUE,LOWER(AG23))</f>
        <v>yes</v>
      </c>
      <c r="AI23" s="46" t="s">
        <v>4692</v>
      </c>
    </row>
    <row r="24" spans="1:35">
      <c r="A24" s="37" t="s">
        <v>287</v>
      </c>
      <c r="B24" s="38">
        <v>45298</v>
      </c>
      <c r="C24" s="39">
        <f t="shared" si="0"/>
        <v>45298</v>
      </c>
      <c r="D24" s="40" t="s">
        <v>4700</v>
      </c>
      <c r="E24" s="37" t="str" cm="1">
        <f t="array" ref="E24">_xlfn.IFS(D24="delhi","north",D24="mumbai","west",D24="bengaluru","south",D24="chennai","south",D24="kolkata","east",TRUE,"west")</f>
        <v>west</v>
      </c>
      <c r="F24" s="37" t="s">
        <v>184</v>
      </c>
      <c r="G24" s="37" t="str">
        <f t="shared" si="1"/>
        <v>ecomexpress</v>
      </c>
      <c r="H24" s="37" t="s">
        <v>157</v>
      </c>
      <c r="I24" s="37" t="str">
        <f t="shared" si="2"/>
        <v>surface</v>
      </c>
      <c r="J24" s="37" t="s">
        <v>277</v>
      </c>
      <c r="K24" s="37" t="str">
        <f t="shared" si="3"/>
        <v>apparel</v>
      </c>
      <c r="L24" s="37" t="s">
        <v>89</v>
      </c>
      <c r="M24" s="37" t="str">
        <f t="shared" si="4"/>
        <v>west</v>
      </c>
      <c r="N24" s="37" t="s">
        <v>88</v>
      </c>
      <c r="O24" s="41" t="str">
        <f t="shared" si="5"/>
        <v/>
      </c>
      <c r="P24" s="41" t="s">
        <v>289</v>
      </c>
      <c r="Q24" s="41" t="s">
        <v>290</v>
      </c>
      <c r="R24" s="42">
        <f t="shared" si="6"/>
        <v>31.0416666666667</v>
      </c>
      <c r="S24" s="37">
        <v>4</v>
      </c>
      <c r="T24" s="37" t="s">
        <v>291</v>
      </c>
      <c r="U24" s="43" t="str">
        <f t="shared" si="7"/>
        <v>11/01/2024</v>
      </c>
      <c r="V24" s="43">
        <f t="shared" si="8"/>
        <v>45302</v>
      </c>
      <c r="W24" s="44">
        <f t="array" ref="W24">_xlfn.IFS(TRIM(C24)="","",TRIM(V24)="","",TRUE,V24-C24)</f>
        <v>4</v>
      </c>
      <c r="X24" s="37">
        <f t="shared" si="9"/>
        <v>0</v>
      </c>
      <c r="Y24" s="37" t="s">
        <v>163</v>
      </c>
      <c r="Z24" s="37" t="str">
        <f t="shared" si="10"/>
        <v>delivered</v>
      </c>
      <c r="AA24" s="37" t="str">
        <f t="shared" si="11"/>
        <v>On Time</v>
      </c>
      <c r="AB24" s="37" t="str">
        <f t="shared" si="14"/>
        <v>0</v>
      </c>
      <c r="AC24" s="37">
        <f t="shared" si="15"/>
        <v>0</v>
      </c>
      <c r="AD24" s="45">
        <f t="shared" si="13"/>
        <v>0.504153354632588</v>
      </c>
      <c r="AE24" s="37">
        <v>5</v>
      </c>
      <c r="AF24" s="37" t="s">
        <v>79</v>
      </c>
      <c r="AG24" s="37" t="str">
        <f t="shared" si="12"/>
        <v>yes</v>
      </c>
      <c r="AH24" s="37" t="str">
        <f t="array" ref="AH24">_xlfn.IFS(LOWER(AG24)="n","no",LOWER(AG24)="y","yes",TRUE,LOWER(AG24))</f>
        <v>yes</v>
      </c>
      <c r="AI24" s="37" t="s">
        <v>4692</v>
      </c>
    </row>
    <row r="25" spans="1:35">
      <c r="A25" s="46" t="s">
        <v>292</v>
      </c>
      <c r="B25" s="47">
        <v>45341</v>
      </c>
      <c r="C25" s="39">
        <f t="shared" si="0"/>
        <v>45341</v>
      </c>
      <c r="D25" s="48" t="s">
        <v>633</v>
      </c>
      <c r="E25" s="37" t="str" cm="1">
        <f t="array" ref="E25">_xlfn.IFS(D25="delhi","north",D25="mumbai","west",D25="bengaluru","south",D25="chennai","south",D25="kolkata","east",TRUE,"west")</f>
        <v>south</v>
      </c>
      <c r="F25" s="46" t="s">
        <v>122</v>
      </c>
      <c r="G25" s="37" t="str">
        <f t="shared" si="1"/>
        <v>delhivery</v>
      </c>
      <c r="H25" s="46" t="s">
        <v>244</v>
      </c>
      <c r="I25" s="37" t="str">
        <f t="shared" si="2"/>
        <v>air</v>
      </c>
      <c r="J25" s="46"/>
      <c r="K25" s="37" t="str">
        <f t="shared" si="3"/>
        <v/>
      </c>
      <c r="L25" s="46" t="s">
        <v>92</v>
      </c>
      <c r="M25" s="37" t="str">
        <f t="shared" si="4"/>
        <v>east</v>
      </c>
      <c r="N25" s="46" t="s">
        <v>294</v>
      </c>
      <c r="O25" s="41" t="str">
        <f t="shared" si="5"/>
        <v>Yes</v>
      </c>
      <c r="P25" s="49">
        <v>8.3</v>
      </c>
      <c r="Q25" s="49" t="s">
        <v>296</v>
      </c>
      <c r="R25" s="42">
        <f t="shared" si="6"/>
        <v>66.5060240963855</v>
      </c>
      <c r="S25" s="46">
        <v>4</v>
      </c>
      <c r="T25" s="46" t="s">
        <v>297</v>
      </c>
      <c r="U25" s="43" t="str">
        <f t="shared" si="7"/>
        <v>29-feb-2024</v>
      </c>
      <c r="V25" s="43">
        <f t="shared" si="8"/>
        <v>45351</v>
      </c>
      <c r="W25" s="44">
        <f t="array" ref="W25">_xlfn.IFS(TRIM(C25)="","",TRIM(V25)="","",TRUE,V25-C25)</f>
        <v>10</v>
      </c>
      <c r="X25" s="37">
        <f t="shared" si="9"/>
        <v>6</v>
      </c>
      <c r="Y25" s="46" t="s">
        <v>72</v>
      </c>
      <c r="Z25" s="37" t="str">
        <f t="shared" si="10"/>
        <v>delayed</v>
      </c>
      <c r="AA25" s="37" t="str">
        <f t="shared" si="11"/>
        <v>Late</v>
      </c>
      <c r="AB25" s="37" t="str">
        <f t="shared" si="14"/>
        <v>1</v>
      </c>
      <c r="AC25" s="37">
        <f t="shared" si="15"/>
        <v>1</v>
      </c>
      <c r="AD25" s="45">
        <f t="shared" si="13"/>
        <v>0.504475703324808</v>
      </c>
      <c r="AE25" s="46">
        <v>3</v>
      </c>
      <c r="AF25" s="46" t="s">
        <v>181</v>
      </c>
      <c r="AG25" s="37" t="str">
        <f t="shared" si="12"/>
        <v>y</v>
      </c>
      <c r="AH25" s="37" t="str">
        <f t="array" ref="AH25">_xlfn.IFS(LOWER(AG25)="n","no",LOWER(AG25)="y","yes",TRUE,LOWER(AG25))</f>
        <v>yes</v>
      </c>
      <c r="AI25" s="46" t="s">
        <v>4692</v>
      </c>
    </row>
    <row r="26" spans="1:35">
      <c r="A26" s="37" t="s">
        <v>298</v>
      </c>
      <c r="B26" s="38">
        <v>45370</v>
      </c>
      <c r="C26" s="39">
        <f t="shared" si="0"/>
        <v>45370</v>
      </c>
      <c r="D26" s="40" t="s">
        <v>300</v>
      </c>
      <c r="E26" s="37" t="str" cm="1">
        <f t="array" ref="E26">_xlfn.IFS(D26="delhi","north",D26="mumbai","west",D26="bengaluru","south",D26="chennai","south",D26="kolkata","east",TRUE,"west")</f>
        <v>west</v>
      </c>
      <c r="F26" s="37" t="s">
        <v>270</v>
      </c>
      <c r="G26" s="37" t="str">
        <f t="shared" si="1"/>
        <v>ecomexpress</v>
      </c>
      <c r="H26" s="37" t="s">
        <v>147</v>
      </c>
      <c r="I26" s="37" t="str">
        <f t="shared" si="2"/>
        <v>road</v>
      </c>
      <c r="J26" s="37" t="s">
        <v>301</v>
      </c>
      <c r="K26" s="37" t="str">
        <f t="shared" si="3"/>
        <v>furniture</v>
      </c>
      <c r="L26" s="37" t="s">
        <v>302</v>
      </c>
      <c r="M26" s="37" t="str">
        <f t="shared" si="4"/>
        <v>east</v>
      </c>
      <c r="N26" s="37" t="s">
        <v>91</v>
      </c>
      <c r="O26" s="41" t="str">
        <f t="shared" si="5"/>
        <v>Yes</v>
      </c>
      <c r="P26" s="41">
        <v>15.3</v>
      </c>
      <c r="Q26" s="41">
        <v>379</v>
      </c>
      <c r="R26" s="42">
        <f t="shared" si="6"/>
        <v>24.7712418300654</v>
      </c>
      <c r="S26" s="37">
        <v>8</v>
      </c>
      <c r="T26" s="37" t="s">
        <v>162</v>
      </c>
      <c r="U26" s="43" t="str">
        <f t="shared" si="7"/>
        <v>28/03/2024</v>
      </c>
      <c r="V26" s="43">
        <f t="shared" si="8"/>
        <v>45379</v>
      </c>
      <c r="W26" s="44">
        <f t="array" ref="W26">_xlfn.IFS(TRIM(C26)="","",TRIM(V26)="","",TRUE,V26-C26)</f>
        <v>9</v>
      </c>
      <c r="X26" s="37">
        <f t="shared" si="9"/>
        <v>1</v>
      </c>
      <c r="Y26" s="37" t="s">
        <v>172</v>
      </c>
      <c r="Z26" s="37" t="str">
        <f t="shared" si="10"/>
        <v>delayed</v>
      </c>
      <c r="AA26" s="37" t="str">
        <f t="shared" si="11"/>
        <v>Late</v>
      </c>
      <c r="AB26" s="37" t="str">
        <f t="shared" si="14"/>
        <v>1</v>
      </c>
      <c r="AC26" s="37">
        <f t="shared" si="15"/>
        <v>1</v>
      </c>
      <c r="AD26" s="45">
        <f t="shared" si="13"/>
        <v>0.504158669225848</v>
      </c>
      <c r="AE26" s="37">
        <v>2</v>
      </c>
      <c r="AF26" s="37" t="s">
        <v>131</v>
      </c>
      <c r="AG26" s="37" t="str">
        <f t="shared" si="12"/>
        <v>n</v>
      </c>
      <c r="AH26" s="37" t="str">
        <f t="array" ref="AH26">_xlfn.IFS(LOWER(AG26)="n","no",LOWER(AG26)="y","yes",TRUE,LOWER(AG26))</f>
        <v>no</v>
      </c>
      <c r="AI26" s="37" t="s">
        <v>4692</v>
      </c>
    </row>
    <row r="27" spans="1:35">
      <c r="A27" s="46" t="s">
        <v>305</v>
      </c>
      <c r="B27" s="47">
        <v>45350</v>
      </c>
      <c r="C27" s="39">
        <f t="shared" si="0"/>
        <v>45350</v>
      </c>
      <c r="D27" s="48" t="s">
        <v>109</v>
      </c>
      <c r="E27" s="37" t="str" cm="1">
        <f t="array" ref="E27">_xlfn.IFS(D27="delhi","north",D27="mumbai","west",D27="bengaluru","south",D27="chennai","south",D27="kolkata","east",TRUE,"west")</f>
        <v>west</v>
      </c>
      <c r="F27" s="46" t="s">
        <v>213</v>
      </c>
      <c r="G27" s="37" t="str">
        <f t="shared" si="1"/>
        <v>dtdc</v>
      </c>
      <c r="H27" s="46" t="s">
        <v>195</v>
      </c>
      <c r="I27" s="37" t="str">
        <f t="shared" si="2"/>
        <v>road</v>
      </c>
      <c r="J27" s="46" t="s">
        <v>177</v>
      </c>
      <c r="K27" s="37" t="str">
        <f t="shared" si="3"/>
        <v>pharma</v>
      </c>
      <c r="L27" s="46" t="s">
        <v>302</v>
      </c>
      <c r="M27" s="37" t="str">
        <f t="shared" si="4"/>
        <v>east</v>
      </c>
      <c r="N27" s="46" t="s">
        <v>91</v>
      </c>
      <c r="O27" s="41" t="str">
        <f t="shared" si="5"/>
        <v>Yes</v>
      </c>
      <c r="P27" s="49">
        <v>4.8</v>
      </c>
      <c r="Q27" s="49" t="s">
        <v>266</v>
      </c>
      <c r="R27" s="42">
        <f t="shared" si="6"/>
        <v>42.2916666666667</v>
      </c>
      <c r="S27" s="46">
        <v>8</v>
      </c>
      <c r="T27" s="46" t="s">
        <v>309</v>
      </c>
      <c r="U27" s="43" t="str">
        <f t="shared" si="7"/>
        <v>08/03/2024</v>
      </c>
      <c r="V27" s="43">
        <f t="shared" si="8"/>
        <v>45359</v>
      </c>
      <c r="W27" s="44">
        <f t="array" ref="W27">_xlfn.IFS(TRIM(C27)="","",TRIM(V27)="","",TRUE,V27-C27)</f>
        <v>9</v>
      </c>
      <c r="X27" s="37">
        <f t="shared" si="9"/>
        <v>1</v>
      </c>
      <c r="Y27" s="46" t="s">
        <v>200</v>
      </c>
      <c r="Z27" s="37" t="str">
        <f t="shared" si="10"/>
        <v>delayed</v>
      </c>
      <c r="AA27" s="37" t="str">
        <f t="shared" si="11"/>
        <v>Late</v>
      </c>
      <c r="AB27" s="37" t="str">
        <f t="shared" si="14"/>
        <v>1</v>
      </c>
      <c r="AC27" s="37">
        <f t="shared" si="15"/>
        <v>1</v>
      </c>
      <c r="AD27" s="45">
        <f t="shared" si="13"/>
        <v>0.503841229193342</v>
      </c>
      <c r="AE27" s="46">
        <v>2</v>
      </c>
      <c r="AF27" s="46" t="s">
        <v>181</v>
      </c>
      <c r="AG27" s="37" t="str">
        <f t="shared" si="12"/>
        <v>y</v>
      </c>
      <c r="AH27" s="37" t="str">
        <f t="array" ref="AH27">_xlfn.IFS(LOWER(AG27)="n","no",LOWER(AG27)="y","yes",TRUE,LOWER(AG27))</f>
        <v>yes</v>
      </c>
      <c r="AI27" s="46" t="s">
        <v>4692</v>
      </c>
    </row>
    <row r="28" spans="1:35">
      <c r="A28" s="37" t="s">
        <v>310</v>
      </c>
      <c r="B28" s="38">
        <v>45385</v>
      </c>
      <c r="C28" s="39">
        <f t="shared" si="0"/>
        <v>45385</v>
      </c>
      <c r="D28" s="40" t="s">
        <v>4695</v>
      </c>
      <c r="E28" s="37" t="str" cm="1">
        <f t="array" ref="E28">_xlfn.IFS(D28="delhi","north",D28="mumbai","west",D28="bengaluru","south",D28="chennai","south",D28="kolkata","east",TRUE,"west")</f>
        <v>west</v>
      </c>
      <c r="F28" s="37" t="s">
        <v>312</v>
      </c>
      <c r="G28" s="37" t="str">
        <f t="shared" si="1"/>
        <v>bluedart</v>
      </c>
      <c r="H28" s="37" t="s">
        <v>195</v>
      </c>
      <c r="I28" s="37" t="str">
        <f t="shared" si="2"/>
        <v>road</v>
      </c>
      <c r="J28" s="37" t="s">
        <v>313</v>
      </c>
      <c r="K28" s="37" t="str">
        <f t="shared" si="3"/>
        <v>automotiveparts</v>
      </c>
      <c r="L28" s="37" t="s">
        <v>139</v>
      </c>
      <c r="M28" s="37" t="str">
        <f t="shared" si="4"/>
        <v>north</v>
      </c>
      <c r="N28" s="37" t="s">
        <v>215</v>
      </c>
      <c r="O28" s="41" t="str">
        <f t="shared" si="5"/>
        <v>Yes</v>
      </c>
      <c r="P28" s="41" t="s">
        <v>314</v>
      </c>
      <c r="Q28" s="41" t="s">
        <v>315</v>
      </c>
      <c r="R28" s="42">
        <f t="shared" si="6"/>
        <v>21.7543859649123</v>
      </c>
      <c r="S28" s="37">
        <v>8</v>
      </c>
      <c r="T28" s="37" t="s">
        <v>316</v>
      </c>
      <c r="U28" s="43" t="str">
        <f t="shared" si="7"/>
        <v>10/04/2024</v>
      </c>
      <c r="V28" s="43">
        <f t="shared" si="8"/>
        <v>45392</v>
      </c>
      <c r="W28" s="44">
        <f t="array" ref="W28">_xlfn.IFS(TRIM(C28)="","",TRIM(V28)="","",TRUE,V28-C28)</f>
        <v>7</v>
      </c>
      <c r="X28" s="37">
        <f t="shared" si="9"/>
        <v>-1</v>
      </c>
      <c r="Y28" s="37" t="s">
        <v>163</v>
      </c>
      <c r="Z28" s="37" t="str">
        <f t="shared" si="10"/>
        <v>delivered</v>
      </c>
      <c r="AA28" s="37" t="str">
        <f t="shared" si="11"/>
        <v>On Time</v>
      </c>
      <c r="AB28" s="37" t="str">
        <f t="shared" si="14"/>
        <v>0</v>
      </c>
      <c r="AC28" s="37">
        <f t="shared" si="15"/>
        <v>0</v>
      </c>
      <c r="AD28" s="45">
        <f t="shared" si="13"/>
        <v>0.503523382447149</v>
      </c>
      <c r="AE28" s="37">
        <v>4</v>
      </c>
      <c r="AF28" s="37" t="s">
        <v>131</v>
      </c>
      <c r="AG28" s="37" t="str">
        <f t="shared" si="12"/>
        <v>n</v>
      </c>
      <c r="AH28" s="37" t="str">
        <f t="array" ref="AH28">_xlfn.IFS(LOWER(AG28)="n","no",LOWER(AG28)="y","yes",TRUE,LOWER(AG28))</f>
        <v>no</v>
      </c>
      <c r="AI28" s="37" t="s">
        <v>4692</v>
      </c>
    </row>
    <row r="29" spans="1:35">
      <c r="A29" s="46" t="s">
        <v>317</v>
      </c>
      <c r="B29" s="47">
        <v>45323</v>
      </c>
      <c r="C29" s="39">
        <f t="shared" si="0"/>
        <v>45323</v>
      </c>
      <c r="D29" s="48" t="s">
        <v>166</v>
      </c>
      <c r="E29" s="37" t="str" cm="1">
        <f t="array" ref="E29">_xlfn.IFS(D29="delhi","north",D29="mumbai","west",D29="bengaluru","south",D29="chennai","south",D29="kolkata","east",TRUE,"west")</f>
        <v>west</v>
      </c>
      <c r="F29" s="46" t="s">
        <v>213</v>
      </c>
      <c r="G29" s="37" t="str">
        <f t="shared" si="1"/>
        <v>dtdc</v>
      </c>
      <c r="H29" s="46" t="s">
        <v>195</v>
      </c>
      <c r="I29" s="37" t="str">
        <f t="shared" si="2"/>
        <v>road</v>
      </c>
      <c r="J29" s="46" t="s">
        <v>319</v>
      </c>
      <c r="K29" s="37" t="str">
        <f t="shared" si="3"/>
        <v>electronics</v>
      </c>
      <c r="L29" s="46" t="s">
        <v>125</v>
      </c>
      <c r="M29" s="37" t="str">
        <f t="shared" si="4"/>
        <v>east</v>
      </c>
      <c r="N29" s="46" t="s">
        <v>294</v>
      </c>
      <c r="O29" s="41" t="str">
        <f t="shared" si="5"/>
        <v>Yes</v>
      </c>
      <c r="P29" s="49">
        <v>11.9</v>
      </c>
      <c r="Q29" s="49">
        <v>211</v>
      </c>
      <c r="R29" s="42">
        <f t="shared" si="6"/>
        <v>17.7310924369748</v>
      </c>
      <c r="S29" s="46">
        <v>6</v>
      </c>
      <c r="T29" s="46" t="s">
        <v>322</v>
      </c>
      <c r="U29" s="43" t="str">
        <f t="shared" si="7"/>
        <v>07/02/2024</v>
      </c>
      <c r="V29" s="43">
        <f t="shared" si="8"/>
        <v>45329</v>
      </c>
      <c r="W29" s="44">
        <f t="array" ref="W29">_xlfn.IFS(TRIM(C29)="","",TRIM(V29)="","",TRUE,V29-C29)</f>
        <v>6</v>
      </c>
      <c r="X29" s="37">
        <f t="shared" si="9"/>
        <v>0</v>
      </c>
      <c r="Y29" s="46" t="s">
        <v>163</v>
      </c>
      <c r="Z29" s="37" t="str">
        <f t="shared" si="10"/>
        <v>delivered</v>
      </c>
      <c r="AA29" s="37" t="str">
        <f t="shared" si="11"/>
        <v>On Time</v>
      </c>
      <c r="AB29" s="37" t="str">
        <f t="shared" si="14"/>
        <v>0</v>
      </c>
      <c r="AC29" s="37">
        <f t="shared" si="15"/>
        <v>0</v>
      </c>
      <c r="AD29" s="45">
        <f t="shared" si="13"/>
        <v>0.503846153846154</v>
      </c>
      <c r="AE29" s="46">
        <v>2</v>
      </c>
      <c r="AF29" s="46" t="s">
        <v>118</v>
      </c>
      <c r="AG29" s="37" t="str">
        <f t="shared" si="12"/>
        <v>no</v>
      </c>
      <c r="AH29" s="37" t="str">
        <f t="array" ref="AH29">_xlfn.IFS(LOWER(AG29)="n","no",LOWER(AG29)="y","yes",TRUE,LOWER(AG29))</f>
        <v>no</v>
      </c>
      <c r="AI29" s="46" t="s">
        <v>4692</v>
      </c>
    </row>
    <row r="30" spans="1:35">
      <c r="A30" s="37" t="s">
        <v>323</v>
      </c>
      <c r="B30" s="38">
        <v>45348</v>
      </c>
      <c r="C30" s="39">
        <f t="shared" si="0"/>
        <v>45348</v>
      </c>
      <c r="D30" s="40" t="s">
        <v>366</v>
      </c>
      <c r="E30" s="37" t="str" cm="1">
        <f t="array" ref="E30">_xlfn.IFS(D30="delhi","north",D30="mumbai","west",D30="bengaluru","south",D30="chennai","south",D30="kolkata","east",TRUE,"west")</f>
        <v>east</v>
      </c>
      <c r="F30" s="37" t="s">
        <v>146</v>
      </c>
      <c r="G30" s="37" t="str">
        <f t="shared" si="1"/>
        <v>ecomexpress</v>
      </c>
      <c r="H30" s="37" t="s">
        <v>325</v>
      </c>
      <c r="I30" s="37" t="str">
        <f t="shared" si="2"/>
        <v>air</v>
      </c>
      <c r="J30" s="37" t="s">
        <v>326</v>
      </c>
      <c r="K30" s="37" t="str">
        <f t="shared" si="3"/>
        <v>apparel</v>
      </c>
      <c r="L30" s="37" t="s">
        <v>51</v>
      </c>
      <c r="M30" s="37" t="str">
        <f t="shared" si="4"/>
        <v>south</v>
      </c>
      <c r="N30" s="37" t="s">
        <v>327</v>
      </c>
      <c r="O30" s="41" t="str">
        <f t="shared" si="5"/>
        <v>Yes</v>
      </c>
      <c r="P30" s="41" t="s">
        <v>328</v>
      </c>
      <c r="Q30" s="41">
        <v>433</v>
      </c>
      <c r="R30" s="42">
        <f t="shared" si="6"/>
        <v>77.3214285714286</v>
      </c>
      <c r="S30" s="37">
        <v>4</v>
      </c>
      <c r="T30" s="37" t="s">
        <v>330</v>
      </c>
      <c r="U30" s="43" t="str">
        <f t="shared" si="7"/>
        <v>01-mar-2024</v>
      </c>
      <c r="V30" s="43">
        <f t="shared" si="8"/>
        <v>45352</v>
      </c>
      <c r="W30" s="44">
        <f t="array" ref="W30">_xlfn.IFS(TRIM(C30)="","",TRIM(V30)="","",TRUE,V30-C30)</f>
        <v>4</v>
      </c>
      <c r="X30" s="37">
        <f t="shared" si="9"/>
        <v>0</v>
      </c>
      <c r="Y30" s="37" t="s">
        <v>117</v>
      </c>
      <c r="Z30" s="37" t="str">
        <f t="shared" si="10"/>
        <v>delivered</v>
      </c>
      <c r="AA30" s="37" t="str">
        <f t="shared" si="11"/>
        <v>On Time</v>
      </c>
      <c r="AB30" s="37" t="str">
        <f t="shared" si="14"/>
        <v>0</v>
      </c>
      <c r="AC30" s="37">
        <f t="shared" si="15"/>
        <v>0</v>
      </c>
      <c r="AD30" s="45">
        <f t="shared" si="13"/>
        <v>0.504169339320077</v>
      </c>
      <c r="AE30" s="37">
        <v>5</v>
      </c>
      <c r="AF30" s="37" t="s">
        <v>181</v>
      </c>
      <c r="AG30" s="37" t="str">
        <f t="shared" si="12"/>
        <v>y</v>
      </c>
      <c r="AH30" s="37" t="str">
        <f t="array" ref="AH30">_xlfn.IFS(LOWER(AG30)="n","no",LOWER(AG30)="y","yes",TRUE,LOWER(AG30))</f>
        <v>yes</v>
      </c>
      <c r="AI30" s="37" t="s">
        <v>4692</v>
      </c>
    </row>
    <row r="31" spans="1:35">
      <c r="A31" s="46" t="s">
        <v>331</v>
      </c>
      <c r="B31" s="47" t="s">
        <v>4701</v>
      </c>
      <c r="C31" s="39">
        <f t="shared" si="0"/>
        <v>45326</v>
      </c>
      <c r="D31" s="48" t="s">
        <v>212</v>
      </c>
      <c r="E31" s="37" t="str" cm="1">
        <f t="array" ref="E31">_xlfn.IFS(D31="delhi","north",D31="mumbai","west",D31="bengaluru","south",D31="chennai","south",D31="kolkata","east",TRUE,"west")</f>
        <v>west</v>
      </c>
      <c r="F31" s="46" t="s">
        <v>333</v>
      </c>
      <c r="G31" s="37" t="str">
        <f t="shared" si="1"/>
        <v>delhivery</v>
      </c>
      <c r="H31" s="46" t="s">
        <v>244</v>
      </c>
      <c r="I31" s="37" t="str">
        <f t="shared" si="2"/>
        <v>air</v>
      </c>
      <c r="J31" s="46" t="s">
        <v>326</v>
      </c>
      <c r="K31" s="37" t="str">
        <f t="shared" si="3"/>
        <v>apparel</v>
      </c>
      <c r="L31" s="46" t="s">
        <v>334</v>
      </c>
      <c r="M31" s="37" t="str">
        <f t="shared" si="4"/>
        <v>north</v>
      </c>
      <c r="N31" s="46" t="s">
        <v>215</v>
      </c>
      <c r="O31" s="41" t="str">
        <f t="shared" si="5"/>
        <v>Yes</v>
      </c>
      <c r="P31" s="49">
        <v>1.4</v>
      </c>
      <c r="Q31" s="49">
        <v>230</v>
      </c>
      <c r="R31" s="42">
        <f t="shared" si="6"/>
        <v>164.285714285714</v>
      </c>
      <c r="S31" s="46">
        <v>4</v>
      </c>
      <c r="T31" s="46" t="s">
        <v>336</v>
      </c>
      <c r="U31" s="43" t="str">
        <f t="shared" si="7"/>
        <v>09/02/2024</v>
      </c>
      <c r="V31" s="43">
        <f t="shared" si="8"/>
        <v>45331</v>
      </c>
      <c r="W31" s="44">
        <f t="array" ref="W31">_xlfn.IFS(TRIM(C31)="","",TRIM(V31)="","",TRUE,V31-C31)</f>
        <v>5</v>
      </c>
      <c r="X31" s="37">
        <f t="shared" si="9"/>
        <v>1</v>
      </c>
      <c r="Y31" s="46" t="s">
        <v>337</v>
      </c>
      <c r="Z31" s="37" t="str">
        <f t="shared" si="10"/>
        <v>damaged</v>
      </c>
      <c r="AA31" s="37" t="str">
        <f t="shared" si="11"/>
        <v>Late</v>
      </c>
      <c r="AB31" s="37" t="str">
        <f t="shared" si="14"/>
        <v>1</v>
      </c>
      <c r="AC31" s="37">
        <f t="shared" si="15"/>
        <v>1</v>
      </c>
      <c r="AD31" s="45">
        <f t="shared" si="13"/>
        <v>0.504492939666239</v>
      </c>
      <c r="AE31" s="46"/>
      <c r="AF31" s="46" t="s">
        <v>286</v>
      </c>
      <c r="AG31" s="37" t="str">
        <f t="shared" si="12"/>
        <v>yes</v>
      </c>
      <c r="AH31" s="37" t="str">
        <f t="array" ref="AH31">_xlfn.IFS(LOWER(AG31)="n","no",LOWER(AG31)="y","yes",TRUE,LOWER(AG31))</f>
        <v>yes</v>
      </c>
      <c r="AI31" s="46" t="s">
        <v>132</v>
      </c>
    </row>
    <row r="32" spans="1:35">
      <c r="A32" s="37" t="s">
        <v>338</v>
      </c>
      <c r="B32" s="38" t="s">
        <v>4702</v>
      </c>
      <c r="C32" s="39">
        <f t="shared" si="0"/>
        <v>45393</v>
      </c>
      <c r="D32" s="40" t="s">
        <v>340</v>
      </c>
      <c r="E32" s="37" t="str" cm="1">
        <f t="array" ref="E32">_xlfn.IFS(D32="delhi","north",D32="mumbai","west",D32="bengaluru","south",D32="chennai","south",D32="kolkata","east",TRUE,"west")</f>
        <v>north</v>
      </c>
      <c r="F32" s="37" t="s">
        <v>230</v>
      </c>
      <c r="G32" s="37" t="str">
        <f t="shared" si="1"/>
        <v>dtdc</v>
      </c>
      <c r="H32" s="37" t="s">
        <v>157</v>
      </c>
      <c r="I32" s="37" t="str">
        <f t="shared" si="2"/>
        <v>surface</v>
      </c>
      <c r="J32" s="37" t="s">
        <v>100</v>
      </c>
      <c r="K32" s="37" t="str">
        <f t="shared" si="3"/>
        <v>electronics</v>
      </c>
      <c r="L32" s="37" t="s">
        <v>257</v>
      </c>
      <c r="M32" s="37" t="str">
        <f t="shared" si="4"/>
        <v>west</v>
      </c>
      <c r="N32" s="37" t="s">
        <v>206</v>
      </c>
      <c r="O32" s="41" t="str">
        <f t="shared" si="5"/>
        <v>Yes</v>
      </c>
      <c r="P32" s="41" t="s">
        <v>341</v>
      </c>
      <c r="Q32" s="41">
        <v>436</v>
      </c>
      <c r="R32" s="42">
        <f t="shared" si="6"/>
        <v>35.4471544715447</v>
      </c>
      <c r="S32" s="37">
        <v>6</v>
      </c>
      <c r="T32" s="37" t="s">
        <v>343</v>
      </c>
      <c r="U32" s="43" t="str">
        <f t="shared" si="7"/>
        <v>21/04/2024</v>
      </c>
      <c r="V32" s="43">
        <f t="shared" si="8"/>
        <v>45403</v>
      </c>
      <c r="W32" s="44">
        <f t="array" ref="W32">_xlfn.IFS(TRIM(C32)="","",TRIM(V32)="","",TRUE,V32-C32)</f>
        <v>10</v>
      </c>
      <c r="X32" s="37">
        <f t="shared" si="9"/>
        <v>4</v>
      </c>
      <c r="Y32" s="37" t="s">
        <v>172</v>
      </c>
      <c r="Z32" s="37" t="str">
        <f t="shared" si="10"/>
        <v>delayed</v>
      </c>
      <c r="AA32" s="37" t="str">
        <f t="shared" si="11"/>
        <v>Late</v>
      </c>
      <c r="AB32" s="37" t="str">
        <f t="shared" si="14"/>
        <v>1</v>
      </c>
      <c r="AC32" s="37">
        <f t="shared" si="15"/>
        <v>1</v>
      </c>
      <c r="AD32" s="45">
        <f t="shared" si="13"/>
        <v>0.50417469492614</v>
      </c>
      <c r="AE32" s="37">
        <v>4</v>
      </c>
      <c r="AF32" s="37" t="s">
        <v>191</v>
      </c>
      <c r="AG32" s="37" t="str">
        <f t="shared" si="12"/>
        <v>no</v>
      </c>
      <c r="AH32" s="37" t="str">
        <f t="array" ref="AH32">_xlfn.IFS(LOWER(AG32)="n","no",LOWER(AG32)="y","yes",TRUE,LOWER(AG32))</f>
        <v>no</v>
      </c>
      <c r="AI32" s="37" t="s">
        <v>4692</v>
      </c>
    </row>
    <row r="33" spans="1:35">
      <c r="A33" s="46" t="s">
        <v>344</v>
      </c>
      <c r="B33" s="47">
        <v>45459</v>
      </c>
      <c r="C33" s="39">
        <f t="shared" si="0"/>
        <v>45459</v>
      </c>
      <c r="D33" s="48" t="s">
        <v>4695</v>
      </c>
      <c r="E33" s="37" t="str" cm="1">
        <f t="array" ref="E33">_xlfn.IFS(D33="delhi","north",D33="mumbai","west",D33="bengaluru","south",D33="chennai","south",D33="kolkata","east",TRUE,"west")</f>
        <v>west</v>
      </c>
      <c r="F33" s="46" t="s">
        <v>230</v>
      </c>
      <c r="G33" s="37" t="str">
        <f t="shared" si="1"/>
        <v>dtdc</v>
      </c>
      <c r="H33" s="46" t="s">
        <v>345</v>
      </c>
      <c r="I33" s="37" t="str">
        <f t="shared" si="2"/>
        <v>surface</v>
      </c>
      <c r="J33" s="46" t="s">
        <v>237</v>
      </c>
      <c r="K33" s="37" t="str">
        <f t="shared" si="3"/>
        <v>automotiveparts</v>
      </c>
      <c r="L33" s="46" t="s">
        <v>346</v>
      </c>
      <c r="M33" s="37" t="str">
        <f t="shared" si="4"/>
        <v>north</v>
      </c>
      <c r="N33" s="46" t="s">
        <v>113</v>
      </c>
      <c r="O33" s="41" t="str">
        <f t="shared" si="5"/>
        <v>Yes</v>
      </c>
      <c r="P33" s="49">
        <v>29.9</v>
      </c>
      <c r="Q33" s="49" t="s">
        <v>348</v>
      </c>
      <c r="R33" s="42">
        <f t="shared" si="6"/>
        <v>26.1872909698997</v>
      </c>
      <c r="S33" s="46">
        <v>6</v>
      </c>
      <c r="T33" s="46" t="s">
        <v>349</v>
      </c>
      <c r="U33" s="43" t="str">
        <f t="shared" si="7"/>
        <v>2024-06-22</v>
      </c>
      <c r="V33" s="43">
        <f t="shared" si="8"/>
        <v>45465</v>
      </c>
      <c r="W33" s="44">
        <f t="array" ref="W33">_xlfn.IFS(TRIM(C33)="","",TRIM(V33)="","",TRUE,V33-C33)</f>
        <v>6</v>
      </c>
      <c r="X33" s="37">
        <f t="shared" si="9"/>
        <v>0</v>
      </c>
      <c r="Y33" s="46" t="s">
        <v>117</v>
      </c>
      <c r="Z33" s="37" t="str">
        <f t="shared" si="10"/>
        <v>delivered</v>
      </c>
      <c r="AA33" s="37" t="str">
        <f t="shared" si="11"/>
        <v>On Time</v>
      </c>
      <c r="AB33" s="37" t="str">
        <f t="shared" si="14"/>
        <v>0</v>
      </c>
      <c r="AC33" s="37">
        <f t="shared" si="15"/>
        <v>0</v>
      </c>
      <c r="AD33" s="45">
        <f t="shared" si="13"/>
        <v>0.503856041131105</v>
      </c>
      <c r="AE33" s="46">
        <v>4</v>
      </c>
      <c r="AF33" s="46" t="s">
        <v>181</v>
      </c>
      <c r="AG33" s="37" t="str">
        <f t="shared" si="12"/>
        <v>y</v>
      </c>
      <c r="AH33" s="37" t="str">
        <f t="array" ref="AH33">_xlfn.IFS(LOWER(AG33)="n","no",LOWER(AG33)="y","yes",TRUE,LOWER(AG33))</f>
        <v>yes</v>
      </c>
      <c r="AI33" s="46" t="s">
        <v>4692</v>
      </c>
    </row>
    <row r="34" spans="1:35">
      <c r="A34" s="37" t="s">
        <v>350</v>
      </c>
      <c r="B34" s="38">
        <v>45388</v>
      </c>
      <c r="C34" s="39">
        <f t="shared" si="0"/>
        <v>45388</v>
      </c>
      <c r="D34" s="40" t="s">
        <v>4695</v>
      </c>
      <c r="E34" s="37" t="str" cm="1">
        <f t="array" ref="E34">_xlfn.IFS(D34="delhi","north",D34="mumbai","west",D34="bengaluru","south",D34="chennai","south",D34="kolkata","east",TRUE,"west")</f>
        <v>west</v>
      </c>
      <c r="F34" s="37" t="s">
        <v>352</v>
      </c>
      <c r="G34" s="37" t="str">
        <f t="shared" si="1"/>
        <v>delhivery</v>
      </c>
      <c r="H34" s="37" t="s">
        <v>147</v>
      </c>
      <c r="I34" s="37" t="str">
        <f t="shared" si="2"/>
        <v>road</v>
      </c>
      <c r="J34" s="37" t="s">
        <v>353</v>
      </c>
      <c r="K34" s="37" t="str">
        <f t="shared" si="3"/>
        <v>automotiveparts</v>
      </c>
      <c r="L34" s="37" t="s">
        <v>334</v>
      </c>
      <c r="M34" s="37" t="str">
        <f t="shared" si="4"/>
        <v>north</v>
      </c>
      <c r="N34" s="37" t="s">
        <v>354</v>
      </c>
      <c r="O34" s="41" t="str">
        <f t="shared" si="5"/>
        <v>Yes</v>
      </c>
      <c r="P34" s="41" t="s">
        <v>355</v>
      </c>
      <c r="Q34" s="41">
        <v>695</v>
      </c>
      <c r="R34" s="42">
        <f t="shared" si="6"/>
        <v>19.4134078212291</v>
      </c>
      <c r="S34" s="37">
        <v>8</v>
      </c>
      <c r="T34" s="37" t="s">
        <v>357</v>
      </c>
      <c r="U34" s="43" t="str">
        <f t="shared" si="7"/>
        <v>2024-04-13</v>
      </c>
      <c r="V34" s="43">
        <f t="shared" si="8"/>
        <v>45395</v>
      </c>
      <c r="W34" s="44">
        <f t="array" ref="W34">_xlfn.IFS(TRIM(C34)="","",TRIM(V34)="","",TRUE,V34-C34)</f>
        <v>7</v>
      </c>
      <c r="X34" s="37">
        <f t="shared" si="9"/>
        <v>-1</v>
      </c>
      <c r="Y34" s="37" t="s">
        <v>117</v>
      </c>
      <c r="Z34" s="37" t="str">
        <f t="shared" si="10"/>
        <v>delivered</v>
      </c>
      <c r="AA34" s="37" t="str">
        <f t="shared" si="11"/>
        <v>On Time</v>
      </c>
      <c r="AB34" s="37" t="str">
        <f t="shared" si="14"/>
        <v>0</v>
      </c>
      <c r="AC34" s="37">
        <f t="shared" si="15"/>
        <v>0</v>
      </c>
      <c r="AD34" s="45">
        <f t="shared" si="13"/>
        <v>0.504180064308682</v>
      </c>
      <c r="AE34" s="37">
        <v>4</v>
      </c>
      <c r="AF34" s="37" t="s">
        <v>152</v>
      </c>
      <c r="AG34" s="37" t="str">
        <f t="shared" si="12"/>
        <v>no</v>
      </c>
      <c r="AH34" s="37" t="str">
        <f t="array" ref="AH34">_xlfn.IFS(LOWER(AG34)="n","no",LOWER(AG34)="y","yes",TRUE,LOWER(AG34))</f>
        <v>no</v>
      </c>
      <c r="AI34" s="37" t="s">
        <v>4692</v>
      </c>
    </row>
    <row r="35" spans="1:35">
      <c r="A35" s="46" t="s">
        <v>358</v>
      </c>
      <c r="B35" s="47">
        <v>45356</v>
      </c>
      <c r="C35" s="39">
        <f t="shared" si="0"/>
        <v>45356</v>
      </c>
      <c r="D35" s="48" t="s">
        <v>340</v>
      </c>
      <c r="E35" s="37" t="str" cm="1">
        <f t="array" ref="E35">_xlfn.IFS(D35="delhi","north",D35="mumbai","west",D35="bengaluru","south",D35="chennai","south",D35="kolkata","east",TRUE,"west")</f>
        <v>north</v>
      </c>
      <c r="F35" s="46" t="s">
        <v>122</v>
      </c>
      <c r="G35" s="37" t="str">
        <f t="shared" si="1"/>
        <v>delhivery</v>
      </c>
      <c r="H35" s="46" t="s">
        <v>99</v>
      </c>
      <c r="I35" s="37" t="str">
        <f t="shared" si="2"/>
        <v>air</v>
      </c>
      <c r="J35" s="46" t="s">
        <v>360</v>
      </c>
      <c r="K35" s="37" t="str">
        <f t="shared" si="3"/>
        <v>furniture</v>
      </c>
      <c r="L35" s="46" t="s">
        <v>139</v>
      </c>
      <c r="M35" s="37" t="str">
        <f t="shared" si="4"/>
        <v>north</v>
      </c>
      <c r="N35" s="46" t="s">
        <v>354</v>
      </c>
      <c r="O35" s="41" t="str">
        <f t="shared" si="5"/>
        <v>Yes</v>
      </c>
      <c r="P35" s="49">
        <v>50.9</v>
      </c>
      <c r="Q35" s="49">
        <v>2274</v>
      </c>
      <c r="R35" s="42">
        <f t="shared" si="6"/>
        <v>44.6758349705305</v>
      </c>
      <c r="S35" s="46">
        <v>2</v>
      </c>
      <c r="T35" s="46" t="s">
        <v>363</v>
      </c>
      <c r="U35" s="43" t="str">
        <f t="shared" si="7"/>
        <v>07/03/2024</v>
      </c>
      <c r="V35" s="43">
        <f t="shared" si="8"/>
        <v>45358</v>
      </c>
      <c r="W35" s="44">
        <f t="array" ref="W35">_xlfn.IFS(TRIM(C35)="","",TRIM(V35)="","",TRUE,V35-C35)</f>
        <v>2</v>
      </c>
      <c r="X35" s="37">
        <f t="shared" si="9"/>
        <v>0</v>
      </c>
      <c r="Y35" s="46" t="s">
        <v>219</v>
      </c>
      <c r="Z35" s="37" t="str">
        <f t="shared" si="10"/>
        <v>delivered</v>
      </c>
      <c r="AA35" s="37" t="str">
        <f t="shared" si="11"/>
        <v>On Time</v>
      </c>
      <c r="AB35" s="37" t="str">
        <f t="shared" si="14"/>
        <v>0</v>
      </c>
      <c r="AC35" s="37">
        <f t="shared" si="15"/>
        <v>0</v>
      </c>
      <c r="AD35" s="45">
        <f t="shared" si="13"/>
        <v>0.504504504504504</v>
      </c>
      <c r="AE35" s="46">
        <v>5</v>
      </c>
      <c r="AF35" s="46" t="s">
        <v>79</v>
      </c>
      <c r="AG35" s="37" t="str">
        <f t="shared" si="12"/>
        <v>yes</v>
      </c>
      <c r="AH35" s="37" t="str">
        <f t="array" ref="AH35">_xlfn.IFS(LOWER(AG35)="n","no",LOWER(AG35)="y","yes",TRUE,LOWER(AG35))</f>
        <v>yes</v>
      </c>
      <c r="AI35" s="46" t="s">
        <v>4692</v>
      </c>
    </row>
    <row r="36" spans="1:35">
      <c r="A36" s="37" t="s">
        <v>364</v>
      </c>
      <c r="B36" s="38">
        <v>45388</v>
      </c>
      <c r="C36" s="39">
        <f t="shared" si="0"/>
        <v>45388</v>
      </c>
      <c r="D36" s="40" t="s">
        <v>366</v>
      </c>
      <c r="E36" s="37" t="str" cm="1">
        <f t="array" ref="E36">_xlfn.IFS(D36="delhi","north",D36="mumbai","west",D36="bengaluru","south",D36="chennai","south",D36="kolkata","east",TRUE,"west")</f>
        <v>east</v>
      </c>
      <c r="F36" s="37" t="s">
        <v>367</v>
      </c>
      <c r="G36" s="37" t="str">
        <f t="shared" si="1"/>
        <v>dtdc</v>
      </c>
      <c r="H36" s="37" t="s">
        <v>147</v>
      </c>
      <c r="I36" s="37" t="str">
        <f t="shared" si="2"/>
        <v>road</v>
      </c>
      <c r="J36" s="37" t="s">
        <v>368</v>
      </c>
      <c r="K36" s="37" t="str">
        <f t="shared" si="3"/>
        <v>furniture</v>
      </c>
      <c r="L36" s="37" t="s">
        <v>168</v>
      </c>
      <c r="M36" s="37" t="str">
        <f t="shared" si="4"/>
        <v>west</v>
      </c>
      <c r="N36" s="37" t="s">
        <v>187</v>
      </c>
      <c r="O36" s="41" t="str">
        <f t="shared" si="5"/>
        <v>Yes</v>
      </c>
      <c r="P36" s="41">
        <v>22.5</v>
      </c>
      <c r="Q36" s="41" t="s">
        <v>370</v>
      </c>
      <c r="R36" s="42">
        <f t="shared" si="6"/>
        <v>19.5111111111111</v>
      </c>
      <c r="S36" s="37">
        <v>8</v>
      </c>
      <c r="T36" s="37" t="s">
        <v>371</v>
      </c>
      <c r="U36" s="43" t="str">
        <f t="shared" si="7"/>
        <v>14-apr-2024</v>
      </c>
      <c r="V36" s="43">
        <f t="shared" si="8"/>
        <v>45396</v>
      </c>
      <c r="W36" s="44">
        <f t="array" ref="W36">_xlfn.IFS(TRIM(C36)="","",TRIM(V36)="","",TRUE,V36-C36)</f>
        <v>8</v>
      </c>
      <c r="X36" s="37">
        <f t="shared" si="9"/>
        <v>0</v>
      </c>
      <c r="Y36" s="37" t="s">
        <v>219</v>
      </c>
      <c r="Z36" s="37" t="str">
        <f t="shared" si="10"/>
        <v>delivered</v>
      </c>
      <c r="AA36" s="37" t="str">
        <f t="shared" si="11"/>
        <v>On Time</v>
      </c>
      <c r="AB36" s="37" t="str">
        <f t="shared" si="14"/>
        <v>0</v>
      </c>
      <c r="AC36" s="37">
        <f t="shared" si="15"/>
        <v>0</v>
      </c>
      <c r="AD36" s="45">
        <f t="shared" si="13"/>
        <v>0.504829362524147</v>
      </c>
      <c r="AE36" s="37">
        <v>3</v>
      </c>
      <c r="AF36" s="37" t="s">
        <v>181</v>
      </c>
      <c r="AG36" s="37" t="str">
        <f t="shared" si="12"/>
        <v>y</v>
      </c>
      <c r="AH36" s="37" t="str">
        <f t="array" ref="AH36">_xlfn.IFS(LOWER(AG36)="n","no",LOWER(AG36)="y","yes",TRUE,LOWER(AG36))</f>
        <v>yes</v>
      </c>
      <c r="AI36" s="37" t="s">
        <v>4692</v>
      </c>
    </row>
    <row r="37" spans="1:35">
      <c r="A37" s="46" t="s">
        <v>372</v>
      </c>
      <c r="B37" s="47">
        <v>45350</v>
      </c>
      <c r="C37" s="39">
        <f t="shared" si="0"/>
        <v>45350</v>
      </c>
      <c r="D37" s="48" t="s">
        <v>424</v>
      </c>
      <c r="E37" s="37" t="str" cm="1">
        <f t="array" ref="E37">_xlfn.IFS(D37="delhi","north",D37="mumbai","west",D37="bengaluru","south",D37="chennai","south",D37="kolkata","east",TRUE,"west")</f>
        <v>south</v>
      </c>
      <c r="F37" s="46" t="s">
        <v>312</v>
      </c>
      <c r="G37" s="37" t="str">
        <f t="shared" si="1"/>
        <v>bluedart</v>
      </c>
      <c r="H37" s="46" t="s">
        <v>147</v>
      </c>
      <c r="I37" s="37" t="str">
        <f t="shared" si="2"/>
        <v>road</v>
      </c>
      <c r="J37" s="46" t="s">
        <v>231</v>
      </c>
      <c r="K37" s="37" t="str">
        <f t="shared" si="3"/>
        <v>furniture</v>
      </c>
      <c r="L37" s="46" t="s">
        <v>51</v>
      </c>
      <c r="M37" s="37" t="str">
        <f t="shared" si="4"/>
        <v>south</v>
      </c>
      <c r="N37" s="46" t="s">
        <v>327</v>
      </c>
      <c r="O37" s="41" t="str">
        <f t="shared" si="5"/>
        <v>Yes</v>
      </c>
      <c r="P37" s="49">
        <v>58.7</v>
      </c>
      <c r="Q37" s="49" t="s">
        <v>376</v>
      </c>
      <c r="R37" s="42">
        <f t="shared" si="6"/>
        <v>14.6507666098807</v>
      </c>
      <c r="S37" s="46">
        <v>6</v>
      </c>
      <c r="T37" s="46" t="s">
        <v>377</v>
      </c>
      <c r="U37" s="43" t="str">
        <f t="shared" si="7"/>
        <v>04/03/2024</v>
      </c>
      <c r="V37" s="43">
        <f t="shared" si="8"/>
        <v>45355</v>
      </c>
      <c r="W37" s="44">
        <f t="array" ref="W37">_xlfn.IFS(TRIM(C37)="","",TRIM(V37)="","",TRUE,V37-C37)</f>
        <v>5</v>
      </c>
      <c r="X37" s="37">
        <f t="shared" si="9"/>
        <v>-1</v>
      </c>
      <c r="Y37" s="46" t="s">
        <v>163</v>
      </c>
      <c r="Z37" s="37" t="str">
        <f t="shared" si="10"/>
        <v>delivered</v>
      </c>
      <c r="AA37" s="37" t="str">
        <f t="shared" si="11"/>
        <v>On Time</v>
      </c>
      <c r="AB37" s="37" t="str">
        <f t="shared" si="14"/>
        <v>0</v>
      </c>
      <c r="AC37" s="37">
        <f t="shared" si="15"/>
        <v>0</v>
      </c>
      <c r="AD37" s="45">
        <f t="shared" si="13"/>
        <v>0.505154639175258</v>
      </c>
      <c r="AE37" s="46">
        <v>4</v>
      </c>
      <c r="AF37" s="46" t="s">
        <v>152</v>
      </c>
      <c r="AG37" s="37" t="str">
        <f t="shared" si="12"/>
        <v>no</v>
      </c>
      <c r="AH37" s="37" t="str">
        <f t="array" ref="AH37">_xlfn.IFS(LOWER(AG37)="n","no",LOWER(AG37)="y","yes",TRUE,LOWER(AG37))</f>
        <v>no</v>
      </c>
      <c r="AI37" s="46" t="s">
        <v>4692</v>
      </c>
    </row>
    <row r="38" spans="1:35">
      <c r="A38" s="37" t="s">
        <v>378</v>
      </c>
      <c r="B38" s="38" t="s">
        <v>4703</v>
      </c>
      <c r="C38" s="39">
        <f t="shared" si="0"/>
        <v>45433</v>
      </c>
      <c r="D38" s="40" t="s">
        <v>4699</v>
      </c>
      <c r="E38" s="37" t="str" cm="1">
        <f t="array" ref="E38">_xlfn.IFS(D38="delhi","north",D38="mumbai","west",D38="bengaluru","south",D38="chennai","south",D38="kolkata","east",TRUE,"west")</f>
        <v>west</v>
      </c>
      <c r="F38" s="37" t="s">
        <v>333</v>
      </c>
      <c r="G38" s="37" t="str">
        <f t="shared" si="1"/>
        <v>delhivery</v>
      </c>
      <c r="H38" s="37" t="s">
        <v>244</v>
      </c>
      <c r="I38" s="37" t="str">
        <f t="shared" si="2"/>
        <v>air</v>
      </c>
      <c r="J38" s="37" t="s">
        <v>205</v>
      </c>
      <c r="K38" s="37" t="str">
        <f t="shared" si="3"/>
        <v>furniture</v>
      </c>
      <c r="L38" s="37" t="s">
        <v>380</v>
      </c>
      <c r="M38" s="37" t="str">
        <f t="shared" si="4"/>
        <v>east</v>
      </c>
      <c r="N38" s="37" t="s">
        <v>294</v>
      </c>
      <c r="O38" s="41" t="str">
        <f t="shared" si="5"/>
        <v>Yes</v>
      </c>
      <c r="P38" s="41">
        <v>36.1</v>
      </c>
      <c r="Q38" s="41" t="s">
        <v>382</v>
      </c>
      <c r="R38" s="42">
        <f t="shared" si="6"/>
        <v>50.2770083102493</v>
      </c>
      <c r="S38" s="37">
        <v>4</v>
      </c>
      <c r="T38" s="37" t="s">
        <v>383</v>
      </c>
      <c r="U38" s="43" t="str">
        <f t="shared" si="7"/>
        <v>24/05/2024</v>
      </c>
      <c r="V38" s="43">
        <f t="shared" si="8"/>
        <v>45436</v>
      </c>
      <c r="W38" s="44">
        <f t="array" ref="W38">_xlfn.IFS(TRIM(C38)="","",TRIM(V38)="","",TRUE,V38-C38)</f>
        <v>3</v>
      </c>
      <c r="X38" s="37">
        <f t="shared" si="9"/>
        <v>-1</v>
      </c>
      <c r="Y38" s="37" t="s">
        <v>163</v>
      </c>
      <c r="Z38" s="37" t="str">
        <f t="shared" si="10"/>
        <v>delivered</v>
      </c>
      <c r="AA38" s="37" t="str">
        <f t="shared" si="11"/>
        <v>On Time</v>
      </c>
      <c r="AB38" s="37" t="str">
        <f t="shared" si="14"/>
        <v>0</v>
      </c>
      <c r="AC38" s="37">
        <f t="shared" si="15"/>
        <v>0</v>
      </c>
      <c r="AD38" s="45">
        <f t="shared" si="13"/>
        <v>0.505480335267569</v>
      </c>
      <c r="AE38" s="37">
        <v>4</v>
      </c>
      <c r="AF38" s="37" t="s">
        <v>286</v>
      </c>
      <c r="AG38" s="37" t="str">
        <f t="shared" si="12"/>
        <v>yes</v>
      </c>
      <c r="AH38" s="37" t="str">
        <f t="array" ref="AH38">_xlfn.IFS(LOWER(AG38)="n","no",LOWER(AG38)="y","yes",TRUE,LOWER(AG38))</f>
        <v>yes</v>
      </c>
      <c r="AI38" s="37" t="s">
        <v>4692</v>
      </c>
    </row>
    <row r="39" spans="1:35">
      <c r="A39" s="46" t="s">
        <v>384</v>
      </c>
      <c r="B39" s="47">
        <v>45425</v>
      </c>
      <c r="C39" s="39">
        <f t="shared" si="0"/>
        <v>45425</v>
      </c>
      <c r="D39" s="48" t="s">
        <v>121</v>
      </c>
      <c r="E39" s="37" t="str" cm="1">
        <f t="array" ref="E39">_xlfn.IFS(D39="delhi","north",D39="mumbai","west",D39="bengaluru","south",D39="chennai","south",D39="kolkata","east",TRUE,"west")</f>
        <v>west</v>
      </c>
      <c r="F39" s="46" t="s">
        <v>204</v>
      </c>
      <c r="G39" s="37" t="str">
        <f t="shared" si="1"/>
        <v>delhivery</v>
      </c>
      <c r="H39" s="46" t="s">
        <v>195</v>
      </c>
      <c r="I39" s="37" t="str">
        <f t="shared" si="2"/>
        <v>road</v>
      </c>
      <c r="J39" s="46" t="s">
        <v>385</v>
      </c>
      <c r="K39" s="37" t="str">
        <f t="shared" si="3"/>
        <v>furniture</v>
      </c>
      <c r="L39" s="46" t="s">
        <v>92</v>
      </c>
      <c r="M39" s="37" t="str">
        <f t="shared" si="4"/>
        <v>east</v>
      </c>
      <c r="N39" s="46" t="s">
        <v>294</v>
      </c>
      <c r="O39" s="41" t="str">
        <f t="shared" si="5"/>
        <v>Yes</v>
      </c>
      <c r="P39" s="49">
        <v>50.6</v>
      </c>
      <c r="Q39" s="49">
        <v>848</v>
      </c>
      <c r="R39" s="42">
        <f t="shared" si="6"/>
        <v>16.7588932806324</v>
      </c>
      <c r="S39" s="46">
        <v>8</v>
      </c>
      <c r="T39" s="46" t="s">
        <v>388</v>
      </c>
      <c r="U39" s="43" t="str">
        <f t="shared" si="7"/>
        <v>21-may-2024</v>
      </c>
      <c r="V39" s="43">
        <f t="shared" si="8"/>
        <v>45433</v>
      </c>
      <c r="W39" s="44">
        <f t="array" ref="W39">_xlfn.IFS(TRIM(C39)="","",TRIM(V39)="","",TRUE,V39-C39)</f>
        <v>8</v>
      </c>
      <c r="X39" s="37">
        <f t="shared" si="9"/>
        <v>0</v>
      </c>
      <c r="Y39" s="46" t="s">
        <v>163</v>
      </c>
      <c r="Z39" s="37" t="str">
        <f t="shared" si="10"/>
        <v>delivered</v>
      </c>
      <c r="AA39" s="37" t="str">
        <f t="shared" si="11"/>
        <v>On Time</v>
      </c>
      <c r="AB39" s="37" t="str">
        <f t="shared" si="14"/>
        <v>0</v>
      </c>
      <c r="AC39" s="37">
        <f t="shared" si="15"/>
        <v>0</v>
      </c>
      <c r="AD39" s="45">
        <f t="shared" si="13"/>
        <v>0.505806451612903</v>
      </c>
      <c r="AE39" s="46">
        <v>5</v>
      </c>
      <c r="AF39" s="46" t="s">
        <v>286</v>
      </c>
      <c r="AG39" s="37" t="str">
        <f t="shared" si="12"/>
        <v>yes</v>
      </c>
      <c r="AH39" s="37" t="str">
        <f t="array" ref="AH39">_xlfn.IFS(LOWER(AG39)="n","no",LOWER(AG39)="y","yes",TRUE,LOWER(AG39))</f>
        <v>yes</v>
      </c>
      <c r="AI39" s="46" t="s">
        <v>4692</v>
      </c>
    </row>
    <row r="40" spans="1:35">
      <c r="A40" s="37" t="s">
        <v>389</v>
      </c>
      <c r="B40" s="38">
        <v>45364</v>
      </c>
      <c r="C40" s="39">
        <f t="shared" si="0"/>
        <v>45364</v>
      </c>
      <c r="D40" s="40" t="s">
        <v>633</v>
      </c>
      <c r="E40" s="37" t="str" cm="1">
        <f t="array" ref="E40">_xlfn.IFS(D40="delhi","north",D40="mumbai","west",D40="bengaluru","south",D40="chennai","south",D40="kolkata","east",TRUE,"west")</f>
        <v>south</v>
      </c>
      <c r="F40" s="37" t="s">
        <v>136</v>
      </c>
      <c r="G40" s="37" t="str">
        <f t="shared" si="1"/>
        <v>bluedart</v>
      </c>
      <c r="H40" s="37" t="s">
        <v>224</v>
      </c>
      <c r="I40" s="37" t="str">
        <f t="shared" si="2"/>
        <v>air</v>
      </c>
      <c r="J40" s="37" t="s">
        <v>237</v>
      </c>
      <c r="K40" s="37" t="str">
        <f t="shared" si="3"/>
        <v>automotiveparts</v>
      </c>
      <c r="L40" s="37" t="s">
        <v>334</v>
      </c>
      <c r="M40" s="37" t="str">
        <f t="shared" si="4"/>
        <v>north</v>
      </c>
      <c r="N40" s="37" t="s">
        <v>354</v>
      </c>
      <c r="O40" s="41" t="str">
        <f t="shared" si="5"/>
        <v>Yes</v>
      </c>
      <c r="P40" s="41">
        <v>38.3</v>
      </c>
      <c r="Q40" s="50">
        <v>1918</v>
      </c>
      <c r="R40" s="42">
        <f t="shared" si="6"/>
        <v>50.0783289817232</v>
      </c>
      <c r="S40" s="37">
        <v>4</v>
      </c>
      <c r="T40" s="37" t="s">
        <v>393</v>
      </c>
      <c r="U40" s="43" t="str">
        <f t="shared" si="7"/>
        <v>18/03/2024</v>
      </c>
      <c r="V40" s="43">
        <f t="shared" si="8"/>
        <v>45369</v>
      </c>
      <c r="W40" s="44">
        <f t="array" ref="W40">_xlfn.IFS(TRIM(C40)="","",TRIM(V40)="","",TRUE,V40-C40)</f>
        <v>5</v>
      </c>
      <c r="X40" s="37">
        <f t="shared" si="9"/>
        <v>1</v>
      </c>
      <c r="Y40" s="37" t="s">
        <v>200</v>
      </c>
      <c r="Z40" s="37" t="str">
        <f t="shared" si="10"/>
        <v>delayed</v>
      </c>
      <c r="AA40" s="37" t="str">
        <f t="shared" si="11"/>
        <v>Late</v>
      </c>
      <c r="AB40" s="37" t="str">
        <f t="shared" si="14"/>
        <v>1</v>
      </c>
      <c r="AC40" s="37">
        <f t="shared" si="15"/>
        <v>1</v>
      </c>
      <c r="AD40" s="45">
        <f t="shared" si="13"/>
        <v>0.506132989025178</v>
      </c>
      <c r="AE40" s="37">
        <v>4</v>
      </c>
      <c r="AF40" s="37" t="s">
        <v>152</v>
      </c>
      <c r="AG40" s="37" t="str">
        <f t="shared" si="12"/>
        <v>no</v>
      </c>
      <c r="AH40" s="37" t="str">
        <f t="array" ref="AH40">_xlfn.IFS(LOWER(AG40)="n","no",LOWER(AG40)="y","yes",TRUE,LOWER(AG40))</f>
        <v>no</v>
      </c>
      <c r="AI40" s="37" t="s">
        <v>4692</v>
      </c>
    </row>
    <row r="41" spans="1:35">
      <c r="A41" s="46" t="s">
        <v>394</v>
      </c>
      <c r="B41" s="47">
        <v>45423</v>
      </c>
      <c r="C41" s="39">
        <f t="shared" si="0"/>
        <v>45423</v>
      </c>
      <c r="D41" s="48" t="s">
        <v>109</v>
      </c>
      <c r="E41" s="37" t="str" cm="1">
        <f t="array" ref="E41">_xlfn.IFS(D41="delhi","north",D41="mumbai","west",D41="bengaluru","south",D41="chennai","south",D41="kolkata","east",TRUE,"west")</f>
        <v>west</v>
      </c>
      <c r="F41" s="46" t="s">
        <v>156</v>
      </c>
      <c r="G41" s="37" t="str">
        <f t="shared" si="1"/>
        <v>xpressbees</v>
      </c>
      <c r="H41" s="46" t="s">
        <v>325</v>
      </c>
      <c r="I41" s="37" t="str">
        <f t="shared" si="2"/>
        <v>air</v>
      </c>
      <c r="J41" s="46" t="s">
        <v>47</v>
      </c>
      <c r="K41" s="37" t="str">
        <f t="shared" si="3"/>
        <v>electronics</v>
      </c>
      <c r="L41" s="46" t="s">
        <v>380</v>
      </c>
      <c r="M41" s="37" t="str">
        <f t="shared" si="4"/>
        <v>east</v>
      </c>
      <c r="N41" s="46" t="s">
        <v>396</v>
      </c>
      <c r="O41" s="41" t="str">
        <f t="shared" si="5"/>
        <v>Yes</v>
      </c>
      <c r="P41" s="49">
        <v>11</v>
      </c>
      <c r="Q41" s="49" t="s">
        <v>397</v>
      </c>
      <c r="R41" s="42">
        <f t="shared" si="6"/>
        <v>57.6363636363636</v>
      </c>
      <c r="S41" s="46">
        <v>4</v>
      </c>
      <c r="T41" s="46" t="s">
        <v>398</v>
      </c>
      <c r="U41" s="43" t="str">
        <f t="shared" si="7"/>
        <v>14/05/2024</v>
      </c>
      <c r="V41" s="43">
        <f t="shared" si="8"/>
        <v>45426</v>
      </c>
      <c r="W41" s="44">
        <f t="array" ref="W41">_xlfn.IFS(TRIM(C41)="","",TRIM(V41)="","",TRUE,V41-C41)</f>
        <v>3</v>
      </c>
      <c r="X41" s="37">
        <f t="shared" si="9"/>
        <v>-1</v>
      </c>
      <c r="Y41" s="46" t="s">
        <v>219</v>
      </c>
      <c r="Z41" s="37" t="str">
        <f t="shared" si="10"/>
        <v>delivered</v>
      </c>
      <c r="AA41" s="37" t="str">
        <f t="shared" si="11"/>
        <v>On Time</v>
      </c>
      <c r="AB41" s="37" t="str">
        <f t="shared" si="14"/>
        <v>0</v>
      </c>
      <c r="AC41" s="37">
        <f t="shared" si="15"/>
        <v>0</v>
      </c>
      <c r="AD41" s="45">
        <f t="shared" si="13"/>
        <v>0.505813953488372</v>
      </c>
      <c r="AE41" s="46">
        <v>4</v>
      </c>
      <c r="AF41" s="46" t="s">
        <v>191</v>
      </c>
      <c r="AG41" s="37" t="str">
        <f t="shared" si="12"/>
        <v>no</v>
      </c>
      <c r="AH41" s="37" t="str">
        <f t="array" ref="AH41">_xlfn.IFS(LOWER(AG41)="n","no",LOWER(AG41)="y","yes",TRUE,LOWER(AG41))</f>
        <v>no</v>
      </c>
      <c r="AI41" s="46" t="s">
        <v>4692</v>
      </c>
    </row>
    <row r="42" spans="1:35">
      <c r="A42" s="37" t="s">
        <v>399</v>
      </c>
      <c r="B42" s="38">
        <v>45312</v>
      </c>
      <c r="C42" s="39">
        <f t="shared" si="0"/>
        <v>45312</v>
      </c>
      <c r="D42" s="40" t="s">
        <v>340</v>
      </c>
      <c r="E42" s="37" t="str" cm="1">
        <f t="array" ref="E42">_xlfn.IFS(D42="delhi","north",D42="mumbai","west",D42="bengaluru","south",D42="chennai","south",D42="kolkata","east",TRUE,"west")</f>
        <v>north</v>
      </c>
      <c r="F42" s="37" t="s">
        <v>37</v>
      </c>
      <c r="G42" s="37" t="str">
        <f t="shared" si="1"/>
        <v>bluedart</v>
      </c>
      <c r="H42" s="37" t="s">
        <v>195</v>
      </c>
      <c r="I42" s="37" t="str">
        <f t="shared" si="2"/>
        <v>road</v>
      </c>
      <c r="J42" s="37" t="s">
        <v>148</v>
      </c>
      <c r="K42" s="37" t="str">
        <f t="shared" si="3"/>
        <v>electronics</v>
      </c>
      <c r="L42" s="37" t="s">
        <v>401</v>
      </c>
      <c r="M42" s="37" t="str">
        <f t="shared" si="4"/>
        <v>south</v>
      </c>
      <c r="N42" s="37" t="s">
        <v>54</v>
      </c>
      <c r="O42" s="41" t="str">
        <f t="shared" si="5"/>
        <v>Yes</v>
      </c>
      <c r="P42" s="41" t="s">
        <v>402</v>
      </c>
      <c r="Q42" s="41">
        <v>360</v>
      </c>
      <c r="R42" s="42">
        <f t="shared" si="6"/>
        <v>25.531914893617</v>
      </c>
      <c r="S42" s="37">
        <v>8</v>
      </c>
      <c r="T42" s="37" t="s">
        <v>404</v>
      </c>
      <c r="U42" s="43" t="str">
        <f t="shared" si="7"/>
        <v>30/01/2024</v>
      </c>
      <c r="V42" s="43">
        <f t="shared" si="8"/>
        <v>45321</v>
      </c>
      <c r="W42" s="44">
        <f t="array" ref="W42">_xlfn.IFS(TRIM(C42)="","",TRIM(V42)="","",TRUE,V42-C42)</f>
        <v>9</v>
      </c>
      <c r="X42" s="37">
        <f t="shared" si="9"/>
        <v>1</v>
      </c>
      <c r="Y42" s="37" t="s">
        <v>200</v>
      </c>
      <c r="Z42" s="37" t="str">
        <f t="shared" si="10"/>
        <v>delayed</v>
      </c>
      <c r="AA42" s="37" t="str">
        <f t="shared" si="11"/>
        <v>Late</v>
      </c>
      <c r="AB42" s="37" t="str">
        <f t="shared" si="14"/>
        <v>1</v>
      </c>
      <c r="AC42" s="37">
        <f t="shared" si="15"/>
        <v>1</v>
      </c>
      <c r="AD42" s="45">
        <f t="shared" si="13"/>
        <v>0.506140917905624</v>
      </c>
      <c r="AE42" s="37">
        <v>2</v>
      </c>
      <c r="AF42" s="37" t="s">
        <v>131</v>
      </c>
      <c r="AG42" s="37" t="str">
        <f t="shared" si="12"/>
        <v>n</v>
      </c>
      <c r="AH42" s="37" t="str">
        <f t="array" ref="AH42">_xlfn.IFS(LOWER(AG42)="n","no",LOWER(AG42)="y","yes",TRUE,LOWER(AG42))</f>
        <v>no</v>
      </c>
      <c r="AI42" s="37" t="s">
        <v>4692</v>
      </c>
    </row>
    <row r="43" spans="1:35">
      <c r="A43" s="46" t="s">
        <v>405</v>
      </c>
      <c r="B43" s="47">
        <v>45422</v>
      </c>
      <c r="C43" s="39">
        <f t="shared" si="0"/>
        <v>45422</v>
      </c>
      <c r="D43" s="48" t="s">
        <v>4704</v>
      </c>
      <c r="E43" s="37" t="str" cm="1">
        <f t="array" ref="E43">_xlfn.IFS(D43="delhi","north",D43="mumbai","west",D43="bengaluru","south",D43="chennai","south",D43="kolkata","east",TRUE,"west")</f>
        <v>west</v>
      </c>
      <c r="F43" s="46" t="s">
        <v>352</v>
      </c>
      <c r="G43" s="37" t="str">
        <f t="shared" si="1"/>
        <v>delhivery</v>
      </c>
      <c r="H43" s="46" t="s">
        <v>325</v>
      </c>
      <c r="I43" s="37" t="str">
        <f t="shared" si="2"/>
        <v>air</v>
      </c>
      <c r="J43" s="46" t="s">
        <v>301</v>
      </c>
      <c r="K43" s="37" t="str">
        <f t="shared" si="3"/>
        <v>furniture</v>
      </c>
      <c r="L43" s="46" t="s">
        <v>380</v>
      </c>
      <c r="M43" s="37" t="str">
        <f t="shared" si="4"/>
        <v>east</v>
      </c>
      <c r="N43" s="46" t="s">
        <v>294</v>
      </c>
      <c r="O43" s="41" t="str">
        <f t="shared" si="5"/>
        <v>Yes</v>
      </c>
      <c r="P43" s="49">
        <v>40.9</v>
      </c>
      <c r="Q43" s="49" t="s">
        <v>409</v>
      </c>
      <c r="R43" s="42">
        <f t="shared" si="6"/>
        <v>44.9144254278729</v>
      </c>
      <c r="S43" s="46">
        <v>2</v>
      </c>
      <c r="T43" s="46" t="s">
        <v>410</v>
      </c>
      <c r="U43" s="43" t="str">
        <f t="shared" si="7"/>
        <v>12/05/2024</v>
      </c>
      <c r="V43" s="43">
        <f t="shared" si="8"/>
        <v>45424</v>
      </c>
      <c r="W43" s="44">
        <f t="array" ref="W43">_xlfn.IFS(TRIM(C43)="","",TRIM(V43)="","",TRUE,V43-C43)</f>
        <v>2</v>
      </c>
      <c r="X43" s="37">
        <f t="shared" si="9"/>
        <v>0</v>
      </c>
      <c r="Y43" s="46" t="s">
        <v>117</v>
      </c>
      <c r="Z43" s="37" t="str">
        <f t="shared" si="10"/>
        <v>delivered</v>
      </c>
      <c r="AA43" s="37" t="str">
        <f t="shared" si="11"/>
        <v>On Time</v>
      </c>
      <c r="AB43" s="37" t="str">
        <f t="shared" si="14"/>
        <v>0</v>
      </c>
      <c r="AC43" s="37">
        <f t="shared" si="15"/>
        <v>0</v>
      </c>
      <c r="AD43" s="45">
        <f t="shared" si="13"/>
        <v>0.505821474773609</v>
      </c>
      <c r="AE43" s="46">
        <v>4</v>
      </c>
      <c r="AF43" s="46" t="s">
        <v>131</v>
      </c>
      <c r="AG43" s="37" t="str">
        <f t="shared" si="12"/>
        <v>n</v>
      </c>
      <c r="AH43" s="37" t="str">
        <f t="array" ref="AH43">_xlfn.IFS(LOWER(AG43)="n","no",LOWER(AG43)="y","yes",TRUE,LOWER(AG43))</f>
        <v>no</v>
      </c>
      <c r="AI43" s="46" t="s">
        <v>4692</v>
      </c>
    </row>
    <row r="44" spans="1:35">
      <c r="A44" s="37" t="s">
        <v>411</v>
      </c>
      <c r="B44" s="38">
        <v>45299</v>
      </c>
      <c r="C44" s="39">
        <f t="shared" si="0"/>
        <v>45299</v>
      </c>
      <c r="D44" s="40" t="s">
        <v>166</v>
      </c>
      <c r="E44" s="37" t="str" cm="1">
        <f t="array" ref="E44">_xlfn.IFS(D44="delhi","north",D44="mumbai","west",D44="bengaluru","south",D44="chennai","south",D44="kolkata","east",TRUE,"west")</f>
        <v>west</v>
      </c>
      <c r="F44" s="37" t="s">
        <v>204</v>
      </c>
      <c r="G44" s="37" t="str">
        <f t="shared" si="1"/>
        <v>delhivery</v>
      </c>
      <c r="H44" s="37" t="s">
        <v>147</v>
      </c>
      <c r="I44" s="37" t="str">
        <f t="shared" si="2"/>
        <v>road</v>
      </c>
      <c r="J44" s="37" t="s">
        <v>283</v>
      </c>
      <c r="K44" s="37" t="str">
        <f t="shared" si="3"/>
        <v>pharma</v>
      </c>
      <c r="L44" s="37" t="s">
        <v>159</v>
      </c>
      <c r="M44" s="37" t="str">
        <f t="shared" si="4"/>
        <v>south</v>
      </c>
      <c r="N44" s="37" t="s">
        <v>327</v>
      </c>
      <c r="O44" s="41" t="str">
        <f t="shared" si="5"/>
        <v>Yes</v>
      </c>
      <c r="P44" s="41">
        <v>2.1</v>
      </c>
      <c r="Q44" s="41" t="s">
        <v>414</v>
      </c>
      <c r="R44" s="42">
        <f t="shared" si="6"/>
        <v>76.1904761904762</v>
      </c>
      <c r="S44" s="37">
        <v>8</v>
      </c>
      <c r="T44" s="37" t="s">
        <v>415</v>
      </c>
      <c r="U44" s="43" t="str">
        <f t="shared" si="7"/>
        <v>15/01/2024</v>
      </c>
      <c r="V44" s="43">
        <f t="shared" si="8"/>
        <v>45306</v>
      </c>
      <c r="W44" s="44">
        <f t="array" ref="W44">_xlfn.IFS(TRIM(C44)="","",TRIM(V44)="","",TRUE,V44-C44)</f>
        <v>7</v>
      </c>
      <c r="X44" s="37">
        <f t="shared" si="9"/>
        <v>-1</v>
      </c>
      <c r="Y44" s="37" t="s">
        <v>117</v>
      </c>
      <c r="Z44" s="37" t="str">
        <f t="shared" si="10"/>
        <v>delivered</v>
      </c>
      <c r="AA44" s="37" t="str">
        <f t="shared" si="11"/>
        <v>On Time</v>
      </c>
      <c r="AB44" s="37" t="str">
        <f t="shared" si="14"/>
        <v>0</v>
      </c>
      <c r="AC44" s="37">
        <f t="shared" si="15"/>
        <v>0</v>
      </c>
      <c r="AD44" s="45">
        <f t="shared" si="13"/>
        <v>0.506148867313916</v>
      </c>
      <c r="AE44" s="37">
        <v>5</v>
      </c>
      <c r="AF44" s="37" t="s">
        <v>181</v>
      </c>
      <c r="AG44" s="37" t="str">
        <f t="shared" si="12"/>
        <v>y</v>
      </c>
      <c r="AH44" s="37" t="str">
        <f t="array" ref="AH44">_xlfn.IFS(LOWER(AG44)="n","no",LOWER(AG44)="y","yes",TRUE,LOWER(AG44))</f>
        <v>yes</v>
      </c>
      <c r="AI44" s="37" t="s">
        <v>4692</v>
      </c>
    </row>
    <row r="45" spans="1:35">
      <c r="A45" s="46" t="s">
        <v>416</v>
      </c>
      <c r="B45" s="47">
        <v>45357</v>
      </c>
      <c r="C45" s="39">
        <f t="shared" si="0"/>
        <v>45357</v>
      </c>
      <c r="D45" s="48" t="s">
        <v>109</v>
      </c>
      <c r="E45" s="37" t="str" cm="1">
        <f t="array" ref="E45">_xlfn.IFS(D45="delhi","north",D45="mumbai","west",D45="bengaluru","south",D45="chennai","south",D45="kolkata","east",TRUE,"west")</f>
        <v>west</v>
      </c>
      <c r="F45" s="46" t="s">
        <v>156</v>
      </c>
      <c r="G45" s="37" t="str">
        <f t="shared" si="1"/>
        <v>xpressbees</v>
      </c>
      <c r="H45" s="46" t="s">
        <v>123</v>
      </c>
      <c r="I45" s="37" t="str">
        <f t="shared" si="2"/>
        <v>air</v>
      </c>
      <c r="J45" s="46" t="s">
        <v>148</v>
      </c>
      <c r="K45" s="37" t="str">
        <f t="shared" si="3"/>
        <v>electronics</v>
      </c>
      <c r="L45" s="46" t="s">
        <v>418</v>
      </c>
      <c r="M45" s="37" t="str">
        <f t="shared" si="4"/>
        <v>south</v>
      </c>
      <c r="N45" s="46" t="s">
        <v>54</v>
      </c>
      <c r="O45" s="41" t="str">
        <f t="shared" si="5"/>
        <v>Yes</v>
      </c>
      <c r="P45" s="49" t="s">
        <v>419</v>
      </c>
      <c r="Q45" s="49" t="s">
        <v>420</v>
      </c>
      <c r="R45" s="42">
        <f t="shared" si="6"/>
        <v>61.0810810810811</v>
      </c>
      <c r="S45" s="46">
        <v>4</v>
      </c>
      <c r="T45" s="46" t="s">
        <v>421</v>
      </c>
      <c r="U45" s="43" t="str">
        <f t="shared" si="7"/>
        <v>15/03/2024</v>
      </c>
      <c r="V45" s="43">
        <f t="shared" si="8"/>
        <v>45366</v>
      </c>
      <c r="W45" s="44">
        <f t="array" ref="W45">_xlfn.IFS(TRIM(C45)="","",TRIM(V45)="","",TRUE,V45-C45)</f>
        <v>9</v>
      </c>
      <c r="X45" s="37">
        <f t="shared" si="9"/>
        <v>5</v>
      </c>
      <c r="Y45" s="46" t="s">
        <v>172</v>
      </c>
      <c r="Z45" s="37" t="str">
        <f t="shared" si="10"/>
        <v>delayed</v>
      </c>
      <c r="AA45" s="37" t="str">
        <f t="shared" si="11"/>
        <v>Late</v>
      </c>
      <c r="AB45" s="37" t="str">
        <f t="shared" si="14"/>
        <v>1</v>
      </c>
      <c r="AC45" s="37">
        <f t="shared" si="15"/>
        <v>1</v>
      </c>
      <c r="AD45" s="45">
        <f t="shared" si="13"/>
        <v>0.506476683937824</v>
      </c>
      <c r="AE45" s="46">
        <v>2</v>
      </c>
      <c r="AF45" s="46" t="s">
        <v>181</v>
      </c>
      <c r="AG45" s="37" t="str">
        <f t="shared" si="12"/>
        <v>y</v>
      </c>
      <c r="AH45" s="37" t="str">
        <f t="array" ref="AH45">_xlfn.IFS(LOWER(AG45)="n","no",LOWER(AG45)="y","yes",TRUE,LOWER(AG45))</f>
        <v>yes</v>
      </c>
      <c r="AI45" s="46" t="s">
        <v>4692</v>
      </c>
    </row>
    <row r="46" spans="1:35">
      <c r="A46" s="37" t="s">
        <v>422</v>
      </c>
      <c r="B46" s="38">
        <v>45432</v>
      </c>
      <c r="C46" s="39">
        <f t="shared" si="0"/>
        <v>45432</v>
      </c>
      <c r="D46" s="40" t="s">
        <v>424</v>
      </c>
      <c r="E46" s="37" t="str" cm="1">
        <f t="array" ref="E46">_xlfn.IFS(D46="delhi","north",D46="mumbai","west",D46="bengaluru","south",D46="chennai","south",D46="kolkata","east",TRUE,"west")</f>
        <v>south</v>
      </c>
      <c r="F46" s="37" t="s">
        <v>223</v>
      </c>
      <c r="G46" s="37" t="str">
        <f t="shared" si="1"/>
        <v>xpressbees</v>
      </c>
      <c r="H46" s="37" t="s">
        <v>244</v>
      </c>
      <c r="I46" s="37" t="str">
        <f t="shared" si="2"/>
        <v>air</v>
      </c>
      <c r="J46" s="37" t="s">
        <v>425</v>
      </c>
      <c r="K46" s="37" t="str">
        <f t="shared" si="3"/>
        <v>automotiveparts</v>
      </c>
      <c r="L46" s="37" t="s">
        <v>302</v>
      </c>
      <c r="M46" s="37" t="str">
        <f t="shared" si="4"/>
        <v>east</v>
      </c>
      <c r="N46" s="37" t="s">
        <v>126</v>
      </c>
      <c r="O46" s="41" t="str">
        <f t="shared" si="5"/>
        <v>Yes</v>
      </c>
      <c r="P46" s="41" t="s">
        <v>426</v>
      </c>
      <c r="Q46" s="41">
        <v>1545</v>
      </c>
      <c r="R46" s="42">
        <f t="shared" si="6"/>
        <v>51.328903654485</v>
      </c>
      <c r="S46" s="37">
        <v>4</v>
      </c>
      <c r="T46" s="37" t="s">
        <v>120</v>
      </c>
      <c r="U46" s="43" t="str">
        <f t="shared" si="7"/>
        <v>23-may-2024</v>
      </c>
      <c r="V46" s="43">
        <f t="shared" si="8"/>
        <v>45435</v>
      </c>
      <c r="W46" s="44">
        <f t="array" ref="W46">_xlfn.IFS(TRIM(C46)="","",TRIM(V46)="","",TRUE,V46-C46)</f>
        <v>3</v>
      </c>
      <c r="X46" s="37">
        <f t="shared" si="9"/>
        <v>-1</v>
      </c>
      <c r="Y46" s="37" t="s">
        <v>219</v>
      </c>
      <c r="Z46" s="37" t="str">
        <f t="shared" si="10"/>
        <v>delivered</v>
      </c>
      <c r="AA46" s="37" t="str">
        <f t="shared" si="11"/>
        <v>On Time</v>
      </c>
      <c r="AB46" s="37" t="str">
        <f t="shared" si="14"/>
        <v>0</v>
      </c>
      <c r="AC46" s="37">
        <f t="shared" si="15"/>
        <v>0</v>
      </c>
      <c r="AD46" s="45">
        <f t="shared" si="13"/>
        <v>0.506156837329877</v>
      </c>
      <c r="AE46" s="37">
        <v>5</v>
      </c>
      <c r="AF46" s="37" t="s">
        <v>118</v>
      </c>
      <c r="AG46" s="37" t="str">
        <f t="shared" si="12"/>
        <v>no</v>
      </c>
      <c r="AH46" s="37" t="str">
        <f t="array" ref="AH46">_xlfn.IFS(LOWER(AG46)="n","no",LOWER(AG46)="y","yes",TRUE,LOWER(AG46))</f>
        <v>no</v>
      </c>
      <c r="AI46" s="37" t="s">
        <v>4692</v>
      </c>
    </row>
    <row r="47" spans="1:35">
      <c r="A47" s="46" t="s">
        <v>428</v>
      </c>
      <c r="B47" s="47">
        <v>45453</v>
      </c>
      <c r="C47" s="39">
        <f t="shared" si="0"/>
        <v>45453</v>
      </c>
      <c r="D47" s="48" t="s">
        <v>340</v>
      </c>
      <c r="E47" s="37" t="str" cm="1">
        <f t="array" ref="E47">_xlfn.IFS(D47="delhi","north",D47="mumbai","west",D47="bengaluru","south",D47="chennai","south",D47="kolkata","east",TRUE,"west")</f>
        <v>north</v>
      </c>
      <c r="F47" s="46" t="s">
        <v>122</v>
      </c>
      <c r="G47" s="37" t="str">
        <f t="shared" si="1"/>
        <v>delhivery</v>
      </c>
      <c r="H47" s="46" t="s">
        <v>195</v>
      </c>
      <c r="I47" s="37" t="str">
        <f t="shared" si="2"/>
        <v>road</v>
      </c>
      <c r="J47" s="46" t="s">
        <v>430</v>
      </c>
      <c r="K47" s="37" t="str">
        <f t="shared" si="3"/>
        <v>pharma</v>
      </c>
      <c r="L47" s="46" t="s">
        <v>334</v>
      </c>
      <c r="M47" s="37" t="str">
        <f t="shared" si="4"/>
        <v>north</v>
      </c>
      <c r="N47" s="46" t="s">
        <v>354</v>
      </c>
      <c r="O47" s="41" t="str">
        <f t="shared" si="5"/>
        <v>Yes</v>
      </c>
      <c r="P47" s="49">
        <v>1</v>
      </c>
      <c r="Q47" s="49" t="s">
        <v>432</v>
      </c>
      <c r="R47" s="42">
        <f t="shared" si="6"/>
        <v>80</v>
      </c>
      <c r="S47" s="46">
        <v>6</v>
      </c>
      <c r="T47" s="46" t="s">
        <v>433</v>
      </c>
      <c r="U47" s="43" t="str">
        <f t="shared" si="7"/>
        <v>2024-06-15</v>
      </c>
      <c r="V47" s="43">
        <f t="shared" si="8"/>
        <v>45458</v>
      </c>
      <c r="W47" s="44">
        <f t="array" ref="W47">_xlfn.IFS(TRIM(C47)="","",TRIM(V47)="","",TRUE,V47-C47)</f>
        <v>5</v>
      </c>
      <c r="X47" s="37">
        <f t="shared" si="9"/>
        <v>-1</v>
      </c>
      <c r="Y47" s="46" t="s">
        <v>219</v>
      </c>
      <c r="Z47" s="37" t="str">
        <f t="shared" si="10"/>
        <v>delivered</v>
      </c>
      <c r="AA47" s="37" t="str">
        <f t="shared" si="11"/>
        <v>On Time</v>
      </c>
      <c r="AB47" s="37" t="str">
        <f t="shared" si="14"/>
        <v>0</v>
      </c>
      <c r="AC47" s="37">
        <f t="shared" si="15"/>
        <v>0</v>
      </c>
      <c r="AD47" s="45">
        <f t="shared" si="13"/>
        <v>0.506485084306096</v>
      </c>
      <c r="AE47" s="46">
        <v>5</v>
      </c>
      <c r="AF47" s="46" t="s">
        <v>131</v>
      </c>
      <c r="AG47" s="37" t="str">
        <f t="shared" si="12"/>
        <v>n</v>
      </c>
      <c r="AH47" s="37" t="str">
        <f t="array" ref="AH47">_xlfn.IFS(LOWER(AG47)="n","no",LOWER(AG47)="y","yes",TRUE,LOWER(AG47))</f>
        <v>no</v>
      </c>
      <c r="AI47" s="46" t="s">
        <v>4692</v>
      </c>
    </row>
    <row r="48" spans="1:35">
      <c r="A48" s="37" t="s">
        <v>434</v>
      </c>
      <c r="B48" s="38">
        <v>45416</v>
      </c>
      <c r="C48" s="39">
        <f t="shared" si="0"/>
        <v>45416</v>
      </c>
      <c r="D48" s="40" t="s">
        <v>212</v>
      </c>
      <c r="E48" s="37" t="str" cm="1">
        <f t="array" ref="E48">_xlfn.IFS(D48="delhi","north",D48="mumbai","west",D48="bengaluru","south",D48="chennai","south",D48="kolkata","east",TRUE,"west")</f>
        <v>west</v>
      </c>
      <c r="F48" s="37" t="s">
        <v>230</v>
      </c>
      <c r="G48" s="37" t="str">
        <f t="shared" si="1"/>
        <v>dtdc</v>
      </c>
      <c r="H48" s="37" t="s">
        <v>110</v>
      </c>
      <c r="I48" s="37" t="str">
        <f t="shared" si="2"/>
        <v>surface</v>
      </c>
      <c r="J48" s="37" t="s">
        <v>430</v>
      </c>
      <c r="K48" s="37" t="str">
        <f t="shared" si="3"/>
        <v>pharma</v>
      </c>
      <c r="L48" s="37" t="s">
        <v>87</v>
      </c>
      <c r="M48" s="37" t="str">
        <f t="shared" si="4"/>
        <v>north</v>
      </c>
      <c r="N48" s="37" t="s">
        <v>215</v>
      </c>
      <c r="O48" s="41" t="str">
        <f t="shared" si="5"/>
        <v>Yes</v>
      </c>
      <c r="P48" s="41" t="s">
        <v>436</v>
      </c>
      <c r="Q48" s="41">
        <v>247</v>
      </c>
      <c r="R48" s="42">
        <f t="shared" si="6"/>
        <v>82.3333333333333</v>
      </c>
      <c r="S48" s="37">
        <v>6</v>
      </c>
      <c r="T48" s="37" t="s">
        <v>254</v>
      </c>
      <c r="U48" s="43" t="str">
        <f t="shared" si="7"/>
        <v>2024-05-09</v>
      </c>
      <c r="V48" s="43">
        <f t="shared" si="8"/>
        <v>45421</v>
      </c>
      <c r="W48" s="44">
        <f t="array" ref="W48">_xlfn.IFS(TRIM(C48)="","",TRIM(V48)="","",TRUE,V48-C48)</f>
        <v>5</v>
      </c>
      <c r="X48" s="37">
        <f t="shared" si="9"/>
        <v>-1</v>
      </c>
      <c r="Y48" s="37" t="s">
        <v>117</v>
      </c>
      <c r="Z48" s="37" t="str">
        <f t="shared" si="10"/>
        <v>delivered</v>
      </c>
      <c r="AA48" s="37" t="str">
        <f t="shared" si="11"/>
        <v>On Time</v>
      </c>
      <c r="AB48" s="37" t="str">
        <f t="shared" si="14"/>
        <v>0</v>
      </c>
      <c r="AC48" s="37">
        <f t="shared" si="15"/>
        <v>0</v>
      </c>
      <c r="AD48" s="45">
        <f t="shared" si="13"/>
        <v>0.506813757300454</v>
      </c>
      <c r="AE48" s="37">
        <v>4</v>
      </c>
      <c r="AF48" s="37" t="s">
        <v>106</v>
      </c>
      <c r="AG48" s="37" t="str">
        <f t="shared" si="12"/>
        <v>yes</v>
      </c>
      <c r="AH48" s="37" t="str">
        <f t="array" ref="AH48">_xlfn.IFS(LOWER(AG48)="n","no",LOWER(AG48)="y","yes",TRUE,LOWER(AG48))</f>
        <v>yes</v>
      </c>
      <c r="AI48" s="37" t="s">
        <v>4692</v>
      </c>
    </row>
    <row r="49" spans="1:35">
      <c r="A49" s="46" t="s">
        <v>438</v>
      </c>
      <c r="B49" s="47">
        <v>45293</v>
      </c>
      <c r="C49" s="39">
        <f t="shared" si="0"/>
        <v>45293</v>
      </c>
      <c r="D49" s="48" t="s">
        <v>633</v>
      </c>
      <c r="E49" s="37" t="str" cm="1">
        <f t="array" ref="E49">_xlfn.IFS(D49="delhi","north",D49="mumbai","west",D49="bengaluru","south",D49="chennai","south",D49="kolkata","east",TRUE,"west")</f>
        <v>south</v>
      </c>
      <c r="F49" s="46"/>
      <c r="G49" s="37" t="str">
        <f t="shared" si="1"/>
        <v/>
      </c>
      <c r="H49" s="46" t="s">
        <v>440</v>
      </c>
      <c r="I49" s="37" t="str">
        <f t="shared" si="2"/>
        <v>road</v>
      </c>
      <c r="J49" s="46" t="s">
        <v>100</v>
      </c>
      <c r="K49" s="37" t="str">
        <f t="shared" si="3"/>
        <v>electronics</v>
      </c>
      <c r="L49" s="46" t="s">
        <v>257</v>
      </c>
      <c r="M49" s="37" t="str">
        <f t="shared" si="4"/>
        <v>west</v>
      </c>
      <c r="N49" s="46" t="s">
        <v>278</v>
      </c>
      <c r="O49" s="41" t="str">
        <f t="shared" si="5"/>
        <v>Yes</v>
      </c>
      <c r="P49" s="49">
        <v>10.2</v>
      </c>
      <c r="Q49" s="49">
        <v>292</v>
      </c>
      <c r="R49" s="42">
        <f t="shared" si="6"/>
        <v>28.6274509803922</v>
      </c>
      <c r="S49" s="46">
        <v>8</v>
      </c>
      <c r="T49" s="46" t="s">
        <v>443</v>
      </c>
      <c r="U49" s="43" t="str">
        <f t="shared" si="7"/>
        <v>2024-01-11</v>
      </c>
      <c r="V49" s="43">
        <f t="shared" si="8"/>
        <v>45302</v>
      </c>
      <c r="W49" s="44">
        <f t="array" ref="W49">_xlfn.IFS(TRIM(C49)="","",TRIM(V49)="","",TRUE,V49-C49)</f>
        <v>9</v>
      </c>
      <c r="X49" s="37">
        <f t="shared" si="9"/>
        <v>1</v>
      </c>
      <c r="Y49" s="46" t="s">
        <v>172</v>
      </c>
      <c r="Z49" s="37" t="str">
        <f t="shared" si="10"/>
        <v>delayed</v>
      </c>
      <c r="AA49" s="37" t="str">
        <f t="shared" si="11"/>
        <v>Late</v>
      </c>
      <c r="AB49" s="37" t="str">
        <f t="shared" si="14"/>
        <v>1</v>
      </c>
      <c r="AC49" s="37">
        <f t="shared" si="15"/>
        <v>1</v>
      </c>
      <c r="AD49" s="45">
        <f t="shared" si="13"/>
        <v>0.507142857142857</v>
      </c>
      <c r="AE49" s="46">
        <v>3</v>
      </c>
      <c r="AF49" s="46" t="s">
        <v>131</v>
      </c>
      <c r="AG49" s="37" t="str">
        <f t="shared" si="12"/>
        <v>n</v>
      </c>
      <c r="AH49" s="37" t="str">
        <f t="array" ref="AH49">_xlfn.IFS(LOWER(AG49)="n","no",LOWER(AG49)="y","yes",TRUE,LOWER(AG49))</f>
        <v>no</v>
      </c>
      <c r="AI49" s="46" t="s">
        <v>4692</v>
      </c>
    </row>
    <row r="50" spans="1:35">
      <c r="A50" s="37" t="s">
        <v>444</v>
      </c>
      <c r="B50" s="38">
        <v>45468</v>
      </c>
      <c r="C50" s="39">
        <f t="shared" si="0"/>
        <v>45468</v>
      </c>
      <c r="D50" s="40" t="s">
        <v>135</v>
      </c>
      <c r="E50" s="37" t="str" cm="1">
        <f t="array" ref="E50">_xlfn.IFS(D50="delhi","north",D50="mumbai","west",D50="bengaluru","south",D50="chennai","south",D50="kolkata","east",TRUE,"west")</f>
        <v>west</v>
      </c>
      <c r="F50" s="37" t="s">
        <v>37</v>
      </c>
      <c r="G50" s="37" t="str">
        <f t="shared" si="1"/>
        <v>bluedart</v>
      </c>
      <c r="H50" s="37" t="s">
        <v>123</v>
      </c>
      <c r="I50" s="37" t="str">
        <f t="shared" si="2"/>
        <v>air</v>
      </c>
      <c r="J50" s="37" t="s">
        <v>138</v>
      </c>
      <c r="K50" s="37" t="str">
        <f t="shared" si="3"/>
        <v>apparel</v>
      </c>
      <c r="L50" s="37" t="s">
        <v>197</v>
      </c>
      <c r="M50" s="37" t="str">
        <f t="shared" si="4"/>
        <v>south</v>
      </c>
      <c r="N50" s="37" t="s">
        <v>93</v>
      </c>
      <c r="O50" s="41" t="str">
        <f t="shared" si="5"/>
        <v>Yes</v>
      </c>
      <c r="P50" s="41" t="s">
        <v>446</v>
      </c>
      <c r="Q50" s="41">
        <v>234</v>
      </c>
      <c r="R50" s="42">
        <f t="shared" si="6"/>
        <v>156</v>
      </c>
      <c r="S50" s="37">
        <v>4</v>
      </c>
      <c r="T50" s="37" t="s">
        <v>448</v>
      </c>
      <c r="U50" s="43" t="str">
        <f t="shared" si="7"/>
        <v>2024-07-03</v>
      </c>
      <c r="V50" s="43">
        <f t="shared" si="8"/>
        <v>45476</v>
      </c>
      <c r="W50" s="44">
        <f t="array" ref="W50">_xlfn.IFS(TRIM(C50)="","",TRIM(V50)="","",TRUE,V50-C50)</f>
        <v>8</v>
      </c>
      <c r="X50" s="37">
        <f t="shared" si="9"/>
        <v>4</v>
      </c>
      <c r="Y50" s="37" t="s">
        <v>143</v>
      </c>
      <c r="Z50" s="37" t="str">
        <f t="shared" si="10"/>
        <v>delayed</v>
      </c>
      <c r="AA50" s="37" t="str">
        <f t="shared" si="11"/>
        <v>Late</v>
      </c>
      <c r="AB50" s="37" t="str">
        <f t="shared" si="14"/>
        <v>1</v>
      </c>
      <c r="AC50" s="37">
        <f t="shared" si="15"/>
        <v>1</v>
      </c>
      <c r="AD50" s="45">
        <f t="shared" si="13"/>
        <v>0.50682261208577</v>
      </c>
      <c r="AE50" s="37">
        <v>1</v>
      </c>
      <c r="AF50" s="37" t="s">
        <v>286</v>
      </c>
      <c r="AG50" s="37" t="str">
        <f t="shared" si="12"/>
        <v>yes</v>
      </c>
      <c r="AH50" s="37" t="str">
        <f t="array" ref="AH50">_xlfn.IFS(LOWER(AG50)="n","no",LOWER(AG50)="y","yes",TRUE,LOWER(AG50))</f>
        <v>yes</v>
      </c>
      <c r="AI50" s="37" t="s">
        <v>4692</v>
      </c>
    </row>
    <row r="51" spans="1:35">
      <c r="A51" s="46" t="s">
        <v>449</v>
      </c>
      <c r="B51" s="47">
        <v>45438</v>
      </c>
      <c r="C51" s="39">
        <f t="shared" si="0"/>
        <v>45438</v>
      </c>
      <c r="D51" s="48" t="s">
        <v>4705</v>
      </c>
      <c r="E51" s="37" t="str" cm="1">
        <f t="array" ref="E51">_xlfn.IFS(D51="delhi","north",D51="mumbai","west",D51="bengaluru","south",D51="chennai","south",D51="kolkata","east",TRUE,"west")</f>
        <v>west</v>
      </c>
      <c r="F51" s="46" t="s">
        <v>352</v>
      </c>
      <c r="G51" s="37" t="str">
        <f t="shared" si="1"/>
        <v>delhivery</v>
      </c>
      <c r="H51" s="46" t="s">
        <v>244</v>
      </c>
      <c r="I51" s="37" t="str">
        <f t="shared" si="2"/>
        <v>air</v>
      </c>
      <c r="J51" s="46" t="s">
        <v>452</v>
      </c>
      <c r="K51" s="37" t="str">
        <f t="shared" si="3"/>
        <v>apparel</v>
      </c>
      <c r="L51" s="46" t="s">
        <v>159</v>
      </c>
      <c r="M51" s="37" t="str">
        <f t="shared" si="4"/>
        <v>south</v>
      </c>
      <c r="N51" s="46" t="s">
        <v>327</v>
      </c>
      <c r="O51" s="41" t="str">
        <f t="shared" si="5"/>
        <v>Yes</v>
      </c>
      <c r="P51" s="49">
        <v>5.4</v>
      </c>
      <c r="Q51" s="49" t="s">
        <v>454</v>
      </c>
      <c r="R51" s="42">
        <f t="shared" si="6"/>
        <v>73.7037037037037</v>
      </c>
      <c r="S51" s="46">
        <v>4</v>
      </c>
      <c r="T51" s="46" t="s">
        <v>455</v>
      </c>
      <c r="U51" s="43" t="str">
        <f t="shared" si="7"/>
        <v>31/05/2024</v>
      </c>
      <c r="V51" s="43">
        <f t="shared" si="8"/>
        <v>45443</v>
      </c>
      <c r="W51" s="44">
        <f t="array" ref="W51">_xlfn.IFS(TRIM(C51)="","",TRIM(V51)="","",TRUE,V51-C51)</f>
        <v>5</v>
      </c>
      <c r="X51" s="37">
        <f t="shared" si="9"/>
        <v>1</v>
      </c>
      <c r="Y51" s="46" t="s">
        <v>200</v>
      </c>
      <c r="Z51" s="37" t="str">
        <f t="shared" si="10"/>
        <v>delayed</v>
      </c>
      <c r="AA51" s="37" t="str">
        <f t="shared" si="11"/>
        <v>Late</v>
      </c>
      <c r="AB51" s="37" t="str">
        <f t="shared" si="14"/>
        <v>1</v>
      </c>
      <c r="AC51" s="37">
        <f t="shared" si="15"/>
        <v>1</v>
      </c>
      <c r="AD51" s="45">
        <f t="shared" si="13"/>
        <v>0.506501950585176</v>
      </c>
      <c r="AE51" s="46">
        <v>2</v>
      </c>
      <c r="AF51" s="46" t="s">
        <v>152</v>
      </c>
      <c r="AG51" s="37" t="str">
        <f t="shared" si="12"/>
        <v>no</v>
      </c>
      <c r="AH51" s="37" t="str">
        <f t="array" ref="AH51">_xlfn.IFS(LOWER(AG51)="n","no",LOWER(AG51)="y","yes",TRUE,LOWER(AG51))</f>
        <v>no</v>
      </c>
      <c r="AI51" s="46" t="s">
        <v>4692</v>
      </c>
    </row>
    <row r="52" spans="1:35">
      <c r="A52" s="37" t="s">
        <v>456</v>
      </c>
      <c r="B52" s="38" t="s">
        <v>4706</v>
      </c>
      <c r="C52" s="39">
        <f t="shared" si="0"/>
        <v>45408</v>
      </c>
      <c r="D52" s="40" t="s">
        <v>4704</v>
      </c>
      <c r="E52" s="37" t="str" cm="1">
        <f t="array" ref="E52">_xlfn.IFS(D52="delhi","north",D52="mumbai","west",D52="bengaluru","south",D52="chennai","south",D52="kolkata","east",TRUE,"west")</f>
        <v>west</v>
      </c>
      <c r="F52" s="37" t="s">
        <v>122</v>
      </c>
      <c r="G52" s="37" t="str">
        <f t="shared" si="1"/>
        <v>delhivery</v>
      </c>
      <c r="H52" s="37" t="s">
        <v>224</v>
      </c>
      <c r="I52" s="37" t="str">
        <f t="shared" si="2"/>
        <v>air</v>
      </c>
      <c r="J52" s="37" t="s">
        <v>458</v>
      </c>
      <c r="K52" s="37" t="str">
        <f t="shared" si="3"/>
        <v>electronics</v>
      </c>
      <c r="L52" s="37" t="s">
        <v>87</v>
      </c>
      <c r="M52" s="37" t="str">
        <f t="shared" si="4"/>
        <v>north</v>
      </c>
      <c r="N52" s="37" t="s">
        <v>32</v>
      </c>
      <c r="O52" s="41" t="str">
        <f t="shared" si="5"/>
        <v>Yes</v>
      </c>
      <c r="P52" s="41" t="s">
        <v>459</v>
      </c>
      <c r="Q52" s="41">
        <v>606</v>
      </c>
      <c r="R52" s="42">
        <f t="shared" si="6"/>
        <v>65.1612903225806</v>
      </c>
      <c r="S52" s="37">
        <v>4</v>
      </c>
      <c r="T52" s="37" t="s">
        <v>461</v>
      </c>
      <c r="U52" s="43" t="str">
        <f t="shared" si="7"/>
        <v>30/04/2024</v>
      </c>
      <c r="V52" s="43">
        <f t="shared" si="8"/>
        <v>45412</v>
      </c>
      <c r="W52" s="44">
        <f t="array" ref="W52">_xlfn.IFS(TRIM(C52)="","",TRIM(V52)="","",TRUE,V52-C52)</f>
        <v>4</v>
      </c>
      <c r="X52" s="37">
        <f t="shared" si="9"/>
        <v>0</v>
      </c>
      <c r="Y52" s="37" t="s">
        <v>163</v>
      </c>
      <c r="Z52" s="37" t="str">
        <f t="shared" si="10"/>
        <v>delivered</v>
      </c>
      <c r="AA52" s="37" t="str">
        <f t="shared" si="11"/>
        <v>On Time</v>
      </c>
      <c r="AB52" s="37" t="str">
        <f t="shared" si="14"/>
        <v>0</v>
      </c>
      <c r="AC52" s="37">
        <f t="shared" si="15"/>
        <v>0</v>
      </c>
      <c r="AD52" s="45">
        <f t="shared" si="13"/>
        <v>0.506180871828237</v>
      </c>
      <c r="AE52" s="37">
        <v>3</v>
      </c>
      <c r="AF52" s="37" t="s">
        <v>131</v>
      </c>
      <c r="AG52" s="37" t="str">
        <f t="shared" si="12"/>
        <v>n</v>
      </c>
      <c r="AH52" s="37" t="str">
        <f t="array" ref="AH52">_xlfn.IFS(LOWER(AG52)="n","no",LOWER(AG52)="y","yes",TRUE,LOWER(AG52))</f>
        <v>no</v>
      </c>
      <c r="AI52" s="37" t="s">
        <v>4692</v>
      </c>
    </row>
    <row r="53" spans="1:35">
      <c r="A53" s="46" t="s">
        <v>462</v>
      </c>
      <c r="B53" s="47">
        <v>45391</v>
      </c>
      <c r="C53" s="39">
        <f t="shared" si="0"/>
        <v>45391</v>
      </c>
      <c r="D53" s="48" t="s">
        <v>4694</v>
      </c>
      <c r="E53" s="37" t="str" cm="1">
        <f t="array" ref="E53">_xlfn.IFS(D53="delhi","north",D53="mumbai","west",D53="bengaluru","south",D53="chennai","south",D53="kolkata","east",TRUE,"west")</f>
        <v>west</v>
      </c>
      <c r="F53" s="46" t="s">
        <v>136</v>
      </c>
      <c r="G53" s="37" t="str">
        <f t="shared" si="1"/>
        <v>bluedart</v>
      </c>
      <c r="H53" s="46" t="s">
        <v>42</v>
      </c>
      <c r="I53" s="37" t="str">
        <f t="shared" si="2"/>
        <v>surface</v>
      </c>
      <c r="J53" s="46" t="s">
        <v>353</v>
      </c>
      <c r="K53" s="37" t="str">
        <f t="shared" si="3"/>
        <v>automotiveparts</v>
      </c>
      <c r="L53" s="46" t="s">
        <v>346</v>
      </c>
      <c r="M53" s="37" t="str">
        <f t="shared" si="4"/>
        <v>north</v>
      </c>
      <c r="N53" s="46" t="s">
        <v>32</v>
      </c>
      <c r="O53" s="41" t="str">
        <f t="shared" si="5"/>
        <v>Yes</v>
      </c>
      <c r="P53" s="49">
        <v>39.5</v>
      </c>
      <c r="Q53" s="51">
        <v>1042</v>
      </c>
      <c r="R53" s="42">
        <f t="shared" si="6"/>
        <v>26.379746835443</v>
      </c>
      <c r="S53" s="46">
        <v>6</v>
      </c>
      <c r="T53" s="46" t="s">
        <v>466</v>
      </c>
      <c r="U53" s="43" t="str">
        <f t="shared" si="7"/>
        <v>2024-04-16</v>
      </c>
      <c r="V53" s="43">
        <f t="shared" si="8"/>
        <v>45398</v>
      </c>
      <c r="W53" s="44">
        <f t="array" ref="W53">_xlfn.IFS(TRIM(C53)="","",TRIM(V53)="","",TRUE,V53-C53)</f>
        <v>7</v>
      </c>
      <c r="X53" s="37">
        <f t="shared" si="9"/>
        <v>1</v>
      </c>
      <c r="Y53" s="46" t="s">
        <v>172</v>
      </c>
      <c r="Z53" s="37" t="str">
        <f t="shared" si="10"/>
        <v>delayed</v>
      </c>
      <c r="AA53" s="37" t="str">
        <f t="shared" si="11"/>
        <v>Late</v>
      </c>
      <c r="AB53" s="37" t="str">
        <f t="shared" si="14"/>
        <v>1</v>
      </c>
      <c r="AC53" s="37">
        <f t="shared" si="15"/>
        <v>1</v>
      </c>
      <c r="AD53" s="45">
        <f t="shared" si="13"/>
        <v>0.506510416666667</v>
      </c>
      <c r="AE53" s="46">
        <v>3</v>
      </c>
      <c r="AF53" s="46" t="s">
        <v>152</v>
      </c>
      <c r="AG53" s="37" t="str">
        <f t="shared" si="12"/>
        <v>no</v>
      </c>
      <c r="AH53" s="37" t="str">
        <f t="array" ref="AH53">_xlfn.IFS(LOWER(AG53)="n","no",LOWER(AG53)="y","yes",TRUE,LOWER(AG53))</f>
        <v>no</v>
      </c>
      <c r="AI53" s="46" t="s">
        <v>4692</v>
      </c>
    </row>
    <row r="54" spans="1:35">
      <c r="A54" s="37" t="s">
        <v>467</v>
      </c>
      <c r="B54" s="38" t="s">
        <v>4707</v>
      </c>
      <c r="C54" s="39">
        <f t="shared" si="0"/>
        <v>45383</v>
      </c>
      <c r="D54" s="40" t="s">
        <v>366</v>
      </c>
      <c r="E54" s="37" t="str" cm="1">
        <f t="array" ref="E54">_xlfn.IFS(D54="delhi","north",D54="mumbai","west",D54="bengaluru","south",D54="chennai","south",D54="kolkata","east",TRUE,"west")</f>
        <v>east</v>
      </c>
      <c r="F54" s="37" t="s">
        <v>194</v>
      </c>
      <c r="G54" s="37" t="str">
        <f t="shared" si="1"/>
        <v>xpressbees</v>
      </c>
      <c r="H54" s="37" t="s">
        <v>224</v>
      </c>
      <c r="I54" s="37" t="str">
        <f t="shared" si="2"/>
        <v>air</v>
      </c>
      <c r="J54" s="37"/>
      <c r="K54" s="37" t="str">
        <f t="shared" si="3"/>
        <v/>
      </c>
      <c r="L54" s="37" t="s">
        <v>470</v>
      </c>
      <c r="M54" s="37" t="str">
        <f t="shared" si="4"/>
        <v>east</v>
      </c>
      <c r="N54" s="37" t="s">
        <v>91</v>
      </c>
      <c r="O54" s="41" t="str">
        <f t="shared" si="5"/>
        <v>Yes</v>
      </c>
      <c r="P54" s="41" t="s">
        <v>471</v>
      </c>
      <c r="Q54" s="41" t="s">
        <v>472</v>
      </c>
      <c r="R54" s="42">
        <f t="shared" si="6"/>
        <v>50.1694915254237</v>
      </c>
      <c r="S54" s="37">
        <v>2</v>
      </c>
      <c r="T54" s="37" t="s">
        <v>463</v>
      </c>
      <c r="U54" s="43" t="str">
        <f t="shared" si="7"/>
        <v>09/04/2024</v>
      </c>
      <c r="V54" s="43">
        <f t="shared" si="8"/>
        <v>45391</v>
      </c>
      <c r="W54" s="44">
        <f t="array" ref="W54">_xlfn.IFS(TRIM(C54)="","",TRIM(V54)="","",TRUE,V54-C54)</f>
        <v>8</v>
      </c>
      <c r="X54" s="37">
        <f t="shared" si="9"/>
        <v>6</v>
      </c>
      <c r="Y54" s="37" t="s">
        <v>143</v>
      </c>
      <c r="Z54" s="37" t="str">
        <f t="shared" si="10"/>
        <v>delayed</v>
      </c>
      <c r="AA54" s="37" t="str">
        <f t="shared" si="11"/>
        <v>Late</v>
      </c>
      <c r="AB54" s="37" t="str">
        <f t="shared" si="14"/>
        <v>1</v>
      </c>
      <c r="AC54" s="37">
        <f t="shared" si="15"/>
        <v>1</v>
      </c>
      <c r="AD54" s="45">
        <f t="shared" si="13"/>
        <v>0.506188925081433</v>
      </c>
      <c r="AE54" s="37">
        <v>2</v>
      </c>
      <c r="AF54" s="37" t="s">
        <v>286</v>
      </c>
      <c r="AG54" s="37" t="str">
        <f t="shared" si="12"/>
        <v>yes</v>
      </c>
      <c r="AH54" s="37" t="str">
        <f t="array" ref="AH54">_xlfn.IFS(LOWER(AG54)="n","no",LOWER(AG54)="y","yes",TRUE,LOWER(AG54))</f>
        <v>yes</v>
      </c>
      <c r="AI54" s="37" t="s">
        <v>4692</v>
      </c>
    </row>
    <row r="55" spans="1:35">
      <c r="A55" s="46" t="s">
        <v>473</v>
      </c>
      <c r="B55" s="47">
        <v>45294</v>
      </c>
      <c r="C55" s="39">
        <f t="shared" si="0"/>
        <v>45294</v>
      </c>
      <c r="D55" s="48" t="s">
        <v>340</v>
      </c>
      <c r="E55" s="37" t="str" cm="1">
        <f t="array" ref="E55">_xlfn.IFS(D55="delhi","north",D55="mumbai","west",D55="bengaluru","south",D55="chennai","south",D55="kolkata","east",TRUE,"west")</f>
        <v>north</v>
      </c>
      <c r="F55" s="46" t="s">
        <v>37</v>
      </c>
      <c r="G55" s="37" t="str">
        <f t="shared" si="1"/>
        <v>bluedart</v>
      </c>
      <c r="H55" s="46" t="s">
        <v>325</v>
      </c>
      <c r="I55" s="37" t="str">
        <f t="shared" si="2"/>
        <v>air</v>
      </c>
      <c r="J55" s="46" t="s">
        <v>237</v>
      </c>
      <c r="K55" s="37" t="str">
        <f t="shared" si="3"/>
        <v>automotiveparts</v>
      </c>
      <c r="L55" s="46" t="s">
        <v>159</v>
      </c>
      <c r="M55" s="37" t="str">
        <f t="shared" si="4"/>
        <v>south</v>
      </c>
      <c r="N55" s="46" t="s">
        <v>93</v>
      </c>
      <c r="O55" s="41" t="str">
        <f t="shared" si="5"/>
        <v>Yes</v>
      </c>
      <c r="P55" s="49">
        <v>8.3</v>
      </c>
      <c r="Q55" s="49" t="s">
        <v>476</v>
      </c>
      <c r="R55" s="42">
        <f t="shared" si="6"/>
        <v>63.2530120481928</v>
      </c>
      <c r="S55" s="46">
        <v>4</v>
      </c>
      <c r="T55" s="46" t="s">
        <v>288</v>
      </c>
      <c r="U55" s="43" t="str">
        <f t="shared" si="7"/>
        <v>07/01/2024</v>
      </c>
      <c r="V55" s="43">
        <f t="shared" si="8"/>
        <v>45298</v>
      </c>
      <c r="W55" s="44">
        <f t="array" ref="W55">_xlfn.IFS(TRIM(C55)="","",TRIM(V55)="","",TRUE,V55-C55)</f>
        <v>4</v>
      </c>
      <c r="X55" s="37">
        <f t="shared" si="9"/>
        <v>0</v>
      </c>
      <c r="Y55" s="46" t="s">
        <v>105</v>
      </c>
      <c r="Z55" s="37" t="str">
        <f t="shared" si="10"/>
        <v>delivered</v>
      </c>
      <c r="AA55" s="37" t="str">
        <f t="shared" si="11"/>
        <v>On Time</v>
      </c>
      <c r="AB55" s="37" t="str">
        <f t="shared" si="14"/>
        <v>0</v>
      </c>
      <c r="AC55" s="37">
        <f t="shared" si="15"/>
        <v>0</v>
      </c>
      <c r="AD55" s="45">
        <f t="shared" si="13"/>
        <v>0.505867014341591</v>
      </c>
      <c r="AE55" s="46">
        <v>4</v>
      </c>
      <c r="AF55" s="46" t="s">
        <v>191</v>
      </c>
      <c r="AG55" s="37" t="str">
        <f t="shared" si="12"/>
        <v>no</v>
      </c>
      <c r="AH55" s="37" t="str">
        <f t="array" ref="AH55">_xlfn.IFS(LOWER(AG55)="n","no",LOWER(AG55)="y","yes",TRUE,LOWER(AG55))</f>
        <v>no</v>
      </c>
      <c r="AI55" s="46" t="s">
        <v>4692</v>
      </c>
    </row>
    <row r="56" spans="1:35">
      <c r="A56" s="37" t="s">
        <v>477</v>
      </c>
      <c r="B56" s="38">
        <v>45413</v>
      </c>
      <c r="C56" s="39">
        <f t="shared" si="0"/>
        <v>45413</v>
      </c>
      <c r="D56" s="40" t="s">
        <v>4704</v>
      </c>
      <c r="E56" s="37" t="str" cm="1">
        <f t="array" ref="E56">_xlfn.IFS(D56="delhi","north",D56="mumbai","west",D56="bengaluru","south",D56="chennai","south",D56="kolkata","east",TRUE,"west")</f>
        <v>west</v>
      </c>
      <c r="F56" s="37" t="s">
        <v>184</v>
      </c>
      <c r="G56" s="37" t="str">
        <f t="shared" si="1"/>
        <v>ecomexpress</v>
      </c>
      <c r="H56" s="37" t="s">
        <v>110</v>
      </c>
      <c r="I56" s="37" t="str">
        <f t="shared" si="2"/>
        <v>surface</v>
      </c>
      <c r="J56" s="37" t="s">
        <v>177</v>
      </c>
      <c r="K56" s="37" t="str">
        <f t="shared" si="3"/>
        <v>pharma</v>
      </c>
      <c r="L56" s="37" t="s">
        <v>257</v>
      </c>
      <c r="M56" s="37" t="str">
        <f t="shared" si="4"/>
        <v>west</v>
      </c>
      <c r="N56" s="37" t="s">
        <v>206</v>
      </c>
      <c r="O56" s="41" t="str">
        <f t="shared" si="5"/>
        <v>Yes</v>
      </c>
      <c r="P56" s="41">
        <v>3.9</v>
      </c>
      <c r="Q56" s="41" t="s">
        <v>480</v>
      </c>
      <c r="R56" s="42">
        <f t="shared" si="6"/>
        <v>63.5897435897436</v>
      </c>
      <c r="S56" s="37">
        <v>6</v>
      </c>
      <c r="T56" s="37" t="s">
        <v>481</v>
      </c>
      <c r="U56" s="43" t="str">
        <f t="shared" si="7"/>
        <v>08/05/2024</v>
      </c>
      <c r="V56" s="43">
        <f t="shared" si="8"/>
        <v>45420</v>
      </c>
      <c r="W56" s="44">
        <f t="array" ref="W56">_xlfn.IFS(TRIM(C56)="","",TRIM(V56)="","",TRUE,V56-C56)</f>
        <v>7</v>
      </c>
      <c r="X56" s="37">
        <f t="shared" si="9"/>
        <v>1</v>
      </c>
      <c r="Y56" s="37" t="s">
        <v>72</v>
      </c>
      <c r="Z56" s="37" t="str">
        <f t="shared" si="10"/>
        <v>delayed</v>
      </c>
      <c r="AA56" s="37" t="str">
        <f t="shared" si="11"/>
        <v>Late</v>
      </c>
      <c r="AB56" s="37" t="str">
        <f t="shared" si="14"/>
        <v>1</v>
      </c>
      <c r="AC56" s="37">
        <f t="shared" si="15"/>
        <v>1</v>
      </c>
      <c r="AD56" s="45">
        <f t="shared" si="13"/>
        <v>0.506196999347684</v>
      </c>
      <c r="AE56" s="37">
        <v>2</v>
      </c>
      <c r="AF56" s="37" t="s">
        <v>118</v>
      </c>
      <c r="AG56" s="37" t="str">
        <f t="shared" si="12"/>
        <v>no</v>
      </c>
      <c r="AH56" s="37" t="str">
        <f t="array" ref="AH56">_xlfn.IFS(LOWER(AG56)="n","no",LOWER(AG56)="y","yes",TRUE,LOWER(AG56))</f>
        <v>no</v>
      </c>
      <c r="AI56" s="37" t="s">
        <v>4692</v>
      </c>
    </row>
    <row r="57" spans="1:35">
      <c r="A57" s="46" t="s">
        <v>482</v>
      </c>
      <c r="B57" s="47">
        <v>45376</v>
      </c>
      <c r="C57" s="39">
        <f t="shared" si="0"/>
        <v>45376</v>
      </c>
      <c r="D57" s="48" t="s">
        <v>109</v>
      </c>
      <c r="E57" s="37" t="str" cm="1">
        <f t="array" ref="E57">_xlfn.IFS(D57="delhi","north",D57="mumbai","west",D57="bengaluru","south",D57="chennai","south",D57="kolkata","east",TRUE,"west")</f>
        <v>west</v>
      </c>
      <c r="F57" s="46" t="s">
        <v>333</v>
      </c>
      <c r="G57" s="37" t="str">
        <f t="shared" si="1"/>
        <v>delhivery</v>
      </c>
      <c r="H57" s="46" t="s">
        <v>440</v>
      </c>
      <c r="I57" s="37" t="str">
        <f t="shared" si="2"/>
        <v>road</v>
      </c>
      <c r="J57" s="46" t="s">
        <v>277</v>
      </c>
      <c r="K57" s="37" t="str">
        <f t="shared" si="3"/>
        <v>apparel</v>
      </c>
      <c r="L57" s="46" t="s">
        <v>257</v>
      </c>
      <c r="M57" s="37" t="str">
        <f t="shared" si="4"/>
        <v>west</v>
      </c>
      <c r="N57" s="46" t="s">
        <v>206</v>
      </c>
      <c r="O57" s="41" t="str">
        <f t="shared" si="5"/>
        <v>Yes</v>
      </c>
      <c r="P57" s="49" t="s">
        <v>484</v>
      </c>
      <c r="Q57" s="49">
        <v>80</v>
      </c>
      <c r="R57" s="42">
        <f t="shared" si="6"/>
        <v>14.0350877192982</v>
      </c>
      <c r="S57" s="46">
        <v>6</v>
      </c>
      <c r="T57" s="46" t="s">
        <v>485</v>
      </c>
      <c r="U57" s="43" t="str">
        <f t="shared" si="7"/>
        <v>01-apr-2024</v>
      </c>
      <c r="V57" s="43">
        <f t="shared" si="8"/>
        <v>45383</v>
      </c>
      <c r="W57" s="44">
        <f t="array" ref="W57">_xlfn.IFS(TRIM(C57)="","",TRIM(V57)="","",TRUE,V57-C57)</f>
        <v>7</v>
      </c>
      <c r="X57" s="37">
        <f t="shared" si="9"/>
        <v>1</v>
      </c>
      <c r="Y57" s="46" t="s">
        <v>143</v>
      </c>
      <c r="Z57" s="37" t="str">
        <f t="shared" si="10"/>
        <v>delayed</v>
      </c>
      <c r="AA57" s="37" t="str">
        <f t="shared" si="11"/>
        <v>Late</v>
      </c>
      <c r="AB57" s="37" t="str">
        <f t="shared" si="14"/>
        <v>1</v>
      </c>
      <c r="AC57" s="37">
        <f t="shared" si="15"/>
        <v>1</v>
      </c>
      <c r="AD57" s="45">
        <f t="shared" si="13"/>
        <v>0.505874673629243</v>
      </c>
      <c r="AE57" s="46">
        <v>2</v>
      </c>
      <c r="AF57" s="46" t="s">
        <v>131</v>
      </c>
      <c r="AG57" s="37" t="str">
        <f t="shared" si="12"/>
        <v>n</v>
      </c>
      <c r="AH57" s="37" t="str">
        <f t="array" ref="AH57">_xlfn.IFS(LOWER(AG57)="n","no",LOWER(AG57)="y","yes",TRUE,LOWER(AG57))</f>
        <v>no</v>
      </c>
      <c r="AI57" s="46" t="s">
        <v>4692</v>
      </c>
    </row>
    <row r="58" spans="1:35">
      <c r="A58" s="37" t="s">
        <v>486</v>
      </c>
      <c r="B58" s="38" t="s">
        <v>4708</v>
      </c>
      <c r="C58" s="39">
        <f t="shared" si="0"/>
        <v>45464</v>
      </c>
      <c r="D58" s="40" t="s">
        <v>135</v>
      </c>
      <c r="E58" s="37" t="str" cm="1">
        <f t="array" ref="E58">_xlfn.IFS(D58="delhi","north",D58="mumbai","west",D58="bengaluru","south",D58="chennai","south",D58="kolkata","east",TRUE,"west")</f>
        <v>west</v>
      </c>
      <c r="F58" s="37" t="s">
        <v>223</v>
      </c>
      <c r="G58" s="37" t="str">
        <f t="shared" si="1"/>
        <v>xpressbees</v>
      </c>
      <c r="H58" s="37" t="s">
        <v>137</v>
      </c>
      <c r="I58" s="37" t="str">
        <f t="shared" si="2"/>
        <v>road</v>
      </c>
      <c r="J58" s="37" t="s">
        <v>231</v>
      </c>
      <c r="K58" s="37" t="str">
        <f t="shared" si="3"/>
        <v>furniture</v>
      </c>
      <c r="L58" s="37" t="s">
        <v>401</v>
      </c>
      <c r="M58" s="37" t="str">
        <f t="shared" si="4"/>
        <v>south</v>
      </c>
      <c r="N58" s="37" t="s">
        <v>93</v>
      </c>
      <c r="O58" s="41" t="str">
        <f t="shared" si="5"/>
        <v>Yes</v>
      </c>
      <c r="P58" s="41" t="s">
        <v>488</v>
      </c>
      <c r="Q58" s="41" t="s">
        <v>489</v>
      </c>
      <c r="R58" s="42">
        <f t="shared" si="6"/>
        <v>18.1772151898734</v>
      </c>
      <c r="S58" s="37">
        <v>8</v>
      </c>
      <c r="T58" s="37" t="s">
        <v>490</v>
      </c>
      <c r="U58" s="43" t="str">
        <f t="shared" si="7"/>
        <v>2024-06-29</v>
      </c>
      <c r="V58" s="43">
        <f t="shared" si="8"/>
        <v>45472</v>
      </c>
      <c r="W58" s="44">
        <f t="array" ref="W58">_xlfn.IFS(TRIM(C58)="","",TRIM(V58)="","",TRUE,V58-C58)</f>
        <v>8</v>
      </c>
      <c r="X58" s="37">
        <f t="shared" si="9"/>
        <v>0</v>
      </c>
      <c r="Y58" s="37" t="s">
        <v>105</v>
      </c>
      <c r="Z58" s="37" t="str">
        <f t="shared" si="10"/>
        <v>delivered</v>
      </c>
      <c r="AA58" s="37" t="str">
        <f t="shared" si="11"/>
        <v>On Time</v>
      </c>
      <c r="AB58" s="37" t="str">
        <f t="shared" si="14"/>
        <v>0</v>
      </c>
      <c r="AC58" s="37">
        <f t="shared" si="15"/>
        <v>0</v>
      </c>
      <c r="AD58" s="45">
        <f t="shared" si="13"/>
        <v>0.505551926845199</v>
      </c>
      <c r="AE58" s="37">
        <v>4</v>
      </c>
      <c r="AF58" s="37" t="s">
        <v>286</v>
      </c>
      <c r="AG58" s="37" t="str">
        <f t="shared" si="12"/>
        <v>yes</v>
      </c>
      <c r="AH58" s="37" t="str">
        <f t="array" ref="AH58">_xlfn.IFS(LOWER(AG58)="n","no",LOWER(AG58)="y","yes",TRUE,LOWER(AG58))</f>
        <v>yes</v>
      </c>
      <c r="AI58" s="37" t="s">
        <v>4692</v>
      </c>
    </row>
    <row r="59" spans="1:35">
      <c r="A59" s="46" t="s">
        <v>491</v>
      </c>
      <c r="B59" s="47">
        <v>45335</v>
      </c>
      <c r="C59" s="39">
        <f t="shared" si="0"/>
        <v>45335</v>
      </c>
      <c r="D59" s="48" t="s">
        <v>212</v>
      </c>
      <c r="E59" s="37" t="str" cm="1">
        <f t="array" ref="E59">_xlfn.IFS(D59="delhi","north",D59="mumbai","west",D59="bengaluru","south",D59="chennai","south",D59="kolkata","east",TRUE,"west")</f>
        <v>west</v>
      </c>
      <c r="F59" s="46" t="s">
        <v>367</v>
      </c>
      <c r="G59" s="37" t="str">
        <f t="shared" si="1"/>
        <v>dtdc</v>
      </c>
      <c r="H59" s="46" t="s">
        <v>185</v>
      </c>
      <c r="I59" s="37" t="str">
        <f t="shared" si="2"/>
        <v>surface</v>
      </c>
      <c r="J59" s="46" t="s">
        <v>177</v>
      </c>
      <c r="K59" s="37" t="str">
        <f t="shared" si="3"/>
        <v>pharma</v>
      </c>
      <c r="L59" s="46" t="s">
        <v>51</v>
      </c>
      <c r="M59" s="37" t="str">
        <f t="shared" si="4"/>
        <v>south</v>
      </c>
      <c r="N59" s="46" t="s">
        <v>93</v>
      </c>
      <c r="O59" s="41" t="str">
        <f t="shared" si="5"/>
        <v>Yes</v>
      </c>
      <c r="P59" s="49" t="s">
        <v>493</v>
      </c>
      <c r="Q59" s="49" t="s">
        <v>494</v>
      </c>
      <c r="R59" s="42">
        <f t="shared" si="6"/>
        <v>49</v>
      </c>
      <c r="S59" s="46">
        <v>6</v>
      </c>
      <c r="T59" s="46" t="s">
        <v>495</v>
      </c>
      <c r="U59" s="43" t="str">
        <f t="shared" si="7"/>
        <v>2024-02-20</v>
      </c>
      <c r="V59" s="43">
        <f t="shared" si="8"/>
        <v>45342</v>
      </c>
      <c r="W59" s="44">
        <f t="array" ref="W59">_xlfn.IFS(TRIM(C59)="","",TRIM(V59)="","",TRUE,V59-C59)</f>
        <v>7</v>
      </c>
      <c r="X59" s="37">
        <f t="shared" si="9"/>
        <v>1</v>
      </c>
      <c r="Y59" s="46" t="s">
        <v>200</v>
      </c>
      <c r="Z59" s="37" t="str">
        <f t="shared" si="10"/>
        <v>delayed</v>
      </c>
      <c r="AA59" s="37" t="str">
        <f t="shared" si="11"/>
        <v>Late</v>
      </c>
      <c r="AB59" s="37" t="str">
        <f t="shared" si="14"/>
        <v>1</v>
      </c>
      <c r="AC59" s="37">
        <f t="shared" si="15"/>
        <v>1</v>
      </c>
      <c r="AD59" s="45">
        <f t="shared" si="13"/>
        <v>0.505882352941176</v>
      </c>
      <c r="AE59" s="46">
        <v>3</v>
      </c>
      <c r="AF59" s="46" t="s">
        <v>106</v>
      </c>
      <c r="AG59" s="37" t="str">
        <f t="shared" si="12"/>
        <v>yes</v>
      </c>
      <c r="AH59" s="37" t="str">
        <f t="array" ref="AH59">_xlfn.IFS(LOWER(AG59)="n","no",LOWER(AG59)="y","yes",TRUE,LOWER(AG59))</f>
        <v>yes</v>
      </c>
      <c r="AI59" s="46" t="s">
        <v>4692</v>
      </c>
    </row>
    <row r="60" spans="1:35">
      <c r="A60" s="37" t="s">
        <v>496</v>
      </c>
      <c r="B60" s="38" t="s">
        <v>4709</v>
      </c>
      <c r="C60" s="39">
        <f t="shared" si="0"/>
        <v>45348</v>
      </c>
      <c r="D60" s="40" t="s">
        <v>135</v>
      </c>
      <c r="E60" s="37" t="str" cm="1">
        <f t="array" ref="E60">_xlfn.IFS(D60="delhi","north",D60="mumbai","west",D60="bengaluru","south",D60="chennai","south",D60="kolkata","east",TRUE,"west")</f>
        <v>west</v>
      </c>
      <c r="F60" s="37" t="s">
        <v>367</v>
      </c>
      <c r="G60" s="37" t="str">
        <f t="shared" si="1"/>
        <v>dtdc</v>
      </c>
      <c r="H60" s="37" t="s">
        <v>440</v>
      </c>
      <c r="I60" s="37" t="str">
        <f t="shared" si="2"/>
        <v>road</v>
      </c>
      <c r="J60" s="37" t="s">
        <v>498</v>
      </c>
      <c r="K60" s="37" t="str">
        <f t="shared" si="3"/>
        <v>apparel</v>
      </c>
      <c r="L60" s="37" t="s">
        <v>401</v>
      </c>
      <c r="M60" s="37" t="str">
        <f t="shared" si="4"/>
        <v>south</v>
      </c>
      <c r="N60" s="37" t="s">
        <v>90</v>
      </c>
      <c r="O60" s="41" t="str">
        <f t="shared" si="5"/>
        <v>Yes</v>
      </c>
      <c r="P60" s="41">
        <v>5.9</v>
      </c>
      <c r="Q60" s="41">
        <v>244</v>
      </c>
      <c r="R60" s="42">
        <f t="shared" si="6"/>
        <v>41.3559322033898</v>
      </c>
      <c r="S60" s="37">
        <v>8</v>
      </c>
      <c r="T60" s="37" t="s">
        <v>501</v>
      </c>
      <c r="U60" s="43" t="str">
        <f t="shared" si="7"/>
        <v>06-mar-2024</v>
      </c>
      <c r="V60" s="43">
        <f t="shared" si="8"/>
        <v>45357</v>
      </c>
      <c r="W60" s="44">
        <f t="array" ref="W60">_xlfn.IFS(TRIM(C60)="","",TRIM(V60)="","",TRUE,V60-C60)</f>
        <v>9</v>
      </c>
      <c r="X60" s="37">
        <f t="shared" si="9"/>
        <v>1</v>
      </c>
      <c r="Y60" s="37" t="s">
        <v>72</v>
      </c>
      <c r="Z60" s="37" t="str">
        <f t="shared" si="10"/>
        <v>delayed</v>
      </c>
      <c r="AA60" s="37" t="str">
        <f t="shared" si="11"/>
        <v>Late</v>
      </c>
      <c r="AB60" s="37" t="str">
        <f t="shared" si="14"/>
        <v>1</v>
      </c>
      <c r="AC60" s="37">
        <f t="shared" si="15"/>
        <v>1</v>
      </c>
      <c r="AD60" s="45">
        <f t="shared" si="13"/>
        <v>0.505559189012426</v>
      </c>
      <c r="AE60" s="37">
        <v>5</v>
      </c>
      <c r="AF60" s="37" t="s">
        <v>181</v>
      </c>
      <c r="AG60" s="37" t="str">
        <f t="shared" si="12"/>
        <v>y</v>
      </c>
      <c r="AH60" s="37" t="str">
        <f t="array" ref="AH60">_xlfn.IFS(LOWER(AG60)="n","no",LOWER(AG60)="y","yes",TRUE,LOWER(AG60))</f>
        <v>yes</v>
      </c>
      <c r="AI60" s="37" t="s">
        <v>4692</v>
      </c>
    </row>
    <row r="61" spans="1:35">
      <c r="A61" s="46" t="s">
        <v>502</v>
      </c>
      <c r="B61" s="47">
        <v>45305</v>
      </c>
      <c r="C61" s="39">
        <f t="shared" si="0"/>
        <v>45305</v>
      </c>
      <c r="D61" s="48" t="s">
        <v>135</v>
      </c>
      <c r="E61" s="37" t="str" cm="1">
        <f t="array" ref="E61">_xlfn.IFS(D61="delhi","north",D61="mumbai","west",D61="bengaluru","south",D61="chennai","south",D61="kolkata","east",TRUE,"west")</f>
        <v>west</v>
      </c>
      <c r="F61" s="46" t="s">
        <v>146</v>
      </c>
      <c r="G61" s="37" t="str">
        <f t="shared" si="1"/>
        <v>ecomexpress</v>
      </c>
      <c r="H61" s="46" t="s">
        <v>345</v>
      </c>
      <c r="I61" s="37" t="str">
        <f t="shared" si="2"/>
        <v>surface</v>
      </c>
      <c r="J61" s="46" t="s">
        <v>368</v>
      </c>
      <c r="K61" s="37" t="str">
        <f t="shared" si="3"/>
        <v>furniture</v>
      </c>
      <c r="L61" s="46" t="s">
        <v>159</v>
      </c>
      <c r="M61" s="37" t="str">
        <f t="shared" si="4"/>
        <v>south</v>
      </c>
      <c r="N61" s="46" t="s">
        <v>327</v>
      </c>
      <c r="O61" s="41" t="str">
        <f t="shared" si="5"/>
        <v>Yes</v>
      </c>
      <c r="P61" s="49">
        <v>44.8</v>
      </c>
      <c r="Q61" s="49">
        <v>1171</v>
      </c>
      <c r="R61" s="42">
        <f t="shared" si="6"/>
        <v>26.1383928571429</v>
      </c>
      <c r="S61" s="46">
        <v>6</v>
      </c>
      <c r="T61" s="46" t="s">
        <v>506</v>
      </c>
      <c r="U61" s="43" t="str">
        <f t="shared" si="7"/>
        <v>19-jan-2024</v>
      </c>
      <c r="V61" s="43">
        <f t="shared" si="8"/>
        <v>45310</v>
      </c>
      <c r="W61" s="44">
        <f t="array" ref="W61">_xlfn.IFS(TRIM(C61)="","",TRIM(V61)="","",TRUE,V61-C61)</f>
        <v>5</v>
      </c>
      <c r="X61" s="37">
        <f t="shared" si="9"/>
        <v>-1</v>
      </c>
      <c r="Y61" s="46" t="s">
        <v>117</v>
      </c>
      <c r="Z61" s="37" t="str">
        <f t="shared" si="10"/>
        <v>delivered</v>
      </c>
      <c r="AA61" s="37" t="str">
        <f t="shared" si="11"/>
        <v>On Time</v>
      </c>
      <c r="AB61" s="37" t="str">
        <f t="shared" si="14"/>
        <v>0</v>
      </c>
      <c r="AC61" s="37">
        <f t="shared" si="15"/>
        <v>0</v>
      </c>
      <c r="AD61" s="45">
        <f t="shared" si="13"/>
        <v>0.505235602094241</v>
      </c>
      <c r="AE61" s="46">
        <v>3</v>
      </c>
      <c r="AF61" s="46" t="s">
        <v>191</v>
      </c>
      <c r="AG61" s="37" t="str">
        <f t="shared" si="12"/>
        <v>no</v>
      </c>
      <c r="AH61" s="37" t="str">
        <f t="array" ref="AH61">_xlfn.IFS(LOWER(AG61)="n","no",LOWER(AG61)="y","yes",TRUE,LOWER(AG61))</f>
        <v>no</v>
      </c>
      <c r="AI61" s="46" t="s">
        <v>4692</v>
      </c>
    </row>
    <row r="62" spans="1:35">
      <c r="A62" s="37" t="s">
        <v>507</v>
      </c>
      <c r="B62" s="38">
        <v>45455</v>
      </c>
      <c r="C62" s="39">
        <f t="shared" si="0"/>
        <v>45455</v>
      </c>
      <c r="D62" s="40" t="s">
        <v>424</v>
      </c>
      <c r="E62" s="37" t="str" cm="1">
        <f t="array" ref="E62">_xlfn.IFS(D62="delhi","north",D62="mumbai","west",D62="bengaluru","south",D62="chennai","south",D62="kolkata","east",TRUE,"west")</f>
        <v>south</v>
      </c>
      <c r="F62" s="37" t="s">
        <v>37</v>
      </c>
      <c r="G62" s="37" t="str">
        <f t="shared" si="1"/>
        <v>bluedart</v>
      </c>
      <c r="H62" s="37" t="s">
        <v>157</v>
      </c>
      <c r="I62" s="37" t="str">
        <f t="shared" si="2"/>
        <v>surface</v>
      </c>
      <c r="J62" s="37" t="s">
        <v>283</v>
      </c>
      <c r="K62" s="37" t="str">
        <f t="shared" si="3"/>
        <v>pharma</v>
      </c>
      <c r="L62" s="37" t="s">
        <v>302</v>
      </c>
      <c r="M62" s="37" t="str">
        <f t="shared" si="4"/>
        <v>east</v>
      </c>
      <c r="N62" s="37" t="s">
        <v>396</v>
      </c>
      <c r="O62" s="41" t="str">
        <f t="shared" si="5"/>
        <v>Yes</v>
      </c>
      <c r="P62" s="41">
        <v>2.1</v>
      </c>
      <c r="Q62" s="41">
        <v>197</v>
      </c>
      <c r="R62" s="42">
        <f t="shared" si="6"/>
        <v>93.8095238095238</v>
      </c>
      <c r="S62" s="37">
        <v>6</v>
      </c>
      <c r="T62" s="37" t="s">
        <v>511</v>
      </c>
      <c r="U62" s="43" t="str">
        <f t="shared" si="7"/>
        <v>19/06/2024</v>
      </c>
      <c r="V62" s="43">
        <f t="shared" si="8"/>
        <v>45462</v>
      </c>
      <c r="W62" s="44">
        <f t="array" ref="W62">_xlfn.IFS(TRIM(C62)="","",TRIM(V62)="","",TRUE,V62-C62)</f>
        <v>7</v>
      </c>
      <c r="X62" s="37">
        <f t="shared" si="9"/>
        <v>1</v>
      </c>
      <c r="Y62" s="37" t="s">
        <v>143</v>
      </c>
      <c r="Z62" s="37" t="str">
        <f t="shared" si="10"/>
        <v>delayed</v>
      </c>
      <c r="AA62" s="37" t="str">
        <f t="shared" si="11"/>
        <v>Late</v>
      </c>
      <c r="AB62" s="37" t="str">
        <f t="shared" si="14"/>
        <v>1</v>
      </c>
      <c r="AC62" s="37">
        <f t="shared" si="15"/>
        <v>1</v>
      </c>
      <c r="AD62" s="45">
        <f t="shared" si="13"/>
        <v>0.505566470203012</v>
      </c>
      <c r="AE62" s="37">
        <v>3</v>
      </c>
      <c r="AF62" s="37" t="s">
        <v>79</v>
      </c>
      <c r="AG62" s="37" t="str">
        <f t="shared" si="12"/>
        <v>yes</v>
      </c>
      <c r="AH62" s="37" t="str">
        <f t="array" ref="AH62">_xlfn.IFS(LOWER(AG62)="n","no",LOWER(AG62)="y","yes",TRUE,LOWER(AG62))</f>
        <v>yes</v>
      </c>
      <c r="AI62" s="37" t="s">
        <v>4692</v>
      </c>
    </row>
    <row r="63" spans="1:35">
      <c r="A63" s="46" t="s">
        <v>512</v>
      </c>
      <c r="B63" s="47">
        <v>45308</v>
      </c>
      <c r="C63" s="39">
        <f t="shared" si="0"/>
        <v>45308</v>
      </c>
      <c r="D63" s="48" t="s">
        <v>109</v>
      </c>
      <c r="E63" s="37" t="str" cm="1">
        <f t="array" ref="E63">_xlfn.IFS(D63="delhi","north",D63="mumbai","west",D63="bengaluru","south",D63="chennai","south",D63="kolkata","east",TRUE,"west")</f>
        <v>west</v>
      </c>
      <c r="F63" s="46" t="s">
        <v>367</v>
      </c>
      <c r="G63" s="37" t="str">
        <f t="shared" si="1"/>
        <v>dtdc</v>
      </c>
      <c r="H63" s="46" t="s">
        <v>157</v>
      </c>
      <c r="I63" s="37" t="str">
        <f t="shared" si="2"/>
        <v>surface</v>
      </c>
      <c r="J63" s="46" t="s">
        <v>368</v>
      </c>
      <c r="K63" s="37" t="str">
        <f t="shared" si="3"/>
        <v>furniture</v>
      </c>
      <c r="L63" s="46" t="s">
        <v>159</v>
      </c>
      <c r="M63" s="37" t="str">
        <f t="shared" si="4"/>
        <v>south</v>
      </c>
      <c r="N63" s="46" t="s">
        <v>90</v>
      </c>
      <c r="O63" s="41" t="str">
        <f t="shared" si="5"/>
        <v>Yes</v>
      </c>
      <c r="P63" s="49" t="s">
        <v>514</v>
      </c>
      <c r="Q63" s="51">
        <v>1061</v>
      </c>
      <c r="R63" s="42">
        <f t="shared" si="6"/>
        <v>25.4436450839329</v>
      </c>
      <c r="S63" s="46">
        <v>6</v>
      </c>
      <c r="T63" s="46" t="s">
        <v>516</v>
      </c>
      <c r="U63" s="43" t="str">
        <f t="shared" si="7"/>
        <v>31/01/2024</v>
      </c>
      <c r="V63" s="43">
        <f t="shared" si="8"/>
        <v>45322</v>
      </c>
      <c r="W63" s="44">
        <f t="array" ref="W63">_xlfn.IFS(TRIM(C63)="","",TRIM(V63)="","",TRUE,V63-C63)</f>
        <v>14</v>
      </c>
      <c r="X63" s="37">
        <f t="shared" si="9"/>
        <v>8</v>
      </c>
      <c r="Y63" s="46" t="s">
        <v>143</v>
      </c>
      <c r="Z63" s="37" t="str">
        <f t="shared" si="10"/>
        <v>delayed</v>
      </c>
      <c r="AA63" s="37" t="str">
        <f t="shared" si="11"/>
        <v>Late</v>
      </c>
      <c r="AB63" s="37" t="str">
        <f t="shared" si="14"/>
        <v>1</v>
      </c>
      <c r="AC63" s="37">
        <f t="shared" si="15"/>
        <v>1</v>
      </c>
      <c r="AD63" s="45">
        <f t="shared" si="13"/>
        <v>0.50524246395806</v>
      </c>
      <c r="AE63" s="46">
        <v>2</v>
      </c>
      <c r="AF63" s="46" t="s">
        <v>191</v>
      </c>
      <c r="AG63" s="37" t="str">
        <f t="shared" si="12"/>
        <v>no</v>
      </c>
      <c r="AH63" s="37" t="str">
        <f t="array" ref="AH63">_xlfn.IFS(LOWER(AG63)="n","no",LOWER(AG63)="y","yes",TRUE,LOWER(AG63))</f>
        <v>no</v>
      </c>
      <c r="AI63" s="46" t="s">
        <v>4692</v>
      </c>
    </row>
    <row r="64" spans="1:35">
      <c r="A64" s="37" t="s">
        <v>517</v>
      </c>
      <c r="B64" s="38">
        <v>45331</v>
      </c>
      <c r="C64" s="39">
        <f t="shared" si="0"/>
        <v>45331</v>
      </c>
      <c r="D64" s="40" t="s">
        <v>166</v>
      </c>
      <c r="E64" s="37" t="str" cm="1">
        <f t="array" ref="E64">_xlfn.IFS(D64="delhi","north",D64="mumbai","west",D64="bengaluru","south",D64="chennai","south",D64="kolkata","east",TRUE,"west")</f>
        <v>west</v>
      </c>
      <c r="F64" s="37" t="s">
        <v>223</v>
      </c>
      <c r="G64" s="37" t="str">
        <f t="shared" si="1"/>
        <v>xpressbees</v>
      </c>
      <c r="H64" s="37" t="s">
        <v>137</v>
      </c>
      <c r="I64" s="37" t="str">
        <f t="shared" si="2"/>
        <v>road</v>
      </c>
      <c r="J64" s="37" t="s">
        <v>277</v>
      </c>
      <c r="K64" s="37" t="str">
        <f t="shared" si="3"/>
        <v>apparel</v>
      </c>
      <c r="L64" s="37" t="s">
        <v>168</v>
      </c>
      <c r="M64" s="37" t="str">
        <f t="shared" si="4"/>
        <v>west</v>
      </c>
      <c r="N64" s="37" t="s">
        <v>187</v>
      </c>
      <c r="O64" s="41" t="str">
        <f t="shared" si="5"/>
        <v>Yes</v>
      </c>
      <c r="P64" s="41">
        <v>3.2</v>
      </c>
      <c r="Q64" s="41">
        <v>234</v>
      </c>
      <c r="R64" s="42">
        <f t="shared" si="6"/>
        <v>73.125</v>
      </c>
      <c r="S64" s="37">
        <v>8</v>
      </c>
      <c r="T64" s="37" t="s">
        <v>521</v>
      </c>
      <c r="U64" s="43" t="str">
        <f t="shared" si="7"/>
        <v>2024-02-16</v>
      </c>
      <c r="V64" s="43">
        <f t="shared" si="8"/>
        <v>45338</v>
      </c>
      <c r="W64" s="44">
        <f t="array" ref="W64">_xlfn.IFS(TRIM(C64)="","",TRIM(V64)="","",TRUE,V64-C64)</f>
        <v>7</v>
      </c>
      <c r="X64" s="37">
        <f t="shared" si="9"/>
        <v>-1</v>
      </c>
      <c r="Y64" s="37" t="s">
        <v>105</v>
      </c>
      <c r="Z64" s="37" t="str">
        <f t="shared" si="10"/>
        <v>delivered</v>
      </c>
      <c r="AA64" s="37" t="str">
        <f t="shared" si="11"/>
        <v>On Time</v>
      </c>
      <c r="AB64" s="37" t="str">
        <f t="shared" si="14"/>
        <v>0</v>
      </c>
      <c r="AC64" s="37">
        <f t="shared" si="15"/>
        <v>0</v>
      </c>
      <c r="AD64" s="45">
        <f t="shared" si="13"/>
        <v>0.504918032786885</v>
      </c>
      <c r="AE64" s="37">
        <v>4</v>
      </c>
      <c r="AF64" s="37" t="s">
        <v>118</v>
      </c>
      <c r="AG64" s="37" t="str">
        <f t="shared" si="12"/>
        <v>no</v>
      </c>
      <c r="AH64" s="37" t="str">
        <f t="array" ref="AH64">_xlfn.IFS(LOWER(AG64)="n","no",LOWER(AG64)="y","yes",TRUE,LOWER(AG64))</f>
        <v>no</v>
      </c>
      <c r="AI64" s="37" t="s">
        <v>4692</v>
      </c>
    </row>
    <row r="65" spans="1:35">
      <c r="A65" s="46" t="s">
        <v>522</v>
      </c>
      <c r="B65" s="47">
        <v>45405</v>
      </c>
      <c r="C65" s="39">
        <f t="shared" si="0"/>
        <v>45405</v>
      </c>
      <c r="D65" s="48" t="s">
        <v>424</v>
      </c>
      <c r="E65" s="37" t="str" cm="1">
        <f t="array" ref="E65">_xlfn.IFS(D65="delhi","north",D65="mumbai","west",D65="bengaluru","south",D65="chennai","south",D65="kolkata","east",TRUE,"west")</f>
        <v>south</v>
      </c>
      <c r="F65" s="46" t="s">
        <v>367</v>
      </c>
      <c r="G65" s="37" t="str">
        <f t="shared" si="1"/>
        <v>dtdc</v>
      </c>
      <c r="H65" s="46" t="s">
        <v>224</v>
      </c>
      <c r="I65" s="37" t="str">
        <f t="shared" si="2"/>
        <v>air</v>
      </c>
      <c r="J65" s="46" t="s">
        <v>301</v>
      </c>
      <c r="K65" s="37" t="str">
        <f t="shared" si="3"/>
        <v>furniture</v>
      </c>
      <c r="L65" s="46" t="s">
        <v>264</v>
      </c>
      <c r="M65" s="37" t="str">
        <f t="shared" si="4"/>
        <v>west</v>
      </c>
      <c r="N65" s="46" t="s">
        <v>187</v>
      </c>
      <c r="O65" s="41" t="str">
        <f t="shared" si="5"/>
        <v>Yes</v>
      </c>
      <c r="P65" s="49">
        <v>34</v>
      </c>
      <c r="Q65" s="49">
        <v>1694</v>
      </c>
      <c r="R65" s="42">
        <f t="shared" si="6"/>
        <v>49.8235294117647</v>
      </c>
      <c r="S65" s="46">
        <v>4</v>
      </c>
      <c r="T65" s="46" t="s">
        <v>526</v>
      </c>
      <c r="U65" s="43" t="str">
        <f t="shared" si="7"/>
        <v>29/04/2024</v>
      </c>
      <c r="V65" s="43">
        <f t="shared" si="8"/>
        <v>45411</v>
      </c>
      <c r="W65" s="44">
        <f t="array" ref="W65">_xlfn.IFS(TRIM(C65)="","",TRIM(V65)="","",TRUE,V65-C65)</f>
        <v>6</v>
      </c>
      <c r="X65" s="37">
        <f t="shared" si="9"/>
        <v>2</v>
      </c>
      <c r="Y65" s="46" t="s">
        <v>143</v>
      </c>
      <c r="Z65" s="37" t="str">
        <f t="shared" si="10"/>
        <v>delayed</v>
      </c>
      <c r="AA65" s="37" t="str">
        <f t="shared" si="11"/>
        <v>Late</v>
      </c>
      <c r="AB65" s="37" t="str">
        <f t="shared" si="14"/>
        <v>1</v>
      </c>
      <c r="AC65" s="37">
        <f t="shared" si="15"/>
        <v>1</v>
      </c>
      <c r="AD65" s="45">
        <f t="shared" si="13"/>
        <v>0.505249343832021</v>
      </c>
      <c r="AE65" s="46">
        <v>5</v>
      </c>
      <c r="AF65" s="46" t="s">
        <v>191</v>
      </c>
      <c r="AG65" s="37" t="str">
        <f t="shared" si="12"/>
        <v>no</v>
      </c>
      <c r="AH65" s="37" t="str">
        <f t="array" ref="AH65">_xlfn.IFS(LOWER(AG65)="n","no",LOWER(AG65)="y","yes",TRUE,LOWER(AG65))</f>
        <v>no</v>
      </c>
      <c r="AI65" s="46" t="s">
        <v>4692</v>
      </c>
    </row>
    <row r="66" spans="1:35">
      <c r="A66" s="37" t="s">
        <v>527</v>
      </c>
      <c r="B66" s="38">
        <v>45444</v>
      </c>
      <c r="C66" s="39">
        <f t="shared" ref="C66:C129" si="16">IF(ISNUMBER(B66),B66,DATE(RIGHT(TRIM(B66),4),MID(TRIM(B66),4,2),LEFT(TRIM(B66),2)))</f>
        <v>45444</v>
      </c>
      <c r="D66" s="40" t="s">
        <v>212</v>
      </c>
      <c r="E66" s="37" t="str" cm="1">
        <f t="array" ref="E66">_xlfn.IFS(D66="delhi","north",D66="mumbai","west",D66="bengaluru","south",D66="chennai","south",D66="kolkata","east",TRUE,"west")</f>
        <v>west</v>
      </c>
      <c r="F66" s="37" t="s">
        <v>37</v>
      </c>
      <c r="G66" s="37" t="str">
        <f t="shared" ref="G66:G129" si="17">SUBSTITUTE(LOWER(F66)," ","")</f>
        <v>bluedart</v>
      </c>
      <c r="H66" s="37" t="s">
        <v>99</v>
      </c>
      <c r="I66" s="37" t="str">
        <f t="shared" ref="I66:I129" si="18">SUBSTITUTE(LOWER(H66)," ","")</f>
        <v>air</v>
      </c>
      <c r="J66" s="37" t="s">
        <v>138</v>
      </c>
      <c r="K66" s="37" t="str">
        <f t="shared" ref="K66:K129" si="19">SUBSTITUTE(LOWER(J66)," ","")</f>
        <v>apparel</v>
      </c>
      <c r="L66" s="37" t="s">
        <v>89</v>
      </c>
      <c r="M66" s="37" t="str">
        <f t="shared" ref="M66:M129" si="20">SUBSTITUTE(LOWER(L66)," ","")</f>
        <v>west</v>
      </c>
      <c r="N66" s="37" t="s">
        <v>187</v>
      </c>
      <c r="O66" s="41" t="str">
        <f t="shared" ref="O66:O129" si="21">IF(OR(D66="",M66=""),"",IF(D66=M66,"No","Yes"))</f>
        <v>Yes</v>
      </c>
      <c r="P66" s="41" t="s">
        <v>529</v>
      </c>
      <c r="Q66" s="41">
        <v>80</v>
      </c>
      <c r="R66" s="42">
        <f t="shared" ref="R66:R129" si="22">IF(OR(Q66="",P66="",P66=0),"",Q66/P66)</f>
        <v>50</v>
      </c>
      <c r="S66" s="37">
        <v>2</v>
      </c>
      <c r="T66" s="37" t="s">
        <v>531</v>
      </c>
      <c r="U66" s="43" t="str">
        <f t="shared" ref="U66:U129" si="23">SUBSTITUTE(LOWER(T66)," ","")</f>
        <v>02/06/2024</v>
      </c>
      <c r="V66" s="43">
        <f t="shared" ref="V66:V129" si="24">DATEVALUE(TEXT(U66,"yyyy-mm-dd"))</f>
        <v>45445</v>
      </c>
      <c r="W66" s="44">
        <f t="array" ref="W66">_xlfn.IFS(TRIM(C66)="","",TRIM(V66)="","",TRUE,V66-C66)</f>
        <v>1</v>
      </c>
      <c r="X66" s="37">
        <f t="shared" ref="X66:X129" si="25">IF(OR(W66="",S66=""),"",W66-S66)</f>
        <v>-1</v>
      </c>
      <c r="Y66" s="37" t="s">
        <v>163</v>
      </c>
      <c r="Z66" s="37" t="str">
        <f t="shared" ref="Z66:Z129" si="26">SUBSTITUTE(LOWER(Y66)," ","")</f>
        <v>delivered</v>
      </c>
      <c r="AA66" s="37" t="str">
        <f t="shared" ref="AA66:AA129" si="27">IF(Z66="In-Transit","N/A",IF(X66="","",IF(X66&gt;0,"Late","On Time")))</f>
        <v>On Time</v>
      </c>
      <c r="AB66" s="37" t="str">
        <f t="shared" si="14"/>
        <v>0</v>
      </c>
      <c r="AC66" s="37">
        <f t="shared" si="15"/>
        <v>0</v>
      </c>
      <c r="AD66" s="45">
        <f t="shared" si="13"/>
        <v>0.504924491135916</v>
      </c>
      <c r="AE66" s="37">
        <v>4</v>
      </c>
      <c r="AF66" s="37" t="s">
        <v>131</v>
      </c>
      <c r="AG66" s="37" t="str">
        <f t="shared" ref="AG66:AG129" si="28">SUBSTITUTE(LOWER(AF66)," ","")</f>
        <v>n</v>
      </c>
      <c r="AH66" s="37" t="str">
        <f t="array" ref="AH66">_xlfn.IFS(LOWER(AG66)="n","no",LOWER(AG66)="y","yes",TRUE,LOWER(AG66))</f>
        <v>no</v>
      </c>
      <c r="AI66" s="37" t="s">
        <v>4692</v>
      </c>
    </row>
    <row r="67" spans="1:35">
      <c r="A67" s="46" t="s">
        <v>532</v>
      </c>
      <c r="B67" s="47">
        <v>45453</v>
      </c>
      <c r="C67" s="39">
        <f t="shared" si="16"/>
        <v>45453</v>
      </c>
      <c r="D67" s="48" t="s">
        <v>222</v>
      </c>
      <c r="E67" s="37" t="str" cm="1">
        <f t="array" ref="E67">_xlfn.IFS(D67="delhi","north",D67="mumbai","west",D67="bengaluru","south",D67="chennai","south",D67="kolkata","east",TRUE,"west")</f>
        <v>west</v>
      </c>
      <c r="F67" s="46" t="s">
        <v>204</v>
      </c>
      <c r="G67" s="37" t="str">
        <f t="shared" si="17"/>
        <v>delhivery</v>
      </c>
      <c r="H67" s="46" t="s">
        <v>224</v>
      </c>
      <c r="I67" s="37" t="str">
        <f t="shared" si="18"/>
        <v>air</v>
      </c>
      <c r="J67" s="46" t="s">
        <v>533</v>
      </c>
      <c r="K67" s="37" t="str">
        <f t="shared" si="19"/>
        <v>pharma</v>
      </c>
      <c r="L67" s="46" t="s">
        <v>334</v>
      </c>
      <c r="M67" s="37" t="str">
        <f t="shared" si="20"/>
        <v>north</v>
      </c>
      <c r="N67" s="46" t="s">
        <v>113</v>
      </c>
      <c r="O67" s="41" t="str">
        <f t="shared" si="21"/>
        <v>Yes</v>
      </c>
      <c r="P67" s="49" t="s">
        <v>534</v>
      </c>
      <c r="Q67" s="49" t="s">
        <v>535</v>
      </c>
      <c r="R67" s="42">
        <f t="shared" si="22"/>
        <v>87.6923076923077</v>
      </c>
      <c r="S67" s="46">
        <v>4</v>
      </c>
      <c r="T67" s="46" t="s">
        <v>536</v>
      </c>
      <c r="U67" s="43" t="str">
        <f t="shared" si="23"/>
        <v>13/06/2024</v>
      </c>
      <c r="V67" s="43">
        <f t="shared" si="24"/>
        <v>45456</v>
      </c>
      <c r="W67" s="44">
        <f t="array" ref="W67">_xlfn.IFS(TRIM(C67)="","",TRIM(V67)="","",TRUE,V67-C67)</f>
        <v>3</v>
      </c>
      <c r="X67" s="37">
        <f t="shared" si="25"/>
        <v>-1</v>
      </c>
      <c r="Y67" s="46" t="s">
        <v>105</v>
      </c>
      <c r="Z67" s="37" t="str">
        <f t="shared" si="26"/>
        <v>delivered</v>
      </c>
      <c r="AA67" s="37" t="str">
        <f t="shared" si="27"/>
        <v>On Time</v>
      </c>
      <c r="AB67" s="37" t="str">
        <f t="shared" si="14"/>
        <v>0</v>
      </c>
      <c r="AC67" s="37">
        <f t="shared" si="15"/>
        <v>0</v>
      </c>
      <c r="AD67" s="45">
        <f t="shared" ref="AD67:AD130" si="29">COUNTIF(AC67:AC1666,1)/COUNT(AC67:AC1666)</f>
        <v>0.505256241787122</v>
      </c>
      <c r="AE67" s="46">
        <v>4</v>
      </c>
      <c r="AF67" s="46" t="s">
        <v>118</v>
      </c>
      <c r="AG67" s="37" t="str">
        <f t="shared" si="28"/>
        <v>no</v>
      </c>
      <c r="AH67" s="37" t="str">
        <f t="array" ref="AH67">_xlfn.IFS(LOWER(AG67)="n","no",LOWER(AG67)="y","yes",TRUE,LOWER(AG67))</f>
        <v>no</v>
      </c>
      <c r="AI67" s="46" t="s">
        <v>4692</v>
      </c>
    </row>
    <row r="68" spans="1:35">
      <c r="A68" s="37" t="s">
        <v>537</v>
      </c>
      <c r="B68" s="38" t="s">
        <v>4710</v>
      </c>
      <c r="C68" s="39">
        <f t="shared" si="16"/>
        <v>45466</v>
      </c>
      <c r="D68" s="40" t="s">
        <v>633</v>
      </c>
      <c r="E68" s="37" t="str" cm="1">
        <f t="array" ref="E68">_xlfn.IFS(D68="delhi","north",D68="mumbai","west",D68="bengaluru","south",D68="chennai","south",D68="kolkata","east",TRUE,"west")</f>
        <v>south</v>
      </c>
      <c r="F68" s="37" t="s">
        <v>352</v>
      </c>
      <c r="G68" s="37" t="str">
        <f t="shared" si="17"/>
        <v>delhivery</v>
      </c>
      <c r="H68" s="37" t="s">
        <v>176</v>
      </c>
      <c r="I68" s="37" t="str">
        <f t="shared" si="18"/>
        <v>road</v>
      </c>
      <c r="J68" s="37" t="s">
        <v>177</v>
      </c>
      <c r="K68" s="37" t="str">
        <f t="shared" si="19"/>
        <v>pharma</v>
      </c>
      <c r="L68" s="37" t="s">
        <v>401</v>
      </c>
      <c r="M68" s="37" t="str">
        <f t="shared" si="20"/>
        <v>south</v>
      </c>
      <c r="N68" s="37" t="s">
        <v>54</v>
      </c>
      <c r="O68" s="41" t="str">
        <f t="shared" si="21"/>
        <v>Yes</v>
      </c>
      <c r="P68" s="41" t="s">
        <v>539</v>
      </c>
      <c r="Q68" s="41">
        <v>108</v>
      </c>
      <c r="R68" s="42">
        <f t="shared" si="22"/>
        <v>30.8571428571429</v>
      </c>
      <c r="S68" s="37">
        <v>6</v>
      </c>
      <c r="T68" s="37" t="s">
        <v>541</v>
      </c>
      <c r="U68" s="43" t="str">
        <f t="shared" si="23"/>
        <v>29/06/2024</v>
      </c>
      <c r="V68" s="43">
        <f t="shared" si="24"/>
        <v>45472</v>
      </c>
      <c r="W68" s="44">
        <f t="array" ref="W68">_xlfn.IFS(TRIM(C68)="","",TRIM(V68)="","",TRUE,V68-C68)</f>
        <v>6</v>
      </c>
      <c r="X68" s="37">
        <f t="shared" si="25"/>
        <v>0</v>
      </c>
      <c r="Y68" s="37" t="s">
        <v>163</v>
      </c>
      <c r="Z68" s="37" t="str">
        <f t="shared" si="26"/>
        <v>delivered</v>
      </c>
      <c r="AA68" s="37" t="str">
        <f t="shared" si="27"/>
        <v>On Time</v>
      </c>
      <c r="AB68" s="37" t="str">
        <f t="shared" si="14"/>
        <v>0</v>
      </c>
      <c r="AC68" s="37">
        <f t="shared" si="15"/>
        <v>0</v>
      </c>
      <c r="AD68" s="45">
        <f t="shared" si="29"/>
        <v>0.505588428665352</v>
      </c>
      <c r="AE68" s="37">
        <v>4</v>
      </c>
      <c r="AF68" s="37" t="s">
        <v>152</v>
      </c>
      <c r="AG68" s="37" t="str">
        <f t="shared" si="28"/>
        <v>no</v>
      </c>
      <c r="AH68" s="37" t="str">
        <f t="array" ref="AH68">_xlfn.IFS(LOWER(AG68)="n","no",LOWER(AG68)="y","yes",TRUE,LOWER(AG68))</f>
        <v>no</v>
      </c>
      <c r="AI68" s="37" t="s">
        <v>4692</v>
      </c>
    </row>
    <row r="69" spans="1:35">
      <c r="A69" s="46" t="s">
        <v>542</v>
      </c>
      <c r="B69" s="47">
        <v>45379</v>
      </c>
      <c r="C69" s="39">
        <f t="shared" si="16"/>
        <v>45379</v>
      </c>
      <c r="D69" s="48" t="s">
        <v>4705</v>
      </c>
      <c r="E69" s="37" t="str" cm="1">
        <f t="array" ref="E69">_xlfn.IFS(D69="delhi","north",D69="mumbai","west",D69="bengaluru","south",D69="chennai","south",D69="kolkata","east",TRUE,"west")</f>
        <v>west</v>
      </c>
      <c r="F69" s="46" t="s">
        <v>544</v>
      </c>
      <c r="G69" s="37" t="str">
        <f t="shared" si="17"/>
        <v>bluedart</v>
      </c>
      <c r="H69" s="46" t="s">
        <v>123</v>
      </c>
      <c r="I69" s="37" t="str">
        <f t="shared" si="18"/>
        <v>air</v>
      </c>
      <c r="J69" s="46" t="s">
        <v>319</v>
      </c>
      <c r="K69" s="37" t="str">
        <f t="shared" si="19"/>
        <v>electronics</v>
      </c>
      <c r="L69" s="46" t="s">
        <v>101</v>
      </c>
      <c r="M69" s="37" t="str">
        <f t="shared" si="20"/>
        <v>west</v>
      </c>
      <c r="N69" s="46" t="s">
        <v>187</v>
      </c>
      <c r="O69" s="41" t="str">
        <f t="shared" si="21"/>
        <v>Yes</v>
      </c>
      <c r="P69" s="49" t="s">
        <v>545</v>
      </c>
      <c r="Q69" s="49">
        <v>700</v>
      </c>
      <c r="R69" s="42">
        <f t="shared" si="22"/>
        <v>61.4035087719298</v>
      </c>
      <c r="S69" s="46">
        <v>4</v>
      </c>
      <c r="T69" s="46" t="s">
        <v>547</v>
      </c>
      <c r="U69" s="43" t="str">
        <f t="shared" si="23"/>
        <v>10/04/2024</v>
      </c>
      <c r="V69" s="43">
        <f t="shared" si="24"/>
        <v>45392</v>
      </c>
      <c r="W69" s="44">
        <f t="array" ref="W69">_xlfn.IFS(TRIM(C69)="","",TRIM(V69)="","",TRUE,V69-C69)</f>
        <v>13</v>
      </c>
      <c r="X69" s="37">
        <f t="shared" si="25"/>
        <v>9</v>
      </c>
      <c r="Y69" s="46" t="s">
        <v>172</v>
      </c>
      <c r="Z69" s="37" t="str">
        <f t="shared" si="26"/>
        <v>delayed</v>
      </c>
      <c r="AA69" s="37" t="str">
        <f t="shared" si="27"/>
        <v>Late</v>
      </c>
      <c r="AB69" s="37" t="str">
        <f t="shared" si="14"/>
        <v>1</v>
      </c>
      <c r="AC69" s="37">
        <f t="shared" si="15"/>
        <v>1</v>
      </c>
      <c r="AD69" s="45">
        <f t="shared" si="29"/>
        <v>0.505921052631579</v>
      </c>
      <c r="AE69" s="46">
        <v>2</v>
      </c>
      <c r="AF69" s="46" t="s">
        <v>118</v>
      </c>
      <c r="AG69" s="37" t="str">
        <f t="shared" si="28"/>
        <v>no</v>
      </c>
      <c r="AH69" s="37" t="str">
        <f t="array" ref="AH69">_xlfn.IFS(LOWER(AG69)="n","no",LOWER(AG69)="y","yes",TRUE,LOWER(AG69))</f>
        <v>no</v>
      </c>
      <c r="AI69" s="46" t="s">
        <v>4692</v>
      </c>
    </row>
    <row r="70" spans="1:35">
      <c r="A70" s="37" t="s">
        <v>548</v>
      </c>
      <c r="B70" s="38" t="s">
        <v>4711</v>
      </c>
      <c r="C70" s="39">
        <f t="shared" si="16"/>
        <v>45431</v>
      </c>
      <c r="D70" s="40" t="s">
        <v>340</v>
      </c>
      <c r="E70" s="37" t="str" cm="1">
        <f t="array" ref="E70">_xlfn.IFS(D70="delhi","north",D70="mumbai","west",D70="bengaluru","south",D70="chennai","south",D70="kolkata","east",TRUE,"west")</f>
        <v>north</v>
      </c>
      <c r="F70" s="37" t="s">
        <v>312</v>
      </c>
      <c r="G70" s="37" t="str">
        <f t="shared" si="17"/>
        <v>bluedart</v>
      </c>
      <c r="H70" s="37" t="s">
        <v>185</v>
      </c>
      <c r="I70" s="37" t="str">
        <f t="shared" si="18"/>
        <v>surface</v>
      </c>
      <c r="J70" s="37" t="s">
        <v>425</v>
      </c>
      <c r="K70" s="37" t="str">
        <f t="shared" si="19"/>
        <v>automotiveparts</v>
      </c>
      <c r="L70" s="37" t="s">
        <v>139</v>
      </c>
      <c r="M70" s="37" t="str">
        <f t="shared" si="20"/>
        <v>north</v>
      </c>
      <c r="N70" s="37" t="s">
        <v>354</v>
      </c>
      <c r="O70" s="41" t="str">
        <f t="shared" si="21"/>
        <v>Yes</v>
      </c>
      <c r="P70" s="41">
        <v>18.2</v>
      </c>
      <c r="Q70" s="41">
        <v>420</v>
      </c>
      <c r="R70" s="42">
        <f t="shared" si="22"/>
        <v>23.0769230769231</v>
      </c>
      <c r="S70" s="37">
        <v>4</v>
      </c>
      <c r="T70" s="37" t="s">
        <v>552</v>
      </c>
      <c r="U70" s="43" t="str">
        <f t="shared" si="23"/>
        <v>23/05/2024</v>
      </c>
      <c r="V70" s="43">
        <f t="shared" si="24"/>
        <v>45435</v>
      </c>
      <c r="W70" s="44">
        <f t="array" ref="W70">_xlfn.IFS(TRIM(C70)="","",TRIM(V70)="","",TRUE,V70-C70)</f>
        <v>4</v>
      </c>
      <c r="X70" s="37">
        <f t="shared" si="25"/>
        <v>0</v>
      </c>
      <c r="Y70" s="37" t="s">
        <v>105</v>
      </c>
      <c r="Z70" s="37" t="str">
        <f t="shared" si="26"/>
        <v>delivered</v>
      </c>
      <c r="AA70" s="37" t="str">
        <f t="shared" si="27"/>
        <v>On Time</v>
      </c>
      <c r="AB70" s="37" t="str">
        <f t="shared" ref="AB70:AB133" si="30">IF(Z70="In-Transit","N/A",IF(X70="","",IF(X70&gt;0,"1","0")))</f>
        <v>0</v>
      </c>
      <c r="AC70" s="37">
        <f t="shared" si="15"/>
        <v>0</v>
      </c>
      <c r="AD70" s="45">
        <f t="shared" si="29"/>
        <v>0.505595786701778</v>
      </c>
      <c r="AE70" s="37">
        <v>5</v>
      </c>
      <c r="AF70" s="37" t="s">
        <v>181</v>
      </c>
      <c r="AG70" s="37" t="str">
        <f t="shared" si="28"/>
        <v>y</v>
      </c>
      <c r="AH70" s="37" t="str">
        <f t="array" ref="AH70">_xlfn.IFS(LOWER(AG70)="n","no",LOWER(AG70)="y","yes",TRUE,LOWER(AG70))</f>
        <v>yes</v>
      </c>
      <c r="AI70" s="37" t="s">
        <v>4692</v>
      </c>
    </row>
    <row r="71" spans="1:35">
      <c r="A71" s="46" t="s">
        <v>553</v>
      </c>
      <c r="B71" s="47" t="s">
        <v>4698</v>
      </c>
      <c r="C71" s="39">
        <f t="shared" si="16"/>
        <v>45302</v>
      </c>
      <c r="D71" s="48" t="s">
        <v>424</v>
      </c>
      <c r="E71" s="37" t="str" cm="1">
        <f t="array" ref="E71">_xlfn.IFS(D71="delhi","north",D71="mumbai","west",D71="bengaluru","south",D71="chennai","south",D71="kolkata","east",TRUE,"west")</f>
        <v>south</v>
      </c>
      <c r="F71" s="46" t="s">
        <v>223</v>
      </c>
      <c r="G71" s="37" t="str">
        <f t="shared" si="17"/>
        <v>xpressbees</v>
      </c>
      <c r="H71" s="46" t="s">
        <v>244</v>
      </c>
      <c r="I71" s="37" t="str">
        <f t="shared" si="18"/>
        <v>air</v>
      </c>
      <c r="J71" s="46" t="s">
        <v>231</v>
      </c>
      <c r="K71" s="37" t="str">
        <f t="shared" si="19"/>
        <v>furniture</v>
      </c>
      <c r="L71" s="46" t="s">
        <v>92</v>
      </c>
      <c r="M71" s="37" t="str">
        <f t="shared" si="20"/>
        <v>east</v>
      </c>
      <c r="N71" s="46" t="s">
        <v>126</v>
      </c>
      <c r="O71" s="41" t="str">
        <f t="shared" si="21"/>
        <v>Yes</v>
      </c>
      <c r="P71" s="49" t="s">
        <v>554</v>
      </c>
      <c r="Q71" s="49" t="s">
        <v>555</v>
      </c>
      <c r="R71" s="42">
        <f t="shared" si="22"/>
        <v>53.3495145631068</v>
      </c>
      <c r="S71" s="46">
        <v>4</v>
      </c>
      <c r="T71" s="46" t="s">
        <v>556</v>
      </c>
      <c r="U71" s="43" t="str">
        <f t="shared" si="23"/>
        <v>20-jan-2024</v>
      </c>
      <c r="V71" s="43">
        <f t="shared" si="24"/>
        <v>45311</v>
      </c>
      <c r="W71" s="44">
        <f t="array" ref="W71">_xlfn.IFS(TRIM(C71)="","",TRIM(V71)="","",TRUE,V71-C71)</f>
        <v>9</v>
      </c>
      <c r="X71" s="37">
        <f t="shared" si="25"/>
        <v>5</v>
      </c>
      <c r="Y71" s="46" t="s">
        <v>72</v>
      </c>
      <c r="Z71" s="37" t="str">
        <f t="shared" si="26"/>
        <v>delayed</v>
      </c>
      <c r="AA71" s="37" t="str">
        <f t="shared" si="27"/>
        <v>Late</v>
      </c>
      <c r="AB71" s="37" t="str">
        <f t="shared" si="30"/>
        <v>1</v>
      </c>
      <c r="AC71" s="37">
        <f t="shared" ref="AC71:AC134" si="31">IF(TRIM(AB71&amp;"")="","",VALUE(TRIM(AB71&amp;"")))</f>
        <v>1</v>
      </c>
      <c r="AD71" s="45">
        <f t="shared" si="29"/>
        <v>0.505928853754941</v>
      </c>
      <c r="AE71" s="46">
        <v>3</v>
      </c>
      <c r="AF71" s="46" t="s">
        <v>118</v>
      </c>
      <c r="AG71" s="37" t="str">
        <f t="shared" si="28"/>
        <v>no</v>
      </c>
      <c r="AH71" s="37" t="str">
        <f t="array" ref="AH71">_xlfn.IFS(LOWER(AG71)="n","no",LOWER(AG71)="y","yes",TRUE,LOWER(AG71))</f>
        <v>no</v>
      </c>
      <c r="AI71" s="46" t="s">
        <v>4692</v>
      </c>
    </row>
    <row r="72" spans="1:35">
      <c r="A72" s="37" t="s">
        <v>557</v>
      </c>
      <c r="B72" s="38">
        <v>45348</v>
      </c>
      <c r="C72" s="39">
        <f t="shared" si="16"/>
        <v>45348</v>
      </c>
      <c r="D72" s="40" t="s">
        <v>212</v>
      </c>
      <c r="E72" s="37" t="str" cm="1">
        <f t="array" ref="E72">_xlfn.IFS(D72="delhi","north",D72="mumbai","west",D72="bengaluru","south",D72="chennai","south",D72="kolkata","east",TRUE,"west")</f>
        <v>west</v>
      </c>
      <c r="F72" s="37" t="s">
        <v>175</v>
      </c>
      <c r="G72" s="37" t="str">
        <f t="shared" si="17"/>
        <v>ecomexpress</v>
      </c>
      <c r="H72" s="37" t="s">
        <v>137</v>
      </c>
      <c r="I72" s="37" t="str">
        <f t="shared" si="18"/>
        <v>road</v>
      </c>
      <c r="J72" s="37" t="s">
        <v>167</v>
      </c>
      <c r="K72" s="37" t="str">
        <f t="shared" si="19"/>
        <v>pharma</v>
      </c>
      <c r="L72" s="37" t="s">
        <v>302</v>
      </c>
      <c r="M72" s="37" t="str">
        <f t="shared" si="20"/>
        <v>east</v>
      </c>
      <c r="N72" s="37" t="s">
        <v>91</v>
      </c>
      <c r="O72" s="41" t="str">
        <f t="shared" si="21"/>
        <v>Yes</v>
      </c>
      <c r="P72" s="41">
        <v>0.9</v>
      </c>
      <c r="Q72" s="41">
        <v>222</v>
      </c>
      <c r="R72" s="42">
        <f t="shared" si="22"/>
        <v>246.666666666667</v>
      </c>
      <c r="S72" s="37">
        <v>8</v>
      </c>
      <c r="T72" s="37" t="s">
        <v>560</v>
      </c>
      <c r="U72" s="43" t="str">
        <f t="shared" si="23"/>
        <v>05/03/2024</v>
      </c>
      <c r="V72" s="43">
        <f t="shared" si="24"/>
        <v>45356</v>
      </c>
      <c r="W72" s="44">
        <f t="array" ref="W72">_xlfn.IFS(TRIM(C72)="","",TRIM(V72)="","",TRUE,V72-C72)</f>
        <v>8</v>
      </c>
      <c r="X72" s="37">
        <f t="shared" si="25"/>
        <v>0</v>
      </c>
      <c r="Y72" s="37" t="s">
        <v>117</v>
      </c>
      <c r="Z72" s="37" t="str">
        <f t="shared" si="26"/>
        <v>delivered</v>
      </c>
      <c r="AA72" s="37" t="str">
        <f t="shared" si="27"/>
        <v>On Time</v>
      </c>
      <c r="AB72" s="37" t="str">
        <f t="shared" si="30"/>
        <v>0</v>
      </c>
      <c r="AC72" s="37">
        <f t="shared" si="31"/>
        <v>0</v>
      </c>
      <c r="AD72" s="45">
        <f t="shared" si="29"/>
        <v>0.505603164139749</v>
      </c>
      <c r="AE72" s="37">
        <v>1</v>
      </c>
      <c r="AF72" s="37" t="s">
        <v>106</v>
      </c>
      <c r="AG72" s="37" t="str">
        <f t="shared" si="28"/>
        <v>yes</v>
      </c>
      <c r="AH72" s="37" t="str">
        <f t="array" ref="AH72">_xlfn.IFS(LOWER(AG72)="n","no",LOWER(AG72)="y","yes",TRUE,LOWER(AG72))</f>
        <v>yes</v>
      </c>
      <c r="AI72" s="37" t="s">
        <v>4692</v>
      </c>
    </row>
    <row r="73" spans="1:35">
      <c r="A73" s="46" t="s">
        <v>561</v>
      </c>
      <c r="B73" s="47">
        <v>45352</v>
      </c>
      <c r="C73" s="39">
        <f t="shared" si="16"/>
        <v>45352</v>
      </c>
      <c r="D73" s="48" t="s">
        <v>340</v>
      </c>
      <c r="E73" s="37" t="str" cm="1">
        <f t="array" ref="E73">_xlfn.IFS(D73="delhi","north",D73="mumbai","west",D73="bengaluru","south",D73="chennai","south",D73="kolkata","east",TRUE,"west")</f>
        <v>north</v>
      </c>
      <c r="F73" s="46"/>
      <c r="G73" s="37" t="str">
        <f t="shared" si="17"/>
        <v/>
      </c>
      <c r="H73" s="46" t="s">
        <v>345</v>
      </c>
      <c r="I73" s="37" t="str">
        <f t="shared" si="18"/>
        <v>surface</v>
      </c>
      <c r="J73" s="46" t="s">
        <v>47</v>
      </c>
      <c r="K73" s="37" t="str">
        <f t="shared" si="19"/>
        <v>electronics</v>
      </c>
      <c r="L73" s="46" t="s">
        <v>139</v>
      </c>
      <c r="M73" s="37" t="str">
        <f t="shared" si="20"/>
        <v>north</v>
      </c>
      <c r="N73" s="46" t="s">
        <v>113</v>
      </c>
      <c r="O73" s="41" t="str">
        <f t="shared" si="21"/>
        <v>Yes</v>
      </c>
      <c r="P73" s="49">
        <v>3</v>
      </c>
      <c r="Q73" s="49" t="s">
        <v>563</v>
      </c>
      <c r="R73" s="42">
        <f t="shared" si="22"/>
        <v>28</v>
      </c>
      <c r="S73" s="46">
        <v>4</v>
      </c>
      <c r="T73" s="46" t="s">
        <v>564</v>
      </c>
      <c r="U73" s="43" t="str">
        <f t="shared" si="23"/>
        <v>05/03/2024</v>
      </c>
      <c r="V73" s="43">
        <f t="shared" si="24"/>
        <v>45356</v>
      </c>
      <c r="W73" s="44">
        <f t="array" ref="W73">_xlfn.IFS(TRIM(C73)="","",TRIM(V73)="","",TRUE,V73-C73)</f>
        <v>4</v>
      </c>
      <c r="X73" s="37">
        <f t="shared" si="25"/>
        <v>0</v>
      </c>
      <c r="Y73" s="46" t="s">
        <v>105</v>
      </c>
      <c r="Z73" s="37" t="str">
        <f t="shared" si="26"/>
        <v>delivered</v>
      </c>
      <c r="AA73" s="37" t="str">
        <f t="shared" si="27"/>
        <v>On Time</v>
      </c>
      <c r="AB73" s="37" t="str">
        <f t="shared" si="30"/>
        <v>0</v>
      </c>
      <c r="AC73" s="37">
        <f t="shared" si="31"/>
        <v>0</v>
      </c>
      <c r="AD73" s="45">
        <f t="shared" si="29"/>
        <v>0.505936675461741</v>
      </c>
      <c r="AE73" s="46">
        <v>4</v>
      </c>
      <c r="AF73" s="46" t="s">
        <v>181</v>
      </c>
      <c r="AG73" s="37" t="str">
        <f t="shared" si="28"/>
        <v>y</v>
      </c>
      <c r="AH73" s="37" t="str">
        <f t="array" ref="AH73">_xlfn.IFS(LOWER(AG73)="n","no",LOWER(AG73)="y","yes",TRUE,LOWER(AG73))</f>
        <v>yes</v>
      </c>
      <c r="AI73" s="46" t="s">
        <v>4692</v>
      </c>
    </row>
    <row r="74" spans="1:35">
      <c r="A74" s="37" t="s">
        <v>565</v>
      </c>
      <c r="B74" s="38">
        <v>45323</v>
      </c>
      <c r="C74" s="39">
        <f t="shared" si="16"/>
        <v>45323</v>
      </c>
      <c r="D74" s="40" t="s">
        <v>4712</v>
      </c>
      <c r="E74" s="37" t="str" cm="1">
        <f t="array" ref="E74">_xlfn.IFS(D74="delhi","north",D74="mumbai","west",D74="bengaluru","south",D74="chennai","south",D74="kolkata","east",TRUE,"west")</f>
        <v>west</v>
      </c>
      <c r="F74" s="37" t="s">
        <v>175</v>
      </c>
      <c r="G74" s="37" t="str">
        <f t="shared" si="17"/>
        <v>ecomexpress</v>
      </c>
      <c r="H74" s="37" t="s">
        <v>244</v>
      </c>
      <c r="I74" s="37" t="str">
        <f t="shared" si="18"/>
        <v>air</v>
      </c>
      <c r="J74" s="37" t="s">
        <v>138</v>
      </c>
      <c r="K74" s="37" t="str">
        <f t="shared" si="19"/>
        <v>apparel</v>
      </c>
      <c r="L74" s="37" t="s">
        <v>470</v>
      </c>
      <c r="M74" s="37" t="str">
        <f t="shared" si="20"/>
        <v>east</v>
      </c>
      <c r="N74" s="37" t="s">
        <v>91</v>
      </c>
      <c r="O74" s="41" t="str">
        <f t="shared" si="21"/>
        <v>Yes</v>
      </c>
      <c r="P74" s="41">
        <v>6.9</v>
      </c>
      <c r="Q74" s="41">
        <v>506</v>
      </c>
      <c r="R74" s="42">
        <f t="shared" si="22"/>
        <v>73.3333333333333</v>
      </c>
      <c r="S74" s="37">
        <v>4</v>
      </c>
      <c r="T74" s="37" t="s">
        <v>569</v>
      </c>
      <c r="U74" s="43" t="str">
        <f t="shared" si="23"/>
        <v>2024-02-06</v>
      </c>
      <c r="V74" s="43">
        <f t="shared" si="24"/>
        <v>45328</v>
      </c>
      <c r="W74" s="44">
        <f t="array" ref="W74">_xlfn.IFS(TRIM(C74)="","",TRIM(V74)="","",TRUE,V74-C74)</f>
        <v>5</v>
      </c>
      <c r="X74" s="37">
        <f t="shared" si="25"/>
        <v>1</v>
      </c>
      <c r="Y74" s="37" t="s">
        <v>143</v>
      </c>
      <c r="Z74" s="37" t="str">
        <f t="shared" si="26"/>
        <v>delayed</v>
      </c>
      <c r="AA74" s="37" t="str">
        <f t="shared" si="27"/>
        <v>Late</v>
      </c>
      <c r="AB74" s="37" t="str">
        <f t="shared" si="30"/>
        <v>1</v>
      </c>
      <c r="AC74" s="37">
        <f t="shared" si="31"/>
        <v>1</v>
      </c>
      <c r="AD74" s="45">
        <f t="shared" si="29"/>
        <v>0.506270627062706</v>
      </c>
      <c r="AE74" s="37">
        <v>4</v>
      </c>
      <c r="AF74" s="37" t="s">
        <v>152</v>
      </c>
      <c r="AG74" s="37" t="str">
        <f t="shared" si="28"/>
        <v>no</v>
      </c>
      <c r="AH74" s="37" t="str">
        <f t="array" ref="AH74">_xlfn.IFS(LOWER(AG74)="n","no",LOWER(AG74)="y","yes",TRUE,LOWER(AG74))</f>
        <v>no</v>
      </c>
      <c r="AI74" s="37" t="s">
        <v>4692</v>
      </c>
    </row>
    <row r="75" spans="1:35">
      <c r="A75" s="46" t="s">
        <v>570</v>
      </c>
      <c r="B75" s="47">
        <v>45460</v>
      </c>
      <c r="C75" s="39">
        <f t="shared" si="16"/>
        <v>45460</v>
      </c>
      <c r="D75" s="48" t="s">
        <v>4704</v>
      </c>
      <c r="E75" s="37" t="str" cm="1">
        <f t="array" ref="E75">_xlfn.IFS(D75="delhi","north",D75="mumbai","west",D75="bengaluru","south",D75="chennai","south",D75="kolkata","east",TRUE,"west")</f>
        <v>west</v>
      </c>
      <c r="F75" s="46" t="s">
        <v>312</v>
      </c>
      <c r="G75" s="37" t="str">
        <f t="shared" si="17"/>
        <v>bluedart</v>
      </c>
      <c r="H75" s="46" t="s">
        <v>147</v>
      </c>
      <c r="I75" s="37" t="str">
        <f t="shared" si="18"/>
        <v>road</v>
      </c>
      <c r="J75" s="46" t="s">
        <v>458</v>
      </c>
      <c r="K75" s="37" t="str">
        <f t="shared" si="19"/>
        <v>electronics</v>
      </c>
      <c r="L75" s="46" t="s">
        <v>101</v>
      </c>
      <c r="M75" s="37" t="str">
        <f t="shared" si="20"/>
        <v>west</v>
      </c>
      <c r="N75" s="46" t="s">
        <v>206</v>
      </c>
      <c r="O75" s="41" t="str">
        <f t="shared" si="21"/>
        <v>Yes</v>
      </c>
      <c r="P75" s="49">
        <v>5.5</v>
      </c>
      <c r="Q75" s="49">
        <v>257</v>
      </c>
      <c r="R75" s="42">
        <f t="shared" si="22"/>
        <v>46.7272727272727</v>
      </c>
      <c r="S75" s="46">
        <v>8</v>
      </c>
      <c r="T75" s="46" t="s">
        <v>574</v>
      </c>
      <c r="U75" s="43" t="str">
        <f t="shared" si="23"/>
        <v>26-jun-2024</v>
      </c>
      <c r="V75" s="43">
        <f t="shared" si="24"/>
        <v>45469</v>
      </c>
      <c r="W75" s="44">
        <f t="array" ref="W75">_xlfn.IFS(TRIM(C75)="","",TRIM(V75)="","",TRUE,V75-C75)</f>
        <v>9</v>
      </c>
      <c r="X75" s="37">
        <f t="shared" si="25"/>
        <v>1</v>
      </c>
      <c r="Y75" s="46" t="s">
        <v>172</v>
      </c>
      <c r="Z75" s="37" t="str">
        <f t="shared" si="26"/>
        <v>delayed</v>
      </c>
      <c r="AA75" s="37" t="str">
        <f t="shared" si="27"/>
        <v>Late</v>
      </c>
      <c r="AB75" s="37" t="str">
        <f t="shared" si="30"/>
        <v>1</v>
      </c>
      <c r="AC75" s="37">
        <f t="shared" si="31"/>
        <v>1</v>
      </c>
      <c r="AD75" s="45">
        <f t="shared" si="29"/>
        <v>0.505944517833554</v>
      </c>
      <c r="AE75" s="46">
        <v>4</v>
      </c>
      <c r="AF75" s="46" t="s">
        <v>286</v>
      </c>
      <c r="AG75" s="37" t="str">
        <f t="shared" si="28"/>
        <v>yes</v>
      </c>
      <c r="AH75" s="37" t="str">
        <f t="array" ref="AH75">_xlfn.IFS(LOWER(AG75)="n","no",LOWER(AG75)="y","yes",TRUE,LOWER(AG75))</f>
        <v>yes</v>
      </c>
      <c r="AI75" s="46" t="s">
        <v>4692</v>
      </c>
    </row>
    <row r="76" spans="1:35">
      <c r="A76" s="37" t="s">
        <v>575</v>
      </c>
      <c r="B76" s="38">
        <v>45293</v>
      </c>
      <c r="C76" s="39">
        <f t="shared" si="16"/>
        <v>45293</v>
      </c>
      <c r="D76" s="40" t="s">
        <v>633</v>
      </c>
      <c r="E76" s="37" t="str" cm="1">
        <f t="array" ref="E76">_xlfn.IFS(D76="delhi","north",D76="mumbai","west",D76="bengaluru","south",D76="chennai","south",D76="kolkata","east",TRUE,"west")</f>
        <v>south</v>
      </c>
      <c r="F76" s="37" t="s">
        <v>98</v>
      </c>
      <c r="G76" s="37" t="str">
        <f t="shared" si="17"/>
        <v>dtdc</v>
      </c>
      <c r="H76" s="37" t="s">
        <v>440</v>
      </c>
      <c r="I76" s="37" t="str">
        <f t="shared" si="18"/>
        <v>road</v>
      </c>
      <c r="J76" s="37" t="s">
        <v>498</v>
      </c>
      <c r="K76" s="37" t="str">
        <f t="shared" si="19"/>
        <v>apparel</v>
      </c>
      <c r="L76" s="37" t="s">
        <v>125</v>
      </c>
      <c r="M76" s="37" t="str">
        <f t="shared" si="20"/>
        <v>east</v>
      </c>
      <c r="N76" s="37" t="s">
        <v>396</v>
      </c>
      <c r="O76" s="41" t="str">
        <f t="shared" si="21"/>
        <v>Yes</v>
      </c>
      <c r="P76" s="41" t="s">
        <v>577</v>
      </c>
      <c r="Q76" s="41">
        <v>236</v>
      </c>
      <c r="R76" s="42">
        <f t="shared" si="22"/>
        <v>118</v>
      </c>
      <c r="S76" s="37">
        <v>8</v>
      </c>
      <c r="T76" s="37" t="s">
        <v>579</v>
      </c>
      <c r="U76" s="43" t="str">
        <f t="shared" si="23"/>
        <v>13-jan-2024</v>
      </c>
      <c r="V76" s="43">
        <f t="shared" si="24"/>
        <v>45304</v>
      </c>
      <c r="W76" s="44">
        <f t="array" ref="W76">_xlfn.IFS(TRIM(C76)="","",TRIM(V76)="","",TRUE,V76-C76)</f>
        <v>11</v>
      </c>
      <c r="X76" s="37">
        <f t="shared" si="25"/>
        <v>3</v>
      </c>
      <c r="Y76" s="37" t="s">
        <v>72</v>
      </c>
      <c r="Z76" s="37" t="str">
        <f t="shared" si="26"/>
        <v>delayed</v>
      </c>
      <c r="AA76" s="37" t="str">
        <f t="shared" si="27"/>
        <v>Late</v>
      </c>
      <c r="AB76" s="37" t="str">
        <f t="shared" si="30"/>
        <v>1</v>
      </c>
      <c r="AC76" s="37">
        <f t="shared" si="31"/>
        <v>1</v>
      </c>
      <c r="AD76" s="45">
        <f t="shared" si="29"/>
        <v>0.50561797752809</v>
      </c>
      <c r="AE76" s="37">
        <v>4</v>
      </c>
      <c r="AF76" s="37" t="s">
        <v>131</v>
      </c>
      <c r="AG76" s="37" t="str">
        <f t="shared" si="28"/>
        <v>n</v>
      </c>
      <c r="AH76" s="37" t="str">
        <f t="array" ref="AH76">_xlfn.IFS(LOWER(AG76)="n","no",LOWER(AG76)="y","yes",TRUE,LOWER(AG76))</f>
        <v>no</v>
      </c>
      <c r="AI76" s="37" t="s">
        <v>4692</v>
      </c>
    </row>
    <row r="77" spans="1:35">
      <c r="A77" s="46" t="s">
        <v>580</v>
      </c>
      <c r="B77" s="47">
        <v>45470</v>
      </c>
      <c r="C77" s="39">
        <f t="shared" si="16"/>
        <v>45470</v>
      </c>
      <c r="D77" s="48" t="s">
        <v>340</v>
      </c>
      <c r="E77" s="37" t="str" cm="1">
        <f t="array" ref="E77">_xlfn.IFS(D77="delhi","north",D77="mumbai","west",D77="bengaluru","south",D77="chennai","south",D77="kolkata","east",TRUE,"west")</f>
        <v>north</v>
      </c>
      <c r="F77" s="46" t="s">
        <v>270</v>
      </c>
      <c r="G77" s="37" t="str">
        <f t="shared" si="17"/>
        <v>ecomexpress</v>
      </c>
      <c r="H77" s="46" t="s">
        <v>110</v>
      </c>
      <c r="I77" s="37" t="str">
        <f t="shared" si="18"/>
        <v>surface</v>
      </c>
      <c r="J77" s="46" t="s">
        <v>582</v>
      </c>
      <c r="K77" s="37" t="str">
        <f t="shared" si="19"/>
        <v>grocery&amp;fmcg</v>
      </c>
      <c r="L77" s="46" t="s">
        <v>139</v>
      </c>
      <c r="M77" s="37" t="str">
        <f t="shared" si="20"/>
        <v>north</v>
      </c>
      <c r="N77" s="46" t="s">
        <v>354</v>
      </c>
      <c r="O77" s="41" t="str">
        <f t="shared" si="21"/>
        <v>Yes</v>
      </c>
      <c r="P77" s="49" t="s">
        <v>583</v>
      </c>
      <c r="Q77" s="49">
        <v>162</v>
      </c>
      <c r="R77" s="42">
        <f t="shared" si="22"/>
        <v>23.8235294117647</v>
      </c>
      <c r="S77" s="46">
        <v>4</v>
      </c>
      <c r="T77" s="46" t="s">
        <v>585</v>
      </c>
      <c r="U77" s="43" t="str">
        <f t="shared" si="23"/>
        <v>30/06/2024</v>
      </c>
      <c r="V77" s="43">
        <f t="shared" si="24"/>
        <v>45473</v>
      </c>
      <c r="W77" s="44">
        <f t="array" ref="W77">_xlfn.IFS(TRIM(C77)="","",TRIM(V77)="","",TRUE,V77-C77)</f>
        <v>3</v>
      </c>
      <c r="X77" s="37">
        <f t="shared" si="25"/>
        <v>-1</v>
      </c>
      <c r="Y77" s="46" t="s">
        <v>219</v>
      </c>
      <c r="Z77" s="37" t="str">
        <f t="shared" si="26"/>
        <v>delivered</v>
      </c>
      <c r="AA77" s="37" t="str">
        <f t="shared" si="27"/>
        <v>On Time</v>
      </c>
      <c r="AB77" s="37" t="str">
        <f t="shared" si="30"/>
        <v>0</v>
      </c>
      <c r="AC77" s="37">
        <f t="shared" si="31"/>
        <v>0</v>
      </c>
      <c r="AD77" s="45">
        <f t="shared" si="29"/>
        <v>0.505291005291005</v>
      </c>
      <c r="AE77" s="46">
        <v>3</v>
      </c>
      <c r="AF77" s="46" t="s">
        <v>191</v>
      </c>
      <c r="AG77" s="37" t="str">
        <f t="shared" si="28"/>
        <v>no</v>
      </c>
      <c r="AH77" s="37" t="str">
        <f t="array" ref="AH77">_xlfn.IFS(LOWER(AG77)="n","no",LOWER(AG77)="y","yes",TRUE,LOWER(AG77))</f>
        <v>no</v>
      </c>
      <c r="AI77" s="46" t="s">
        <v>4692</v>
      </c>
    </row>
    <row r="78" spans="1:35">
      <c r="A78" s="37" t="s">
        <v>586</v>
      </c>
      <c r="B78" s="38">
        <v>45400</v>
      </c>
      <c r="C78" s="39">
        <f t="shared" si="16"/>
        <v>45400</v>
      </c>
      <c r="D78" s="40" t="s">
        <v>4695</v>
      </c>
      <c r="E78" s="37" t="str" cm="1">
        <f t="array" ref="E78">_xlfn.IFS(D78="delhi","north",D78="mumbai","west",D78="bengaluru","south",D78="chennai","south",D78="kolkata","east",TRUE,"west")</f>
        <v>west</v>
      </c>
      <c r="F78" s="37" t="s">
        <v>136</v>
      </c>
      <c r="G78" s="37" t="str">
        <f t="shared" si="17"/>
        <v>bluedart</v>
      </c>
      <c r="H78" s="37" t="s">
        <v>244</v>
      </c>
      <c r="I78" s="37" t="str">
        <f t="shared" si="18"/>
        <v>air</v>
      </c>
      <c r="J78" s="37" t="s">
        <v>177</v>
      </c>
      <c r="K78" s="37" t="str">
        <f t="shared" si="19"/>
        <v>pharma</v>
      </c>
      <c r="L78" s="37" t="s">
        <v>470</v>
      </c>
      <c r="M78" s="37" t="str">
        <f t="shared" si="20"/>
        <v>east</v>
      </c>
      <c r="N78" s="37" t="s">
        <v>126</v>
      </c>
      <c r="O78" s="41" t="str">
        <f t="shared" si="21"/>
        <v>Yes</v>
      </c>
      <c r="P78" s="41" t="s">
        <v>436</v>
      </c>
      <c r="Q78" s="41">
        <v>270</v>
      </c>
      <c r="R78" s="42">
        <f t="shared" si="22"/>
        <v>90</v>
      </c>
      <c r="S78" s="37">
        <v>4</v>
      </c>
      <c r="T78" s="37" t="s">
        <v>589</v>
      </c>
      <c r="U78" s="43" t="str">
        <f t="shared" si="23"/>
        <v>22/04/2024</v>
      </c>
      <c r="V78" s="43">
        <f t="shared" si="24"/>
        <v>45404</v>
      </c>
      <c r="W78" s="44">
        <f t="array" ref="W78">_xlfn.IFS(TRIM(C78)="","",TRIM(V78)="","",TRUE,V78-C78)</f>
        <v>4</v>
      </c>
      <c r="X78" s="37">
        <f t="shared" si="25"/>
        <v>0</v>
      </c>
      <c r="Y78" s="37" t="s">
        <v>117</v>
      </c>
      <c r="Z78" s="37" t="str">
        <f t="shared" si="26"/>
        <v>delivered</v>
      </c>
      <c r="AA78" s="37" t="str">
        <f t="shared" si="27"/>
        <v>On Time</v>
      </c>
      <c r="AB78" s="37" t="str">
        <f t="shared" si="30"/>
        <v>0</v>
      </c>
      <c r="AC78" s="37">
        <f t="shared" si="31"/>
        <v>0</v>
      </c>
      <c r="AD78" s="45">
        <f t="shared" si="29"/>
        <v>0.505625413633355</v>
      </c>
      <c r="AE78" s="37">
        <v>4</v>
      </c>
      <c r="AF78" s="37" t="s">
        <v>131</v>
      </c>
      <c r="AG78" s="37" t="str">
        <f t="shared" si="28"/>
        <v>n</v>
      </c>
      <c r="AH78" s="37" t="str">
        <f t="array" ref="AH78">_xlfn.IFS(LOWER(AG78)="n","no",LOWER(AG78)="y","yes",TRUE,LOWER(AG78))</f>
        <v>no</v>
      </c>
      <c r="AI78" s="37" t="s">
        <v>4692</v>
      </c>
    </row>
    <row r="79" spans="1:35">
      <c r="A79" s="46" t="s">
        <v>590</v>
      </c>
      <c r="B79" s="47" t="s">
        <v>4713</v>
      </c>
      <c r="C79" s="39">
        <f t="shared" si="16"/>
        <v>45429</v>
      </c>
      <c r="D79" s="48" t="s">
        <v>424</v>
      </c>
      <c r="E79" s="37" t="str" cm="1">
        <f t="array" ref="E79">_xlfn.IFS(D79="delhi","north",D79="mumbai","west",D79="bengaluru","south",D79="chennai","south",D79="kolkata","east",TRUE,"west")</f>
        <v>south</v>
      </c>
      <c r="F79" s="46" t="s">
        <v>122</v>
      </c>
      <c r="G79" s="37" t="str">
        <f t="shared" si="17"/>
        <v>delhivery</v>
      </c>
      <c r="H79" s="46" t="s">
        <v>147</v>
      </c>
      <c r="I79" s="37" t="str">
        <f t="shared" si="18"/>
        <v>road</v>
      </c>
      <c r="J79" s="46" t="s">
        <v>592</v>
      </c>
      <c r="K79" s="37" t="str">
        <f t="shared" si="19"/>
        <v>grocery&amp;fmcg</v>
      </c>
      <c r="L79" s="46" t="s">
        <v>51</v>
      </c>
      <c r="M79" s="37" t="str">
        <f t="shared" si="20"/>
        <v>south</v>
      </c>
      <c r="N79" s="46" t="s">
        <v>93</v>
      </c>
      <c r="O79" s="41" t="str">
        <f t="shared" si="21"/>
        <v>Yes</v>
      </c>
      <c r="P79" s="49" t="s">
        <v>593</v>
      </c>
      <c r="Q79" s="49" t="s">
        <v>594</v>
      </c>
      <c r="R79" s="42">
        <f t="shared" si="22"/>
        <v>15.7286432160804</v>
      </c>
      <c r="S79" s="46">
        <v>6</v>
      </c>
      <c r="T79" s="46" t="s">
        <v>595</v>
      </c>
      <c r="U79" s="43" t="str">
        <f t="shared" si="23"/>
        <v>2024-05-22</v>
      </c>
      <c r="V79" s="43">
        <f t="shared" si="24"/>
        <v>45434</v>
      </c>
      <c r="W79" s="44">
        <f t="array" ref="W79">_xlfn.IFS(TRIM(C79)="","",TRIM(V79)="","",TRUE,V79-C79)</f>
        <v>5</v>
      </c>
      <c r="X79" s="37">
        <f t="shared" si="25"/>
        <v>-1</v>
      </c>
      <c r="Y79" s="46" t="s">
        <v>117</v>
      </c>
      <c r="Z79" s="37" t="str">
        <f t="shared" si="26"/>
        <v>delivered</v>
      </c>
      <c r="AA79" s="37" t="str">
        <f t="shared" si="27"/>
        <v>On Time</v>
      </c>
      <c r="AB79" s="37" t="str">
        <f t="shared" si="30"/>
        <v>0</v>
      </c>
      <c r="AC79" s="37">
        <f t="shared" si="31"/>
        <v>0</v>
      </c>
      <c r="AD79" s="45">
        <f t="shared" si="29"/>
        <v>0.505960264900662</v>
      </c>
      <c r="AE79" s="46">
        <v>3</v>
      </c>
      <c r="AF79" s="46" t="s">
        <v>131</v>
      </c>
      <c r="AG79" s="37" t="str">
        <f t="shared" si="28"/>
        <v>n</v>
      </c>
      <c r="AH79" s="37" t="str">
        <f t="array" ref="AH79">_xlfn.IFS(LOWER(AG79)="n","no",LOWER(AG79)="y","yes",TRUE,LOWER(AG79))</f>
        <v>no</v>
      </c>
      <c r="AI79" s="46" t="s">
        <v>4692</v>
      </c>
    </row>
    <row r="80" spans="1:35">
      <c r="A80" s="37" t="s">
        <v>596</v>
      </c>
      <c r="B80" s="38">
        <v>45371</v>
      </c>
      <c r="C80" s="39">
        <f t="shared" si="16"/>
        <v>45371</v>
      </c>
      <c r="D80" s="40" t="s">
        <v>300</v>
      </c>
      <c r="E80" s="37" t="str" cm="1">
        <f t="array" ref="E80">_xlfn.IFS(D80="delhi","north",D80="mumbai","west",D80="bengaluru","south",D80="chennai","south",D80="kolkata","east",TRUE,"west")</f>
        <v>west</v>
      </c>
      <c r="F80" s="37" t="s">
        <v>136</v>
      </c>
      <c r="G80" s="37" t="str">
        <f t="shared" si="17"/>
        <v>bluedart</v>
      </c>
      <c r="H80" s="37" t="s">
        <v>345</v>
      </c>
      <c r="I80" s="37" t="str">
        <f t="shared" si="18"/>
        <v>surface</v>
      </c>
      <c r="J80" s="37" t="s">
        <v>319</v>
      </c>
      <c r="K80" s="37" t="str">
        <f t="shared" si="19"/>
        <v>electronics</v>
      </c>
      <c r="L80" s="37" t="s">
        <v>92</v>
      </c>
      <c r="M80" s="37" t="str">
        <f t="shared" si="20"/>
        <v>east</v>
      </c>
      <c r="N80" s="37" t="s">
        <v>294</v>
      </c>
      <c r="O80" s="41" t="str">
        <f t="shared" si="21"/>
        <v>Yes</v>
      </c>
      <c r="P80" s="41" t="s">
        <v>598</v>
      </c>
      <c r="Q80" s="41" t="s">
        <v>599</v>
      </c>
      <c r="R80" s="42">
        <f t="shared" si="22"/>
        <v>43.7179487179487</v>
      </c>
      <c r="S80" s="37">
        <v>6</v>
      </c>
      <c r="T80" s="37" t="s">
        <v>600</v>
      </c>
      <c r="U80" s="43" t="str">
        <f t="shared" si="23"/>
        <v>01/04/2024</v>
      </c>
      <c r="V80" s="43">
        <f t="shared" si="24"/>
        <v>45383</v>
      </c>
      <c r="W80" s="44">
        <f t="array" ref="W80">_xlfn.IFS(TRIM(C80)="","",TRIM(V80)="","",TRUE,V80-C80)</f>
        <v>12</v>
      </c>
      <c r="X80" s="37">
        <f t="shared" si="25"/>
        <v>6</v>
      </c>
      <c r="Y80" s="37" t="s">
        <v>172</v>
      </c>
      <c r="Z80" s="37" t="str">
        <f t="shared" si="26"/>
        <v>delayed</v>
      </c>
      <c r="AA80" s="37" t="str">
        <f t="shared" si="27"/>
        <v>Late</v>
      </c>
      <c r="AB80" s="37" t="str">
        <f t="shared" si="30"/>
        <v>1</v>
      </c>
      <c r="AC80" s="37">
        <f t="shared" si="31"/>
        <v>1</v>
      </c>
      <c r="AD80" s="45">
        <f t="shared" si="29"/>
        <v>0.506295559973492</v>
      </c>
      <c r="AE80" s="37">
        <v>5</v>
      </c>
      <c r="AF80" s="37" t="s">
        <v>191</v>
      </c>
      <c r="AG80" s="37" t="str">
        <f t="shared" si="28"/>
        <v>no</v>
      </c>
      <c r="AH80" s="37" t="str">
        <f t="array" ref="AH80">_xlfn.IFS(LOWER(AG80)="n","no",LOWER(AG80)="y","yes",TRUE,LOWER(AG80))</f>
        <v>no</v>
      </c>
      <c r="AI80" s="37" t="s">
        <v>4692</v>
      </c>
    </row>
    <row r="81" spans="1:35">
      <c r="A81" s="46" t="s">
        <v>601</v>
      </c>
      <c r="B81" s="47" t="s">
        <v>4714</v>
      </c>
      <c r="C81" s="39">
        <f t="shared" si="16"/>
        <v>45337</v>
      </c>
      <c r="D81" s="48" t="s">
        <v>633</v>
      </c>
      <c r="E81" s="37" t="str" cm="1">
        <f t="array" ref="E81">_xlfn.IFS(D81="delhi","north",D81="mumbai","west",D81="bengaluru","south",D81="chennai","south",D81="kolkata","east",TRUE,"west")</f>
        <v>south</v>
      </c>
      <c r="F81" s="46" t="s">
        <v>544</v>
      </c>
      <c r="G81" s="37" t="str">
        <f t="shared" si="17"/>
        <v>bluedart</v>
      </c>
      <c r="H81" s="46" t="s">
        <v>224</v>
      </c>
      <c r="I81" s="37" t="str">
        <f t="shared" si="18"/>
        <v>air</v>
      </c>
      <c r="J81" s="46" t="s">
        <v>148</v>
      </c>
      <c r="K81" s="37" t="str">
        <f t="shared" si="19"/>
        <v>electronics</v>
      </c>
      <c r="L81" s="46" t="s">
        <v>87</v>
      </c>
      <c r="M81" s="37" t="str">
        <f t="shared" si="20"/>
        <v>north</v>
      </c>
      <c r="N81" s="46" t="s">
        <v>32</v>
      </c>
      <c r="O81" s="41" t="str">
        <f t="shared" si="21"/>
        <v>Yes</v>
      </c>
      <c r="P81" s="49" t="s">
        <v>402</v>
      </c>
      <c r="Q81" s="49">
        <v>773</v>
      </c>
      <c r="R81" s="42">
        <f t="shared" si="22"/>
        <v>54.822695035461</v>
      </c>
      <c r="S81" s="46">
        <v>4</v>
      </c>
      <c r="T81" s="46" t="s">
        <v>604</v>
      </c>
      <c r="U81" s="43" t="str">
        <f t="shared" si="23"/>
        <v>19/02/2024</v>
      </c>
      <c r="V81" s="43">
        <f t="shared" si="24"/>
        <v>45341</v>
      </c>
      <c r="W81" s="44">
        <f t="array" ref="W81">_xlfn.IFS(TRIM(C81)="","",TRIM(V81)="","",TRUE,V81-C81)</f>
        <v>4</v>
      </c>
      <c r="X81" s="37">
        <f t="shared" si="25"/>
        <v>0</v>
      </c>
      <c r="Y81" s="46" t="s">
        <v>117</v>
      </c>
      <c r="Z81" s="37" t="str">
        <f t="shared" si="26"/>
        <v>delivered</v>
      </c>
      <c r="AA81" s="37" t="str">
        <f t="shared" si="27"/>
        <v>On Time</v>
      </c>
      <c r="AB81" s="37" t="str">
        <f t="shared" si="30"/>
        <v>0</v>
      </c>
      <c r="AC81" s="37">
        <f t="shared" si="31"/>
        <v>0</v>
      </c>
      <c r="AD81" s="45">
        <f t="shared" si="29"/>
        <v>0.505968169761273</v>
      </c>
      <c r="AE81" s="46">
        <v>4</v>
      </c>
      <c r="AF81" s="46" t="s">
        <v>106</v>
      </c>
      <c r="AG81" s="37" t="str">
        <f t="shared" si="28"/>
        <v>yes</v>
      </c>
      <c r="AH81" s="37" t="str">
        <f t="array" ref="AH81">_xlfn.IFS(LOWER(AG81)="n","no",LOWER(AG81)="y","yes",TRUE,LOWER(AG81))</f>
        <v>yes</v>
      </c>
      <c r="AI81" s="46" t="s">
        <v>4692</v>
      </c>
    </row>
    <row r="82" spans="1:35">
      <c r="A82" s="37" t="s">
        <v>605</v>
      </c>
      <c r="B82" s="38">
        <v>45367</v>
      </c>
      <c r="C82" s="39">
        <f t="shared" si="16"/>
        <v>45367</v>
      </c>
      <c r="D82" s="40" t="s">
        <v>166</v>
      </c>
      <c r="E82" s="37" t="str" cm="1">
        <f t="array" ref="E82">_xlfn.IFS(D82="delhi","north",D82="mumbai","west",D82="bengaluru","south",D82="chennai","south",D82="kolkata","east",TRUE,"west")</f>
        <v>west</v>
      </c>
      <c r="F82" s="37" t="s">
        <v>352</v>
      </c>
      <c r="G82" s="37" t="str">
        <f t="shared" si="17"/>
        <v>delhivery</v>
      </c>
      <c r="H82" s="37" t="s">
        <v>440</v>
      </c>
      <c r="I82" s="37" t="str">
        <f t="shared" si="18"/>
        <v>road</v>
      </c>
      <c r="J82" s="37" t="s">
        <v>177</v>
      </c>
      <c r="K82" s="37" t="str">
        <f t="shared" si="19"/>
        <v>pharma</v>
      </c>
      <c r="L82" s="37" t="s">
        <v>89</v>
      </c>
      <c r="M82" s="37" t="str">
        <f t="shared" si="20"/>
        <v>west</v>
      </c>
      <c r="N82" s="37" t="s">
        <v>278</v>
      </c>
      <c r="O82" s="41" t="str">
        <f t="shared" si="21"/>
        <v>Yes</v>
      </c>
      <c r="P82" s="41">
        <v>2.3</v>
      </c>
      <c r="Q82" s="41">
        <v>202</v>
      </c>
      <c r="R82" s="42">
        <f t="shared" si="22"/>
        <v>87.8260869565217</v>
      </c>
      <c r="S82" s="37">
        <v>8</v>
      </c>
      <c r="T82" s="37" t="s">
        <v>609</v>
      </c>
      <c r="U82" s="43" t="str">
        <f t="shared" si="23"/>
        <v>2024-03-26</v>
      </c>
      <c r="V82" s="43">
        <f t="shared" si="24"/>
        <v>45377</v>
      </c>
      <c r="W82" s="44">
        <f t="array" ref="W82">_xlfn.IFS(TRIM(C82)="","",TRIM(V82)="","",TRUE,V82-C82)</f>
        <v>10</v>
      </c>
      <c r="X82" s="37">
        <f t="shared" si="25"/>
        <v>2</v>
      </c>
      <c r="Y82" s="37" t="s">
        <v>200</v>
      </c>
      <c r="Z82" s="37" t="str">
        <f t="shared" si="26"/>
        <v>delayed</v>
      </c>
      <c r="AA82" s="37" t="str">
        <f t="shared" si="27"/>
        <v>Late</v>
      </c>
      <c r="AB82" s="37" t="str">
        <f t="shared" si="30"/>
        <v>1</v>
      </c>
      <c r="AC82" s="37">
        <f t="shared" si="31"/>
        <v>1</v>
      </c>
      <c r="AD82" s="45">
        <f t="shared" si="29"/>
        <v>0.506303915063039</v>
      </c>
      <c r="AE82" s="37">
        <v>1</v>
      </c>
      <c r="AF82" s="37" t="s">
        <v>286</v>
      </c>
      <c r="AG82" s="37" t="str">
        <f t="shared" si="28"/>
        <v>yes</v>
      </c>
      <c r="AH82" s="37" t="str">
        <f t="array" ref="AH82">_xlfn.IFS(LOWER(AG82)="n","no",LOWER(AG82)="y","yes",TRUE,LOWER(AG82))</f>
        <v>yes</v>
      </c>
      <c r="AI82" s="37" t="s">
        <v>4692</v>
      </c>
    </row>
    <row r="83" spans="1:35">
      <c r="A83" s="46" t="s">
        <v>610</v>
      </c>
      <c r="B83" s="47">
        <v>45455</v>
      </c>
      <c r="C83" s="39">
        <f t="shared" si="16"/>
        <v>45455</v>
      </c>
      <c r="D83" s="48" t="s">
        <v>340</v>
      </c>
      <c r="E83" s="37" t="str" cm="1">
        <f t="array" ref="E83">_xlfn.IFS(D83="delhi","north",D83="mumbai","west",D83="bengaluru","south",D83="chennai","south",D83="kolkata","east",TRUE,"west")</f>
        <v>north</v>
      </c>
      <c r="F83" s="46" t="s">
        <v>213</v>
      </c>
      <c r="G83" s="37" t="str">
        <f t="shared" si="17"/>
        <v>dtdc</v>
      </c>
      <c r="H83" s="46" t="s">
        <v>244</v>
      </c>
      <c r="I83" s="37" t="str">
        <f t="shared" si="18"/>
        <v>air</v>
      </c>
      <c r="J83" s="46" t="s">
        <v>612</v>
      </c>
      <c r="K83" s="37" t="str">
        <f t="shared" si="19"/>
        <v>grocery&amp;fmcg</v>
      </c>
      <c r="L83" s="46" t="s">
        <v>334</v>
      </c>
      <c r="M83" s="37" t="str">
        <f t="shared" si="20"/>
        <v>north</v>
      </c>
      <c r="N83" s="46" t="s">
        <v>354</v>
      </c>
      <c r="O83" s="41" t="str">
        <f t="shared" si="21"/>
        <v>Yes</v>
      </c>
      <c r="P83" s="49" t="s">
        <v>613</v>
      </c>
      <c r="Q83" s="49">
        <v>166</v>
      </c>
      <c r="R83" s="42">
        <f t="shared" si="22"/>
        <v>50.3030303030303</v>
      </c>
      <c r="S83" s="46">
        <v>2</v>
      </c>
      <c r="T83" s="46" t="s">
        <v>615</v>
      </c>
      <c r="U83" s="43" t="str">
        <f t="shared" si="23"/>
        <v>14/06/2024</v>
      </c>
      <c r="V83" s="43">
        <f t="shared" si="24"/>
        <v>45457</v>
      </c>
      <c r="W83" s="44">
        <f t="array" ref="W83">_xlfn.IFS(TRIM(C83)="","",TRIM(V83)="","",TRUE,V83-C83)</f>
        <v>2</v>
      </c>
      <c r="X83" s="37">
        <f t="shared" si="25"/>
        <v>0</v>
      </c>
      <c r="Y83" s="46" t="s">
        <v>105</v>
      </c>
      <c r="Z83" s="37" t="str">
        <f t="shared" si="26"/>
        <v>delivered</v>
      </c>
      <c r="AA83" s="37" t="str">
        <f t="shared" si="27"/>
        <v>On Time</v>
      </c>
      <c r="AB83" s="37" t="str">
        <f t="shared" si="30"/>
        <v>0</v>
      </c>
      <c r="AC83" s="37">
        <f t="shared" si="31"/>
        <v>0</v>
      </c>
      <c r="AD83" s="45">
        <f t="shared" si="29"/>
        <v>0.50597609561753</v>
      </c>
      <c r="AE83" s="46">
        <v>4</v>
      </c>
      <c r="AF83" s="46" t="s">
        <v>79</v>
      </c>
      <c r="AG83" s="37" t="str">
        <f t="shared" si="28"/>
        <v>yes</v>
      </c>
      <c r="AH83" s="37" t="str">
        <f t="array" ref="AH83">_xlfn.IFS(LOWER(AG83)="n","no",LOWER(AG83)="y","yes",TRUE,LOWER(AG83))</f>
        <v>yes</v>
      </c>
      <c r="AI83" s="46" t="s">
        <v>4692</v>
      </c>
    </row>
    <row r="84" spans="1:35">
      <c r="A84" s="37" t="s">
        <v>616</v>
      </c>
      <c r="B84" s="38">
        <v>45422</v>
      </c>
      <c r="C84" s="39">
        <f t="shared" si="16"/>
        <v>45422</v>
      </c>
      <c r="D84" s="40" t="s">
        <v>135</v>
      </c>
      <c r="E84" s="37" t="str" cm="1">
        <f t="array" ref="E84">_xlfn.IFS(D84="delhi","north",D84="mumbai","west",D84="bengaluru","south",D84="chennai","south",D84="kolkata","east",TRUE,"west")</f>
        <v>west</v>
      </c>
      <c r="F84" s="37" t="s">
        <v>230</v>
      </c>
      <c r="G84" s="37" t="str">
        <f t="shared" si="17"/>
        <v>dtdc</v>
      </c>
      <c r="H84" s="37" t="s">
        <v>224</v>
      </c>
      <c r="I84" s="37" t="str">
        <f t="shared" si="18"/>
        <v>air</v>
      </c>
      <c r="J84" s="37" t="s">
        <v>368</v>
      </c>
      <c r="K84" s="37" t="str">
        <f t="shared" si="19"/>
        <v>furniture</v>
      </c>
      <c r="L84" s="37" t="s">
        <v>101</v>
      </c>
      <c r="M84" s="37" t="str">
        <f t="shared" si="20"/>
        <v>west</v>
      </c>
      <c r="N84" s="37" t="s">
        <v>88</v>
      </c>
      <c r="O84" s="41" t="str">
        <f t="shared" si="21"/>
        <v>Yes</v>
      </c>
      <c r="P84" s="41">
        <v>51.1</v>
      </c>
      <c r="Q84" s="50">
        <v>2322</v>
      </c>
      <c r="R84" s="42">
        <f t="shared" si="22"/>
        <v>45.440313111546</v>
      </c>
      <c r="S84" s="37">
        <v>2</v>
      </c>
      <c r="T84" s="37" t="s">
        <v>395</v>
      </c>
      <c r="U84" s="43" t="str">
        <f t="shared" si="23"/>
        <v>11/05/2024</v>
      </c>
      <c r="V84" s="43">
        <f t="shared" si="24"/>
        <v>45423</v>
      </c>
      <c r="W84" s="44">
        <f t="array" ref="W84">_xlfn.IFS(TRIM(C84)="","",TRIM(V84)="","",TRUE,V84-C84)</f>
        <v>1</v>
      </c>
      <c r="X84" s="37">
        <f t="shared" si="25"/>
        <v>-1</v>
      </c>
      <c r="Y84" s="37" t="s">
        <v>219</v>
      </c>
      <c r="Z84" s="37" t="str">
        <f t="shared" si="26"/>
        <v>delivered</v>
      </c>
      <c r="AA84" s="37" t="str">
        <f t="shared" si="27"/>
        <v>On Time</v>
      </c>
      <c r="AB84" s="37" t="str">
        <f t="shared" si="30"/>
        <v>0</v>
      </c>
      <c r="AC84" s="37">
        <f t="shared" si="31"/>
        <v>0</v>
      </c>
      <c r="AD84" s="45">
        <f t="shared" si="29"/>
        <v>0.506312292358804</v>
      </c>
      <c r="AE84" s="37">
        <v>3</v>
      </c>
      <c r="AF84" s="37" t="s">
        <v>286</v>
      </c>
      <c r="AG84" s="37" t="str">
        <f t="shared" si="28"/>
        <v>yes</v>
      </c>
      <c r="AH84" s="37" t="str">
        <f t="array" ref="AH84">_xlfn.IFS(LOWER(AG84)="n","no",LOWER(AG84)="y","yes",TRUE,LOWER(AG84))</f>
        <v>yes</v>
      </c>
      <c r="AI84" s="37" t="s">
        <v>4692</v>
      </c>
    </row>
    <row r="85" spans="1:35">
      <c r="A85" s="46" t="s">
        <v>620</v>
      </c>
      <c r="B85" s="47">
        <v>45388</v>
      </c>
      <c r="C85" s="39">
        <f t="shared" si="16"/>
        <v>45388</v>
      </c>
      <c r="D85" s="48" t="s">
        <v>4704</v>
      </c>
      <c r="E85" s="37" t="str" cm="1">
        <f t="array" ref="E85">_xlfn.IFS(D85="delhi","north",D85="mumbai","west",D85="bengaluru","south",D85="chennai","south",D85="kolkata","east",TRUE,"west")</f>
        <v>west</v>
      </c>
      <c r="F85" s="46" t="s">
        <v>184</v>
      </c>
      <c r="G85" s="37" t="str">
        <f t="shared" si="17"/>
        <v>ecomexpress</v>
      </c>
      <c r="H85" s="46" t="s">
        <v>440</v>
      </c>
      <c r="I85" s="37" t="str">
        <f t="shared" si="18"/>
        <v>road</v>
      </c>
      <c r="J85" s="46" t="s">
        <v>237</v>
      </c>
      <c r="K85" s="37" t="str">
        <f t="shared" si="19"/>
        <v>automotiveparts</v>
      </c>
      <c r="L85" s="46" t="s">
        <v>139</v>
      </c>
      <c r="M85" s="37" t="str">
        <f t="shared" si="20"/>
        <v>north</v>
      </c>
      <c r="N85" s="46" t="s">
        <v>354</v>
      </c>
      <c r="O85" s="41" t="str">
        <f t="shared" si="21"/>
        <v>Yes</v>
      </c>
      <c r="P85" s="49">
        <v>19.8</v>
      </c>
      <c r="Q85" s="49">
        <v>397</v>
      </c>
      <c r="R85" s="42">
        <f t="shared" si="22"/>
        <v>20.050505050505</v>
      </c>
      <c r="S85" s="46">
        <v>8</v>
      </c>
      <c r="T85" s="46" t="s">
        <v>623</v>
      </c>
      <c r="U85" s="43" t="str">
        <f t="shared" si="23"/>
        <v>13/04/2024</v>
      </c>
      <c r="V85" s="43">
        <f t="shared" si="24"/>
        <v>45395</v>
      </c>
      <c r="W85" s="44">
        <f t="array" ref="W85">_xlfn.IFS(TRIM(C85)="","",TRIM(V85)="","",TRUE,V85-C85)</f>
        <v>7</v>
      </c>
      <c r="X85" s="37">
        <f t="shared" si="25"/>
        <v>-1</v>
      </c>
      <c r="Y85" s="46" t="s">
        <v>624</v>
      </c>
      <c r="Z85" s="37" t="str">
        <f t="shared" si="26"/>
        <v>returned</v>
      </c>
      <c r="AA85" s="37" t="str">
        <f t="shared" si="27"/>
        <v>On Time</v>
      </c>
      <c r="AB85" s="37" t="str">
        <f t="shared" si="30"/>
        <v>0</v>
      </c>
      <c r="AC85" s="37">
        <f t="shared" si="31"/>
        <v>0</v>
      </c>
      <c r="AD85" s="45">
        <f t="shared" si="29"/>
        <v>0.506648936170213</v>
      </c>
      <c r="AE85" s="46"/>
      <c r="AF85" s="46" t="s">
        <v>191</v>
      </c>
      <c r="AG85" s="37" t="str">
        <f t="shared" si="28"/>
        <v>no</v>
      </c>
      <c r="AH85" s="37" t="str">
        <f t="array" ref="AH85">_xlfn.IFS(LOWER(AG85)="n","no",LOWER(AG85)="y","yes",TRUE,LOWER(AG85))</f>
        <v>no</v>
      </c>
      <c r="AI85" s="46" t="s">
        <v>625</v>
      </c>
    </row>
    <row r="86" spans="1:35">
      <c r="A86" s="37" t="s">
        <v>626</v>
      </c>
      <c r="B86" s="38">
        <v>45464</v>
      </c>
      <c r="C86" s="39">
        <f t="shared" si="16"/>
        <v>45464</v>
      </c>
      <c r="D86" s="40" t="s">
        <v>300</v>
      </c>
      <c r="E86" s="37" t="str" cm="1">
        <f t="array" ref="E86">_xlfn.IFS(D86="delhi","north",D86="mumbai","west",D86="bengaluru","south",D86="chennai","south",D86="kolkata","east",TRUE,"west")</f>
        <v>west</v>
      </c>
      <c r="F86" s="37" t="s">
        <v>37</v>
      </c>
      <c r="G86" s="37" t="str">
        <f t="shared" si="17"/>
        <v>bluedart</v>
      </c>
      <c r="H86" s="37" t="s">
        <v>110</v>
      </c>
      <c r="I86" s="37" t="str">
        <f t="shared" si="18"/>
        <v>surface</v>
      </c>
      <c r="J86" s="37" t="s">
        <v>263</v>
      </c>
      <c r="K86" s="37" t="str">
        <f t="shared" si="19"/>
        <v>apparel</v>
      </c>
      <c r="L86" s="37" t="s">
        <v>302</v>
      </c>
      <c r="M86" s="37" t="str">
        <f t="shared" si="20"/>
        <v>east</v>
      </c>
      <c r="N86" s="37" t="s">
        <v>126</v>
      </c>
      <c r="O86" s="41" t="str">
        <f t="shared" si="21"/>
        <v>Yes</v>
      </c>
      <c r="P86" s="41">
        <v>6.4</v>
      </c>
      <c r="Q86" s="41" t="s">
        <v>629</v>
      </c>
      <c r="R86" s="42">
        <f t="shared" si="22"/>
        <v>43.59375</v>
      </c>
      <c r="S86" s="37">
        <v>6</v>
      </c>
      <c r="T86" s="37" t="s">
        <v>630</v>
      </c>
      <c r="U86" s="43" t="str">
        <f t="shared" si="23"/>
        <v>03/07/2024</v>
      </c>
      <c r="V86" s="43">
        <f t="shared" si="24"/>
        <v>45476</v>
      </c>
      <c r="W86" s="44">
        <f t="array" ref="W86">_xlfn.IFS(TRIM(C86)="","",TRIM(V86)="","",TRUE,V86-C86)</f>
        <v>12</v>
      </c>
      <c r="X86" s="37">
        <f t="shared" si="25"/>
        <v>6</v>
      </c>
      <c r="Y86" s="37" t="s">
        <v>143</v>
      </c>
      <c r="Z86" s="37" t="str">
        <f t="shared" si="26"/>
        <v>delayed</v>
      </c>
      <c r="AA86" s="37" t="str">
        <f t="shared" si="27"/>
        <v>Late</v>
      </c>
      <c r="AB86" s="37" t="str">
        <f t="shared" si="30"/>
        <v>1</v>
      </c>
      <c r="AC86" s="37">
        <f t="shared" si="31"/>
        <v>1</v>
      </c>
      <c r="AD86" s="45">
        <f t="shared" si="29"/>
        <v>0.506986027944112</v>
      </c>
      <c r="AE86" s="37">
        <v>3</v>
      </c>
      <c r="AF86" s="37" t="s">
        <v>106</v>
      </c>
      <c r="AG86" s="37" t="str">
        <f t="shared" si="28"/>
        <v>yes</v>
      </c>
      <c r="AH86" s="37" t="str">
        <f t="array" ref="AH86">_xlfn.IFS(LOWER(AG86)="n","no",LOWER(AG86)="y","yes",TRUE,LOWER(AG86))</f>
        <v>yes</v>
      </c>
      <c r="AI86" s="37" t="s">
        <v>4692</v>
      </c>
    </row>
    <row r="87" spans="1:35">
      <c r="A87" s="46" t="s">
        <v>631</v>
      </c>
      <c r="B87" s="47">
        <v>45452</v>
      </c>
      <c r="C87" s="39">
        <f t="shared" si="16"/>
        <v>45452</v>
      </c>
      <c r="D87" s="48" t="s">
        <v>633</v>
      </c>
      <c r="E87" s="37" t="str" cm="1">
        <f t="array" ref="E87">_xlfn.IFS(D87="delhi","north",D87="mumbai","west",D87="bengaluru","south",D87="chennai","south",D87="kolkata","east",TRUE,"west")</f>
        <v>south</v>
      </c>
      <c r="F87" s="46" t="s">
        <v>367</v>
      </c>
      <c r="G87" s="37" t="str">
        <f t="shared" si="17"/>
        <v>dtdc</v>
      </c>
      <c r="H87" s="46" t="s">
        <v>244</v>
      </c>
      <c r="I87" s="37" t="str">
        <f t="shared" si="18"/>
        <v>air</v>
      </c>
      <c r="J87" s="46" t="s">
        <v>167</v>
      </c>
      <c r="K87" s="37" t="str">
        <f t="shared" si="19"/>
        <v>pharma</v>
      </c>
      <c r="L87" s="46" t="s">
        <v>112</v>
      </c>
      <c r="M87" s="37" t="str">
        <f t="shared" si="20"/>
        <v>north</v>
      </c>
      <c r="N87" s="46" t="s">
        <v>215</v>
      </c>
      <c r="O87" s="41" t="str">
        <f t="shared" si="21"/>
        <v>Yes</v>
      </c>
      <c r="P87" s="49">
        <v>1.7</v>
      </c>
      <c r="Q87" s="49">
        <v>243</v>
      </c>
      <c r="R87" s="42">
        <f t="shared" si="22"/>
        <v>142.941176470588</v>
      </c>
      <c r="S87" s="46">
        <v>4</v>
      </c>
      <c r="T87" s="46" t="s">
        <v>636</v>
      </c>
      <c r="U87" s="43" t="str">
        <f t="shared" si="23"/>
        <v>2024-06-14</v>
      </c>
      <c r="V87" s="43">
        <f t="shared" si="24"/>
        <v>45457</v>
      </c>
      <c r="W87" s="44">
        <f t="array" ref="W87">_xlfn.IFS(TRIM(C87)="","",TRIM(V87)="","",TRUE,V87-C87)</f>
        <v>5</v>
      </c>
      <c r="X87" s="37">
        <f t="shared" si="25"/>
        <v>1</v>
      </c>
      <c r="Y87" s="46" t="s">
        <v>143</v>
      </c>
      <c r="Z87" s="37" t="str">
        <f t="shared" si="26"/>
        <v>delayed</v>
      </c>
      <c r="AA87" s="37" t="str">
        <f t="shared" si="27"/>
        <v>Late</v>
      </c>
      <c r="AB87" s="37" t="str">
        <f t="shared" si="30"/>
        <v>1</v>
      </c>
      <c r="AC87" s="37">
        <f t="shared" si="31"/>
        <v>1</v>
      </c>
      <c r="AD87" s="45">
        <f t="shared" si="29"/>
        <v>0.506657789613848</v>
      </c>
      <c r="AE87" s="46">
        <v>3</v>
      </c>
      <c r="AF87" s="46" t="s">
        <v>106</v>
      </c>
      <c r="AG87" s="37" t="str">
        <f t="shared" si="28"/>
        <v>yes</v>
      </c>
      <c r="AH87" s="37" t="str">
        <f t="array" ref="AH87">_xlfn.IFS(LOWER(AG87)="n","no",LOWER(AG87)="y","yes",TRUE,LOWER(AG87))</f>
        <v>yes</v>
      </c>
      <c r="AI87" s="46" t="s">
        <v>4692</v>
      </c>
    </row>
    <row r="88" spans="1:35">
      <c r="A88" s="37" t="s">
        <v>637</v>
      </c>
      <c r="B88" s="38">
        <v>45420</v>
      </c>
      <c r="C88" s="39">
        <f t="shared" si="16"/>
        <v>45420</v>
      </c>
      <c r="D88" s="40" t="s">
        <v>109</v>
      </c>
      <c r="E88" s="37" t="str" cm="1">
        <f t="array" ref="E88">_xlfn.IFS(D88="delhi","north",D88="mumbai","west",D88="bengaluru","south",D88="chennai","south",D88="kolkata","east",TRUE,"west")</f>
        <v>west</v>
      </c>
      <c r="F88" s="37" t="s">
        <v>146</v>
      </c>
      <c r="G88" s="37" t="str">
        <f t="shared" si="17"/>
        <v>ecomexpress</v>
      </c>
      <c r="H88" s="37" t="s">
        <v>147</v>
      </c>
      <c r="I88" s="37" t="str">
        <f t="shared" si="18"/>
        <v>road</v>
      </c>
      <c r="J88" s="37" t="s">
        <v>498</v>
      </c>
      <c r="K88" s="37" t="str">
        <f t="shared" si="19"/>
        <v>apparel</v>
      </c>
      <c r="L88" s="37" t="s">
        <v>418</v>
      </c>
      <c r="M88" s="37" t="str">
        <f t="shared" si="20"/>
        <v>south</v>
      </c>
      <c r="N88" s="37" t="s">
        <v>327</v>
      </c>
      <c r="O88" s="41" t="str">
        <f t="shared" si="21"/>
        <v>Yes</v>
      </c>
      <c r="P88" s="41">
        <v>3.9</v>
      </c>
      <c r="Q88" s="41">
        <v>190</v>
      </c>
      <c r="R88" s="42">
        <f t="shared" si="22"/>
        <v>48.7179487179487</v>
      </c>
      <c r="S88" s="37">
        <v>8</v>
      </c>
      <c r="T88" s="37" t="s">
        <v>641</v>
      </c>
      <c r="U88" s="43" t="str">
        <f t="shared" si="23"/>
        <v>17/05/2024</v>
      </c>
      <c r="V88" s="43">
        <f t="shared" si="24"/>
        <v>45429</v>
      </c>
      <c r="W88" s="44">
        <f t="array" ref="W88">_xlfn.IFS(TRIM(C88)="","",TRIM(V88)="","",TRUE,V88-C88)</f>
        <v>9</v>
      </c>
      <c r="X88" s="37">
        <f t="shared" si="25"/>
        <v>1</v>
      </c>
      <c r="Y88" s="37" t="s">
        <v>72</v>
      </c>
      <c r="Z88" s="37" t="str">
        <f t="shared" si="26"/>
        <v>delayed</v>
      </c>
      <c r="AA88" s="37" t="str">
        <f t="shared" si="27"/>
        <v>Late</v>
      </c>
      <c r="AB88" s="37" t="str">
        <f t="shared" si="30"/>
        <v>1</v>
      </c>
      <c r="AC88" s="37">
        <f t="shared" si="31"/>
        <v>1</v>
      </c>
      <c r="AD88" s="45">
        <f t="shared" si="29"/>
        <v>0.506329113924051</v>
      </c>
      <c r="AE88" s="37">
        <v>2</v>
      </c>
      <c r="AF88" s="37" t="s">
        <v>286</v>
      </c>
      <c r="AG88" s="37" t="str">
        <f t="shared" si="28"/>
        <v>yes</v>
      </c>
      <c r="AH88" s="37" t="str">
        <f t="array" ref="AH88">_xlfn.IFS(LOWER(AG88)="n","no",LOWER(AG88)="y","yes",TRUE,LOWER(AG88))</f>
        <v>yes</v>
      </c>
      <c r="AI88" s="37" t="s">
        <v>4692</v>
      </c>
    </row>
    <row r="89" spans="1:35">
      <c r="A89" s="46" t="s">
        <v>642</v>
      </c>
      <c r="B89" s="47">
        <v>45390</v>
      </c>
      <c r="C89" s="39">
        <f t="shared" si="16"/>
        <v>45390</v>
      </c>
      <c r="D89" s="48" t="s">
        <v>340</v>
      </c>
      <c r="E89" s="37" t="str" cm="1">
        <f t="array" ref="E89">_xlfn.IFS(D89="delhi","north",D89="mumbai","west",D89="bengaluru","south",D89="chennai","south",D89="kolkata","east",TRUE,"west")</f>
        <v>north</v>
      </c>
      <c r="F89" s="46" t="s">
        <v>184</v>
      </c>
      <c r="G89" s="37" t="str">
        <f t="shared" si="17"/>
        <v>ecomexpress</v>
      </c>
      <c r="H89" s="46" t="s">
        <v>110</v>
      </c>
      <c r="I89" s="37" t="str">
        <f t="shared" si="18"/>
        <v>surface</v>
      </c>
      <c r="J89" s="46" t="s">
        <v>582</v>
      </c>
      <c r="K89" s="37" t="str">
        <f t="shared" si="19"/>
        <v>grocery&amp;fmcg</v>
      </c>
      <c r="L89" s="46" t="s">
        <v>89</v>
      </c>
      <c r="M89" s="37" t="str">
        <f t="shared" si="20"/>
        <v>west</v>
      </c>
      <c r="N89" s="46" t="s">
        <v>206</v>
      </c>
      <c r="O89" s="41" t="str">
        <f t="shared" si="21"/>
        <v>Yes</v>
      </c>
      <c r="P89" s="49">
        <v>18.5</v>
      </c>
      <c r="Q89" s="49">
        <v>564</v>
      </c>
      <c r="R89" s="42">
        <f t="shared" si="22"/>
        <v>30.4864864864865</v>
      </c>
      <c r="S89" s="46">
        <v>6</v>
      </c>
      <c r="T89" s="46" t="s">
        <v>646</v>
      </c>
      <c r="U89" s="43" t="str">
        <f t="shared" si="23"/>
        <v>13/04/2024</v>
      </c>
      <c r="V89" s="43">
        <f t="shared" si="24"/>
        <v>45395</v>
      </c>
      <c r="W89" s="44">
        <f t="array" ref="W89">_xlfn.IFS(TRIM(C89)="","",TRIM(V89)="","",TRUE,V89-C89)</f>
        <v>5</v>
      </c>
      <c r="X89" s="37">
        <f t="shared" si="25"/>
        <v>-1</v>
      </c>
      <c r="Y89" s="46" t="s">
        <v>163</v>
      </c>
      <c r="Z89" s="37" t="str">
        <f t="shared" si="26"/>
        <v>delivered</v>
      </c>
      <c r="AA89" s="37" t="str">
        <f t="shared" si="27"/>
        <v>On Time</v>
      </c>
      <c r="AB89" s="37" t="str">
        <f t="shared" si="30"/>
        <v>0</v>
      </c>
      <c r="AC89" s="37">
        <f t="shared" si="31"/>
        <v>0</v>
      </c>
      <c r="AD89" s="45">
        <f t="shared" si="29"/>
        <v>0.506</v>
      </c>
      <c r="AE89" s="46">
        <v>3</v>
      </c>
      <c r="AF89" s="46" t="s">
        <v>118</v>
      </c>
      <c r="AG89" s="37" t="str">
        <f t="shared" si="28"/>
        <v>no</v>
      </c>
      <c r="AH89" s="37" t="str">
        <f t="array" ref="AH89">_xlfn.IFS(LOWER(AG89)="n","no",LOWER(AG89)="y","yes",TRUE,LOWER(AG89))</f>
        <v>no</v>
      </c>
      <c r="AI89" s="46" t="s">
        <v>4692</v>
      </c>
    </row>
    <row r="90" spans="1:35">
      <c r="A90" s="37" t="s">
        <v>647</v>
      </c>
      <c r="B90" s="38" t="s">
        <v>4715</v>
      </c>
      <c r="C90" s="39">
        <f t="shared" si="16"/>
        <v>45457</v>
      </c>
      <c r="D90" s="40" t="s">
        <v>222</v>
      </c>
      <c r="E90" s="37" t="str" cm="1">
        <f t="array" ref="E90">_xlfn.IFS(D90="delhi","north",D90="mumbai","west",D90="bengaluru","south",D90="chennai","south",D90="kolkata","east",TRUE,"west")</f>
        <v>west</v>
      </c>
      <c r="F90" s="37" t="s">
        <v>156</v>
      </c>
      <c r="G90" s="37" t="str">
        <f t="shared" si="17"/>
        <v>xpressbees</v>
      </c>
      <c r="H90" s="37" t="s">
        <v>110</v>
      </c>
      <c r="I90" s="37" t="str">
        <f t="shared" si="18"/>
        <v>surface</v>
      </c>
      <c r="J90" s="37" t="s">
        <v>231</v>
      </c>
      <c r="K90" s="37" t="str">
        <f t="shared" si="19"/>
        <v>furniture</v>
      </c>
      <c r="L90" s="37" t="s">
        <v>101</v>
      </c>
      <c r="M90" s="37" t="str">
        <f t="shared" si="20"/>
        <v>west</v>
      </c>
      <c r="N90" s="37" t="s">
        <v>88</v>
      </c>
      <c r="O90" s="41" t="str">
        <f t="shared" si="21"/>
        <v>Yes</v>
      </c>
      <c r="P90" s="41">
        <v>19.3</v>
      </c>
      <c r="Q90" s="41">
        <v>410</v>
      </c>
      <c r="R90" s="42">
        <f t="shared" si="22"/>
        <v>21.2435233160622</v>
      </c>
      <c r="S90" s="37">
        <v>4</v>
      </c>
      <c r="T90" s="37" t="s">
        <v>650</v>
      </c>
      <c r="U90" s="43" t="str">
        <f t="shared" si="23"/>
        <v>2024-06-19</v>
      </c>
      <c r="V90" s="43">
        <f t="shared" si="24"/>
        <v>45462</v>
      </c>
      <c r="W90" s="44">
        <f t="array" ref="W90">_xlfn.IFS(TRIM(C90)="","",TRIM(V90)="","",TRUE,V90-C90)</f>
        <v>5</v>
      </c>
      <c r="X90" s="37">
        <f t="shared" si="25"/>
        <v>1</v>
      </c>
      <c r="Y90" s="37" t="s">
        <v>172</v>
      </c>
      <c r="Z90" s="37" t="str">
        <f t="shared" si="26"/>
        <v>delayed</v>
      </c>
      <c r="AA90" s="37" t="str">
        <f t="shared" si="27"/>
        <v>Late</v>
      </c>
      <c r="AB90" s="37" t="str">
        <f t="shared" si="30"/>
        <v>1</v>
      </c>
      <c r="AC90" s="37">
        <f t="shared" si="31"/>
        <v>1</v>
      </c>
      <c r="AD90" s="45">
        <f t="shared" si="29"/>
        <v>0.506337558372248</v>
      </c>
      <c r="AE90" s="37">
        <v>3</v>
      </c>
      <c r="AF90" s="37" t="s">
        <v>118</v>
      </c>
      <c r="AG90" s="37" t="str">
        <f t="shared" si="28"/>
        <v>no</v>
      </c>
      <c r="AH90" s="37" t="str">
        <f t="array" ref="AH90">_xlfn.IFS(LOWER(AG90)="n","no",LOWER(AG90)="y","yes",TRUE,LOWER(AG90))</f>
        <v>no</v>
      </c>
      <c r="AI90" s="37" t="s">
        <v>4692</v>
      </c>
    </row>
    <row r="91" spans="1:35">
      <c r="A91" s="46" t="s">
        <v>651</v>
      </c>
      <c r="B91" s="47">
        <v>45299</v>
      </c>
      <c r="C91" s="39">
        <f t="shared" si="16"/>
        <v>45299</v>
      </c>
      <c r="D91" s="48" t="s">
        <v>166</v>
      </c>
      <c r="E91" s="37" t="str" cm="1">
        <f t="array" ref="E91">_xlfn.IFS(D91="delhi","north",D91="mumbai","west",D91="bengaluru","south",D91="chennai","south",D91="kolkata","east",TRUE,"west")</f>
        <v>west</v>
      </c>
      <c r="F91" s="46" t="s">
        <v>175</v>
      </c>
      <c r="G91" s="37" t="str">
        <f t="shared" si="17"/>
        <v>ecomexpress</v>
      </c>
      <c r="H91" s="46" t="s">
        <v>195</v>
      </c>
      <c r="I91" s="37" t="str">
        <f t="shared" si="18"/>
        <v>road</v>
      </c>
      <c r="J91" s="46" t="s">
        <v>263</v>
      </c>
      <c r="K91" s="37" t="str">
        <f t="shared" si="19"/>
        <v>apparel</v>
      </c>
      <c r="L91" s="46" t="s">
        <v>470</v>
      </c>
      <c r="M91" s="37" t="str">
        <f t="shared" si="20"/>
        <v>east</v>
      </c>
      <c r="N91" s="46" t="s">
        <v>126</v>
      </c>
      <c r="O91" s="41" t="str">
        <f t="shared" si="21"/>
        <v>Yes</v>
      </c>
      <c r="P91" s="49">
        <v>2.2</v>
      </c>
      <c r="Q91" s="49">
        <v>80</v>
      </c>
      <c r="R91" s="42">
        <f t="shared" si="22"/>
        <v>36.3636363636364</v>
      </c>
      <c r="S91" s="46">
        <v>6</v>
      </c>
      <c r="T91" s="46" t="s">
        <v>503</v>
      </c>
      <c r="U91" s="43" t="str">
        <f t="shared" si="23"/>
        <v>2024-01-14</v>
      </c>
      <c r="V91" s="43">
        <f t="shared" si="24"/>
        <v>45305</v>
      </c>
      <c r="W91" s="44">
        <f t="array" ref="W91">_xlfn.IFS(TRIM(C91)="","",TRIM(V91)="","",TRUE,V91-C91)</f>
        <v>6</v>
      </c>
      <c r="X91" s="37">
        <f t="shared" si="25"/>
        <v>0</v>
      </c>
      <c r="Y91" s="46" t="s">
        <v>219</v>
      </c>
      <c r="Z91" s="37" t="str">
        <f t="shared" si="26"/>
        <v>delivered</v>
      </c>
      <c r="AA91" s="37" t="str">
        <f t="shared" si="27"/>
        <v>On Time</v>
      </c>
      <c r="AB91" s="37" t="str">
        <f t="shared" si="30"/>
        <v>0</v>
      </c>
      <c r="AC91" s="37">
        <f t="shared" si="31"/>
        <v>0</v>
      </c>
      <c r="AD91" s="45">
        <f t="shared" si="29"/>
        <v>0.506008010680908</v>
      </c>
      <c r="AE91" s="46">
        <v>5</v>
      </c>
      <c r="AF91" s="46" t="s">
        <v>152</v>
      </c>
      <c r="AG91" s="37" t="str">
        <f t="shared" si="28"/>
        <v>no</v>
      </c>
      <c r="AH91" s="37" t="str">
        <f t="array" ref="AH91">_xlfn.IFS(LOWER(AG91)="n","no",LOWER(AG91)="y","yes",TRUE,LOWER(AG91))</f>
        <v>no</v>
      </c>
      <c r="AI91" s="46" t="s">
        <v>4692</v>
      </c>
    </row>
    <row r="92" spans="1:35">
      <c r="A92" s="37" t="s">
        <v>653</v>
      </c>
      <c r="B92" s="38" t="s">
        <v>4716</v>
      </c>
      <c r="C92" s="39">
        <f t="shared" si="16"/>
        <v>45467</v>
      </c>
      <c r="D92" s="40" t="s">
        <v>366</v>
      </c>
      <c r="E92" s="37" t="str" cm="1">
        <f t="array" ref="E92">_xlfn.IFS(D92="delhi","north",D92="mumbai","west",D92="bengaluru","south",D92="chennai","south",D92="kolkata","east",TRUE,"west")</f>
        <v>east</v>
      </c>
      <c r="F92" s="37" t="s">
        <v>37</v>
      </c>
      <c r="G92" s="37" t="str">
        <f t="shared" si="17"/>
        <v>bluedart</v>
      </c>
      <c r="H92" s="37" t="s">
        <v>185</v>
      </c>
      <c r="I92" s="37" t="str">
        <f t="shared" si="18"/>
        <v>surface</v>
      </c>
      <c r="J92" s="37" t="s">
        <v>263</v>
      </c>
      <c r="K92" s="37" t="str">
        <f t="shared" si="19"/>
        <v>apparel</v>
      </c>
      <c r="L92" s="37" t="s">
        <v>302</v>
      </c>
      <c r="M92" s="37" t="str">
        <f t="shared" si="20"/>
        <v>east</v>
      </c>
      <c r="N92" s="37" t="s">
        <v>126</v>
      </c>
      <c r="O92" s="41" t="str">
        <f t="shared" si="21"/>
        <v>Yes</v>
      </c>
      <c r="P92" s="41">
        <v>4.6</v>
      </c>
      <c r="Q92" s="41">
        <v>84</v>
      </c>
      <c r="R92" s="42">
        <f t="shared" si="22"/>
        <v>18.2608695652174</v>
      </c>
      <c r="S92" s="37">
        <v>4</v>
      </c>
      <c r="T92" s="37" t="s">
        <v>656</v>
      </c>
      <c r="U92" s="43" t="str">
        <f t="shared" si="23"/>
        <v>28-jun-2024</v>
      </c>
      <c r="V92" s="43">
        <f t="shared" si="24"/>
        <v>45471</v>
      </c>
      <c r="W92" s="44">
        <f t="array" ref="W92">_xlfn.IFS(TRIM(C92)="","",TRIM(V92)="","",TRUE,V92-C92)</f>
        <v>4</v>
      </c>
      <c r="X92" s="37">
        <f t="shared" si="25"/>
        <v>0</v>
      </c>
      <c r="Y92" s="37" t="s">
        <v>163</v>
      </c>
      <c r="Z92" s="37" t="str">
        <f t="shared" si="26"/>
        <v>delivered</v>
      </c>
      <c r="AA92" s="37" t="str">
        <f t="shared" si="27"/>
        <v>On Time</v>
      </c>
      <c r="AB92" s="37" t="str">
        <f t="shared" si="30"/>
        <v>0</v>
      </c>
      <c r="AC92" s="37">
        <f t="shared" si="31"/>
        <v>0</v>
      </c>
      <c r="AD92" s="45">
        <f t="shared" si="29"/>
        <v>0.506346025384102</v>
      </c>
      <c r="AE92" s="37">
        <v>3</v>
      </c>
      <c r="AF92" s="37" t="s">
        <v>106</v>
      </c>
      <c r="AG92" s="37" t="str">
        <f t="shared" si="28"/>
        <v>yes</v>
      </c>
      <c r="AH92" s="37" t="str">
        <f t="array" ref="AH92">_xlfn.IFS(LOWER(AG92)="n","no",LOWER(AG92)="y","yes",TRUE,LOWER(AG92))</f>
        <v>yes</v>
      </c>
      <c r="AI92" s="37" t="s">
        <v>4692</v>
      </c>
    </row>
    <row r="93" spans="1:35">
      <c r="A93" s="46" t="s">
        <v>657</v>
      </c>
      <c r="B93" s="47" t="s">
        <v>4717</v>
      </c>
      <c r="C93" s="39">
        <f t="shared" si="16"/>
        <v>45364</v>
      </c>
      <c r="D93" s="48" t="s">
        <v>109</v>
      </c>
      <c r="E93" s="37" t="str" cm="1">
        <f t="array" ref="E93">_xlfn.IFS(D93="delhi","north",D93="mumbai","west",D93="bengaluru","south",D93="chennai","south",D93="kolkata","east",TRUE,"west")</f>
        <v>west</v>
      </c>
      <c r="F93" s="46" t="s">
        <v>204</v>
      </c>
      <c r="G93" s="37" t="str">
        <f t="shared" si="17"/>
        <v>delhivery</v>
      </c>
      <c r="H93" s="46" t="s">
        <v>137</v>
      </c>
      <c r="I93" s="37" t="str">
        <f t="shared" si="18"/>
        <v>road</v>
      </c>
      <c r="J93" s="46" t="s">
        <v>301</v>
      </c>
      <c r="K93" s="37" t="str">
        <f t="shared" si="19"/>
        <v>furniture</v>
      </c>
      <c r="L93" s="46" t="s">
        <v>139</v>
      </c>
      <c r="M93" s="37" t="str">
        <f t="shared" si="20"/>
        <v>north</v>
      </c>
      <c r="N93" s="46" t="s">
        <v>113</v>
      </c>
      <c r="O93" s="41" t="str">
        <f t="shared" si="21"/>
        <v>Yes</v>
      </c>
      <c r="P93" s="49">
        <v>42.3</v>
      </c>
      <c r="Q93" s="49">
        <v>780</v>
      </c>
      <c r="R93" s="42">
        <f t="shared" si="22"/>
        <v>18.4397163120567</v>
      </c>
      <c r="S93" s="46">
        <v>8</v>
      </c>
      <c r="T93" s="46" t="s">
        <v>661</v>
      </c>
      <c r="U93" s="43" t="str">
        <f t="shared" si="23"/>
        <v>2024-03-21</v>
      </c>
      <c r="V93" s="43">
        <f t="shared" si="24"/>
        <v>45372</v>
      </c>
      <c r="W93" s="44">
        <f t="array" ref="W93">_xlfn.IFS(TRIM(C93)="","",TRIM(V93)="","",TRUE,V93-C93)</f>
        <v>8</v>
      </c>
      <c r="X93" s="37">
        <f t="shared" si="25"/>
        <v>0</v>
      </c>
      <c r="Y93" s="46" t="s">
        <v>117</v>
      </c>
      <c r="Z93" s="37" t="str">
        <f t="shared" si="26"/>
        <v>delivered</v>
      </c>
      <c r="AA93" s="37" t="str">
        <f t="shared" si="27"/>
        <v>On Time</v>
      </c>
      <c r="AB93" s="37" t="str">
        <f t="shared" si="30"/>
        <v>0</v>
      </c>
      <c r="AC93" s="37">
        <f t="shared" si="31"/>
        <v>0</v>
      </c>
      <c r="AD93" s="45">
        <f t="shared" si="29"/>
        <v>0.50668449197861</v>
      </c>
      <c r="AE93" s="46">
        <v>5</v>
      </c>
      <c r="AF93" s="46" t="s">
        <v>106</v>
      </c>
      <c r="AG93" s="37" t="str">
        <f t="shared" si="28"/>
        <v>yes</v>
      </c>
      <c r="AH93" s="37" t="str">
        <f t="array" ref="AH93">_xlfn.IFS(LOWER(AG93)="n","no",LOWER(AG93)="y","yes",TRUE,LOWER(AG93))</f>
        <v>yes</v>
      </c>
      <c r="AI93" s="46" t="s">
        <v>4692</v>
      </c>
    </row>
    <row r="94" spans="1:35">
      <c r="A94" s="37" t="s">
        <v>662</v>
      </c>
      <c r="B94" s="38">
        <v>45361</v>
      </c>
      <c r="C94" s="39">
        <f t="shared" si="16"/>
        <v>45361</v>
      </c>
      <c r="D94" s="40" t="s">
        <v>366</v>
      </c>
      <c r="E94" s="37" t="str" cm="1">
        <f t="array" ref="E94">_xlfn.IFS(D94="delhi","north",D94="mumbai","west",D94="bengaluru","south",D94="chennai","south",D94="kolkata","east",TRUE,"west")</f>
        <v>east</v>
      </c>
      <c r="F94" s="37" t="s">
        <v>146</v>
      </c>
      <c r="G94" s="37" t="str">
        <f t="shared" si="17"/>
        <v>ecomexpress</v>
      </c>
      <c r="H94" s="37" t="s">
        <v>110</v>
      </c>
      <c r="I94" s="37" t="str">
        <f t="shared" si="18"/>
        <v>surface</v>
      </c>
      <c r="J94" s="37" t="s">
        <v>664</v>
      </c>
      <c r="K94" s="37" t="str">
        <f t="shared" si="19"/>
        <v>grocery&amp;fmcg</v>
      </c>
      <c r="L94" s="37" t="s">
        <v>302</v>
      </c>
      <c r="M94" s="37" t="str">
        <f t="shared" si="20"/>
        <v>east</v>
      </c>
      <c r="N94" s="37" t="s">
        <v>91</v>
      </c>
      <c r="O94" s="41" t="str">
        <f t="shared" si="21"/>
        <v>Yes</v>
      </c>
      <c r="P94" s="41" t="s">
        <v>665</v>
      </c>
      <c r="Q94" s="41" t="s">
        <v>666</v>
      </c>
      <c r="R94" s="42">
        <f t="shared" si="22"/>
        <v>21.1650485436893</v>
      </c>
      <c r="S94" s="37">
        <v>4</v>
      </c>
      <c r="T94" s="37" t="s">
        <v>667</v>
      </c>
      <c r="U94" s="43" t="str">
        <f t="shared" si="23"/>
        <v>14/03/2024</v>
      </c>
      <c r="V94" s="43">
        <f t="shared" si="24"/>
        <v>45365</v>
      </c>
      <c r="W94" s="44">
        <f t="array" ref="W94">_xlfn.IFS(TRIM(C94)="","",TRIM(V94)="","",TRUE,V94-C94)</f>
        <v>4</v>
      </c>
      <c r="X94" s="37">
        <f t="shared" si="25"/>
        <v>0</v>
      </c>
      <c r="Y94" s="37" t="s">
        <v>219</v>
      </c>
      <c r="Z94" s="37" t="str">
        <f t="shared" si="26"/>
        <v>delivered</v>
      </c>
      <c r="AA94" s="37" t="str">
        <f t="shared" si="27"/>
        <v>On Time</v>
      </c>
      <c r="AB94" s="37" t="str">
        <f t="shared" si="30"/>
        <v>0</v>
      </c>
      <c r="AC94" s="37">
        <f t="shared" si="31"/>
        <v>0</v>
      </c>
      <c r="AD94" s="45">
        <f t="shared" si="29"/>
        <v>0.507023411371237</v>
      </c>
      <c r="AE94" s="37">
        <v>5</v>
      </c>
      <c r="AF94" s="37" t="s">
        <v>79</v>
      </c>
      <c r="AG94" s="37" t="str">
        <f t="shared" si="28"/>
        <v>yes</v>
      </c>
      <c r="AH94" s="37" t="str">
        <f t="array" ref="AH94">_xlfn.IFS(LOWER(AG94)="n","no",LOWER(AG94)="y","yes",TRUE,LOWER(AG94))</f>
        <v>yes</v>
      </c>
      <c r="AI94" s="37" t="s">
        <v>4692</v>
      </c>
    </row>
    <row r="95" spans="1:35">
      <c r="A95" s="46" t="s">
        <v>668</v>
      </c>
      <c r="B95" s="47">
        <v>45422</v>
      </c>
      <c r="C95" s="39">
        <f t="shared" si="16"/>
        <v>45422</v>
      </c>
      <c r="D95" s="48" t="s">
        <v>212</v>
      </c>
      <c r="E95" s="37" t="str" cm="1">
        <f t="array" ref="E95">_xlfn.IFS(D95="delhi","north",D95="mumbai","west",D95="bengaluru","south",D95="chennai","south",D95="kolkata","east",TRUE,"west")</f>
        <v>west</v>
      </c>
      <c r="F95" s="46" t="s">
        <v>213</v>
      </c>
      <c r="G95" s="37" t="str">
        <f t="shared" si="17"/>
        <v>dtdc</v>
      </c>
      <c r="H95" s="46" t="s">
        <v>440</v>
      </c>
      <c r="I95" s="37" t="str">
        <f t="shared" si="18"/>
        <v>road</v>
      </c>
      <c r="J95" s="46" t="s">
        <v>167</v>
      </c>
      <c r="K95" s="37" t="str">
        <f t="shared" si="19"/>
        <v>pharma</v>
      </c>
      <c r="L95" s="46" t="s">
        <v>380</v>
      </c>
      <c r="M95" s="37" t="str">
        <f t="shared" si="20"/>
        <v>east</v>
      </c>
      <c r="N95" s="46" t="s">
        <v>126</v>
      </c>
      <c r="O95" s="41" t="str">
        <f t="shared" si="21"/>
        <v>Yes</v>
      </c>
      <c r="P95" s="49" t="s">
        <v>669</v>
      </c>
      <c r="Q95" s="49" t="s">
        <v>670</v>
      </c>
      <c r="R95" s="42">
        <f t="shared" si="22"/>
        <v>59.1111111111111</v>
      </c>
      <c r="S95" s="46">
        <v>8</v>
      </c>
      <c r="T95" s="46" t="s">
        <v>549</v>
      </c>
      <c r="U95" s="43" t="str">
        <f t="shared" si="23"/>
        <v>19/05/2024</v>
      </c>
      <c r="V95" s="43">
        <f t="shared" si="24"/>
        <v>45431</v>
      </c>
      <c r="W95" s="44">
        <f t="array" ref="W95">_xlfn.IFS(TRIM(C95)="","",TRIM(V95)="","",TRUE,V95-C95)</f>
        <v>9</v>
      </c>
      <c r="X95" s="37">
        <f t="shared" si="25"/>
        <v>1</v>
      </c>
      <c r="Y95" s="46" t="s">
        <v>200</v>
      </c>
      <c r="Z95" s="37" t="str">
        <f t="shared" si="26"/>
        <v>delayed</v>
      </c>
      <c r="AA95" s="37" t="str">
        <f t="shared" si="27"/>
        <v>Late</v>
      </c>
      <c r="AB95" s="37" t="str">
        <f t="shared" si="30"/>
        <v>1</v>
      </c>
      <c r="AC95" s="37">
        <f t="shared" si="31"/>
        <v>1</v>
      </c>
      <c r="AD95" s="45">
        <f t="shared" si="29"/>
        <v>0.507362784471218</v>
      </c>
      <c r="AE95" s="46">
        <v>1</v>
      </c>
      <c r="AF95" s="46" t="s">
        <v>191</v>
      </c>
      <c r="AG95" s="37" t="str">
        <f t="shared" si="28"/>
        <v>no</v>
      </c>
      <c r="AH95" s="37" t="str">
        <f t="array" ref="AH95">_xlfn.IFS(LOWER(AG95)="n","no",LOWER(AG95)="y","yes",TRUE,LOWER(AG95))</f>
        <v>no</v>
      </c>
      <c r="AI95" s="46" t="s">
        <v>4692</v>
      </c>
    </row>
    <row r="96" spans="1:35">
      <c r="A96" s="37" t="s">
        <v>671</v>
      </c>
      <c r="B96" s="38" t="s">
        <v>4718</v>
      </c>
      <c r="C96" s="39">
        <f t="shared" si="16"/>
        <v>45333</v>
      </c>
      <c r="D96" s="40" t="s">
        <v>4695</v>
      </c>
      <c r="E96" s="37" t="str" cm="1">
        <f t="array" ref="E96">_xlfn.IFS(D96="delhi","north",D96="mumbai","west",D96="bengaluru","south",D96="chennai","south",D96="kolkata","east",TRUE,"west")</f>
        <v>west</v>
      </c>
      <c r="F96" s="37" t="s">
        <v>136</v>
      </c>
      <c r="G96" s="37" t="str">
        <f t="shared" si="17"/>
        <v>bluedart</v>
      </c>
      <c r="H96" s="37" t="s">
        <v>195</v>
      </c>
      <c r="I96" s="37" t="str">
        <f t="shared" si="18"/>
        <v>road</v>
      </c>
      <c r="J96" s="37" t="s">
        <v>186</v>
      </c>
      <c r="K96" s="37" t="str">
        <f t="shared" si="19"/>
        <v>automotiveparts</v>
      </c>
      <c r="L96" s="37" t="s">
        <v>380</v>
      </c>
      <c r="M96" s="37" t="str">
        <f t="shared" si="20"/>
        <v>east</v>
      </c>
      <c r="N96" s="37" t="s">
        <v>91</v>
      </c>
      <c r="O96" s="41" t="str">
        <f t="shared" si="21"/>
        <v>Yes</v>
      </c>
      <c r="P96" s="41">
        <v>33.1</v>
      </c>
      <c r="Q96" s="41" t="s">
        <v>674</v>
      </c>
      <c r="R96" s="42">
        <f t="shared" si="22"/>
        <v>18.0664652567976</v>
      </c>
      <c r="S96" s="37">
        <v>8</v>
      </c>
      <c r="T96" s="37" t="s">
        <v>293</v>
      </c>
      <c r="U96" s="43" t="str">
        <f t="shared" si="23"/>
        <v>19/02/2024</v>
      </c>
      <c r="V96" s="43">
        <f t="shared" si="24"/>
        <v>45341</v>
      </c>
      <c r="W96" s="44">
        <f t="array" ref="W96">_xlfn.IFS(TRIM(C96)="","",TRIM(V96)="","",TRUE,V96-C96)</f>
        <v>8</v>
      </c>
      <c r="X96" s="37">
        <f t="shared" si="25"/>
        <v>0</v>
      </c>
      <c r="Y96" s="37" t="s">
        <v>219</v>
      </c>
      <c r="Z96" s="37" t="str">
        <f t="shared" si="26"/>
        <v>delivered</v>
      </c>
      <c r="AA96" s="37" t="str">
        <f t="shared" si="27"/>
        <v>On Time</v>
      </c>
      <c r="AB96" s="37" t="str">
        <f t="shared" si="30"/>
        <v>0</v>
      </c>
      <c r="AC96" s="37">
        <f t="shared" si="31"/>
        <v>0</v>
      </c>
      <c r="AD96" s="45">
        <f t="shared" si="29"/>
        <v>0.507032819825854</v>
      </c>
      <c r="AE96" s="37">
        <v>5</v>
      </c>
      <c r="AF96" s="37" t="s">
        <v>118</v>
      </c>
      <c r="AG96" s="37" t="str">
        <f t="shared" si="28"/>
        <v>no</v>
      </c>
      <c r="AH96" s="37" t="str">
        <f t="array" ref="AH96">_xlfn.IFS(LOWER(AG96)="n","no",LOWER(AG96)="y","yes",TRUE,LOWER(AG96))</f>
        <v>no</v>
      </c>
      <c r="AI96" s="37" t="s">
        <v>4692</v>
      </c>
    </row>
    <row r="97" spans="1:35">
      <c r="A97" s="46" t="s">
        <v>675</v>
      </c>
      <c r="B97" s="47">
        <v>45314</v>
      </c>
      <c r="C97" s="39">
        <f t="shared" si="16"/>
        <v>45314</v>
      </c>
      <c r="D97" s="48" t="s">
        <v>340</v>
      </c>
      <c r="E97" s="37" t="str" cm="1">
        <f t="array" ref="E97">_xlfn.IFS(D97="delhi","north",D97="mumbai","west",D97="bengaluru","south",D97="chennai","south",D97="kolkata","east",TRUE,"west")</f>
        <v>north</v>
      </c>
      <c r="F97" s="46" t="s">
        <v>213</v>
      </c>
      <c r="G97" s="37" t="str">
        <f t="shared" si="17"/>
        <v>dtdc</v>
      </c>
      <c r="H97" s="46" t="s">
        <v>345</v>
      </c>
      <c r="I97" s="37" t="str">
        <f t="shared" si="18"/>
        <v>surface</v>
      </c>
      <c r="J97" s="46" t="s">
        <v>301</v>
      </c>
      <c r="K97" s="37" t="str">
        <f t="shared" si="19"/>
        <v>furniture</v>
      </c>
      <c r="L97" s="46" t="s">
        <v>470</v>
      </c>
      <c r="M97" s="37" t="str">
        <f t="shared" si="20"/>
        <v>east</v>
      </c>
      <c r="N97" s="46" t="s">
        <v>294</v>
      </c>
      <c r="O97" s="41" t="str">
        <f t="shared" si="21"/>
        <v>Yes</v>
      </c>
      <c r="P97" s="49">
        <v>76.6</v>
      </c>
      <c r="Q97" s="49">
        <v>1820</v>
      </c>
      <c r="R97" s="42">
        <f t="shared" si="22"/>
        <v>23.7597911227154</v>
      </c>
      <c r="S97" s="46">
        <v>6</v>
      </c>
      <c r="T97" s="46" t="s">
        <v>679</v>
      </c>
      <c r="U97" s="43" t="str">
        <f t="shared" si="23"/>
        <v>29/01/2024</v>
      </c>
      <c r="V97" s="43">
        <f t="shared" si="24"/>
        <v>45320</v>
      </c>
      <c r="W97" s="44">
        <f t="array" ref="W97">_xlfn.IFS(TRIM(C97)="","",TRIM(V97)="","",TRUE,V97-C97)</f>
        <v>6</v>
      </c>
      <c r="X97" s="37">
        <f t="shared" si="25"/>
        <v>0</v>
      </c>
      <c r="Y97" s="46" t="s">
        <v>163</v>
      </c>
      <c r="Z97" s="37" t="str">
        <f t="shared" si="26"/>
        <v>delivered</v>
      </c>
      <c r="AA97" s="37" t="str">
        <f t="shared" si="27"/>
        <v>On Time</v>
      </c>
      <c r="AB97" s="37" t="str">
        <f t="shared" si="30"/>
        <v>0</v>
      </c>
      <c r="AC97" s="37">
        <f t="shared" si="31"/>
        <v>0</v>
      </c>
      <c r="AD97" s="45">
        <f t="shared" si="29"/>
        <v>0.507372654155496</v>
      </c>
      <c r="AE97" s="46">
        <v>3</v>
      </c>
      <c r="AF97" s="46" t="s">
        <v>79</v>
      </c>
      <c r="AG97" s="37" t="str">
        <f t="shared" si="28"/>
        <v>yes</v>
      </c>
      <c r="AH97" s="37" t="str">
        <f t="array" ref="AH97">_xlfn.IFS(LOWER(AG97)="n","no",LOWER(AG97)="y","yes",TRUE,LOWER(AG97))</f>
        <v>yes</v>
      </c>
      <c r="AI97" s="46" t="s">
        <v>4692</v>
      </c>
    </row>
    <row r="98" spans="1:35">
      <c r="A98" s="37" t="s">
        <v>680</v>
      </c>
      <c r="B98" s="38">
        <v>45376</v>
      </c>
      <c r="C98" s="39">
        <f t="shared" si="16"/>
        <v>45376</v>
      </c>
      <c r="D98" s="40" t="s">
        <v>212</v>
      </c>
      <c r="E98" s="37" t="str" cm="1">
        <f t="array" ref="E98">_xlfn.IFS(D98="delhi","north",D98="mumbai","west",D98="bengaluru","south",D98="chennai","south",D98="kolkata","east",TRUE,"west")</f>
        <v>west</v>
      </c>
      <c r="F98" s="37" t="s">
        <v>312</v>
      </c>
      <c r="G98" s="37" t="str">
        <f t="shared" si="17"/>
        <v>bluedart</v>
      </c>
      <c r="H98" s="37" t="s">
        <v>137</v>
      </c>
      <c r="I98" s="37" t="str">
        <f t="shared" si="18"/>
        <v>road</v>
      </c>
      <c r="J98" s="37" t="s">
        <v>138</v>
      </c>
      <c r="K98" s="37" t="str">
        <f t="shared" si="19"/>
        <v>apparel</v>
      </c>
      <c r="L98" s="37" t="s">
        <v>346</v>
      </c>
      <c r="M98" s="37" t="str">
        <f t="shared" si="20"/>
        <v>north</v>
      </c>
      <c r="N98" s="37" t="s">
        <v>32</v>
      </c>
      <c r="O98" s="41" t="str">
        <f t="shared" si="21"/>
        <v>Yes</v>
      </c>
      <c r="P98" s="41" t="s">
        <v>682</v>
      </c>
      <c r="Q98" s="41">
        <v>177</v>
      </c>
      <c r="R98" s="42">
        <f t="shared" si="22"/>
        <v>98.3333333333333</v>
      </c>
      <c r="S98" s="37">
        <v>8</v>
      </c>
      <c r="T98" s="37" t="s">
        <v>485</v>
      </c>
      <c r="U98" s="43" t="str">
        <f t="shared" si="23"/>
        <v>01-apr-2024</v>
      </c>
      <c r="V98" s="43">
        <f t="shared" si="24"/>
        <v>45383</v>
      </c>
      <c r="W98" s="44">
        <f t="array" ref="W98">_xlfn.IFS(TRIM(C98)="","",TRIM(V98)="","",TRUE,V98-C98)</f>
        <v>7</v>
      </c>
      <c r="X98" s="37">
        <f t="shared" si="25"/>
        <v>-1</v>
      </c>
      <c r="Y98" s="37" t="s">
        <v>163</v>
      </c>
      <c r="Z98" s="37" t="str">
        <f t="shared" si="26"/>
        <v>delivered</v>
      </c>
      <c r="AA98" s="37" t="str">
        <f t="shared" si="27"/>
        <v>On Time</v>
      </c>
      <c r="AB98" s="37" t="str">
        <f t="shared" si="30"/>
        <v>0</v>
      </c>
      <c r="AC98" s="37">
        <f t="shared" si="31"/>
        <v>0</v>
      </c>
      <c r="AD98" s="45">
        <f t="shared" si="29"/>
        <v>0.507712944332663</v>
      </c>
      <c r="AE98" s="37">
        <v>5</v>
      </c>
      <c r="AF98" s="37" t="s">
        <v>152</v>
      </c>
      <c r="AG98" s="37" t="str">
        <f t="shared" si="28"/>
        <v>no</v>
      </c>
      <c r="AH98" s="37" t="str">
        <f t="array" ref="AH98">_xlfn.IFS(LOWER(AG98)="n","no",LOWER(AG98)="y","yes",TRUE,LOWER(AG98))</f>
        <v>no</v>
      </c>
      <c r="AI98" s="37" t="s">
        <v>4692</v>
      </c>
    </row>
    <row r="99" spans="1:35">
      <c r="A99" s="46" t="s">
        <v>684</v>
      </c>
      <c r="B99" s="47">
        <v>45318</v>
      </c>
      <c r="C99" s="39">
        <f t="shared" si="16"/>
        <v>45318</v>
      </c>
      <c r="D99" s="48" t="s">
        <v>4704</v>
      </c>
      <c r="E99" s="37" t="str" cm="1">
        <f t="array" ref="E99">_xlfn.IFS(D99="delhi","north",D99="mumbai","west",D99="bengaluru","south",D99="chennai","south",D99="kolkata","east",TRUE,"west")</f>
        <v>west</v>
      </c>
      <c r="F99" s="46" t="s">
        <v>194</v>
      </c>
      <c r="G99" s="37" t="str">
        <f t="shared" si="17"/>
        <v>xpressbees</v>
      </c>
      <c r="H99" s="46" t="s">
        <v>137</v>
      </c>
      <c r="I99" s="37" t="str">
        <f t="shared" si="18"/>
        <v>road</v>
      </c>
      <c r="J99" s="46" t="s">
        <v>47</v>
      </c>
      <c r="K99" s="37" t="str">
        <f t="shared" si="19"/>
        <v>electronics</v>
      </c>
      <c r="L99" s="46" t="s">
        <v>334</v>
      </c>
      <c r="M99" s="37" t="str">
        <f t="shared" si="20"/>
        <v>north</v>
      </c>
      <c r="N99" s="46" t="s">
        <v>215</v>
      </c>
      <c r="O99" s="41" t="str">
        <f t="shared" si="21"/>
        <v>Yes</v>
      </c>
      <c r="P99" s="49">
        <v>7</v>
      </c>
      <c r="Q99" s="49">
        <v>246</v>
      </c>
      <c r="R99" s="42">
        <f t="shared" si="22"/>
        <v>35.1428571428571</v>
      </c>
      <c r="S99" s="46">
        <v>8</v>
      </c>
      <c r="T99" s="46" t="s">
        <v>688</v>
      </c>
      <c r="U99" s="43" t="str">
        <f t="shared" si="23"/>
        <v>04/02/2024</v>
      </c>
      <c r="V99" s="43">
        <f t="shared" si="24"/>
        <v>45326</v>
      </c>
      <c r="W99" s="44">
        <f t="array" ref="W99">_xlfn.IFS(TRIM(C99)="","",TRIM(V99)="","",TRUE,V99-C99)</f>
        <v>8</v>
      </c>
      <c r="X99" s="37">
        <f t="shared" si="25"/>
        <v>0</v>
      </c>
      <c r="Y99" s="46" t="s">
        <v>163</v>
      </c>
      <c r="Z99" s="37" t="str">
        <f t="shared" si="26"/>
        <v>delivered</v>
      </c>
      <c r="AA99" s="37" t="str">
        <f t="shared" si="27"/>
        <v>On Time</v>
      </c>
      <c r="AB99" s="37" t="str">
        <f t="shared" si="30"/>
        <v>0</v>
      </c>
      <c r="AC99" s="37">
        <f t="shared" si="31"/>
        <v>0</v>
      </c>
      <c r="AD99" s="45">
        <f t="shared" si="29"/>
        <v>0.508053691275168</v>
      </c>
      <c r="AE99" s="46">
        <v>4</v>
      </c>
      <c r="AF99" s="46" t="s">
        <v>286</v>
      </c>
      <c r="AG99" s="37" t="str">
        <f t="shared" si="28"/>
        <v>yes</v>
      </c>
      <c r="AH99" s="37" t="str">
        <f t="array" ref="AH99">_xlfn.IFS(LOWER(AG99)="n","no",LOWER(AG99)="y","yes",TRUE,LOWER(AG99))</f>
        <v>yes</v>
      </c>
      <c r="AI99" s="46" t="s">
        <v>4692</v>
      </c>
    </row>
    <row r="100" spans="1:35">
      <c r="A100" s="37" t="s">
        <v>689</v>
      </c>
      <c r="B100" s="38" t="s">
        <v>4719</v>
      </c>
      <c r="C100" s="39">
        <f t="shared" si="16"/>
        <v>45430</v>
      </c>
      <c r="D100" s="40" t="s">
        <v>366</v>
      </c>
      <c r="E100" s="37" t="str" cm="1">
        <f t="array" ref="E100">_xlfn.IFS(D100="delhi","north",D100="mumbai","west",D100="bengaluru","south",D100="chennai","south",D100="kolkata","east",TRUE,"west")</f>
        <v>east</v>
      </c>
      <c r="F100" s="37" t="s">
        <v>544</v>
      </c>
      <c r="G100" s="37" t="str">
        <f t="shared" si="17"/>
        <v>bluedart</v>
      </c>
      <c r="H100" s="37" t="s">
        <v>185</v>
      </c>
      <c r="I100" s="37" t="str">
        <f t="shared" si="18"/>
        <v>surface</v>
      </c>
      <c r="J100" s="37" t="s">
        <v>167</v>
      </c>
      <c r="K100" s="37" t="str">
        <f t="shared" si="19"/>
        <v>pharma</v>
      </c>
      <c r="L100" s="37" t="s">
        <v>380</v>
      </c>
      <c r="M100" s="37" t="str">
        <f t="shared" si="20"/>
        <v>east</v>
      </c>
      <c r="N100" s="37" t="s">
        <v>91</v>
      </c>
      <c r="O100" s="41" t="str">
        <f t="shared" si="21"/>
        <v>Yes</v>
      </c>
      <c r="P100" s="41">
        <v>1.8</v>
      </c>
      <c r="Q100" s="41">
        <v>86</v>
      </c>
      <c r="R100" s="42">
        <f t="shared" si="22"/>
        <v>47.7777777777778</v>
      </c>
      <c r="S100" s="37">
        <v>4</v>
      </c>
      <c r="T100" s="37" t="s">
        <v>120</v>
      </c>
      <c r="U100" s="43" t="str">
        <f t="shared" si="23"/>
        <v>23-may-2024</v>
      </c>
      <c r="V100" s="43">
        <f t="shared" si="24"/>
        <v>45435</v>
      </c>
      <c r="W100" s="44">
        <f t="array" ref="W100">_xlfn.IFS(TRIM(C100)="","",TRIM(V100)="","",TRUE,V100-C100)</f>
        <v>5</v>
      </c>
      <c r="X100" s="37">
        <f t="shared" si="25"/>
        <v>1</v>
      </c>
      <c r="Y100" s="37" t="s">
        <v>143</v>
      </c>
      <c r="Z100" s="37" t="str">
        <f t="shared" si="26"/>
        <v>delayed</v>
      </c>
      <c r="AA100" s="37" t="str">
        <f t="shared" si="27"/>
        <v>Late</v>
      </c>
      <c r="AB100" s="37" t="str">
        <f t="shared" si="30"/>
        <v>1</v>
      </c>
      <c r="AC100" s="37">
        <f t="shared" si="31"/>
        <v>1</v>
      </c>
      <c r="AD100" s="45">
        <f t="shared" si="29"/>
        <v>0.508394895903291</v>
      </c>
      <c r="AE100" s="37">
        <v>2</v>
      </c>
      <c r="AF100" s="37" t="s">
        <v>79</v>
      </c>
      <c r="AG100" s="37" t="str">
        <f t="shared" si="28"/>
        <v>yes</v>
      </c>
      <c r="AH100" s="37" t="str">
        <f t="array" ref="AH100">_xlfn.IFS(LOWER(AG100)="n","no",LOWER(AG100)="y","yes",TRUE,LOWER(AG100))</f>
        <v>yes</v>
      </c>
      <c r="AI100" s="37" t="s">
        <v>4692</v>
      </c>
    </row>
    <row r="101" spans="1:35">
      <c r="A101" s="46" t="s">
        <v>693</v>
      </c>
      <c r="B101" s="47" t="s">
        <v>4720</v>
      </c>
      <c r="C101" s="39">
        <f t="shared" si="16"/>
        <v>45377</v>
      </c>
      <c r="D101" s="48" t="s">
        <v>366</v>
      </c>
      <c r="E101" s="37" t="str" cm="1">
        <f t="array" ref="E101">_xlfn.IFS(D101="delhi","north",D101="mumbai","west",D101="bengaluru","south",D101="chennai","south",D101="kolkata","east",TRUE,"west")</f>
        <v>east</v>
      </c>
      <c r="F101" s="46" t="s">
        <v>367</v>
      </c>
      <c r="G101" s="37" t="str">
        <f t="shared" si="17"/>
        <v>dtdc</v>
      </c>
      <c r="H101" s="46" t="s">
        <v>123</v>
      </c>
      <c r="I101" s="37" t="str">
        <f t="shared" si="18"/>
        <v>air</v>
      </c>
      <c r="J101" s="46" t="s">
        <v>283</v>
      </c>
      <c r="K101" s="37" t="str">
        <f t="shared" si="19"/>
        <v>pharma</v>
      </c>
      <c r="L101" s="46" t="s">
        <v>302</v>
      </c>
      <c r="M101" s="37" t="str">
        <f t="shared" si="20"/>
        <v>east</v>
      </c>
      <c r="N101" s="46" t="s">
        <v>126</v>
      </c>
      <c r="O101" s="41" t="str">
        <f t="shared" si="21"/>
        <v>Yes</v>
      </c>
      <c r="P101" s="49">
        <v>5</v>
      </c>
      <c r="Q101" s="49">
        <v>254</v>
      </c>
      <c r="R101" s="42">
        <f t="shared" si="22"/>
        <v>50.8</v>
      </c>
      <c r="S101" s="46">
        <v>2</v>
      </c>
      <c r="T101" s="46" t="s">
        <v>697</v>
      </c>
      <c r="U101" s="43" t="str">
        <f t="shared" si="23"/>
        <v>28-mar-2024</v>
      </c>
      <c r="V101" s="43">
        <f t="shared" si="24"/>
        <v>45379</v>
      </c>
      <c r="W101" s="44">
        <f t="array" ref="W101">_xlfn.IFS(TRIM(C101)="","",TRIM(V101)="","",TRUE,V101-C101)</f>
        <v>2</v>
      </c>
      <c r="X101" s="37">
        <f t="shared" si="25"/>
        <v>0</v>
      </c>
      <c r="Y101" s="46" t="s">
        <v>105</v>
      </c>
      <c r="Z101" s="37" t="str">
        <f t="shared" si="26"/>
        <v>delivered</v>
      </c>
      <c r="AA101" s="37" t="str">
        <f t="shared" si="27"/>
        <v>On Time</v>
      </c>
      <c r="AB101" s="37" t="str">
        <f t="shared" si="30"/>
        <v>0</v>
      </c>
      <c r="AC101" s="37">
        <f t="shared" si="31"/>
        <v>0</v>
      </c>
      <c r="AD101" s="45">
        <f t="shared" si="29"/>
        <v>0.508064516129032</v>
      </c>
      <c r="AE101" s="46">
        <v>5</v>
      </c>
      <c r="AF101" s="46" t="s">
        <v>131</v>
      </c>
      <c r="AG101" s="37" t="str">
        <f t="shared" si="28"/>
        <v>n</v>
      </c>
      <c r="AH101" s="37" t="str">
        <f t="array" ref="AH101">_xlfn.IFS(LOWER(AG101)="n","no",LOWER(AG101)="y","yes",TRUE,LOWER(AG101))</f>
        <v>no</v>
      </c>
      <c r="AI101" s="46" t="s">
        <v>4692</v>
      </c>
    </row>
    <row r="102" spans="1:35">
      <c r="A102" s="37" t="s">
        <v>698</v>
      </c>
      <c r="B102" s="38">
        <v>45384</v>
      </c>
      <c r="C102" s="39">
        <f t="shared" si="16"/>
        <v>45384</v>
      </c>
      <c r="D102" s="40" t="s">
        <v>109</v>
      </c>
      <c r="E102" s="37" t="str" cm="1">
        <f t="array" ref="E102">_xlfn.IFS(D102="delhi","north",D102="mumbai","west",D102="bengaluru","south",D102="chennai","south",D102="kolkata","east",TRUE,"west")</f>
        <v>west</v>
      </c>
      <c r="F102" s="37" t="s">
        <v>146</v>
      </c>
      <c r="G102" s="37" t="str">
        <f t="shared" si="17"/>
        <v>ecomexpress</v>
      </c>
      <c r="H102" s="37" t="s">
        <v>147</v>
      </c>
      <c r="I102" s="37" t="str">
        <f t="shared" si="18"/>
        <v>road</v>
      </c>
      <c r="J102" s="37" t="s">
        <v>430</v>
      </c>
      <c r="K102" s="37" t="str">
        <f t="shared" si="19"/>
        <v>pharma</v>
      </c>
      <c r="L102" s="37" t="s">
        <v>380</v>
      </c>
      <c r="M102" s="37" t="str">
        <f t="shared" si="20"/>
        <v>east</v>
      </c>
      <c r="N102" s="37" t="s">
        <v>91</v>
      </c>
      <c r="O102" s="41" t="str">
        <f t="shared" si="21"/>
        <v>Yes</v>
      </c>
      <c r="P102" s="41" t="s">
        <v>700</v>
      </c>
      <c r="Q102" s="41">
        <v>210</v>
      </c>
      <c r="R102" s="42">
        <f t="shared" si="22"/>
        <v>300</v>
      </c>
      <c r="S102" s="37">
        <v>8</v>
      </c>
      <c r="T102" s="37" t="s">
        <v>702</v>
      </c>
      <c r="U102" s="43" t="str">
        <f t="shared" si="23"/>
        <v>2024-04-09</v>
      </c>
      <c r="V102" s="43">
        <f t="shared" si="24"/>
        <v>45391</v>
      </c>
      <c r="W102" s="44">
        <f t="array" ref="W102">_xlfn.IFS(TRIM(C102)="","",TRIM(V102)="","",TRUE,V102-C102)</f>
        <v>7</v>
      </c>
      <c r="X102" s="37">
        <f t="shared" si="25"/>
        <v>-1</v>
      </c>
      <c r="Y102" s="37" t="s">
        <v>117</v>
      </c>
      <c r="Z102" s="37" t="str">
        <f t="shared" si="26"/>
        <v>delivered</v>
      </c>
      <c r="AA102" s="37" t="str">
        <f t="shared" si="27"/>
        <v>On Time</v>
      </c>
      <c r="AB102" s="37" t="str">
        <f t="shared" si="30"/>
        <v>0</v>
      </c>
      <c r="AC102" s="37">
        <f t="shared" si="31"/>
        <v>0</v>
      </c>
      <c r="AD102" s="45">
        <f t="shared" si="29"/>
        <v>0.508406186953598</v>
      </c>
      <c r="AE102" s="37">
        <v>5</v>
      </c>
      <c r="AF102" s="37" t="s">
        <v>118</v>
      </c>
      <c r="AG102" s="37" t="str">
        <f t="shared" si="28"/>
        <v>no</v>
      </c>
      <c r="AH102" s="37" t="str">
        <f t="array" ref="AH102">_xlfn.IFS(LOWER(AG102)="n","no",LOWER(AG102)="y","yes",TRUE,LOWER(AG102))</f>
        <v>no</v>
      </c>
      <c r="AI102" s="37" t="s">
        <v>4692</v>
      </c>
    </row>
    <row r="103" spans="1:35">
      <c r="A103" s="46" t="s">
        <v>703</v>
      </c>
      <c r="B103" s="47" t="s">
        <v>4721</v>
      </c>
      <c r="C103" s="39">
        <f t="shared" si="16"/>
        <v>45444</v>
      </c>
      <c r="D103" s="48" t="s">
        <v>366</v>
      </c>
      <c r="E103" s="37" t="str" cm="1">
        <f t="array" ref="E103">_xlfn.IFS(D103="delhi","north",D103="mumbai","west",D103="bengaluru","south",D103="chennai","south",D103="kolkata","east",TRUE,"west")</f>
        <v>east</v>
      </c>
      <c r="F103" s="46" t="s">
        <v>213</v>
      </c>
      <c r="G103" s="37" t="str">
        <f t="shared" si="17"/>
        <v>dtdc</v>
      </c>
      <c r="H103" s="46" t="s">
        <v>440</v>
      </c>
      <c r="I103" s="37" t="str">
        <f t="shared" si="18"/>
        <v>road</v>
      </c>
      <c r="J103" s="46" t="s">
        <v>124</v>
      </c>
      <c r="K103" s="37" t="str">
        <f t="shared" si="19"/>
        <v>automotiveparts</v>
      </c>
      <c r="L103" s="46" t="s">
        <v>51</v>
      </c>
      <c r="M103" s="37" t="str">
        <f t="shared" si="20"/>
        <v>south</v>
      </c>
      <c r="N103" s="46" t="s">
        <v>93</v>
      </c>
      <c r="O103" s="41" t="str">
        <f t="shared" si="21"/>
        <v>Yes</v>
      </c>
      <c r="P103" s="49">
        <v>19.5</v>
      </c>
      <c r="Q103" s="49">
        <v>472</v>
      </c>
      <c r="R103" s="42">
        <f t="shared" si="22"/>
        <v>24.2051282051282</v>
      </c>
      <c r="S103" s="46">
        <v>8</v>
      </c>
      <c r="T103" s="46" t="s">
        <v>707</v>
      </c>
      <c r="U103" s="43" t="str">
        <f t="shared" si="23"/>
        <v>10/06/2024</v>
      </c>
      <c r="V103" s="43">
        <f t="shared" si="24"/>
        <v>45453</v>
      </c>
      <c r="W103" s="44">
        <f t="array" ref="W103">_xlfn.IFS(TRIM(C103)="","",TRIM(V103)="","",TRUE,V103-C103)</f>
        <v>9</v>
      </c>
      <c r="X103" s="37">
        <f t="shared" si="25"/>
        <v>1</v>
      </c>
      <c r="Y103" s="46" t="s">
        <v>72</v>
      </c>
      <c r="Z103" s="37" t="str">
        <f t="shared" si="26"/>
        <v>delayed</v>
      </c>
      <c r="AA103" s="37" t="str">
        <f t="shared" si="27"/>
        <v>Late</v>
      </c>
      <c r="AB103" s="37" t="str">
        <f t="shared" si="30"/>
        <v>1</v>
      </c>
      <c r="AC103" s="37">
        <f t="shared" si="31"/>
        <v>1</v>
      </c>
      <c r="AD103" s="45">
        <f t="shared" si="29"/>
        <v>0.508748317631225</v>
      </c>
      <c r="AE103" s="46">
        <v>2</v>
      </c>
      <c r="AF103" s="46" t="s">
        <v>79</v>
      </c>
      <c r="AG103" s="37" t="str">
        <f t="shared" si="28"/>
        <v>yes</v>
      </c>
      <c r="AH103" s="37" t="str">
        <f t="array" ref="AH103">_xlfn.IFS(LOWER(AG103)="n","no",LOWER(AG103)="y","yes",TRUE,LOWER(AG103))</f>
        <v>yes</v>
      </c>
      <c r="AI103" s="46" t="s">
        <v>4692</v>
      </c>
    </row>
    <row r="104" spans="1:35">
      <c r="A104" s="37" t="s">
        <v>708</v>
      </c>
      <c r="B104" s="38">
        <v>45403</v>
      </c>
      <c r="C104" s="39">
        <f t="shared" si="16"/>
        <v>45403</v>
      </c>
      <c r="D104" s="40" t="s">
        <v>4705</v>
      </c>
      <c r="E104" s="37" t="str" cm="1">
        <f t="array" ref="E104">_xlfn.IFS(D104="delhi","north",D104="mumbai","west",D104="bengaluru","south",D104="chennai","south",D104="kolkata","east",TRUE,"west")</f>
        <v>west</v>
      </c>
      <c r="F104" s="37" t="s">
        <v>146</v>
      </c>
      <c r="G104" s="37" t="str">
        <f t="shared" si="17"/>
        <v>ecomexpress</v>
      </c>
      <c r="H104" s="37" t="s">
        <v>157</v>
      </c>
      <c r="I104" s="37" t="str">
        <f t="shared" si="18"/>
        <v>surface</v>
      </c>
      <c r="J104" s="37" t="s">
        <v>47</v>
      </c>
      <c r="K104" s="37" t="str">
        <f t="shared" si="19"/>
        <v>electronics</v>
      </c>
      <c r="L104" s="37" t="s">
        <v>346</v>
      </c>
      <c r="M104" s="37" t="str">
        <f t="shared" si="20"/>
        <v>north</v>
      </c>
      <c r="N104" s="37" t="s">
        <v>32</v>
      </c>
      <c r="O104" s="41" t="str">
        <f t="shared" si="21"/>
        <v>Yes</v>
      </c>
      <c r="P104" s="41">
        <v>5.1</v>
      </c>
      <c r="Q104" s="41">
        <v>139</v>
      </c>
      <c r="R104" s="42">
        <f t="shared" si="22"/>
        <v>27.2549019607843</v>
      </c>
      <c r="S104" s="37">
        <v>4</v>
      </c>
      <c r="T104" s="37" t="s">
        <v>712</v>
      </c>
      <c r="U104" s="43" t="str">
        <f t="shared" si="23"/>
        <v>26-apr-2024</v>
      </c>
      <c r="V104" s="43">
        <f t="shared" si="24"/>
        <v>45408</v>
      </c>
      <c r="W104" s="44">
        <f t="array" ref="W104">_xlfn.IFS(TRIM(C104)="","",TRIM(V104)="","",TRUE,V104-C104)</f>
        <v>5</v>
      </c>
      <c r="X104" s="37">
        <f t="shared" si="25"/>
        <v>1</v>
      </c>
      <c r="Y104" s="37" t="s">
        <v>72</v>
      </c>
      <c r="Z104" s="37" t="str">
        <f t="shared" si="26"/>
        <v>delayed</v>
      </c>
      <c r="AA104" s="37" t="str">
        <f t="shared" si="27"/>
        <v>Late</v>
      </c>
      <c r="AB104" s="37" t="str">
        <f t="shared" si="30"/>
        <v>1</v>
      </c>
      <c r="AC104" s="37">
        <f t="shared" si="31"/>
        <v>1</v>
      </c>
      <c r="AD104" s="45">
        <f t="shared" si="29"/>
        <v>0.508417508417508</v>
      </c>
      <c r="AE104" s="37">
        <v>2</v>
      </c>
      <c r="AF104" s="37" t="s">
        <v>286</v>
      </c>
      <c r="AG104" s="37" t="str">
        <f t="shared" si="28"/>
        <v>yes</v>
      </c>
      <c r="AH104" s="37" t="str">
        <f t="array" ref="AH104">_xlfn.IFS(LOWER(AG104)="n","no",LOWER(AG104)="y","yes",TRUE,LOWER(AG104))</f>
        <v>yes</v>
      </c>
      <c r="AI104" s="37" t="s">
        <v>4692</v>
      </c>
    </row>
    <row r="105" spans="1:35">
      <c r="A105" s="46" t="s">
        <v>713</v>
      </c>
      <c r="B105" s="47" t="s">
        <v>4722</v>
      </c>
      <c r="C105" s="39">
        <f t="shared" si="16"/>
        <v>45439</v>
      </c>
      <c r="D105" s="48" t="s">
        <v>4699</v>
      </c>
      <c r="E105" s="37" t="str" cm="1">
        <f t="array" ref="E105">_xlfn.IFS(D105="delhi","north",D105="mumbai","west",D105="bengaluru","south",D105="chennai","south",D105="kolkata","east",TRUE,"west")</f>
        <v>west</v>
      </c>
      <c r="F105" s="46" t="s">
        <v>312</v>
      </c>
      <c r="G105" s="37" t="str">
        <f t="shared" si="17"/>
        <v>bluedart</v>
      </c>
      <c r="H105" s="46" t="s">
        <v>42</v>
      </c>
      <c r="I105" s="37" t="str">
        <f t="shared" si="18"/>
        <v>surface</v>
      </c>
      <c r="J105" s="46" t="s">
        <v>177</v>
      </c>
      <c r="K105" s="37" t="str">
        <f t="shared" si="19"/>
        <v>pharma</v>
      </c>
      <c r="L105" s="46" t="s">
        <v>139</v>
      </c>
      <c r="M105" s="37" t="str">
        <f t="shared" si="20"/>
        <v>north</v>
      </c>
      <c r="N105" s="46" t="s">
        <v>354</v>
      </c>
      <c r="O105" s="41" t="str">
        <f t="shared" si="21"/>
        <v>Yes</v>
      </c>
      <c r="P105" s="49">
        <v>1.1</v>
      </c>
      <c r="Q105" s="49">
        <v>211</v>
      </c>
      <c r="R105" s="42">
        <f t="shared" si="22"/>
        <v>191.818181818182</v>
      </c>
      <c r="S105" s="46">
        <v>6</v>
      </c>
      <c r="T105" s="46" t="s">
        <v>704</v>
      </c>
      <c r="U105" s="43" t="str">
        <f t="shared" si="23"/>
        <v>01/06/2024</v>
      </c>
      <c r="V105" s="43">
        <f t="shared" si="24"/>
        <v>45444</v>
      </c>
      <c r="W105" s="44">
        <f t="array" ref="W105">_xlfn.IFS(TRIM(C105)="","",TRIM(V105)="","",TRUE,V105-C105)</f>
        <v>5</v>
      </c>
      <c r="X105" s="37">
        <f t="shared" si="25"/>
        <v>-1</v>
      </c>
      <c r="Y105" s="46" t="s">
        <v>219</v>
      </c>
      <c r="Z105" s="37" t="str">
        <f t="shared" si="26"/>
        <v>delivered</v>
      </c>
      <c r="AA105" s="37" t="str">
        <f t="shared" si="27"/>
        <v>On Time</v>
      </c>
      <c r="AB105" s="37" t="str">
        <f t="shared" si="30"/>
        <v>0</v>
      </c>
      <c r="AC105" s="37">
        <f t="shared" si="31"/>
        <v>0</v>
      </c>
      <c r="AD105" s="45">
        <f t="shared" si="29"/>
        <v>0.508086253369272</v>
      </c>
      <c r="AE105" s="46">
        <v>2</v>
      </c>
      <c r="AF105" s="46" t="s">
        <v>79</v>
      </c>
      <c r="AG105" s="37" t="str">
        <f t="shared" si="28"/>
        <v>yes</v>
      </c>
      <c r="AH105" s="37" t="str">
        <f t="array" ref="AH105">_xlfn.IFS(LOWER(AG105)="n","no",LOWER(AG105)="y","yes",TRUE,LOWER(AG105))</f>
        <v>yes</v>
      </c>
      <c r="AI105" s="46" t="s">
        <v>4692</v>
      </c>
    </row>
    <row r="106" spans="1:35">
      <c r="A106" s="37" t="s">
        <v>716</v>
      </c>
      <c r="B106" s="38">
        <v>45426</v>
      </c>
      <c r="C106" s="39">
        <f t="shared" si="16"/>
        <v>45426</v>
      </c>
      <c r="D106" s="40" t="s">
        <v>340</v>
      </c>
      <c r="E106" s="37" t="str" cm="1">
        <f t="array" ref="E106">_xlfn.IFS(D106="delhi","north",D106="mumbai","west",D106="bengaluru","south",D106="chennai","south",D106="kolkata","east",TRUE,"west")</f>
        <v>north</v>
      </c>
      <c r="F106" s="37" t="s">
        <v>156</v>
      </c>
      <c r="G106" s="37" t="str">
        <f t="shared" si="17"/>
        <v>xpressbees</v>
      </c>
      <c r="H106" s="37" t="s">
        <v>176</v>
      </c>
      <c r="I106" s="37" t="str">
        <f t="shared" si="18"/>
        <v>road</v>
      </c>
      <c r="J106" s="37" t="s">
        <v>111</v>
      </c>
      <c r="K106" s="37" t="str">
        <f t="shared" si="19"/>
        <v>grocery&amp;fmcg</v>
      </c>
      <c r="L106" s="37" t="s">
        <v>418</v>
      </c>
      <c r="M106" s="37" t="str">
        <f t="shared" si="20"/>
        <v>south</v>
      </c>
      <c r="N106" s="37" t="s">
        <v>90</v>
      </c>
      <c r="O106" s="41" t="str">
        <f t="shared" si="21"/>
        <v>Yes</v>
      </c>
      <c r="P106" s="41">
        <v>18.7</v>
      </c>
      <c r="Q106" s="41" t="s">
        <v>719</v>
      </c>
      <c r="R106" s="42">
        <f t="shared" si="22"/>
        <v>21.1229946524064</v>
      </c>
      <c r="S106" s="37">
        <v>8</v>
      </c>
      <c r="T106" s="37" t="s">
        <v>720</v>
      </c>
      <c r="U106" s="43" t="str">
        <f t="shared" si="23"/>
        <v>2024-05-21</v>
      </c>
      <c r="V106" s="43">
        <f t="shared" si="24"/>
        <v>45433</v>
      </c>
      <c r="W106" s="44">
        <f t="array" ref="W106">_xlfn.IFS(TRIM(C106)="","",TRIM(V106)="","",TRUE,V106-C106)</f>
        <v>7</v>
      </c>
      <c r="X106" s="37">
        <f t="shared" si="25"/>
        <v>-1</v>
      </c>
      <c r="Y106" s="37" t="s">
        <v>105</v>
      </c>
      <c r="Z106" s="37" t="str">
        <f t="shared" si="26"/>
        <v>delivered</v>
      </c>
      <c r="AA106" s="37" t="str">
        <f t="shared" si="27"/>
        <v>On Time</v>
      </c>
      <c r="AB106" s="37" t="str">
        <f t="shared" si="30"/>
        <v>0</v>
      </c>
      <c r="AC106" s="37">
        <f t="shared" si="31"/>
        <v>0</v>
      </c>
      <c r="AD106" s="45">
        <f t="shared" si="29"/>
        <v>0.508428860418071</v>
      </c>
      <c r="AE106" s="37">
        <v>4</v>
      </c>
      <c r="AF106" s="37" t="s">
        <v>191</v>
      </c>
      <c r="AG106" s="37" t="str">
        <f t="shared" si="28"/>
        <v>no</v>
      </c>
      <c r="AH106" s="37" t="str">
        <f t="array" ref="AH106">_xlfn.IFS(LOWER(AG106)="n","no",LOWER(AG106)="y","yes",TRUE,LOWER(AG106))</f>
        <v>no</v>
      </c>
      <c r="AI106" s="37" t="s">
        <v>4692</v>
      </c>
    </row>
    <row r="107" spans="1:35">
      <c r="A107" s="46" t="s">
        <v>721</v>
      </c>
      <c r="B107" s="47">
        <v>45334</v>
      </c>
      <c r="C107" s="39">
        <f t="shared" si="16"/>
        <v>45334</v>
      </c>
      <c r="D107" s="48" t="s">
        <v>424</v>
      </c>
      <c r="E107" s="37" t="str" cm="1">
        <f t="array" ref="E107">_xlfn.IFS(D107="delhi","north",D107="mumbai","west",D107="bengaluru","south",D107="chennai","south",D107="kolkata","east",TRUE,"west")</f>
        <v>south</v>
      </c>
      <c r="F107" s="46" t="s">
        <v>333</v>
      </c>
      <c r="G107" s="37" t="str">
        <f t="shared" si="17"/>
        <v>delhivery</v>
      </c>
      <c r="H107" s="46" t="s">
        <v>137</v>
      </c>
      <c r="I107" s="37" t="str">
        <f t="shared" si="18"/>
        <v>road</v>
      </c>
      <c r="J107" s="46" t="s">
        <v>167</v>
      </c>
      <c r="K107" s="37" t="str">
        <f t="shared" si="19"/>
        <v>pharma</v>
      </c>
      <c r="L107" s="46" t="s">
        <v>89</v>
      </c>
      <c r="M107" s="37" t="str">
        <f t="shared" si="20"/>
        <v>west</v>
      </c>
      <c r="N107" s="46" t="s">
        <v>278</v>
      </c>
      <c r="O107" s="41" t="str">
        <f t="shared" si="21"/>
        <v>Yes</v>
      </c>
      <c r="P107" s="49" t="s">
        <v>723</v>
      </c>
      <c r="Q107" s="49">
        <v>225</v>
      </c>
      <c r="R107" s="42">
        <f t="shared" si="22"/>
        <v>93.75</v>
      </c>
      <c r="S107" s="46">
        <v>8</v>
      </c>
      <c r="T107" s="46" t="s">
        <v>495</v>
      </c>
      <c r="U107" s="43" t="str">
        <f t="shared" si="23"/>
        <v>2024-02-20</v>
      </c>
      <c r="V107" s="43">
        <f t="shared" si="24"/>
        <v>45342</v>
      </c>
      <c r="W107" s="44">
        <f t="array" ref="W107">_xlfn.IFS(TRIM(C107)="","",TRIM(V107)="","",TRUE,V107-C107)</f>
        <v>8</v>
      </c>
      <c r="X107" s="37">
        <f t="shared" si="25"/>
        <v>0</v>
      </c>
      <c r="Y107" s="46" t="s">
        <v>219</v>
      </c>
      <c r="Z107" s="37" t="str">
        <f t="shared" si="26"/>
        <v>delivered</v>
      </c>
      <c r="AA107" s="37" t="str">
        <f t="shared" si="27"/>
        <v>On Time</v>
      </c>
      <c r="AB107" s="37" t="str">
        <f t="shared" si="30"/>
        <v>0</v>
      </c>
      <c r="AC107" s="37">
        <f t="shared" si="31"/>
        <v>0</v>
      </c>
      <c r="AD107" s="45">
        <f t="shared" si="29"/>
        <v>0.508771929824561</v>
      </c>
      <c r="AE107" s="46">
        <v>4</v>
      </c>
      <c r="AF107" s="46" t="s">
        <v>181</v>
      </c>
      <c r="AG107" s="37" t="str">
        <f t="shared" si="28"/>
        <v>y</v>
      </c>
      <c r="AH107" s="37" t="str">
        <f t="array" ref="AH107">_xlfn.IFS(LOWER(AG107)="n","no",LOWER(AG107)="y","yes",TRUE,LOWER(AG107))</f>
        <v>yes</v>
      </c>
      <c r="AI107" s="46" t="s">
        <v>4692</v>
      </c>
    </row>
    <row r="108" spans="1:35">
      <c r="A108" s="37" t="s">
        <v>724</v>
      </c>
      <c r="B108" s="38">
        <v>45330</v>
      </c>
      <c r="C108" s="39">
        <f t="shared" si="16"/>
        <v>45330</v>
      </c>
      <c r="D108" s="40" t="s">
        <v>109</v>
      </c>
      <c r="E108" s="37" t="str" cm="1">
        <f t="array" ref="E108">_xlfn.IFS(D108="delhi","north",D108="mumbai","west",D108="bengaluru","south",D108="chennai","south",D108="kolkata","east",TRUE,"west")</f>
        <v>west</v>
      </c>
      <c r="F108" s="37" t="s">
        <v>367</v>
      </c>
      <c r="G108" s="37" t="str">
        <f t="shared" si="17"/>
        <v>dtdc</v>
      </c>
      <c r="H108" s="37" t="s">
        <v>99</v>
      </c>
      <c r="I108" s="37" t="str">
        <f t="shared" si="18"/>
        <v>air</v>
      </c>
      <c r="J108" s="37" t="s">
        <v>277</v>
      </c>
      <c r="K108" s="37" t="str">
        <f t="shared" si="19"/>
        <v>apparel</v>
      </c>
      <c r="L108" s="37" t="s">
        <v>51</v>
      </c>
      <c r="M108" s="37" t="str">
        <f t="shared" si="20"/>
        <v>south</v>
      </c>
      <c r="N108" s="37" t="s">
        <v>327</v>
      </c>
      <c r="O108" s="41" t="str">
        <f t="shared" si="21"/>
        <v>Yes</v>
      </c>
      <c r="P108" s="41">
        <v>1.4</v>
      </c>
      <c r="Q108" s="41" t="s">
        <v>726</v>
      </c>
      <c r="R108" s="42">
        <f t="shared" si="22"/>
        <v>161.428571428571</v>
      </c>
      <c r="S108" s="37">
        <v>4</v>
      </c>
      <c r="T108" s="37" t="s">
        <v>727</v>
      </c>
      <c r="U108" s="43" t="str">
        <f t="shared" si="23"/>
        <v>18/02/2024</v>
      </c>
      <c r="V108" s="43">
        <f t="shared" si="24"/>
        <v>45340</v>
      </c>
      <c r="W108" s="44">
        <f t="array" ref="W108">_xlfn.IFS(TRIM(C108)="","",TRIM(V108)="","",TRUE,V108-C108)</f>
        <v>10</v>
      </c>
      <c r="X108" s="37">
        <f t="shared" si="25"/>
        <v>6</v>
      </c>
      <c r="Y108" s="37" t="s">
        <v>143</v>
      </c>
      <c r="Z108" s="37" t="str">
        <f t="shared" si="26"/>
        <v>delayed</v>
      </c>
      <c r="AA108" s="37" t="str">
        <f t="shared" si="27"/>
        <v>Late</v>
      </c>
      <c r="AB108" s="37" t="str">
        <f t="shared" si="30"/>
        <v>1</v>
      </c>
      <c r="AC108" s="37">
        <f t="shared" si="31"/>
        <v>1</v>
      </c>
      <c r="AD108" s="45">
        <f t="shared" si="29"/>
        <v>0.509115462525321</v>
      </c>
      <c r="AE108" s="37">
        <v>2</v>
      </c>
      <c r="AF108" s="37" t="s">
        <v>181</v>
      </c>
      <c r="AG108" s="37" t="str">
        <f t="shared" si="28"/>
        <v>y</v>
      </c>
      <c r="AH108" s="37" t="str">
        <f t="array" ref="AH108">_xlfn.IFS(LOWER(AG108)="n","no",LOWER(AG108)="y","yes",TRUE,LOWER(AG108))</f>
        <v>yes</v>
      </c>
      <c r="AI108" s="37" t="s">
        <v>4692</v>
      </c>
    </row>
    <row r="109" spans="1:35">
      <c r="A109" s="46" t="s">
        <v>728</v>
      </c>
      <c r="B109" s="47">
        <v>45423</v>
      </c>
      <c r="C109" s="39">
        <f t="shared" si="16"/>
        <v>45423</v>
      </c>
      <c r="D109" s="48" t="s">
        <v>212</v>
      </c>
      <c r="E109" s="37" t="str" cm="1">
        <f t="array" ref="E109">_xlfn.IFS(D109="delhi","north",D109="mumbai","west",D109="bengaluru","south",D109="chennai","south",D109="kolkata","east",TRUE,"west")</f>
        <v>west</v>
      </c>
      <c r="F109" s="46" t="s">
        <v>194</v>
      </c>
      <c r="G109" s="37" t="str">
        <f t="shared" si="17"/>
        <v>xpressbees</v>
      </c>
      <c r="H109" s="46" t="s">
        <v>99</v>
      </c>
      <c r="I109" s="37" t="str">
        <f t="shared" si="18"/>
        <v>air</v>
      </c>
      <c r="J109" s="46" t="s">
        <v>430</v>
      </c>
      <c r="K109" s="37" t="str">
        <f t="shared" si="19"/>
        <v>pharma</v>
      </c>
      <c r="L109" s="46" t="s">
        <v>197</v>
      </c>
      <c r="M109" s="37" t="str">
        <f t="shared" si="20"/>
        <v>south</v>
      </c>
      <c r="N109" s="46" t="s">
        <v>54</v>
      </c>
      <c r="O109" s="41" t="str">
        <f t="shared" si="21"/>
        <v>Yes</v>
      </c>
      <c r="P109" s="49">
        <v>1.2</v>
      </c>
      <c r="Q109" s="49" t="s">
        <v>731</v>
      </c>
      <c r="R109" s="42">
        <f t="shared" si="22"/>
        <v>163.333333333333</v>
      </c>
      <c r="S109" s="46">
        <v>4</v>
      </c>
      <c r="T109" s="46" t="s">
        <v>388</v>
      </c>
      <c r="U109" s="43" t="str">
        <f t="shared" si="23"/>
        <v>21-may-2024</v>
      </c>
      <c r="V109" s="43">
        <f t="shared" si="24"/>
        <v>45433</v>
      </c>
      <c r="W109" s="44">
        <f t="array" ref="W109">_xlfn.IFS(TRIM(C109)="","",TRIM(V109)="","",TRUE,V109-C109)</f>
        <v>10</v>
      </c>
      <c r="X109" s="37">
        <f t="shared" si="25"/>
        <v>6</v>
      </c>
      <c r="Y109" s="46" t="s">
        <v>172</v>
      </c>
      <c r="Z109" s="37" t="str">
        <f t="shared" si="26"/>
        <v>delayed</v>
      </c>
      <c r="AA109" s="37" t="str">
        <f t="shared" si="27"/>
        <v>Late</v>
      </c>
      <c r="AB109" s="37" t="str">
        <f t="shared" si="30"/>
        <v>1</v>
      </c>
      <c r="AC109" s="37">
        <f t="shared" si="31"/>
        <v>1</v>
      </c>
      <c r="AD109" s="45">
        <f t="shared" si="29"/>
        <v>0.508783783783784</v>
      </c>
      <c r="AE109" s="46">
        <v>1</v>
      </c>
      <c r="AF109" s="46" t="s">
        <v>152</v>
      </c>
      <c r="AG109" s="37" t="str">
        <f t="shared" si="28"/>
        <v>no</v>
      </c>
      <c r="AH109" s="37" t="str">
        <f t="array" ref="AH109">_xlfn.IFS(LOWER(AG109)="n","no",LOWER(AG109)="y","yes",TRUE,LOWER(AG109))</f>
        <v>no</v>
      </c>
      <c r="AI109" s="46" t="s">
        <v>4692</v>
      </c>
    </row>
    <row r="110" spans="1:35">
      <c r="A110" s="37" t="s">
        <v>732</v>
      </c>
      <c r="B110" s="38">
        <v>45333</v>
      </c>
      <c r="C110" s="39">
        <f t="shared" si="16"/>
        <v>45333</v>
      </c>
      <c r="D110" s="40" t="s">
        <v>109</v>
      </c>
      <c r="E110" s="37" t="str" cm="1">
        <f t="array" ref="E110">_xlfn.IFS(D110="delhi","north",D110="mumbai","west",D110="bengaluru","south",D110="chennai","south",D110="kolkata","east",TRUE,"west")</f>
        <v>west</v>
      </c>
      <c r="F110" s="37" t="s">
        <v>352</v>
      </c>
      <c r="G110" s="37" t="str">
        <f t="shared" si="17"/>
        <v>delhivery</v>
      </c>
      <c r="H110" s="37" t="s">
        <v>185</v>
      </c>
      <c r="I110" s="37" t="str">
        <f t="shared" si="18"/>
        <v>surface</v>
      </c>
      <c r="J110" s="37" t="s">
        <v>734</v>
      </c>
      <c r="K110" s="37" t="str">
        <f t="shared" si="19"/>
        <v>grocery&amp;fmcg</v>
      </c>
      <c r="L110" s="37" t="s">
        <v>101</v>
      </c>
      <c r="M110" s="37" t="str">
        <f t="shared" si="20"/>
        <v>west</v>
      </c>
      <c r="N110" s="37" t="s">
        <v>206</v>
      </c>
      <c r="O110" s="41" t="str">
        <f t="shared" si="21"/>
        <v>Yes</v>
      </c>
      <c r="P110" s="41">
        <v>17.7</v>
      </c>
      <c r="Q110" s="41">
        <v>417</v>
      </c>
      <c r="R110" s="42">
        <f t="shared" si="22"/>
        <v>23.5593220338983</v>
      </c>
      <c r="S110" s="37">
        <v>4</v>
      </c>
      <c r="T110" s="37" t="s">
        <v>737</v>
      </c>
      <c r="U110" s="43" t="str">
        <f t="shared" si="23"/>
        <v>15-feb-2024</v>
      </c>
      <c r="V110" s="43">
        <f t="shared" si="24"/>
        <v>45337</v>
      </c>
      <c r="W110" s="44">
        <f t="array" ref="W110">_xlfn.IFS(TRIM(C110)="","",TRIM(V110)="","",TRUE,V110-C110)</f>
        <v>4</v>
      </c>
      <c r="X110" s="37">
        <f t="shared" si="25"/>
        <v>0</v>
      </c>
      <c r="Y110" s="37" t="s">
        <v>219</v>
      </c>
      <c r="Z110" s="37" t="str">
        <f t="shared" si="26"/>
        <v>delivered</v>
      </c>
      <c r="AA110" s="37" t="str">
        <f t="shared" si="27"/>
        <v>On Time</v>
      </c>
      <c r="AB110" s="37" t="str">
        <f t="shared" si="30"/>
        <v>0</v>
      </c>
      <c r="AC110" s="37">
        <f t="shared" si="31"/>
        <v>0</v>
      </c>
      <c r="AD110" s="45">
        <f t="shared" si="29"/>
        <v>0.508451656524679</v>
      </c>
      <c r="AE110" s="37">
        <v>4</v>
      </c>
      <c r="AF110" s="37" t="s">
        <v>118</v>
      </c>
      <c r="AG110" s="37" t="str">
        <f t="shared" si="28"/>
        <v>no</v>
      </c>
      <c r="AH110" s="37" t="str">
        <f t="array" ref="AH110">_xlfn.IFS(LOWER(AG110)="n","no",LOWER(AG110)="y","yes",TRUE,LOWER(AG110))</f>
        <v>no</v>
      </c>
      <c r="AI110" s="37" t="s">
        <v>4692</v>
      </c>
    </row>
    <row r="111" spans="1:35">
      <c r="A111" s="46" t="s">
        <v>738</v>
      </c>
      <c r="B111" s="47" t="s">
        <v>4723</v>
      </c>
      <c r="C111" s="39">
        <f t="shared" si="16"/>
        <v>45409</v>
      </c>
      <c r="D111" s="48" t="s">
        <v>300</v>
      </c>
      <c r="E111" s="37" t="str" cm="1">
        <f t="array" ref="E111">_xlfn.IFS(D111="delhi","north",D111="mumbai","west",D111="bengaluru","south",D111="chennai","south",D111="kolkata","east",TRUE,"west")</f>
        <v>west</v>
      </c>
      <c r="F111" s="46" t="s">
        <v>213</v>
      </c>
      <c r="G111" s="37" t="str">
        <f t="shared" si="17"/>
        <v>dtdc</v>
      </c>
      <c r="H111" s="46" t="s">
        <v>325</v>
      </c>
      <c r="I111" s="37" t="str">
        <f t="shared" si="18"/>
        <v>air</v>
      </c>
      <c r="J111" s="46" t="s">
        <v>111</v>
      </c>
      <c r="K111" s="37" t="str">
        <f t="shared" si="19"/>
        <v>grocery&amp;fmcg</v>
      </c>
      <c r="L111" s="46" t="s">
        <v>87</v>
      </c>
      <c r="M111" s="37" t="str">
        <f t="shared" si="20"/>
        <v>north</v>
      </c>
      <c r="N111" s="46" t="s">
        <v>215</v>
      </c>
      <c r="O111" s="41" t="str">
        <f t="shared" si="21"/>
        <v>Yes</v>
      </c>
      <c r="P111" s="49">
        <v>17</v>
      </c>
      <c r="Q111" s="49" t="s">
        <v>741</v>
      </c>
      <c r="R111" s="42">
        <f t="shared" si="22"/>
        <v>53.5294117647059</v>
      </c>
      <c r="S111" s="46">
        <v>4</v>
      </c>
      <c r="T111" s="46" t="s">
        <v>742</v>
      </c>
      <c r="U111" s="43" t="str">
        <f t="shared" si="23"/>
        <v>2024-05-03</v>
      </c>
      <c r="V111" s="43">
        <f t="shared" si="24"/>
        <v>45415</v>
      </c>
      <c r="W111" s="44">
        <f t="array" ref="W111">_xlfn.IFS(TRIM(C111)="","",TRIM(V111)="","",TRUE,V111-C111)</f>
        <v>6</v>
      </c>
      <c r="X111" s="37">
        <f t="shared" si="25"/>
        <v>2</v>
      </c>
      <c r="Y111" s="46" t="s">
        <v>72</v>
      </c>
      <c r="Z111" s="37" t="str">
        <f t="shared" si="26"/>
        <v>delayed</v>
      </c>
      <c r="AA111" s="37" t="str">
        <f t="shared" si="27"/>
        <v>Late</v>
      </c>
      <c r="AB111" s="37" t="str">
        <f t="shared" si="30"/>
        <v>1</v>
      </c>
      <c r="AC111" s="37">
        <f t="shared" si="31"/>
        <v>1</v>
      </c>
      <c r="AD111" s="45">
        <f t="shared" si="29"/>
        <v>0.508795669824087</v>
      </c>
      <c r="AE111" s="46">
        <v>2</v>
      </c>
      <c r="AF111" s="46" t="s">
        <v>152</v>
      </c>
      <c r="AG111" s="37" t="str">
        <f t="shared" si="28"/>
        <v>no</v>
      </c>
      <c r="AH111" s="37" t="str">
        <f t="array" ref="AH111">_xlfn.IFS(LOWER(AG111)="n","no",LOWER(AG111)="y","yes",TRUE,LOWER(AG111))</f>
        <v>no</v>
      </c>
      <c r="AI111" s="46" t="s">
        <v>4692</v>
      </c>
    </row>
    <row r="112" spans="1:35">
      <c r="A112" s="37" t="s">
        <v>743</v>
      </c>
      <c r="B112" s="38">
        <v>45301</v>
      </c>
      <c r="C112" s="39">
        <f t="shared" si="16"/>
        <v>45301</v>
      </c>
      <c r="D112" s="40" t="s">
        <v>243</v>
      </c>
      <c r="E112" s="37" t="str" cm="1">
        <f t="array" ref="E112">_xlfn.IFS(D112="delhi","north",D112="mumbai","west",D112="bengaluru","south",D112="chennai","south",D112="kolkata","east",TRUE,"west")</f>
        <v>west</v>
      </c>
      <c r="F112" s="37" t="s">
        <v>98</v>
      </c>
      <c r="G112" s="37" t="str">
        <f t="shared" si="17"/>
        <v>dtdc</v>
      </c>
      <c r="H112" s="37" t="s">
        <v>325</v>
      </c>
      <c r="I112" s="37" t="str">
        <f t="shared" si="18"/>
        <v>air</v>
      </c>
      <c r="J112" s="37" t="s">
        <v>498</v>
      </c>
      <c r="K112" s="37" t="str">
        <f t="shared" si="19"/>
        <v>apparel</v>
      </c>
      <c r="L112" s="37" t="s">
        <v>401</v>
      </c>
      <c r="M112" s="37" t="str">
        <f t="shared" si="20"/>
        <v>south</v>
      </c>
      <c r="N112" s="37" t="s">
        <v>327</v>
      </c>
      <c r="O112" s="41" t="str">
        <f t="shared" si="21"/>
        <v>Yes</v>
      </c>
      <c r="P112" s="41" t="s">
        <v>745</v>
      </c>
      <c r="Q112" s="41" t="s">
        <v>746</v>
      </c>
      <c r="R112" s="42">
        <f t="shared" si="22"/>
        <v>53.5294117647059</v>
      </c>
      <c r="S112" s="37">
        <v>2</v>
      </c>
      <c r="T112" s="37" t="s">
        <v>443</v>
      </c>
      <c r="U112" s="43" t="str">
        <f t="shared" si="23"/>
        <v>2024-01-11</v>
      </c>
      <c r="V112" s="43">
        <f t="shared" si="24"/>
        <v>45302</v>
      </c>
      <c r="W112" s="44">
        <f t="array" ref="W112">_xlfn.IFS(TRIM(C112)="","",TRIM(V112)="","",TRUE,V112-C112)</f>
        <v>1</v>
      </c>
      <c r="X112" s="37">
        <f t="shared" si="25"/>
        <v>-1</v>
      </c>
      <c r="Y112" s="37" t="s">
        <v>105</v>
      </c>
      <c r="Z112" s="37" t="str">
        <f t="shared" si="26"/>
        <v>delivered</v>
      </c>
      <c r="AA112" s="37" t="str">
        <f t="shared" si="27"/>
        <v>On Time</v>
      </c>
      <c r="AB112" s="37" t="str">
        <f t="shared" si="30"/>
        <v>0</v>
      </c>
      <c r="AC112" s="37">
        <f t="shared" si="31"/>
        <v>0</v>
      </c>
      <c r="AD112" s="45">
        <f t="shared" si="29"/>
        <v>0.508463100880162</v>
      </c>
      <c r="AE112" s="37">
        <v>4</v>
      </c>
      <c r="AF112" s="37" t="s">
        <v>152</v>
      </c>
      <c r="AG112" s="37" t="str">
        <f t="shared" si="28"/>
        <v>no</v>
      </c>
      <c r="AH112" s="37" t="str">
        <f t="array" ref="AH112">_xlfn.IFS(LOWER(AG112)="n","no",LOWER(AG112)="y","yes",TRUE,LOWER(AG112))</f>
        <v>no</v>
      </c>
      <c r="AI112" s="37" t="s">
        <v>4692</v>
      </c>
    </row>
    <row r="113" spans="1:35">
      <c r="A113" s="46" t="s">
        <v>747</v>
      </c>
      <c r="B113" s="47">
        <v>45423</v>
      </c>
      <c r="C113" s="39">
        <f t="shared" si="16"/>
        <v>45423</v>
      </c>
      <c r="D113" s="48" t="s">
        <v>212</v>
      </c>
      <c r="E113" s="37" t="str" cm="1">
        <f t="array" ref="E113">_xlfn.IFS(D113="delhi","north",D113="mumbai","west",D113="bengaluru","south",D113="chennai","south",D113="kolkata","east",TRUE,"west")</f>
        <v>west</v>
      </c>
      <c r="F113" s="46" t="s">
        <v>194</v>
      </c>
      <c r="G113" s="37" t="str">
        <f t="shared" si="17"/>
        <v>xpressbees</v>
      </c>
      <c r="H113" s="46" t="s">
        <v>345</v>
      </c>
      <c r="I113" s="37" t="str">
        <f t="shared" si="18"/>
        <v>surface</v>
      </c>
      <c r="J113" s="46" t="s">
        <v>237</v>
      </c>
      <c r="K113" s="37" t="str">
        <f t="shared" si="19"/>
        <v>automotiveparts</v>
      </c>
      <c r="L113" s="46" t="s">
        <v>346</v>
      </c>
      <c r="M113" s="37" t="str">
        <f t="shared" si="20"/>
        <v>north</v>
      </c>
      <c r="N113" s="46" t="s">
        <v>354</v>
      </c>
      <c r="O113" s="41" t="str">
        <f t="shared" si="21"/>
        <v>Yes</v>
      </c>
      <c r="P113" s="49">
        <v>19.3</v>
      </c>
      <c r="Q113" s="49">
        <v>574</v>
      </c>
      <c r="R113" s="42">
        <f t="shared" si="22"/>
        <v>29.740932642487</v>
      </c>
      <c r="S113" s="46">
        <v>6</v>
      </c>
      <c r="T113" s="46" t="s">
        <v>750</v>
      </c>
      <c r="U113" s="43" t="str">
        <f t="shared" si="23"/>
        <v>18-may-2024</v>
      </c>
      <c r="V113" s="43">
        <f t="shared" si="24"/>
        <v>45430</v>
      </c>
      <c r="W113" s="44">
        <f t="array" ref="W113">_xlfn.IFS(TRIM(C113)="","",TRIM(V113)="","",TRUE,V113-C113)</f>
        <v>7</v>
      </c>
      <c r="X113" s="37">
        <f t="shared" si="25"/>
        <v>1</v>
      </c>
      <c r="Y113" s="46" t="s">
        <v>200</v>
      </c>
      <c r="Z113" s="37" t="str">
        <f t="shared" si="26"/>
        <v>delayed</v>
      </c>
      <c r="AA113" s="37" t="str">
        <f t="shared" si="27"/>
        <v>Late</v>
      </c>
      <c r="AB113" s="37" t="str">
        <f t="shared" si="30"/>
        <v>1</v>
      </c>
      <c r="AC113" s="37">
        <f t="shared" si="31"/>
        <v>1</v>
      </c>
      <c r="AD113" s="45">
        <f t="shared" si="29"/>
        <v>0.508807588075881</v>
      </c>
      <c r="AE113" s="46">
        <v>2</v>
      </c>
      <c r="AF113" s="46" t="s">
        <v>79</v>
      </c>
      <c r="AG113" s="37" t="str">
        <f t="shared" si="28"/>
        <v>yes</v>
      </c>
      <c r="AH113" s="37" t="str">
        <f t="array" ref="AH113">_xlfn.IFS(LOWER(AG113)="n","no",LOWER(AG113)="y","yes",TRUE,LOWER(AG113))</f>
        <v>yes</v>
      </c>
      <c r="AI113" s="46" t="s">
        <v>4692</v>
      </c>
    </row>
    <row r="114" spans="1:35">
      <c r="A114" s="37" t="s">
        <v>751</v>
      </c>
      <c r="B114" s="38" t="s">
        <v>4724</v>
      </c>
      <c r="C114" s="39">
        <f t="shared" si="16"/>
        <v>45405</v>
      </c>
      <c r="D114" s="40" t="s">
        <v>633</v>
      </c>
      <c r="E114" s="37" t="str" cm="1">
        <f t="array" ref="E114">_xlfn.IFS(D114="delhi","north",D114="mumbai","west",D114="bengaluru","south",D114="chennai","south",D114="kolkata","east",TRUE,"west")</f>
        <v>south</v>
      </c>
      <c r="F114" s="37" t="s">
        <v>98</v>
      </c>
      <c r="G114" s="37" t="str">
        <f t="shared" si="17"/>
        <v>dtdc</v>
      </c>
      <c r="H114" s="37" t="s">
        <v>176</v>
      </c>
      <c r="I114" s="37" t="str">
        <f t="shared" si="18"/>
        <v>road</v>
      </c>
      <c r="J114" s="37" t="s">
        <v>177</v>
      </c>
      <c r="K114" s="37" t="str">
        <f t="shared" si="19"/>
        <v>pharma</v>
      </c>
      <c r="L114" s="37" t="s">
        <v>264</v>
      </c>
      <c r="M114" s="37" t="str">
        <f t="shared" si="20"/>
        <v>west</v>
      </c>
      <c r="N114" s="37" t="s">
        <v>88</v>
      </c>
      <c r="O114" s="41" t="str">
        <f t="shared" si="21"/>
        <v>Yes</v>
      </c>
      <c r="P114" s="41">
        <v>4.8</v>
      </c>
      <c r="Q114" s="41" t="s">
        <v>753</v>
      </c>
      <c r="R114" s="42">
        <f t="shared" si="22"/>
        <v>39.7916666666667</v>
      </c>
      <c r="S114" s="37">
        <v>8</v>
      </c>
      <c r="T114" s="37" t="s">
        <v>250</v>
      </c>
      <c r="U114" s="43" t="str">
        <f t="shared" si="23"/>
        <v>02/05/2024</v>
      </c>
      <c r="V114" s="43">
        <f t="shared" si="24"/>
        <v>45414</v>
      </c>
      <c r="W114" s="44">
        <f t="array" ref="W114">_xlfn.IFS(TRIM(C114)="","",TRIM(V114)="","",TRUE,V114-C114)</f>
        <v>9</v>
      </c>
      <c r="X114" s="37">
        <f t="shared" si="25"/>
        <v>1</v>
      </c>
      <c r="Y114" s="37" t="s">
        <v>143</v>
      </c>
      <c r="Z114" s="37" t="str">
        <f t="shared" si="26"/>
        <v>delayed</v>
      </c>
      <c r="AA114" s="37" t="str">
        <f t="shared" si="27"/>
        <v>Late</v>
      </c>
      <c r="AB114" s="37" t="str">
        <f t="shared" si="30"/>
        <v>1</v>
      </c>
      <c r="AC114" s="37">
        <f t="shared" si="31"/>
        <v>1</v>
      </c>
      <c r="AD114" s="45">
        <f t="shared" si="29"/>
        <v>0.508474576271186</v>
      </c>
      <c r="AE114" s="37">
        <v>5</v>
      </c>
      <c r="AF114" s="37" t="s">
        <v>118</v>
      </c>
      <c r="AG114" s="37" t="str">
        <f t="shared" si="28"/>
        <v>no</v>
      </c>
      <c r="AH114" s="37" t="str">
        <f t="array" ref="AH114">_xlfn.IFS(LOWER(AG114)="n","no",LOWER(AG114)="y","yes",TRUE,LOWER(AG114))</f>
        <v>no</v>
      </c>
      <c r="AI114" s="37" t="s">
        <v>4692</v>
      </c>
    </row>
    <row r="115" spans="1:35">
      <c r="A115" s="46" t="s">
        <v>754</v>
      </c>
      <c r="B115" s="47">
        <v>45374</v>
      </c>
      <c r="C115" s="39">
        <f t="shared" si="16"/>
        <v>45374</v>
      </c>
      <c r="D115" s="48" t="s">
        <v>366</v>
      </c>
      <c r="E115" s="37" t="str" cm="1">
        <f t="array" ref="E115">_xlfn.IFS(D115="delhi","north",D115="mumbai","west",D115="bengaluru","south",D115="chennai","south",D115="kolkata","east",TRUE,"west")</f>
        <v>east</v>
      </c>
      <c r="F115" s="46" t="s">
        <v>223</v>
      </c>
      <c r="G115" s="37" t="str">
        <f t="shared" si="17"/>
        <v>xpressbees</v>
      </c>
      <c r="H115" s="46" t="s">
        <v>157</v>
      </c>
      <c r="I115" s="37" t="str">
        <f t="shared" si="18"/>
        <v>surface</v>
      </c>
      <c r="J115" s="46" t="s">
        <v>186</v>
      </c>
      <c r="K115" s="37" t="str">
        <f t="shared" si="19"/>
        <v>automotiveparts</v>
      </c>
      <c r="L115" s="46" t="s">
        <v>380</v>
      </c>
      <c r="M115" s="37" t="str">
        <f t="shared" si="20"/>
        <v>east</v>
      </c>
      <c r="N115" s="46" t="s">
        <v>396</v>
      </c>
      <c r="O115" s="41" t="str">
        <f t="shared" si="21"/>
        <v>Yes</v>
      </c>
      <c r="P115" s="49">
        <v>30.9</v>
      </c>
      <c r="Q115" s="49">
        <v>673</v>
      </c>
      <c r="R115" s="42">
        <f t="shared" si="22"/>
        <v>21.7799352750809</v>
      </c>
      <c r="S115" s="46">
        <v>4</v>
      </c>
      <c r="T115" s="46" t="s">
        <v>758</v>
      </c>
      <c r="U115" s="43" t="str">
        <f t="shared" si="23"/>
        <v>26/03/2024</v>
      </c>
      <c r="V115" s="43">
        <f t="shared" si="24"/>
        <v>45377</v>
      </c>
      <c r="W115" s="44">
        <f t="array" ref="W115">_xlfn.IFS(TRIM(C115)="","",TRIM(V115)="","",TRUE,V115-C115)</f>
        <v>3</v>
      </c>
      <c r="X115" s="37">
        <f t="shared" si="25"/>
        <v>-1</v>
      </c>
      <c r="Y115" s="46" t="s">
        <v>130</v>
      </c>
      <c r="Z115" s="37" t="str">
        <f t="shared" si="26"/>
        <v>damaged</v>
      </c>
      <c r="AA115" s="37" t="str">
        <f t="shared" si="27"/>
        <v>On Time</v>
      </c>
      <c r="AB115" s="37" t="str">
        <f t="shared" si="30"/>
        <v>0</v>
      </c>
      <c r="AC115" s="37">
        <f t="shared" si="31"/>
        <v>0</v>
      </c>
      <c r="AD115" s="45">
        <f t="shared" si="29"/>
        <v>0.508141112618725</v>
      </c>
      <c r="AE115" s="46"/>
      <c r="AF115" s="46" t="s">
        <v>118</v>
      </c>
      <c r="AG115" s="37" t="str">
        <f t="shared" si="28"/>
        <v>no</v>
      </c>
      <c r="AH115" s="37" t="str">
        <f t="array" ref="AH115">_xlfn.IFS(LOWER(AG115)="n","no",LOWER(AG115)="y","yes",TRUE,LOWER(AG115))</f>
        <v>no</v>
      </c>
      <c r="AI115" s="46" t="s">
        <v>759</v>
      </c>
    </row>
    <row r="116" spans="1:35">
      <c r="A116" s="37" t="s">
        <v>760</v>
      </c>
      <c r="B116" s="38" t="s">
        <v>4725</v>
      </c>
      <c r="C116" s="39">
        <f t="shared" si="16"/>
        <v>45309</v>
      </c>
      <c r="D116" s="40" t="s">
        <v>633</v>
      </c>
      <c r="E116" s="37" t="str" cm="1">
        <f t="array" ref="E116">_xlfn.IFS(D116="delhi","north",D116="mumbai","west",D116="bengaluru","south",D116="chennai","south",D116="kolkata","east",TRUE,"west")</f>
        <v>south</v>
      </c>
      <c r="F116" s="37" t="s">
        <v>122</v>
      </c>
      <c r="G116" s="37" t="str">
        <f t="shared" si="17"/>
        <v>delhivery</v>
      </c>
      <c r="H116" s="37" t="s">
        <v>157</v>
      </c>
      <c r="I116" s="37" t="str">
        <f t="shared" si="18"/>
        <v>surface</v>
      </c>
      <c r="J116" s="37" t="s">
        <v>167</v>
      </c>
      <c r="K116" s="37" t="str">
        <f t="shared" si="19"/>
        <v>pharma</v>
      </c>
      <c r="L116" s="37" t="s">
        <v>51</v>
      </c>
      <c r="M116" s="37" t="str">
        <f t="shared" si="20"/>
        <v>south</v>
      </c>
      <c r="N116" s="37" t="s">
        <v>90</v>
      </c>
      <c r="O116" s="41" t="str">
        <f t="shared" si="21"/>
        <v>Yes</v>
      </c>
      <c r="P116" s="41">
        <v>4.4</v>
      </c>
      <c r="Q116" s="41" t="s">
        <v>432</v>
      </c>
      <c r="R116" s="42">
        <f t="shared" si="22"/>
        <v>18.1818181818182</v>
      </c>
      <c r="S116" s="37">
        <v>4</v>
      </c>
      <c r="T116" s="37" t="s">
        <v>763</v>
      </c>
      <c r="U116" s="43" t="str">
        <f t="shared" si="23"/>
        <v>23/01/2024</v>
      </c>
      <c r="V116" s="43">
        <f t="shared" si="24"/>
        <v>45314</v>
      </c>
      <c r="W116" s="44">
        <f t="array" ref="W116">_xlfn.IFS(TRIM(C116)="","",TRIM(V116)="","",TRUE,V116-C116)</f>
        <v>5</v>
      </c>
      <c r="X116" s="37">
        <f t="shared" si="25"/>
        <v>1</v>
      </c>
      <c r="Y116" s="37" t="s">
        <v>143</v>
      </c>
      <c r="Z116" s="37" t="str">
        <f t="shared" si="26"/>
        <v>delayed</v>
      </c>
      <c r="AA116" s="37" t="str">
        <f t="shared" si="27"/>
        <v>Late</v>
      </c>
      <c r="AB116" s="37" t="str">
        <f t="shared" si="30"/>
        <v>1</v>
      </c>
      <c r="AC116" s="37">
        <f t="shared" si="31"/>
        <v>1</v>
      </c>
      <c r="AD116" s="45">
        <f t="shared" si="29"/>
        <v>0.508486082824168</v>
      </c>
      <c r="AE116" s="37">
        <v>2</v>
      </c>
      <c r="AF116" s="37" t="s">
        <v>118</v>
      </c>
      <c r="AG116" s="37" t="str">
        <f t="shared" si="28"/>
        <v>no</v>
      </c>
      <c r="AH116" s="37" t="str">
        <f t="array" ref="AH116">_xlfn.IFS(LOWER(AG116)="n","no",LOWER(AG116)="y","yes",TRUE,LOWER(AG116))</f>
        <v>no</v>
      </c>
      <c r="AI116" s="37" t="s">
        <v>4692</v>
      </c>
    </row>
    <row r="117" spans="1:35">
      <c r="A117" s="46" t="s">
        <v>764</v>
      </c>
      <c r="B117" s="47">
        <v>45360</v>
      </c>
      <c r="C117" s="39">
        <f t="shared" si="16"/>
        <v>45360</v>
      </c>
      <c r="D117" s="48" t="s">
        <v>340</v>
      </c>
      <c r="E117" s="37" t="str" cm="1">
        <f t="array" ref="E117">_xlfn.IFS(D117="delhi","north",D117="mumbai","west",D117="bengaluru","south",D117="chennai","south",D117="kolkata","east",TRUE,"west")</f>
        <v>north</v>
      </c>
      <c r="F117" s="46" t="s">
        <v>223</v>
      </c>
      <c r="G117" s="37" t="str">
        <f t="shared" si="17"/>
        <v>xpressbees</v>
      </c>
      <c r="H117" s="46" t="s">
        <v>176</v>
      </c>
      <c r="I117" s="37" t="str">
        <f t="shared" si="18"/>
        <v>road</v>
      </c>
      <c r="J117" s="46" t="s">
        <v>385</v>
      </c>
      <c r="K117" s="37" t="str">
        <f t="shared" si="19"/>
        <v>furniture</v>
      </c>
      <c r="L117" s="46" t="s">
        <v>334</v>
      </c>
      <c r="M117" s="37" t="str">
        <f t="shared" si="20"/>
        <v>north</v>
      </c>
      <c r="N117" s="46" t="s">
        <v>354</v>
      </c>
      <c r="O117" s="41" t="str">
        <f t="shared" si="21"/>
        <v>Yes</v>
      </c>
      <c r="P117" s="49">
        <v>44.2</v>
      </c>
      <c r="Q117" s="49">
        <v>618</v>
      </c>
      <c r="R117" s="42">
        <f t="shared" si="22"/>
        <v>13.9819004524887</v>
      </c>
      <c r="S117" s="46">
        <v>6</v>
      </c>
      <c r="T117" s="46" t="s">
        <v>606</v>
      </c>
      <c r="U117" s="43" t="str">
        <f t="shared" si="23"/>
        <v>16-mar-2024</v>
      </c>
      <c r="V117" s="43">
        <f t="shared" si="24"/>
        <v>45367</v>
      </c>
      <c r="W117" s="44">
        <f t="array" ref="W117">_xlfn.IFS(TRIM(C117)="","",TRIM(V117)="","",TRUE,V117-C117)</f>
        <v>7</v>
      </c>
      <c r="X117" s="37">
        <f t="shared" si="25"/>
        <v>1</v>
      </c>
      <c r="Y117" s="46" t="s">
        <v>143</v>
      </c>
      <c r="Z117" s="37" t="str">
        <f t="shared" si="26"/>
        <v>delayed</v>
      </c>
      <c r="AA117" s="37" t="str">
        <f t="shared" si="27"/>
        <v>Late</v>
      </c>
      <c r="AB117" s="37" t="str">
        <f t="shared" si="30"/>
        <v>1</v>
      </c>
      <c r="AC117" s="37">
        <f t="shared" si="31"/>
        <v>1</v>
      </c>
      <c r="AD117" s="45">
        <f t="shared" si="29"/>
        <v>0.508152173913043</v>
      </c>
      <c r="AE117" s="46">
        <v>2</v>
      </c>
      <c r="AF117" s="46" t="s">
        <v>286</v>
      </c>
      <c r="AG117" s="37" t="str">
        <f t="shared" si="28"/>
        <v>yes</v>
      </c>
      <c r="AH117" s="37" t="str">
        <f t="array" ref="AH117">_xlfn.IFS(LOWER(AG117)="n","no",LOWER(AG117)="y","yes",TRUE,LOWER(AG117))</f>
        <v>yes</v>
      </c>
      <c r="AI117" s="46" t="s">
        <v>4692</v>
      </c>
    </row>
    <row r="118" spans="1:35">
      <c r="A118" s="37" t="s">
        <v>768</v>
      </c>
      <c r="B118" s="38">
        <v>45470</v>
      </c>
      <c r="C118" s="39">
        <f t="shared" si="16"/>
        <v>45470</v>
      </c>
      <c r="D118" s="40" t="s">
        <v>243</v>
      </c>
      <c r="E118" s="37" t="str" cm="1">
        <f t="array" ref="E118">_xlfn.IFS(D118="delhi","north",D118="mumbai","west",D118="bengaluru","south",D118="chennai","south",D118="kolkata","east",TRUE,"west")</f>
        <v>west</v>
      </c>
      <c r="F118" s="37" t="s">
        <v>175</v>
      </c>
      <c r="G118" s="37" t="str">
        <f t="shared" si="17"/>
        <v>ecomexpress</v>
      </c>
      <c r="H118" s="37" t="s">
        <v>224</v>
      </c>
      <c r="I118" s="37" t="str">
        <f t="shared" si="18"/>
        <v>air</v>
      </c>
      <c r="J118" s="37" t="s">
        <v>231</v>
      </c>
      <c r="K118" s="37" t="str">
        <f t="shared" si="19"/>
        <v>furniture</v>
      </c>
      <c r="L118" s="37" t="s">
        <v>168</v>
      </c>
      <c r="M118" s="37" t="str">
        <f t="shared" si="20"/>
        <v>west</v>
      </c>
      <c r="N118" s="37" t="s">
        <v>187</v>
      </c>
      <c r="O118" s="41" t="str">
        <f t="shared" si="21"/>
        <v>Yes</v>
      </c>
      <c r="P118" s="41">
        <v>26.5</v>
      </c>
      <c r="Q118" s="41" t="s">
        <v>771</v>
      </c>
      <c r="R118" s="42">
        <f t="shared" si="22"/>
        <v>52.4150943396226</v>
      </c>
      <c r="S118" s="37">
        <v>4</v>
      </c>
      <c r="T118" s="37" t="s">
        <v>772</v>
      </c>
      <c r="U118" s="43" t="str">
        <f t="shared" si="23"/>
        <v>03-jul-2024</v>
      </c>
      <c r="V118" s="43">
        <f t="shared" si="24"/>
        <v>45476</v>
      </c>
      <c r="W118" s="44">
        <f t="array" ref="W118">_xlfn.IFS(TRIM(C118)="","",TRIM(V118)="","",TRUE,V118-C118)</f>
        <v>6</v>
      </c>
      <c r="X118" s="37">
        <f t="shared" si="25"/>
        <v>2</v>
      </c>
      <c r="Y118" s="37" t="s">
        <v>143</v>
      </c>
      <c r="Z118" s="37" t="str">
        <f t="shared" si="26"/>
        <v>delayed</v>
      </c>
      <c r="AA118" s="37" t="str">
        <f t="shared" si="27"/>
        <v>Late</v>
      </c>
      <c r="AB118" s="37" t="str">
        <f t="shared" si="30"/>
        <v>1</v>
      </c>
      <c r="AC118" s="37">
        <f t="shared" si="31"/>
        <v>1</v>
      </c>
      <c r="AD118" s="45">
        <f t="shared" si="29"/>
        <v>0.507817811012916</v>
      </c>
      <c r="AE118" s="37">
        <v>4</v>
      </c>
      <c r="AF118" s="37" t="s">
        <v>191</v>
      </c>
      <c r="AG118" s="37" t="str">
        <f t="shared" si="28"/>
        <v>no</v>
      </c>
      <c r="AH118" s="37" t="str">
        <f t="array" ref="AH118">_xlfn.IFS(LOWER(AG118)="n","no",LOWER(AG118)="y","yes",TRUE,LOWER(AG118))</f>
        <v>no</v>
      </c>
      <c r="AI118" s="37" t="s">
        <v>4692</v>
      </c>
    </row>
    <row r="119" spans="1:35">
      <c r="A119" s="46" t="s">
        <v>773</v>
      </c>
      <c r="B119" s="47" t="s">
        <v>4726</v>
      </c>
      <c r="C119" s="39">
        <f t="shared" si="16"/>
        <v>45304</v>
      </c>
      <c r="D119" s="48" t="s">
        <v>4705</v>
      </c>
      <c r="E119" s="37" t="str" cm="1">
        <f t="array" ref="E119">_xlfn.IFS(D119="delhi","north",D119="mumbai","west",D119="bengaluru","south",D119="chennai","south",D119="kolkata","east",TRUE,"west")</f>
        <v>west</v>
      </c>
      <c r="F119" s="46" t="s">
        <v>270</v>
      </c>
      <c r="G119" s="37" t="str">
        <f t="shared" si="17"/>
        <v>ecomexpress</v>
      </c>
      <c r="H119" s="46" t="s">
        <v>440</v>
      </c>
      <c r="I119" s="37" t="str">
        <f t="shared" si="18"/>
        <v>road</v>
      </c>
      <c r="J119" s="46" t="s">
        <v>353</v>
      </c>
      <c r="K119" s="37" t="str">
        <f t="shared" si="19"/>
        <v>automotiveparts</v>
      </c>
      <c r="L119" s="46" t="s">
        <v>89</v>
      </c>
      <c r="M119" s="37" t="str">
        <f t="shared" si="20"/>
        <v>west</v>
      </c>
      <c r="N119" s="46" t="s">
        <v>206</v>
      </c>
      <c r="O119" s="41" t="str">
        <f t="shared" si="21"/>
        <v>Yes</v>
      </c>
      <c r="P119" s="49">
        <v>30.3</v>
      </c>
      <c r="Q119" s="49" t="s">
        <v>776</v>
      </c>
      <c r="R119" s="42">
        <f t="shared" si="22"/>
        <v>20.2640264026403</v>
      </c>
      <c r="S119" s="46">
        <v>8</v>
      </c>
      <c r="T119" s="46" t="s">
        <v>556</v>
      </c>
      <c r="U119" s="43" t="str">
        <f t="shared" si="23"/>
        <v>20-jan-2024</v>
      </c>
      <c r="V119" s="43">
        <f t="shared" si="24"/>
        <v>45311</v>
      </c>
      <c r="W119" s="44">
        <f t="array" ref="W119">_xlfn.IFS(TRIM(C119)="","",TRIM(V119)="","",TRUE,V119-C119)</f>
        <v>7</v>
      </c>
      <c r="X119" s="37">
        <f t="shared" si="25"/>
        <v>-1</v>
      </c>
      <c r="Y119" s="46" t="s">
        <v>105</v>
      </c>
      <c r="Z119" s="37" t="str">
        <f t="shared" si="26"/>
        <v>delivered</v>
      </c>
      <c r="AA119" s="37" t="str">
        <f t="shared" si="27"/>
        <v>On Time</v>
      </c>
      <c r="AB119" s="37" t="str">
        <f t="shared" si="30"/>
        <v>0</v>
      </c>
      <c r="AC119" s="37">
        <f t="shared" si="31"/>
        <v>0</v>
      </c>
      <c r="AD119" s="45">
        <f t="shared" si="29"/>
        <v>0.507482993197279</v>
      </c>
      <c r="AE119" s="46">
        <v>4</v>
      </c>
      <c r="AF119" s="46" t="s">
        <v>118</v>
      </c>
      <c r="AG119" s="37" t="str">
        <f t="shared" si="28"/>
        <v>no</v>
      </c>
      <c r="AH119" s="37" t="str">
        <f t="array" ref="AH119">_xlfn.IFS(LOWER(AG119)="n","no",LOWER(AG119)="y","yes",TRUE,LOWER(AG119))</f>
        <v>no</v>
      </c>
      <c r="AI119" s="46" t="s">
        <v>4692</v>
      </c>
    </row>
    <row r="120" spans="1:35">
      <c r="A120" s="37" t="s">
        <v>777</v>
      </c>
      <c r="B120" s="38">
        <v>45465</v>
      </c>
      <c r="C120" s="39">
        <f t="shared" si="16"/>
        <v>45465</v>
      </c>
      <c r="D120" s="40" t="s">
        <v>424</v>
      </c>
      <c r="E120" s="37" t="str" cm="1">
        <f t="array" ref="E120">_xlfn.IFS(D120="delhi","north",D120="mumbai","west",D120="bengaluru","south",D120="chennai","south",D120="kolkata","east",TRUE,"west")</f>
        <v>south</v>
      </c>
      <c r="F120" s="37" t="s">
        <v>352</v>
      </c>
      <c r="G120" s="37" t="str">
        <f t="shared" si="17"/>
        <v>delhivery</v>
      </c>
      <c r="H120" s="37" t="s">
        <v>157</v>
      </c>
      <c r="I120" s="37" t="str">
        <f t="shared" si="18"/>
        <v>surface</v>
      </c>
      <c r="J120" s="37" t="s">
        <v>100</v>
      </c>
      <c r="K120" s="37" t="str">
        <f t="shared" si="19"/>
        <v>electronics</v>
      </c>
      <c r="L120" s="37" t="s">
        <v>51</v>
      </c>
      <c r="M120" s="37" t="str">
        <f t="shared" si="20"/>
        <v>south</v>
      </c>
      <c r="N120" s="37" t="s">
        <v>54</v>
      </c>
      <c r="O120" s="41" t="str">
        <f t="shared" si="21"/>
        <v>Yes</v>
      </c>
      <c r="P120" s="41">
        <v>2</v>
      </c>
      <c r="Q120" s="41">
        <v>80</v>
      </c>
      <c r="R120" s="42">
        <f t="shared" si="22"/>
        <v>40</v>
      </c>
      <c r="S120" s="37">
        <v>4</v>
      </c>
      <c r="T120" s="37" t="s">
        <v>779</v>
      </c>
      <c r="U120" s="43" t="str">
        <f t="shared" si="23"/>
        <v>2024-06-26</v>
      </c>
      <c r="V120" s="43">
        <f t="shared" si="24"/>
        <v>45469</v>
      </c>
      <c r="W120" s="44">
        <f t="array" ref="W120">_xlfn.IFS(TRIM(C120)="","",TRIM(V120)="","",TRUE,V120-C120)</f>
        <v>4</v>
      </c>
      <c r="X120" s="37">
        <f t="shared" si="25"/>
        <v>0</v>
      </c>
      <c r="Y120" s="37" t="s">
        <v>117</v>
      </c>
      <c r="Z120" s="37" t="str">
        <f t="shared" si="26"/>
        <v>delivered</v>
      </c>
      <c r="AA120" s="37" t="str">
        <f t="shared" si="27"/>
        <v>On Time</v>
      </c>
      <c r="AB120" s="37" t="str">
        <f t="shared" si="30"/>
        <v>0</v>
      </c>
      <c r="AC120" s="37">
        <f t="shared" si="31"/>
        <v>0</v>
      </c>
      <c r="AD120" s="45">
        <f t="shared" si="29"/>
        <v>0.50782845473111</v>
      </c>
      <c r="AE120" s="37">
        <v>3</v>
      </c>
      <c r="AF120" s="37" t="s">
        <v>152</v>
      </c>
      <c r="AG120" s="37" t="str">
        <f t="shared" si="28"/>
        <v>no</v>
      </c>
      <c r="AH120" s="37" t="str">
        <f t="array" ref="AH120">_xlfn.IFS(LOWER(AG120)="n","no",LOWER(AG120)="y","yes",TRUE,LOWER(AG120))</f>
        <v>no</v>
      </c>
      <c r="AI120" s="37" t="s">
        <v>4692</v>
      </c>
    </row>
    <row r="121" spans="1:35">
      <c r="A121" s="46" t="s">
        <v>780</v>
      </c>
      <c r="B121" s="47">
        <v>45394</v>
      </c>
      <c r="C121" s="39">
        <f t="shared" si="16"/>
        <v>45394</v>
      </c>
      <c r="D121" s="48" t="s">
        <v>366</v>
      </c>
      <c r="E121" s="37" t="str" cm="1">
        <f t="array" ref="E121">_xlfn.IFS(D121="delhi","north",D121="mumbai","west",D121="bengaluru","south",D121="chennai","south",D121="kolkata","east",TRUE,"west")</f>
        <v>east</v>
      </c>
      <c r="F121" s="46" t="s">
        <v>156</v>
      </c>
      <c r="G121" s="37" t="str">
        <f t="shared" si="17"/>
        <v>xpressbees</v>
      </c>
      <c r="H121" s="46" t="s">
        <v>42</v>
      </c>
      <c r="I121" s="37" t="str">
        <f t="shared" si="18"/>
        <v>surface</v>
      </c>
      <c r="J121" s="46" t="s">
        <v>205</v>
      </c>
      <c r="K121" s="37" t="str">
        <f t="shared" si="19"/>
        <v>furniture</v>
      </c>
      <c r="L121" s="46" t="s">
        <v>51</v>
      </c>
      <c r="M121" s="37" t="str">
        <f t="shared" si="20"/>
        <v>south</v>
      </c>
      <c r="N121" s="46" t="s">
        <v>54</v>
      </c>
      <c r="O121" s="41" t="str">
        <f t="shared" si="21"/>
        <v>Yes</v>
      </c>
      <c r="P121" s="49">
        <v>71.4</v>
      </c>
      <c r="Q121" s="49">
        <v>1766</v>
      </c>
      <c r="R121" s="42">
        <f t="shared" si="22"/>
        <v>24.733893557423</v>
      </c>
      <c r="S121" s="46">
        <v>6</v>
      </c>
      <c r="T121" s="46" t="s">
        <v>784</v>
      </c>
      <c r="U121" s="43" t="str">
        <f t="shared" si="23"/>
        <v>20/04/2024</v>
      </c>
      <c r="V121" s="43">
        <f t="shared" si="24"/>
        <v>45402</v>
      </c>
      <c r="W121" s="44">
        <f t="array" ref="W121">_xlfn.IFS(TRIM(C121)="","",TRIM(V121)="","",TRUE,V121-C121)</f>
        <v>8</v>
      </c>
      <c r="X121" s="37">
        <f t="shared" si="25"/>
        <v>2</v>
      </c>
      <c r="Y121" s="46" t="s">
        <v>172</v>
      </c>
      <c r="Z121" s="37" t="str">
        <f t="shared" si="26"/>
        <v>delayed</v>
      </c>
      <c r="AA121" s="37" t="str">
        <f t="shared" si="27"/>
        <v>Late</v>
      </c>
      <c r="AB121" s="37" t="str">
        <f t="shared" si="30"/>
        <v>1</v>
      </c>
      <c r="AC121" s="37">
        <f t="shared" si="31"/>
        <v>1</v>
      </c>
      <c r="AD121" s="45">
        <f t="shared" si="29"/>
        <v>0.508174386920981</v>
      </c>
      <c r="AE121" s="46">
        <v>5</v>
      </c>
      <c r="AF121" s="46" t="s">
        <v>118</v>
      </c>
      <c r="AG121" s="37" t="str">
        <f t="shared" si="28"/>
        <v>no</v>
      </c>
      <c r="AH121" s="37" t="str">
        <f t="array" ref="AH121">_xlfn.IFS(LOWER(AG121)="n","no",LOWER(AG121)="y","yes",TRUE,LOWER(AG121))</f>
        <v>no</v>
      </c>
      <c r="AI121" s="46" t="s">
        <v>4692</v>
      </c>
    </row>
    <row r="122" spans="1:35">
      <c r="A122" s="37" t="s">
        <v>785</v>
      </c>
      <c r="B122" s="38">
        <v>45345</v>
      </c>
      <c r="C122" s="39">
        <f t="shared" si="16"/>
        <v>45345</v>
      </c>
      <c r="D122" s="40" t="s">
        <v>340</v>
      </c>
      <c r="E122" s="37" t="str" cm="1">
        <f t="array" ref="E122">_xlfn.IFS(D122="delhi","north",D122="mumbai","west",D122="bengaluru","south",D122="chennai","south",D122="kolkata","east",TRUE,"west")</f>
        <v>north</v>
      </c>
      <c r="F122" s="37" t="s">
        <v>122</v>
      </c>
      <c r="G122" s="37" t="str">
        <f t="shared" si="17"/>
        <v>delhivery</v>
      </c>
      <c r="H122" s="37" t="s">
        <v>137</v>
      </c>
      <c r="I122" s="37" t="str">
        <f t="shared" si="18"/>
        <v>road</v>
      </c>
      <c r="J122" s="37" t="s">
        <v>177</v>
      </c>
      <c r="K122" s="37" t="str">
        <f t="shared" si="19"/>
        <v>pharma</v>
      </c>
      <c r="L122" s="37" t="s">
        <v>264</v>
      </c>
      <c r="M122" s="37" t="str">
        <f t="shared" si="20"/>
        <v>west</v>
      </c>
      <c r="N122" s="37" t="s">
        <v>187</v>
      </c>
      <c r="O122" s="41" t="str">
        <f t="shared" si="21"/>
        <v>Yes</v>
      </c>
      <c r="P122" s="41">
        <v>3.3</v>
      </c>
      <c r="Q122" s="41">
        <v>175</v>
      </c>
      <c r="R122" s="42">
        <f t="shared" si="22"/>
        <v>53.030303030303</v>
      </c>
      <c r="S122" s="37">
        <v>8</v>
      </c>
      <c r="T122" s="37" t="s">
        <v>789</v>
      </c>
      <c r="U122" s="43" t="str">
        <f t="shared" si="23"/>
        <v>01/03/2024</v>
      </c>
      <c r="V122" s="43">
        <f t="shared" si="24"/>
        <v>45352</v>
      </c>
      <c r="W122" s="44">
        <f t="array" ref="W122">_xlfn.IFS(TRIM(C122)="","",TRIM(V122)="","",TRUE,V122-C122)</f>
        <v>7</v>
      </c>
      <c r="X122" s="37">
        <f t="shared" si="25"/>
        <v>-1</v>
      </c>
      <c r="Y122" s="37" t="s">
        <v>163</v>
      </c>
      <c r="Z122" s="37" t="str">
        <f t="shared" si="26"/>
        <v>delivered</v>
      </c>
      <c r="AA122" s="37" t="str">
        <f t="shared" si="27"/>
        <v>On Time</v>
      </c>
      <c r="AB122" s="37" t="str">
        <f t="shared" si="30"/>
        <v>0</v>
      </c>
      <c r="AC122" s="37">
        <f t="shared" si="31"/>
        <v>0</v>
      </c>
      <c r="AD122" s="45">
        <f t="shared" si="29"/>
        <v>0.507839127471029</v>
      </c>
      <c r="AE122" s="37">
        <v>4</v>
      </c>
      <c r="AF122" s="37" t="s">
        <v>131</v>
      </c>
      <c r="AG122" s="37" t="str">
        <f t="shared" si="28"/>
        <v>n</v>
      </c>
      <c r="AH122" s="37" t="str">
        <f t="array" ref="AH122">_xlfn.IFS(LOWER(AG122)="n","no",LOWER(AG122)="y","yes",TRUE,LOWER(AG122))</f>
        <v>no</v>
      </c>
      <c r="AI122" s="37" t="s">
        <v>4692</v>
      </c>
    </row>
    <row r="123" spans="1:35">
      <c r="A123" s="46" t="s">
        <v>790</v>
      </c>
      <c r="B123" s="47">
        <v>45315</v>
      </c>
      <c r="C123" s="39">
        <f t="shared" si="16"/>
        <v>45315</v>
      </c>
      <c r="D123" s="48" t="s">
        <v>366</v>
      </c>
      <c r="E123" s="37" t="str" cm="1">
        <f t="array" ref="E123">_xlfn.IFS(D123="delhi","north",D123="mumbai","west",D123="bengaluru","south",D123="chennai","south",D123="kolkata","east",TRUE,"west")</f>
        <v>east</v>
      </c>
      <c r="F123" s="46" t="s">
        <v>175</v>
      </c>
      <c r="G123" s="37" t="str">
        <f t="shared" si="17"/>
        <v>ecomexpress</v>
      </c>
      <c r="H123" s="46" t="s">
        <v>440</v>
      </c>
      <c r="I123" s="37" t="str">
        <f t="shared" si="18"/>
        <v>road</v>
      </c>
      <c r="J123" s="46" t="s">
        <v>263</v>
      </c>
      <c r="K123" s="37" t="str">
        <f t="shared" si="19"/>
        <v>apparel</v>
      </c>
      <c r="L123" s="46" t="s">
        <v>470</v>
      </c>
      <c r="M123" s="37" t="str">
        <f t="shared" si="20"/>
        <v>east</v>
      </c>
      <c r="N123" s="46" t="s">
        <v>396</v>
      </c>
      <c r="O123" s="41" t="str">
        <f t="shared" si="21"/>
        <v>Yes</v>
      </c>
      <c r="P123" s="49">
        <v>4.9</v>
      </c>
      <c r="Q123" s="49">
        <v>120</v>
      </c>
      <c r="R123" s="42">
        <f t="shared" si="22"/>
        <v>24.4897959183673</v>
      </c>
      <c r="S123" s="46">
        <v>6</v>
      </c>
      <c r="T123" s="46" t="s">
        <v>794</v>
      </c>
      <c r="U123" s="43" t="str">
        <f t="shared" si="23"/>
        <v>30/01/2024</v>
      </c>
      <c r="V123" s="43">
        <f t="shared" si="24"/>
        <v>45321</v>
      </c>
      <c r="W123" s="44">
        <f t="array" ref="W123">_xlfn.IFS(TRIM(C123)="","",TRIM(V123)="","",TRUE,V123-C123)</f>
        <v>6</v>
      </c>
      <c r="X123" s="37">
        <f t="shared" si="25"/>
        <v>0</v>
      </c>
      <c r="Y123" s="46" t="s">
        <v>117</v>
      </c>
      <c r="Z123" s="37" t="str">
        <f t="shared" si="26"/>
        <v>delivered</v>
      </c>
      <c r="AA123" s="37" t="str">
        <f t="shared" si="27"/>
        <v>On Time</v>
      </c>
      <c r="AB123" s="37" t="str">
        <f t="shared" si="30"/>
        <v>0</v>
      </c>
      <c r="AC123" s="37">
        <f t="shared" si="31"/>
        <v>0</v>
      </c>
      <c r="AD123" s="45">
        <f t="shared" si="29"/>
        <v>0.50818553888131</v>
      </c>
      <c r="AE123" s="46">
        <v>3</v>
      </c>
      <c r="AF123" s="46" t="s">
        <v>181</v>
      </c>
      <c r="AG123" s="37" t="str">
        <f t="shared" si="28"/>
        <v>y</v>
      </c>
      <c r="AH123" s="37" t="str">
        <f t="array" ref="AH123">_xlfn.IFS(LOWER(AG123)="n","no",LOWER(AG123)="y","yes",TRUE,LOWER(AG123))</f>
        <v>yes</v>
      </c>
      <c r="AI123" s="46" t="s">
        <v>4692</v>
      </c>
    </row>
    <row r="124" spans="1:35">
      <c r="A124" s="37" t="s">
        <v>795</v>
      </c>
      <c r="B124" s="38">
        <v>45438</v>
      </c>
      <c r="C124" s="39">
        <f t="shared" si="16"/>
        <v>45438</v>
      </c>
      <c r="D124" s="40" t="s">
        <v>4695</v>
      </c>
      <c r="E124" s="37" t="str" cm="1">
        <f t="array" ref="E124">_xlfn.IFS(D124="delhi","north",D124="mumbai","west",D124="bengaluru","south",D124="chennai","south",D124="kolkata","east",TRUE,"west")</f>
        <v>west</v>
      </c>
      <c r="F124" s="37" t="s">
        <v>156</v>
      </c>
      <c r="G124" s="37" t="str">
        <f t="shared" si="17"/>
        <v>xpressbees</v>
      </c>
      <c r="H124" s="37" t="s">
        <v>244</v>
      </c>
      <c r="I124" s="37" t="str">
        <f t="shared" si="18"/>
        <v>air</v>
      </c>
      <c r="J124" s="37" t="s">
        <v>313</v>
      </c>
      <c r="K124" s="37" t="str">
        <f t="shared" si="19"/>
        <v>automotiveparts</v>
      </c>
      <c r="L124" s="37" t="s">
        <v>89</v>
      </c>
      <c r="M124" s="37" t="str">
        <f t="shared" si="20"/>
        <v>west</v>
      </c>
      <c r="N124" s="37" t="s">
        <v>187</v>
      </c>
      <c r="O124" s="41" t="str">
        <f t="shared" si="21"/>
        <v>Yes</v>
      </c>
      <c r="P124" s="41">
        <v>12.3</v>
      </c>
      <c r="Q124" s="41">
        <v>549</v>
      </c>
      <c r="R124" s="42">
        <f t="shared" si="22"/>
        <v>44.6341463414634</v>
      </c>
      <c r="S124" s="37">
        <v>2</v>
      </c>
      <c r="T124" s="37" t="s">
        <v>799</v>
      </c>
      <c r="U124" s="43" t="str">
        <f t="shared" si="23"/>
        <v>2024-06-01</v>
      </c>
      <c r="V124" s="43">
        <f t="shared" si="24"/>
        <v>45444</v>
      </c>
      <c r="W124" s="44">
        <f t="array" ref="W124">_xlfn.IFS(TRIM(C124)="","",TRIM(V124)="","",TRUE,V124-C124)</f>
        <v>6</v>
      </c>
      <c r="X124" s="37">
        <f t="shared" si="25"/>
        <v>4</v>
      </c>
      <c r="Y124" s="37" t="s">
        <v>200</v>
      </c>
      <c r="Z124" s="37" t="str">
        <f t="shared" si="26"/>
        <v>delayed</v>
      </c>
      <c r="AA124" s="37" t="str">
        <f t="shared" si="27"/>
        <v>Late</v>
      </c>
      <c r="AB124" s="37" t="str">
        <f t="shared" si="30"/>
        <v>1</v>
      </c>
      <c r="AC124" s="37">
        <f t="shared" si="31"/>
        <v>1</v>
      </c>
      <c r="AD124" s="45">
        <f t="shared" si="29"/>
        <v>0.508532423208191</v>
      </c>
      <c r="AE124" s="37">
        <v>3</v>
      </c>
      <c r="AF124" s="37" t="s">
        <v>181</v>
      </c>
      <c r="AG124" s="37" t="str">
        <f t="shared" si="28"/>
        <v>y</v>
      </c>
      <c r="AH124" s="37" t="str">
        <f t="array" ref="AH124">_xlfn.IFS(LOWER(AG124)="n","no",LOWER(AG124)="y","yes",TRUE,LOWER(AG124))</f>
        <v>yes</v>
      </c>
      <c r="AI124" s="37" t="s">
        <v>4692</v>
      </c>
    </row>
    <row r="125" spans="1:35">
      <c r="A125" s="46" t="s">
        <v>800</v>
      </c>
      <c r="B125" s="47">
        <v>45387</v>
      </c>
      <c r="C125" s="39">
        <f t="shared" si="16"/>
        <v>45387</v>
      </c>
      <c r="D125" s="48" t="s">
        <v>121</v>
      </c>
      <c r="E125" s="37" t="str" cm="1">
        <f t="array" ref="E125">_xlfn.IFS(D125="delhi","north",D125="mumbai","west",D125="bengaluru","south",D125="chennai","south",D125="kolkata","east",TRUE,"west")</f>
        <v>west</v>
      </c>
      <c r="F125" s="46" t="s">
        <v>223</v>
      </c>
      <c r="G125" s="37" t="str">
        <f t="shared" si="17"/>
        <v>xpressbees</v>
      </c>
      <c r="H125" s="46" t="s">
        <v>440</v>
      </c>
      <c r="I125" s="37" t="str">
        <f t="shared" si="18"/>
        <v>road</v>
      </c>
      <c r="J125" s="46" t="s">
        <v>148</v>
      </c>
      <c r="K125" s="37" t="str">
        <f t="shared" si="19"/>
        <v>electronics</v>
      </c>
      <c r="L125" s="46" t="s">
        <v>125</v>
      </c>
      <c r="M125" s="37" t="str">
        <f t="shared" si="20"/>
        <v>east</v>
      </c>
      <c r="N125" s="46" t="s">
        <v>294</v>
      </c>
      <c r="O125" s="41" t="str">
        <f t="shared" si="21"/>
        <v>Yes</v>
      </c>
      <c r="P125" s="49">
        <v>1</v>
      </c>
      <c r="Q125" s="49">
        <v>205</v>
      </c>
      <c r="R125" s="42">
        <f t="shared" si="22"/>
        <v>205</v>
      </c>
      <c r="S125" s="46">
        <v>8</v>
      </c>
      <c r="T125" s="46" t="s">
        <v>623</v>
      </c>
      <c r="U125" s="43" t="str">
        <f t="shared" si="23"/>
        <v>13/04/2024</v>
      </c>
      <c r="V125" s="43">
        <f t="shared" si="24"/>
        <v>45395</v>
      </c>
      <c r="W125" s="44">
        <f t="array" ref="W125">_xlfn.IFS(TRIM(C125)="","",TRIM(V125)="","",TRUE,V125-C125)</f>
        <v>8</v>
      </c>
      <c r="X125" s="37">
        <f t="shared" si="25"/>
        <v>0</v>
      </c>
      <c r="Y125" s="46" t="s">
        <v>105</v>
      </c>
      <c r="Z125" s="37" t="str">
        <f t="shared" si="26"/>
        <v>delivered</v>
      </c>
      <c r="AA125" s="37" t="str">
        <f t="shared" si="27"/>
        <v>On Time</v>
      </c>
      <c r="AB125" s="37" t="str">
        <f t="shared" si="30"/>
        <v>0</v>
      </c>
      <c r="AC125" s="37">
        <f t="shared" si="31"/>
        <v>0</v>
      </c>
      <c r="AD125" s="45">
        <f t="shared" si="29"/>
        <v>0.508196721311475</v>
      </c>
      <c r="AE125" s="46">
        <v>5</v>
      </c>
      <c r="AF125" s="46" t="s">
        <v>286</v>
      </c>
      <c r="AG125" s="37" t="str">
        <f t="shared" si="28"/>
        <v>yes</v>
      </c>
      <c r="AH125" s="37" t="str">
        <f t="array" ref="AH125">_xlfn.IFS(LOWER(AG125)="n","no",LOWER(AG125)="y","yes",TRUE,LOWER(AG125))</f>
        <v>yes</v>
      </c>
      <c r="AI125" s="46" t="s">
        <v>4692</v>
      </c>
    </row>
    <row r="126" spans="1:35">
      <c r="A126" s="37" t="s">
        <v>804</v>
      </c>
      <c r="B126" s="38" t="s">
        <v>4727</v>
      </c>
      <c r="C126" s="39">
        <f t="shared" si="16"/>
        <v>45361</v>
      </c>
      <c r="D126" s="40" t="s">
        <v>135</v>
      </c>
      <c r="E126" s="37" t="str" cm="1">
        <f t="array" ref="E126">_xlfn.IFS(D126="delhi","north",D126="mumbai","west",D126="bengaluru","south",D126="chennai","south",D126="kolkata","east",TRUE,"west")</f>
        <v>west</v>
      </c>
      <c r="F126" s="37" t="s">
        <v>230</v>
      </c>
      <c r="G126" s="37" t="str">
        <f t="shared" si="17"/>
        <v>dtdc</v>
      </c>
      <c r="H126" s="37" t="s">
        <v>244</v>
      </c>
      <c r="I126" s="37" t="str">
        <f t="shared" si="18"/>
        <v>air</v>
      </c>
      <c r="J126" s="37" t="s">
        <v>214</v>
      </c>
      <c r="K126" s="37" t="str">
        <f t="shared" si="19"/>
        <v>grocery&amp;fmcg</v>
      </c>
      <c r="L126" s="37" t="s">
        <v>51</v>
      </c>
      <c r="M126" s="37" t="str">
        <f t="shared" si="20"/>
        <v>south</v>
      </c>
      <c r="N126" s="37" t="s">
        <v>90</v>
      </c>
      <c r="O126" s="41" t="str">
        <f t="shared" si="21"/>
        <v>Yes</v>
      </c>
      <c r="P126" s="41">
        <v>6.1</v>
      </c>
      <c r="Q126" s="41" t="s">
        <v>807</v>
      </c>
      <c r="R126" s="42">
        <f t="shared" si="22"/>
        <v>77.3770491803279</v>
      </c>
      <c r="S126" s="37">
        <v>4</v>
      </c>
      <c r="T126" s="37" t="s">
        <v>808</v>
      </c>
      <c r="U126" s="43" t="str">
        <f t="shared" si="23"/>
        <v>2024-03-22</v>
      </c>
      <c r="V126" s="43">
        <f t="shared" si="24"/>
        <v>45373</v>
      </c>
      <c r="W126" s="44">
        <f t="array" ref="W126">_xlfn.IFS(TRIM(C126)="","",TRIM(V126)="","",TRUE,V126-C126)</f>
        <v>12</v>
      </c>
      <c r="X126" s="37">
        <f t="shared" si="25"/>
        <v>8</v>
      </c>
      <c r="Y126" s="37" t="s">
        <v>72</v>
      </c>
      <c r="Z126" s="37" t="str">
        <f t="shared" si="26"/>
        <v>delayed</v>
      </c>
      <c r="AA126" s="37" t="str">
        <f t="shared" si="27"/>
        <v>Late</v>
      </c>
      <c r="AB126" s="37" t="str">
        <f t="shared" si="30"/>
        <v>1</v>
      </c>
      <c r="AC126" s="37">
        <f t="shared" si="31"/>
        <v>1</v>
      </c>
      <c r="AD126" s="45">
        <f t="shared" si="29"/>
        <v>0.508544087491456</v>
      </c>
      <c r="AE126" s="37">
        <v>3</v>
      </c>
      <c r="AF126" s="37" t="s">
        <v>131</v>
      </c>
      <c r="AG126" s="37" t="str">
        <f t="shared" si="28"/>
        <v>n</v>
      </c>
      <c r="AH126" s="37" t="str">
        <f t="array" ref="AH126">_xlfn.IFS(LOWER(AG126)="n","no",LOWER(AG126)="y","yes",TRUE,LOWER(AG126))</f>
        <v>no</v>
      </c>
      <c r="AI126" s="37" t="s">
        <v>4692</v>
      </c>
    </row>
    <row r="127" spans="1:35">
      <c r="A127" s="46" t="s">
        <v>809</v>
      </c>
      <c r="B127" s="47">
        <v>45376</v>
      </c>
      <c r="C127" s="39">
        <f t="shared" si="16"/>
        <v>45376</v>
      </c>
      <c r="D127" s="48" t="s">
        <v>424</v>
      </c>
      <c r="E127" s="37" t="str" cm="1">
        <f t="array" ref="E127">_xlfn.IFS(D127="delhi","north",D127="mumbai","west",D127="bengaluru","south",D127="chennai","south",D127="kolkata","east",TRUE,"west")</f>
        <v>south</v>
      </c>
      <c r="F127" s="46" t="s">
        <v>146</v>
      </c>
      <c r="G127" s="37" t="str">
        <f t="shared" si="17"/>
        <v>ecomexpress</v>
      </c>
      <c r="H127" s="46" t="s">
        <v>244</v>
      </c>
      <c r="I127" s="37" t="str">
        <f t="shared" si="18"/>
        <v>air</v>
      </c>
      <c r="J127" s="46" t="s">
        <v>245</v>
      </c>
      <c r="K127" s="37" t="str">
        <f t="shared" si="19"/>
        <v>electronics</v>
      </c>
      <c r="L127" s="46" t="s">
        <v>401</v>
      </c>
      <c r="M127" s="37" t="str">
        <f t="shared" si="20"/>
        <v>south</v>
      </c>
      <c r="N127" s="46" t="s">
        <v>90</v>
      </c>
      <c r="O127" s="41" t="str">
        <f t="shared" si="21"/>
        <v>Yes</v>
      </c>
      <c r="P127" s="49">
        <v>11.3</v>
      </c>
      <c r="Q127" s="49">
        <v>546</v>
      </c>
      <c r="R127" s="42">
        <f t="shared" si="22"/>
        <v>48.3185840707965</v>
      </c>
      <c r="S127" s="46">
        <v>2</v>
      </c>
      <c r="T127" s="46" t="s">
        <v>162</v>
      </c>
      <c r="U127" s="43" t="str">
        <f t="shared" si="23"/>
        <v>28/03/2024</v>
      </c>
      <c r="V127" s="43">
        <f t="shared" si="24"/>
        <v>45379</v>
      </c>
      <c r="W127" s="44">
        <f t="array" ref="W127">_xlfn.IFS(TRIM(C127)="","",TRIM(V127)="","",TRUE,V127-C127)</f>
        <v>3</v>
      </c>
      <c r="X127" s="37">
        <f t="shared" si="25"/>
        <v>1</v>
      </c>
      <c r="Y127" s="46" t="s">
        <v>200</v>
      </c>
      <c r="Z127" s="37" t="str">
        <f t="shared" si="26"/>
        <v>delayed</v>
      </c>
      <c r="AA127" s="37" t="str">
        <f t="shared" si="27"/>
        <v>Late</v>
      </c>
      <c r="AB127" s="37" t="str">
        <f t="shared" si="30"/>
        <v>1</v>
      </c>
      <c r="AC127" s="37">
        <f t="shared" si="31"/>
        <v>1</v>
      </c>
      <c r="AD127" s="45">
        <f t="shared" si="29"/>
        <v>0.508207934336525</v>
      </c>
      <c r="AE127" s="46">
        <v>3</v>
      </c>
      <c r="AF127" s="46" t="s">
        <v>286</v>
      </c>
      <c r="AG127" s="37" t="str">
        <f t="shared" si="28"/>
        <v>yes</v>
      </c>
      <c r="AH127" s="37" t="str">
        <f t="array" ref="AH127">_xlfn.IFS(LOWER(AG127)="n","no",LOWER(AG127)="y","yes",TRUE,LOWER(AG127))</f>
        <v>yes</v>
      </c>
      <c r="AI127" s="46" t="s">
        <v>4692</v>
      </c>
    </row>
    <row r="128" spans="1:35">
      <c r="A128" s="37" t="s">
        <v>812</v>
      </c>
      <c r="B128" s="38">
        <v>45324</v>
      </c>
      <c r="C128" s="39">
        <f t="shared" si="16"/>
        <v>45324</v>
      </c>
      <c r="D128" s="40" t="s">
        <v>340</v>
      </c>
      <c r="E128" s="37" t="str" cm="1">
        <f t="array" ref="E128">_xlfn.IFS(D128="delhi","north",D128="mumbai","west",D128="bengaluru","south",D128="chennai","south",D128="kolkata","east",TRUE,"west")</f>
        <v>north</v>
      </c>
      <c r="F128" s="37" t="s">
        <v>146</v>
      </c>
      <c r="G128" s="37" t="str">
        <f t="shared" si="17"/>
        <v>ecomexpress</v>
      </c>
      <c r="H128" s="37" t="s">
        <v>137</v>
      </c>
      <c r="I128" s="37" t="str">
        <f t="shared" si="18"/>
        <v>road</v>
      </c>
      <c r="J128" s="37" t="s">
        <v>111</v>
      </c>
      <c r="K128" s="37" t="str">
        <f t="shared" si="19"/>
        <v>grocery&amp;fmcg</v>
      </c>
      <c r="L128" s="37" t="s">
        <v>92</v>
      </c>
      <c r="M128" s="37" t="str">
        <f t="shared" si="20"/>
        <v>east</v>
      </c>
      <c r="N128" s="37" t="s">
        <v>91</v>
      </c>
      <c r="O128" s="41" t="str">
        <f t="shared" si="21"/>
        <v>Yes</v>
      </c>
      <c r="P128" s="41">
        <v>14.8</v>
      </c>
      <c r="Q128" s="41">
        <v>354</v>
      </c>
      <c r="R128" s="42">
        <f t="shared" si="22"/>
        <v>23.9189189189189</v>
      </c>
      <c r="S128" s="37">
        <v>8</v>
      </c>
      <c r="T128" s="37" t="s">
        <v>816</v>
      </c>
      <c r="U128" s="43" t="str">
        <f t="shared" si="23"/>
        <v>10/02/2024</v>
      </c>
      <c r="V128" s="43">
        <f t="shared" si="24"/>
        <v>45332</v>
      </c>
      <c r="W128" s="44">
        <f t="array" ref="W128">_xlfn.IFS(TRIM(C128)="","",TRIM(V128)="","",TRUE,V128-C128)</f>
        <v>8</v>
      </c>
      <c r="X128" s="37">
        <f t="shared" si="25"/>
        <v>0</v>
      </c>
      <c r="Y128" s="37" t="s">
        <v>817</v>
      </c>
      <c r="Z128" s="37" t="str">
        <f t="shared" si="26"/>
        <v>returned</v>
      </c>
      <c r="AA128" s="37" t="str">
        <f t="shared" si="27"/>
        <v>On Time</v>
      </c>
      <c r="AB128" s="37" t="str">
        <f t="shared" si="30"/>
        <v>0</v>
      </c>
      <c r="AC128" s="37">
        <f t="shared" si="31"/>
        <v>0</v>
      </c>
      <c r="AD128" s="45">
        <f t="shared" si="29"/>
        <v>0.507871321013005</v>
      </c>
      <c r="AE128" s="37"/>
      <c r="AF128" s="37" t="s">
        <v>152</v>
      </c>
      <c r="AG128" s="37" t="str">
        <f t="shared" si="28"/>
        <v>no</v>
      </c>
      <c r="AH128" s="37" t="str">
        <f t="array" ref="AH128">_xlfn.IFS(LOWER(AG128)="n","no",LOWER(AG128)="y","yes",TRUE,LOWER(AG128))</f>
        <v>no</v>
      </c>
      <c r="AI128" s="37" t="s">
        <v>818</v>
      </c>
    </row>
    <row r="129" spans="1:35">
      <c r="A129" s="46" t="s">
        <v>819</v>
      </c>
      <c r="B129" s="47">
        <v>45310</v>
      </c>
      <c r="C129" s="39">
        <f t="shared" si="16"/>
        <v>45310</v>
      </c>
      <c r="D129" s="48" t="s">
        <v>633</v>
      </c>
      <c r="E129" s="37" t="str" cm="1">
        <f t="array" ref="E129">_xlfn.IFS(D129="delhi","north",D129="mumbai","west",D129="bengaluru","south",D129="chennai","south",D129="kolkata","east",TRUE,"west")</f>
        <v>south</v>
      </c>
      <c r="F129" s="46" t="s">
        <v>333</v>
      </c>
      <c r="G129" s="37" t="str">
        <f t="shared" si="17"/>
        <v>delhivery</v>
      </c>
      <c r="H129" s="46" t="s">
        <v>42</v>
      </c>
      <c r="I129" s="37" t="str">
        <f t="shared" si="18"/>
        <v>surface</v>
      </c>
      <c r="J129" s="46" t="s">
        <v>430</v>
      </c>
      <c r="K129" s="37" t="str">
        <f t="shared" si="19"/>
        <v>pharma</v>
      </c>
      <c r="L129" s="46" t="s">
        <v>470</v>
      </c>
      <c r="M129" s="37" t="str">
        <f t="shared" si="20"/>
        <v>east</v>
      </c>
      <c r="N129" s="46" t="s">
        <v>396</v>
      </c>
      <c r="O129" s="41" t="str">
        <f t="shared" si="21"/>
        <v>Yes</v>
      </c>
      <c r="P129" s="49">
        <v>3.9</v>
      </c>
      <c r="Q129" s="49">
        <v>248</v>
      </c>
      <c r="R129" s="42">
        <f t="shared" si="22"/>
        <v>63.5897435897436</v>
      </c>
      <c r="S129" s="46">
        <v>6</v>
      </c>
      <c r="T129" s="46" t="s">
        <v>822</v>
      </c>
      <c r="U129" s="43" t="str">
        <f t="shared" si="23"/>
        <v>26/01/2024</v>
      </c>
      <c r="V129" s="43">
        <f t="shared" si="24"/>
        <v>45317</v>
      </c>
      <c r="W129" s="44">
        <f t="array" ref="W129">_xlfn.IFS(TRIM(C129)="","",TRIM(V129)="","",TRUE,V129-C129)</f>
        <v>7</v>
      </c>
      <c r="X129" s="37">
        <f t="shared" si="25"/>
        <v>1</v>
      </c>
      <c r="Y129" s="46" t="s">
        <v>72</v>
      </c>
      <c r="Z129" s="37" t="str">
        <f t="shared" si="26"/>
        <v>delayed</v>
      </c>
      <c r="AA129" s="37" t="str">
        <f t="shared" si="27"/>
        <v>Late</v>
      </c>
      <c r="AB129" s="37" t="str">
        <f t="shared" si="30"/>
        <v>1</v>
      </c>
      <c r="AC129" s="37">
        <f t="shared" si="31"/>
        <v>1</v>
      </c>
      <c r="AD129" s="45">
        <f t="shared" si="29"/>
        <v>0.508219178082192</v>
      </c>
      <c r="AE129" s="46">
        <v>3</v>
      </c>
      <c r="AF129" s="46" t="s">
        <v>106</v>
      </c>
      <c r="AG129" s="37" t="str">
        <f t="shared" si="28"/>
        <v>yes</v>
      </c>
      <c r="AH129" s="37" t="str">
        <f t="array" ref="AH129">_xlfn.IFS(LOWER(AG129)="n","no",LOWER(AG129)="y","yes",TRUE,LOWER(AG129))</f>
        <v>yes</v>
      </c>
      <c r="AI129" s="46" t="s">
        <v>4692</v>
      </c>
    </row>
    <row r="130" spans="1:35">
      <c r="A130" s="37" t="s">
        <v>823</v>
      </c>
      <c r="B130" s="38">
        <v>45433</v>
      </c>
      <c r="C130" s="39">
        <f t="shared" ref="C130:C193" si="32">IF(ISNUMBER(B130),B130,DATE(RIGHT(TRIM(B130),4),MID(TRIM(B130),4,2),LEFT(TRIM(B130),2)))</f>
        <v>45433</v>
      </c>
      <c r="D130" s="40" t="s">
        <v>4699</v>
      </c>
      <c r="E130" s="37" t="str" cm="1">
        <f t="array" ref="E130">_xlfn.IFS(D130="delhi","north",D130="mumbai","west",D130="bengaluru","south",D130="chennai","south",D130="kolkata","east",TRUE,"west")</f>
        <v>west</v>
      </c>
      <c r="F130" s="37" t="s">
        <v>270</v>
      </c>
      <c r="G130" s="37" t="str">
        <f t="shared" ref="G130:G193" si="33">SUBSTITUTE(LOWER(F130)," ","")</f>
        <v>ecomexpress</v>
      </c>
      <c r="H130" s="37" t="s">
        <v>345</v>
      </c>
      <c r="I130" s="37" t="str">
        <f t="shared" ref="I130:I193" si="34">SUBSTITUTE(LOWER(H130)," ","")</f>
        <v>surface</v>
      </c>
      <c r="J130" s="37" t="s">
        <v>263</v>
      </c>
      <c r="K130" s="37" t="str">
        <f t="shared" ref="K130:K193" si="35">SUBSTITUTE(LOWER(J130)," ","")</f>
        <v>apparel</v>
      </c>
      <c r="L130" s="37" t="s">
        <v>401</v>
      </c>
      <c r="M130" s="37" t="str">
        <f t="shared" ref="M130:M193" si="36">SUBSTITUTE(LOWER(L130)," ","")</f>
        <v>south</v>
      </c>
      <c r="N130" s="37" t="s">
        <v>90</v>
      </c>
      <c r="O130" s="41" t="str">
        <f t="shared" ref="O130:O193" si="37">IF(OR(D130="",M130=""),"",IF(D130=M130,"No","Yes"))</f>
        <v>Yes</v>
      </c>
      <c r="P130" s="41" t="s">
        <v>824</v>
      </c>
      <c r="Q130" s="41" t="s">
        <v>825</v>
      </c>
      <c r="R130" s="42">
        <f t="shared" ref="R130:R193" si="38">IF(OR(Q130="",P130="",P130=0),"",Q130/P130)</f>
        <v>62.1052631578947</v>
      </c>
      <c r="S130" s="37">
        <v>6</v>
      </c>
      <c r="T130" s="37" t="s">
        <v>826</v>
      </c>
      <c r="U130" s="43" t="str">
        <f t="shared" ref="U130:U193" si="39">SUBSTITUTE(LOWER(T130)," ","")</f>
        <v>26-may-2024</v>
      </c>
      <c r="V130" s="43">
        <f t="shared" ref="V130:V193" si="40">DATEVALUE(TEXT(U130,"yyyy-mm-dd"))</f>
        <v>45438</v>
      </c>
      <c r="W130" s="44">
        <f t="array" ref="W130">_xlfn.IFS(TRIM(C130)="","",TRIM(V130)="","",TRUE,V130-C130)</f>
        <v>5</v>
      </c>
      <c r="X130" s="37">
        <f t="shared" ref="X130:X193" si="41">IF(OR(W130="",S130=""),"",W130-S130)</f>
        <v>-1</v>
      </c>
      <c r="Y130" s="37" t="s">
        <v>117</v>
      </c>
      <c r="Z130" s="37" t="str">
        <f t="shared" ref="Z130:Z193" si="42">SUBSTITUTE(LOWER(Y130)," ","")</f>
        <v>delivered</v>
      </c>
      <c r="AA130" s="37" t="str">
        <f t="shared" ref="AA130:AA193" si="43">IF(Z130="In-Transit","N/A",IF(X130="","",IF(X130&gt;0,"Late","On Time")))</f>
        <v>On Time</v>
      </c>
      <c r="AB130" s="37" t="str">
        <f t="shared" si="30"/>
        <v>0</v>
      </c>
      <c r="AC130" s="37">
        <f t="shared" si="31"/>
        <v>0</v>
      </c>
      <c r="AD130" s="45">
        <f t="shared" si="29"/>
        <v>0.507882111034955</v>
      </c>
      <c r="AE130" s="37">
        <v>5</v>
      </c>
      <c r="AF130" s="37" t="s">
        <v>118</v>
      </c>
      <c r="AG130" s="37" t="str">
        <f t="shared" ref="AG130:AG193" si="44">SUBSTITUTE(LOWER(AF130)," ","")</f>
        <v>no</v>
      </c>
      <c r="AH130" s="37" t="str">
        <f t="array" ref="AH130">_xlfn.IFS(LOWER(AG130)="n","no",LOWER(AG130)="y","yes",TRUE,LOWER(AG130))</f>
        <v>no</v>
      </c>
      <c r="AI130" s="37" t="s">
        <v>4692</v>
      </c>
    </row>
    <row r="131" spans="1:35">
      <c r="A131" s="46" t="s">
        <v>827</v>
      </c>
      <c r="B131" s="47">
        <v>45344</v>
      </c>
      <c r="C131" s="39">
        <f t="shared" si="32"/>
        <v>45344</v>
      </c>
      <c r="D131" s="48" t="s">
        <v>4695</v>
      </c>
      <c r="E131" s="37" t="str" cm="1">
        <f t="array" ref="E131">_xlfn.IFS(D131="delhi","north",D131="mumbai","west",D131="bengaluru","south",D131="chennai","south",D131="kolkata","east",TRUE,"west")</f>
        <v>west</v>
      </c>
      <c r="F131" s="46" t="s">
        <v>37</v>
      </c>
      <c r="G131" s="37" t="str">
        <f t="shared" si="33"/>
        <v>bluedart</v>
      </c>
      <c r="H131" s="46" t="s">
        <v>42</v>
      </c>
      <c r="I131" s="37" t="str">
        <f t="shared" si="34"/>
        <v>surface</v>
      </c>
      <c r="J131" s="46" t="s">
        <v>368</v>
      </c>
      <c r="K131" s="37" t="str">
        <f t="shared" si="35"/>
        <v>furniture</v>
      </c>
      <c r="L131" s="46" t="s">
        <v>257</v>
      </c>
      <c r="M131" s="37" t="str">
        <f t="shared" si="36"/>
        <v>west</v>
      </c>
      <c r="N131" s="46" t="s">
        <v>187</v>
      </c>
      <c r="O131" s="41" t="str">
        <f t="shared" si="37"/>
        <v>Yes</v>
      </c>
      <c r="P131" s="49">
        <v>52.1</v>
      </c>
      <c r="Q131" s="51">
        <v>1139</v>
      </c>
      <c r="R131" s="42">
        <f t="shared" si="38"/>
        <v>21.8618042226488</v>
      </c>
      <c r="S131" s="46">
        <v>4</v>
      </c>
      <c r="T131" s="46" t="s">
        <v>831</v>
      </c>
      <c r="U131" s="43" t="str">
        <f t="shared" si="39"/>
        <v>25/02/2024</v>
      </c>
      <c r="V131" s="43">
        <f t="shared" si="40"/>
        <v>45347</v>
      </c>
      <c r="W131" s="44">
        <f t="array" ref="W131">_xlfn.IFS(TRIM(C131)="","",TRIM(V131)="","",TRUE,V131-C131)</f>
        <v>3</v>
      </c>
      <c r="X131" s="37">
        <f t="shared" si="41"/>
        <v>-1</v>
      </c>
      <c r="Y131" s="46" t="s">
        <v>219</v>
      </c>
      <c r="Z131" s="37" t="str">
        <f t="shared" si="42"/>
        <v>delivered</v>
      </c>
      <c r="AA131" s="37" t="str">
        <f t="shared" si="43"/>
        <v>On Time</v>
      </c>
      <c r="AB131" s="37" t="str">
        <f t="shared" si="30"/>
        <v>0</v>
      </c>
      <c r="AC131" s="37">
        <f t="shared" si="31"/>
        <v>0</v>
      </c>
      <c r="AD131" s="45">
        <f t="shared" ref="AD131:AD194" si="45">COUNTIF(AC131:AC1730,1)/COUNT(AC131:AC1730)</f>
        <v>0.508230452674897</v>
      </c>
      <c r="AE131" s="46">
        <v>5</v>
      </c>
      <c r="AF131" s="46" t="s">
        <v>191</v>
      </c>
      <c r="AG131" s="37" t="str">
        <f t="shared" si="44"/>
        <v>no</v>
      </c>
      <c r="AH131" s="37" t="str">
        <f t="array" ref="AH131">_xlfn.IFS(LOWER(AG131)="n","no",LOWER(AG131)="y","yes",TRUE,LOWER(AG131))</f>
        <v>no</v>
      </c>
      <c r="AI131" s="46" t="s">
        <v>4692</v>
      </c>
    </row>
    <row r="132" spans="1:35">
      <c r="A132" s="37" t="s">
        <v>832</v>
      </c>
      <c r="B132" s="38">
        <v>45357</v>
      </c>
      <c r="C132" s="39">
        <f t="shared" si="32"/>
        <v>45357</v>
      </c>
      <c r="D132" s="40" t="s">
        <v>633</v>
      </c>
      <c r="E132" s="37" t="str" cm="1">
        <f t="array" ref="E132">_xlfn.IFS(D132="delhi","north",D132="mumbai","west",D132="bengaluru","south",D132="chennai","south",D132="kolkata","east",TRUE,"west")</f>
        <v>south</v>
      </c>
      <c r="F132" s="37" t="s">
        <v>98</v>
      </c>
      <c r="G132" s="37" t="str">
        <f t="shared" si="33"/>
        <v>dtdc</v>
      </c>
      <c r="H132" s="37" t="s">
        <v>195</v>
      </c>
      <c r="I132" s="37" t="str">
        <f t="shared" si="34"/>
        <v>road</v>
      </c>
      <c r="J132" s="37" t="s">
        <v>425</v>
      </c>
      <c r="K132" s="37" t="str">
        <f t="shared" si="35"/>
        <v>automotiveparts</v>
      </c>
      <c r="L132" s="37" t="s">
        <v>51</v>
      </c>
      <c r="M132" s="37" t="str">
        <f t="shared" si="36"/>
        <v>south</v>
      </c>
      <c r="N132" s="37" t="s">
        <v>54</v>
      </c>
      <c r="O132" s="41" t="str">
        <f t="shared" si="37"/>
        <v>Yes</v>
      </c>
      <c r="P132" s="41">
        <v>21.4</v>
      </c>
      <c r="Q132" s="41">
        <v>359</v>
      </c>
      <c r="R132" s="42">
        <f t="shared" si="38"/>
        <v>16.7757009345794</v>
      </c>
      <c r="S132" s="37">
        <v>6</v>
      </c>
      <c r="T132" s="37" t="s">
        <v>835</v>
      </c>
      <c r="U132" s="43" t="str">
        <f t="shared" si="39"/>
        <v>13/03/2024</v>
      </c>
      <c r="V132" s="43">
        <f t="shared" si="40"/>
        <v>45364</v>
      </c>
      <c r="W132" s="44">
        <f t="array" ref="W132">_xlfn.IFS(TRIM(C132)="","",TRIM(V132)="","",TRUE,V132-C132)</f>
        <v>7</v>
      </c>
      <c r="X132" s="37">
        <f t="shared" si="41"/>
        <v>1</v>
      </c>
      <c r="Y132" s="37" t="s">
        <v>200</v>
      </c>
      <c r="Z132" s="37" t="str">
        <f t="shared" si="42"/>
        <v>delayed</v>
      </c>
      <c r="AA132" s="37" t="str">
        <f t="shared" si="43"/>
        <v>Late</v>
      </c>
      <c r="AB132" s="37" t="str">
        <f t="shared" si="30"/>
        <v>1</v>
      </c>
      <c r="AC132" s="37">
        <f t="shared" si="31"/>
        <v>1</v>
      </c>
      <c r="AD132" s="45">
        <f t="shared" si="45"/>
        <v>0.508579272477694</v>
      </c>
      <c r="AE132" s="37">
        <v>2</v>
      </c>
      <c r="AF132" s="37" t="s">
        <v>79</v>
      </c>
      <c r="AG132" s="37" t="str">
        <f t="shared" si="44"/>
        <v>yes</v>
      </c>
      <c r="AH132" s="37" t="str">
        <f t="array" ref="AH132">_xlfn.IFS(LOWER(AG132)="n","no",LOWER(AG132)="y","yes",TRUE,LOWER(AG132))</f>
        <v>yes</v>
      </c>
      <c r="AI132" s="37" t="s">
        <v>4692</v>
      </c>
    </row>
    <row r="133" spans="1:35">
      <c r="A133" s="46" t="s">
        <v>836</v>
      </c>
      <c r="B133" s="47" t="s">
        <v>4728</v>
      </c>
      <c r="C133" s="39">
        <f t="shared" si="32"/>
        <v>45432</v>
      </c>
      <c r="D133" s="48" t="s">
        <v>366</v>
      </c>
      <c r="E133" s="37" t="str" cm="1">
        <f t="array" ref="E133">_xlfn.IFS(D133="delhi","north",D133="mumbai","west",D133="bengaluru","south",D133="chennai","south",D133="kolkata","east",TRUE,"west")</f>
        <v>east</v>
      </c>
      <c r="F133" s="46" t="s">
        <v>544</v>
      </c>
      <c r="G133" s="37" t="str">
        <f t="shared" si="33"/>
        <v>bluedart</v>
      </c>
      <c r="H133" s="46" t="s">
        <v>244</v>
      </c>
      <c r="I133" s="37" t="str">
        <f t="shared" si="34"/>
        <v>air</v>
      </c>
      <c r="J133" s="46" t="s">
        <v>430</v>
      </c>
      <c r="K133" s="37" t="str">
        <f t="shared" si="35"/>
        <v>pharma</v>
      </c>
      <c r="L133" s="46" t="s">
        <v>346</v>
      </c>
      <c r="M133" s="37" t="str">
        <f t="shared" si="36"/>
        <v>north</v>
      </c>
      <c r="N133" s="46" t="s">
        <v>215</v>
      </c>
      <c r="O133" s="41" t="str">
        <f t="shared" si="37"/>
        <v>Yes</v>
      </c>
      <c r="P133" s="49">
        <v>4.5</v>
      </c>
      <c r="Q133" s="49">
        <v>350</v>
      </c>
      <c r="R133" s="42">
        <f t="shared" si="38"/>
        <v>77.7777777777778</v>
      </c>
      <c r="S133" s="46">
        <v>4</v>
      </c>
      <c r="T133" s="46" t="s">
        <v>840</v>
      </c>
      <c r="U133" s="43" t="str">
        <f t="shared" si="39"/>
        <v>25/05/2024</v>
      </c>
      <c r="V133" s="43">
        <f t="shared" si="40"/>
        <v>45437</v>
      </c>
      <c r="W133" s="44">
        <f t="array" ref="W133">_xlfn.IFS(TRIM(C133)="","",TRIM(V133)="","",TRUE,V133-C133)</f>
        <v>5</v>
      </c>
      <c r="X133" s="37">
        <f t="shared" si="41"/>
        <v>1</v>
      </c>
      <c r="Y133" s="46" t="s">
        <v>143</v>
      </c>
      <c r="Z133" s="37" t="str">
        <f t="shared" si="42"/>
        <v>delayed</v>
      </c>
      <c r="AA133" s="37" t="str">
        <f t="shared" si="43"/>
        <v>Late</v>
      </c>
      <c r="AB133" s="37" t="str">
        <f t="shared" si="30"/>
        <v>1</v>
      </c>
      <c r="AC133" s="37">
        <f t="shared" si="31"/>
        <v>1</v>
      </c>
      <c r="AD133" s="45">
        <f t="shared" si="45"/>
        <v>0.508241758241758</v>
      </c>
      <c r="AE133" s="46">
        <v>2</v>
      </c>
      <c r="AF133" s="46" t="s">
        <v>152</v>
      </c>
      <c r="AG133" s="37" t="str">
        <f t="shared" si="44"/>
        <v>no</v>
      </c>
      <c r="AH133" s="37" t="str">
        <f t="array" ref="AH133">_xlfn.IFS(LOWER(AG133)="n","no",LOWER(AG133)="y","yes",TRUE,LOWER(AG133))</f>
        <v>no</v>
      </c>
      <c r="AI133" s="46" t="s">
        <v>4692</v>
      </c>
    </row>
    <row r="134" spans="1:35">
      <c r="A134" s="37" t="s">
        <v>841</v>
      </c>
      <c r="B134" s="38">
        <v>45352</v>
      </c>
      <c r="C134" s="39">
        <f t="shared" si="32"/>
        <v>45352</v>
      </c>
      <c r="D134" s="40" t="s">
        <v>366</v>
      </c>
      <c r="E134" s="37" t="str" cm="1">
        <f t="array" ref="E134">_xlfn.IFS(D134="delhi","north",D134="mumbai","west",D134="bengaluru","south",D134="chennai","south",D134="kolkata","east",TRUE,"west")</f>
        <v>east</v>
      </c>
      <c r="F134" s="37" t="s">
        <v>367</v>
      </c>
      <c r="G134" s="37" t="str">
        <f t="shared" si="33"/>
        <v>dtdc</v>
      </c>
      <c r="H134" s="37" t="s">
        <v>137</v>
      </c>
      <c r="I134" s="37" t="str">
        <f t="shared" si="34"/>
        <v>road</v>
      </c>
      <c r="J134" s="37" t="s">
        <v>843</v>
      </c>
      <c r="K134" s="37" t="str">
        <f t="shared" si="35"/>
        <v>automotiveparts</v>
      </c>
      <c r="L134" s="37" t="s">
        <v>168</v>
      </c>
      <c r="M134" s="37" t="str">
        <f t="shared" si="36"/>
        <v>west</v>
      </c>
      <c r="N134" s="37" t="s">
        <v>206</v>
      </c>
      <c r="O134" s="41" t="str">
        <f t="shared" si="37"/>
        <v>Yes</v>
      </c>
      <c r="P134" s="41">
        <v>20.4</v>
      </c>
      <c r="Q134" s="41">
        <v>428</v>
      </c>
      <c r="R134" s="42">
        <f t="shared" si="38"/>
        <v>20.9803921568627</v>
      </c>
      <c r="S134" s="37">
        <v>8</v>
      </c>
      <c r="T134" s="37" t="s">
        <v>846</v>
      </c>
      <c r="U134" s="43" t="str">
        <f t="shared" si="39"/>
        <v>2024-03-14</v>
      </c>
      <c r="V134" s="43">
        <f t="shared" si="40"/>
        <v>45365</v>
      </c>
      <c r="W134" s="44">
        <f t="array" ref="W134">_xlfn.IFS(TRIM(C134)="","",TRIM(V134)="","",TRUE,V134-C134)</f>
        <v>13</v>
      </c>
      <c r="X134" s="37">
        <f t="shared" si="41"/>
        <v>5</v>
      </c>
      <c r="Y134" s="37" t="s">
        <v>72</v>
      </c>
      <c r="Z134" s="37" t="str">
        <f t="shared" si="42"/>
        <v>delayed</v>
      </c>
      <c r="AA134" s="37" t="str">
        <f t="shared" si="43"/>
        <v>Late</v>
      </c>
      <c r="AB134" s="37" t="str">
        <f t="shared" ref="AB134:AB197" si="46">IF(Z134="In-Transit","N/A",IF(X134="","",IF(X134&gt;0,"1","0")))</f>
        <v>1</v>
      </c>
      <c r="AC134" s="37">
        <f t="shared" si="31"/>
        <v>1</v>
      </c>
      <c r="AD134" s="45">
        <f t="shared" si="45"/>
        <v>0.507903780068728</v>
      </c>
      <c r="AE134" s="37">
        <v>3</v>
      </c>
      <c r="AF134" s="37" t="s">
        <v>152</v>
      </c>
      <c r="AG134" s="37" t="str">
        <f t="shared" si="44"/>
        <v>no</v>
      </c>
      <c r="AH134" s="37" t="str">
        <f t="array" ref="AH134">_xlfn.IFS(LOWER(AG134)="n","no",LOWER(AG134)="y","yes",TRUE,LOWER(AG134))</f>
        <v>no</v>
      </c>
      <c r="AI134" s="37" t="s">
        <v>4692</v>
      </c>
    </row>
    <row r="135" spans="1:35">
      <c r="A135" s="46" t="s">
        <v>847</v>
      </c>
      <c r="B135" s="47">
        <v>45296</v>
      </c>
      <c r="C135" s="39">
        <f t="shared" si="32"/>
        <v>45296</v>
      </c>
      <c r="D135" s="48" t="s">
        <v>4712</v>
      </c>
      <c r="E135" s="37" t="str" cm="1">
        <f t="array" ref="E135">_xlfn.IFS(D135="delhi","north",D135="mumbai","west",D135="bengaluru","south",D135="chennai","south",D135="kolkata","east",TRUE,"west")</f>
        <v>west</v>
      </c>
      <c r="F135" s="46" t="s">
        <v>223</v>
      </c>
      <c r="G135" s="37" t="str">
        <f t="shared" si="33"/>
        <v>xpressbees</v>
      </c>
      <c r="H135" s="46" t="s">
        <v>185</v>
      </c>
      <c r="I135" s="37" t="str">
        <f t="shared" si="34"/>
        <v>surface</v>
      </c>
      <c r="J135" s="46" t="s">
        <v>158</v>
      </c>
      <c r="K135" s="37" t="str">
        <f t="shared" si="35"/>
        <v>pharma</v>
      </c>
      <c r="L135" s="46" t="s">
        <v>125</v>
      </c>
      <c r="M135" s="37" t="str">
        <f t="shared" si="36"/>
        <v>east</v>
      </c>
      <c r="N135" s="46" t="s">
        <v>126</v>
      </c>
      <c r="O135" s="41" t="str">
        <f t="shared" si="37"/>
        <v>Yes</v>
      </c>
      <c r="P135" s="49">
        <v>3.6</v>
      </c>
      <c r="Q135" s="49" t="s">
        <v>850</v>
      </c>
      <c r="R135" s="42">
        <f t="shared" si="38"/>
        <v>68.3333333333333</v>
      </c>
      <c r="S135" s="46">
        <v>6</v>
      </c>
      <c r="T135" s="46" t="s">
        <v>851</v>
      </c>
      <c r="U135" s="43" t="str">
        <f t="shared" si="39"/>
        <v>10/01/2024</v>
      </c>
      <c r="V135" s="43">
        <f t="shared" si="40"/>
        <v>45301</v>
      </c>
      <c r="W135" s="44">
        <f t="array" ref="W135">_xlfn.IFS(TRIM(C135)="","",TRIM(V135)="","",TRUE,V135-C135)</f>
        <v>5</v>
      </c>
      <c r="X135" s="37">
        <f t="shared" si="41"/>
        <v>-1</v>
      </c>
      <c r="Y135" s="46" t="s">
        <v>163</v>
      </c>
      <c r="Z135" s="37" t="str">
        <f t="shared" si="42"/>
        <v>delivered</v>
      </c>
      <c r="AA135" s="37" t="str">
        <f t="shared" si="43"/>
        <v>On Time</v>
      </c>
      <c r="AB135" s="37" t="str">
        <f t="shared" si="46"/>
        <v>0</v>
      </c>
      <c r="AC135" s="37">
        <f t="shared" ref="AC135:AC198" si="47">IF(TRIM(AB135&amp;"")="","",VALUE(TRIM(AB135&amp;"")))</f>
        <v>0</v>
      </c>
      <c r="AD135" s="45">
        <f t="shared" si="45"/>
        <v>0.507565337001376</v>
      </c>
      <c r="AE135" s="46">
        <v>4</v>
      </c>
      <c r="AF135" s="46" t="s">
        <v>118</v>
      </c>
      <c r="AG135" s="37" t="str">
        <f t="shared" si="44"/>
        <v>no</v>
      </c>
      <c r="AH135" s="37" t="str">
        <f t="array" ref="AH135">_xlfn.IFS(LOWER(AG135)="n","no",LOWER(AG135)="y","yes",TRUE,LOWER(AG135))</f>
        <v>no</v>
      </c>
      <c r="AI135" s="46" t="s">
        <v>4692</v>
      </c>
    </row>
    <row r="136" spans="1:35">
      <c r="A136" s="37" t="s">
        <v>852</v>
      </c>
      <c r="B136" s="38">
        <v>45454</v>
      </c>
      <c r="C136" s="39">
        <f t="shared" si="32"/>
        <v>45454</v>
      </c>
      <c r="D136" s="40" t="s">
        <v>366</v>
      </c>
      <c r="E136" s="37" t="str" cm="1">
        <f t="array" ref="E136">_xlfn.IFS(D136="delhi","north",D136="mumbai","west",D136="bengaluru","south",D136="chennai","south",D136="kolkata","east",TRUE,"west")</f>
        <v>east</v>
      </c>
      <c r="F136" s="37" t="s">
        <v>37</v>
      </c>
      <c r="G136" s="37" t="str">
        <f t="shared" si="33"/>
        <v>bluedart</v>
      </c>
      <c r="H136" s="37" t="s">
        <v>137</v>
      </c>
      <c r="I136" s="37" t="str">
        <f t="shared" si="34"/>
        <v>road</v>
      </c>
      <c r="J136" s="37" t="s">
        <v>430</v>
      </c>
      <c r="K136" s="37" t="str">
        <f t="shared" si="35"/>
        <v>pharma</v>
      </c>
      <c r="L136" s="37" t="s">
        <v>257</v>
      </c>
      <c r="M136" s="37" t="str">
        <f t="shared" si="36"/>
        <v>west</v>
      </c>
      <c r="N136" s="37" t="s">
        <v>278</v>
      </c>
      <c r="O136" s="41" t="str">
        <f t="shared" si="37"/>
        <v>Yes</v>
      </c>
      <c r="P136" s="41" t="s">
        <v>289</v>
      </c>
      <c r="Q136" s="41" t="s">
        <v>854</v>
      </c>
      <c r="R136" s="42">
        <f t="shared" si="38"/>
        <v>57.2916666666667</v>
      </c>
      <c r="S136" s="37">
        <v>8</v>
      </c>
      <c r="T136" s="37" t="s">
        <v>855</v>
      </c>
      <c r="U136" s="43" t="str">
        <f t="shared" si="39"/>
        <v>19/06/2024</v>
      </c>
      <c r="V136" s="43">
        <f t="shared" si="40"/>
        <v>45462</v>
      </c>
      <c r="W136" s="44">
        <f t="array" ref="W136">_xlfn.IFS(TRIM(C136)="","",TRIM(V136)="","",TRUE,V136-C136)</f>
        <v>8</v>
      </c>
      <c r="X136" s="37">
        <f t="shared" si="41"/>
        <v>0</v>
      </c>
      <c r="Y136" s="37" t="s">
        <v>105</v>
      </c>
      <c r="Z136" s="37" t="str">
        <f t="shared" si="42"/>
        <v>delivered</v>
      </c>
      <c r="AA136" s="37" t="str">
        <f t="shared" si="43"/>
        <v>On Time</v>
      </c>
      <c r="AB136" s="37" t="str">
        <f t="shared" si="46"/>
        <v>0</v>
      </c>
      <c r="AC136" s="37">
        <f t="shared" si="47"/>
        <v>0</v>
      </c>
      <c r="AD136" s="45">
        <f t="shared" si="45"/>
        <v>0.507914659325533</v>
      </c>
      <c r="AE136" s="37">
        <v>4</v>
      </c>
      <c r="AF136" s="37" t="s">
        <v>79</v>
      </c>
      <c r="AG136" s="37" t="str">
        <f t="shared" si="44"/>
        <v>yes</v>
      </c>
      <c r="AH136" s="37" t="str">
        <f t="array" ref="AH136">_xlfn.IFS(LOWER(AG136)="n","no",LOWER(AG136)="y","yes",TRUE,LOWER(AG136))</f>
        <v>yes</v>
      </c>
      <c r="AI136" s="37" t="s">
        <v>4692</v>
      </c>
    </row>
    <row r="137" spans="1:35">
      <c r="A137" s="46" t="s">
        <v>856</v>
      </c>
      <c r="B137" s="47">
        <v>45319</v>
      </c>
      <c r="C137" s="39">
        <f t="shared" si="32"/>
        <v>45319</v>
      </c>
      <c r="D137" s="48" t="s">
        <v>4704</v>
      </c>
      <c r="E137" s="37" t="str" cm="1">
        <f t="array" ref="E137">_xlfn.IFS(D137="delhi","north",D137="mumbai","west",D137="bengaluru","south",D137="chennai","south",D137="kolkata","east",TRUE,"west")</f>
        <v>west</v>
      </c>
      <c r="F137" s="46" t="s">
        <v>37</v>
      </c>
      <c r="G137" s="37" t="str">
        <f t="shared" si="33"/>
        <v>bluedart</v>
      </c>
      <c r="H137" s="46" t="s">
        <v>147</v>
      </c>
      <c r="I137" s="37" t="str">
        <f t="shared" si="34"/>
        <v>road</v>
      </c>
      <c r="J137" s="46" t="s">
        <v>319</v>
      </c>
      <c r="K137" s="37" t="str">
        <f t="shared" si="35"/>
        <v>electronics</v>
      </c>
      <c r="L137" s="46" t="s">
        <v>346</v>
      </c>
      <c r="M137" s="37" t="str">
        <f t="shared" si="36"/>
        <v>north</v>
      </c>
      <c r="N137" s="46" t="s">
        <v>113</v>
      </c>
      <c r="O137" s="41" t="str">
        <f t="shared" si="37"/>
        <v>Yes</v>
      </c>
      <c r="P137" s="49" t="s">
        <v>858</v>
      </c>
      <c r="Q137" s="49" t="s">
        <v>859</v>
      </c>
      <c r="R137" s="42">
        <f t="shared" si="38"/>
        <v>119.230769230769</v>
      </c>
      <c r="S137" s="46">
        <v>8</v>
      </c>
      <c r="T137" s="46" t="s">
        <v>860</v>
      </c>
      <c r="U137" s="43" t="str">
        <f t="shared" si="39"/>
        <v>05/02/2024</v>
      </c>
      <c r="V137" s="43">
        <f t="shared" si="40"/>
        <v>45327</v>
      </c>
      <c r="W137" s="44">
        <f t="array" ref="W137">_xlfn.IFS(TRIM(C137)="","",TRIM(V137)="","",TRUE,V137-C137)</f>
        <v>8</v>
      </c>
      <c r="X137" s="37">
        <f t="shared" si="41"/>
        <v>0</v>
      </c>
      <c r="Y137" s="46" t="s">
        <v>219</v>
      </c>
      <c r="Z137" s="37" t="str">
        <f t="shared" si="42"/>
        <v>delivered</v>
      </c>
      <c r="AA137" s="37" t="str">
        <f t="shared" si="43"/>
        <v>On Time</v>
      </c>
      <c r="AB137" s="37" t="str">
        <f t="shared" si="46"/>
        <v>0</v>
      </c>
      <c r="AC137" s="37">
        <f t="shared" si="47"/>
        <v>0</v>
      </c>
      <c r="AD137" s="45">
        <f t="shared" si="45"/>
        <v>0.508264462809917</v>
      </c>
      <c r="AE137" s="46">
        <v>4</v>
      </c>
      <c r="AF137" s="46" t="s">
        <v>191</v>
      </c>
      <c r="AG137" s="37" t="str">
        <f t="shared" si="44"/>
        <v>no</v>
      </c>
      <c r="AH137" s="37" t="str">
        <f t="array" ref="AH137">_xlfn.IFS(LOWER(AG137)="n","no",LOWER(AG137)="y","yes",TRUE,LOWER(AG137))</f>
        <v>no</v>
      </c>
      <c r="AI137" s="46" t="s">
        <v>4692</v>
      </c>
    </row>
    <row r="138" spans="1:35">
      <c r="A138" s="37" t="s">
        <v>861</v>
      </c>
      <c r="B138" s="38">
        <v>45375</v>
      </c>
      <c r="C138" s="39">
        <f t="shared" si="32"/>
        <v>45375</v>
      </c>
      <c r="D138" s="40" t="s">
        <v>121</v>
      </c>
      <c r="E138" s="37" t="str" cm="1">
        <f t="array" ref="E138">_xlfn.IFS(D138="delhi","north",D138="mumbai","west",D138="bengaluru","south",D138="chennai","south",D138="kolkata","east",TRUE,"west")</f>
        <v>west</v>
      </c>
      <c r="F138" s="37" t="s">
        <v>204</v>
      </c>
      <c r="G138" s="37" t="str">
        <f t="shared" si="33"/>
        <v>delhivery</v>
      </c>
      <c r="H138" s="37" t="s">
        <v>157</v>
      </c>
      <c r="I138" s="37" t="str">
        <f t="shared" si="34"/>
        <v>surface</v>
      </c>
      <c r="J138" s="37" t="s">
        <v>612</v>
      </c>
      <c r="K138" s="37" t="str">
        <f t="shared" si="35"/>
        <v>grocery&amp;fmcg</v>
      </c>
      <c r="L138" s="37" t="s">
        <v>257</v>
      </c>
      <c r="M138" s="37" t="str">
        <f t="shared" si="36"/>
        <v>west</v>
      </c>
      <c r="N138" s="37" t="s">
        <v>206</v>
      </c>
      <c r="O138" s="41" t="str">
        <f t="shared" si="37"/>
        <v>Yes</v>
      </c>
      <c r="P138" s="41">
        <v>2.6</v>
      </c>
      <c r="Q138" s="41">
        <v>224</v>
      </c>
      <c r="R138" s="42">
        <f t="shared" si="38"/>
        <v>86.1538461538461</v>
      </c>
      <c r="S138" s="37">
        <v>6</v>
      </c>
      <c r="T138" s="37" t="s">
        <v>865</v>
      </c>
      <c r="U138" s="43" t="str">
        <f t="shared" si="39"/>
        <v>2024-03-29</v>
      </c>
      <c r="V138" s="43">
        <f t="shared" si="40"/>
        <v>45380</v>
      </c>
      <c r="W138" s="44">
        <f t="array" ref="W138">_xlfn.IFS(TRIM(C138)="","",TRIM(V138)="","",TRUE,V138-C138)</f>
        <v>5</v>
      </c>
      <c r="X138" s="37">
        <f t="shared" si="41"/>
        <v>-1</v>
      </c>
      <c r="Y138" s="37" t="s">
        <v>163</v>
      </c>
      <c r="Z138" s="37" t="str">
        <f t="shared" si="42"/>
        <v>delivered</v>
      </c>
      <c r="AA138" s="37" t="str">
        <f t="shared" si="43"/>
        <v>On Time</v>
      </c>
      <c r="AB138" s="37" t="str">
        <f t="shared" si="46"/>
        <v>0</v>
      </c>
      <c r="AC138" s="37">
        <f t="shared" si="47"/>
        <v>0</v>
      </c>
      <c r="AD138" s="45">
        <f t="shared" si="45"/>
        <v>0.508614748449345</v>
      </c>
      <c r="AE138" s="37">
        <v>3</v>
      </c>
      <c r="AF138" s="37" t="s">
        <v>131</v>
      </c>
      <c r="AG138" s="37" t="str">
        <f t="shared" si="44"/>
        <v>n</v>
      </c>
      <c r="AH138" s="37" t="str">
        <f t="array" ref="AH138">_xlfn.IFS(LOWER(AG138)="n","no",LOWER(AG138)="y","yes",TRUE,LOWER(AG138))</f>
        <v>no</v>
      </c>
      <c r="AI138" s="37" t="s">
        <v>4692</v>
      </c>
    </row>
    <row r="139" spans="1:35">
      <c r="A139" s="46" t="s">
        <v>866</v>
      </c>
      <c r="B139" s="47" t="s">
        <v>4729</v>
      </c>
      <c r="C139" s="39">
        <f t="shared" si="32"/>
        <v>45378</v>
      </c>
      <c r="D139" s="48" t="s">
        <v>109</v>
      </c>
      <c r="E139" s="37" t="str" cm="1">
        <f t="array" ref="E139">_xlfn.IFS(D139="delhi","north",D139="mumbai","west",D139="bengaluru","south",D139="chennai","south",D139="kolkata","east",TRUE,"west")</f>
        <v>west</v>
      </c>
      <c r="F139" s="46" t="s">
        <v>333</v>
      </c>
      <c r="G139" s="37" t="str">
        <f t="shared" si="33"/>
        <v>delhivery</v>
      </c>
      <c r="H139" s="46" t="s">
        <v>325</v>
      </c>
      <c r="I139" s="37" t="str">
        <f t="shared" si="34"/>
        <v>air</v>
      </c>
      <c r="J139" s="46" t="s">
        <v>664</v>
      </c>
      <c r="K139" s="37" t="str">
        <f t="shared" si="35"/>
        <v>grocery&amp;fmcg</v>
      </c>
      <c r="L139" s="46" t="s">
        <v>92</v>
      </c>
      <c r="M139" s="37" t="str">
        <f t="shared" si="36"/>
        <v>east</v>
      </c>
      <c r="N139" s="46" t="s">
        <v>396</v>
      </c>
      <c r="O139" s="41" t="str">
        <f t="shared" si="37"/>
        <v>Yes</v>
      </c>
      <c r="P139" s="49" t="s">
        <v>868</v>
      </c>
      <c r="Q139" s="49">
        <v>434</v>
      </c>
      <c r="R139" s="42">
        <f t="shared" si="38"/>
        <v>62.8985507246377</v>
      </c>
      <c r="S139" s="46">
        <v>4</v>
      </c>
      <c r="T139" s="46" t="s">
        <v>485</v>
      </c>
      <c r="U139" s="43" t="str">
        <f t="shared" si="39"/>
        <v>01-apr-2024</v>
      </c>
      <c r="V139" s="43">
        <f t="shared" si="40"/>
        <v>45383</v>
      </c>
      <c r="W139" s="44">
        <f t="array" ref="W139">_xlfn.IFS(TRIM(C139)="","",TRIM(V139)="","",TRUE,V139-C139)</f>
        <v>5</v>
      </c>
      <c r="X139" s="37">
        <f t="shared" si="41"/>
        <v>1</v>
      </c>
      <c r="Y139" s="46" t="s">
        <v>200</v>
      </c>
      <c r="Z139" s="37" t="str">
        <f t="shared" si="42"/>
        <v>delayed</v>
      </c>
      <c r="AA139" s="37" t="str">
        <f t="shared" si="43"/>
        <v>Late</v>
      </c>
      <c r="AB139" s="37" t="str">
        <f t="shared" si="46"/>
        <v>1</v>
      </c>
      <c r="AC139" s="37">
        <f t="shared" si="47"/>
        <v>1</v>
      </c>
      <c r="AD139" s="45">
        <f t="shared" si="45"/>
        <v>0.508965517241379</v>
      </c>
      <c r="AE139" s="46">
        <v>3</v>
      </c>
      <c r="AF139" s="46" t="s">
        <v>191</v>
      </c>
      <c r="AG139" s="37" t="str">
        <f t="shared" si="44"/>
        <v>no</v>
      </c>
      <c r="AH139" s="37" t="str">
        <f t="array" ref="AH139">_xlfn.IFS(LOWER(AG139)="n","no",LOWER(AG139)="y","yes",TRUE,LOWER(AG139))</f>
        <v>no</v>
      </c>
      <c r="AI139" s="46" t="s">
        <v>4692</v>
      </c>
    </row>
    <row r="140" spans="1:35">
      <c r="A140" s="37" t="s">
        <v>870</v>
      </c>
      <c r="B140" s="38">
        <v>45432</v>
      </c>
      <c r="C140" s="39">
        <f t="shared" si="32"/>
        <v>45432</v>
      </c>
      <c r="D140" s="40" t="s">
        <v>4704</v>
      </c>
      <c r="E140" s="37" t="str" cm="1">
        <f t="array" ref="E140">_xlfn.IFS(D140="delhi","north",D140="mumbai","west",D140="bengaluru","south",D140="chennai","south",D140="kolkata","east",TRUE,"west")</f>
        <v>west</v>
      </c>
      <c r="F140" s="37" t="s">
        <v>270</v>
      </c>
      <c r="G140" s="37" t="str">
        <f t="shared" si="33"/>
        <v>ecomexpress</v>
      </c>
      <c r="H140" s="37" t="s">
        <v>42</v>
      </c>
      <c r="I140" s="37" t="str">
        <f t="shared" si="34"/>
        <v>surface</v>
      </c>
      <c r="J140" s="37" t="s">
        <v>360</v>
      </c>
      <c r="K140" s="37" t="str">
        <f t="shared" si="35"/>
        <v>furniture</v>
      </c>
      <c r="L140" s="37" t="s">
        <v>418</v>
      </c>
      <c r="M140" s="37" t="str">
        <f t="shared" si="36"/>
        <v>south</v>
      </c>
      <c r="N140" s="37" t="s">
        <v>93</v>
      </c>
      <c r="O140" s="41" t="str">
        <f t="shared" si="37"/>
        <v>Yes</v>
      </c>
      <c r="P140" s="41">
        <v>32.7</v>
      </c>
      <c r="Q140" s="41">
        <v>897</v>
      </c>
      <c r="R140" s="42">
        <f t="shared" si="38"/>
        <v>27.4311926605505</v>
      </c>
      <c r="S140" s="37">
        <v>6</v>
      </c>
      <c r="T140" s="37" t="s">
        <v>455</v>
      </c>
      <c r="U140" s="43" t="str">
        <f t="shared" si="39"/>
        <v>31/05/2024</v>
      </c>
      <c r="V140" s="43">
        <f t="shared" si="40"/>
        <v>45443</v>
      </c>
      <c r="W140" s="44">
        <f t="array" ref="W140">_xlfn.IFS(TRIM(C140)="","",TRIM(V140)="","",TRUE,V140-C140)</f>
        <v>11</v>
      </c>
      <c r="X140" s="37">
        <f t="shared" si="41"/>
        <v>5</v>
      </c>
      <c r="Y140" s="37" t="s">
        <v>172</v>
      </c>
      <c r="Z140" s="37" t="str">
        <f t="shared" si="42"/>
        <v>delayed</v>
      </c>
      <c r="AA140" s="37" t="str">
        <f t="shared" si="43"/>
        <v>Late</v>
      </c>
      <c r="AB140" s="37" t="str">
        <f t="shared" si="46"/>
        <v>1</v>
      </c>
      <c r="AC140" s="37">
        <f t="shared" si="47"/>
        <v>1</v>
      </c>
      <c r="AD140" s="45">
        <f t="shared" si="45"/>
        <v>0.508626639061422</v>
      </c>
      <c r="AE140" s="37">
        <v>3</v>
      </c>
      <c r="AF140" s="37" t="s">
        <v>152</v>
      </c>
      <c r="AG140" s="37" t="str">
        <f t="shared" si="44"/>
        <v>no</v>
      </c>
      <c r="AH140" s="37" t="str">
        <f t="array" ref="AH140">_xlfn.IFS(LOWER(AG140)="n","no",LOWER(AG140)="y","yes",TRUE,LOWER(AG140))</f>
        <v>no</v>
      </c>
      <c r="AI140" s="37" t="s">
        <v>4692</v>
      </c>
    </row>
    <row r="141" spans="1:35">
      <c r="A141" s="46" t="s">
        <v>873</v>
      </c>
      <c r="B141" s="47">
        <v>45415</v>
      </c>
      <c r="C141" s="39">
        <f t="shared" si="32"/>
        <v>45415</v>
      </c>
      <c r="D141" s="48" t="s">
        <v>121</v>
      </c>
      <c r="E141" s="37" t="str" cm="1">
        <f t="array" ref="E141">_xlfn.IFS(D141="delhi","north",D141="mumbai","west",D141="bengaluru","south",D141="chennai","south",D141="kolkata","east",TRUE,"west")</f>
        <v>west</v>
      </c>
      <c r="F141" s="46" t="s">
        <v>312</v>
      </c>
      <c r="G141" s="37" t="str">
        <f t="shared" si="33"/>
        <v>bluedart</v>
      </c>
      <c r="H141" s="46" t="s">
        <v>195</v>
      </c>
      <c r="I141" s="37" t="str">
        <f t="shared" si="34"/>
        <v>road</v>
      </c>
      <c r="J141" s="46" t="s">
        <v>301</v>
      </c>
      <c r="K141" s="37" t="str">
        <f t="shared" si="35"/>
        <v>furniture</v>
      </c>
      <c r="L141" s="46" t="s">
        <v>89</v>
      </c>
      <c r="M141" s="37" t="str">
        <f t="shared" si="36"/>
        <v>west</v>
      </c>
      <c r="N141" s="46" t="s">
        <v>278</v>
      </c>
      <c r="O141" s="41" t="str">
        <f t="shared" si="37"/>
        <v>Yes</v>
      </c>
      <c r="P141" s="49" t="s">
        <v>875</v>
      </c>
      <c r="Q141" s="49">
        <v>542</v>
      </c>
      <c r="R141" s="42">
        <f t="shared" si="38"/>
        <v>18.1879194630872</v>
      </c>
      <c r="S141" s="46">
        <v>8</v>
      </c>
      <c r="T141" s="46" t="s">
        <v>877</v>
      </c>
      <c r="U141" s="43" t="str">
        <f t="shared" si="39"/>
        <v>12-may-2024</v>
      </c>
      <c r="V141" s="43">
        <f t="shared" si="40"/>
        <v>45424</v>
      </c>
      <c r="W141" s="44">
        <f t="array" ref="W141">_xlfn.IFS(TRIM(C141)="","",TRIM(V141)="","",TRUE,V141-C141)</f>
        <v>9</v>
      </c>
      <c r="X141" s="37">
        <f t="shared" si="41"/>
        <v>1</v>
      </c>
      <c r="Y141" s="46" t="s">
        <v>72</v>
      </c>
      <c r="Z141" s="37" t="str">
        <f t="shared" si="42"/>
        <v>delayed</v>
      </c>
      <c r="AA141" s="37" t="str">
        <f t="shared" si="43"/>
        <v>Late</v>
      </c>
      <c r="AB141" s="37" t="str">
        <f t="shared" si="46"/>
        <v>1</v>
      </c>
      <c r="AC141" s="37">
        <f t="shared" si="47"/>
        <v>1</v>
      </c>
      <c r="AD141" s="45">
        <f t="shared" si="45"/>
        <v>0.50828729281768</v>
      </c>
      <c r="AE141" s="46">
        <v>2</v>
      </c>
      <c r="AF141" s="46" t="s">
        <v>181</v>
      </c>
      <c r="AG141" s="37" t="str">
        <f t="shared" si="44"/>
        <v>y</v>
      </c>
      <c r="AH141" s="37" t="str">
        <f t="array" ref="AH141">_xlfn.IFS(LOWER(AG141)="n","no",LOWER(AG141)="y","yes",TRUE,LOWER(AG141))</f>
        <v>yes</v>
      </c>
      <c r="AI141" s="46" t="s">
        <v>4692</v>
      </c>
    </row>
    <row r="142" spans="1:35">
      <c r="A142" s="37" t="s">
        <v>878</v>
      </c>
      <c r="B142" s="38">
        <v>45389</v>
      </c>
      <c r="C142" s="39">
        <f t="shared" si="32"/>
        <v>45389</v>
      </c>
      <c r="D142" s="40" t="s">
        <v>109</v>
      </c>
      <c r="E142" s="37" t="str" cm="1">
        <f t="array" ref="E142">_xlfn.IFS(D142="delhi","north",D142="mumbai","west",D142="bengaluru","south",D142="chennai","south",D142="kolkata","east",TRUE,"west")</f>
        <v>west</v>
      </c>
      <c r="F142" s="37" t="s">
        <v>223</v>
      </c>
      <c r="G142" s="37" t="str">
        <f t="shared" si="33"/>
        <v>xpressbees</v>
      </c>
      <c r="H142" s="37" t="s">
        <v>99</v>
      </c>
      <c r="I142" s="37" t="str">
        <f t="shared" si="34"/>
        <v>air</v>
      </c>
      <c r="J142" s="37" t="s">
        <v>100</v>
      </c>
      <c r="K142" s="37" t="str">
        <f t="shared" si="35"/>
        <v>electronics</v>
      </c>
      <c r="L142" s="37" t="s">
        <v>168</v>
      </c>
      <c r="M142" s="37" t="str">
        <f t="shared" si="36"/>
        <v>west</v>
      </c>
      <c r="N142" s="37" t="s">
        <v>278</v>
      </c>
      <c r="O142" s="41" t="str">
        <f t="shared" si="37"/>
        <v>Yes</v>
      </c>
      <c r="P142" s="41">
        <v>5.5</v>
      </c>
      <c r="Q142" s="41" t="s">
        <v>880</v>
      </c>
      <c r="R142" s="42">
        <f t="shared" si="38"/>
        <v>46.5454545454545</v>
      </c>
      <c r="S142" s="37">
        <v>2</v>
      </c>
      <c r="T142" s="37" t="s">
        <v>702</v>
      </c>
      <c r="U142" s="43" t="str">
        <f t="shared" si="39"/>
        <v>2024-04-09</v>
      </c>
      <c r="V142" s="43">
        <f t="shared" si="40"/>
        <v>45391</v>
      </c>
      <c r="W142" s="44">
        <f t="array" ref="W142">_xlfn.IFS(TRIM(C142)="","",TRIM(V142)="","",TRUE,V142-C142)</f>
        <v>2</v>
      </c>
      <c r="X142" s="37">
        <f t="shared" si="41"/>
        <v>0</v>
      </c>
      <c r="Y142" s="37" t="s">
        <v>163</v>
      </c>
      <c r="Z142" s="37" t="str">
        <f t="shared" si="42"/>
        <v>delivered</v>
      </c>
      <c r="AA142" s="37" t="str">
        <f t="shared" si="43"/>
        <v>On Time</v>
      </c>
      <c r="AB142" s="37" t="str">
        <f t="shared" si="46"/>
        <v>0</v>
      </c>
      <c r="AC142" s="37">
        <f t="shared" si="47"/>
        <v>0</v>
      </c>
      <c r="AD142" s="45">
        <f t="shared" si="45"/>
        <v>0.507947477539737</v>
      </c>
      <c r="AE142" s="37">
        <v>5</v>
      </c>
      <c r="AF142" s="37" t="s">
        <v>118</v>
      </c>
      <c r="AG142" s="37" t="str">
        <f t="shared" si="44"/>
        <v>no</v>
      </c>
      <c r="AH142" s="37" t="str">
        <f t="array" ref="AH142">_xlfn.IFS(LOWER(AG142)="n","no",LOWER(AG142)="y","yes",TRUE,LOWER(AG142))</f>
        <v>no</v>
      </c>
      <c r="AI142" s="37" t="s">
        <v>4692</v>
      </c>
    </row>
    <row r="143" spans="1:35">
      <c r="A143" s="46" t="s">
        <v>881</v>
      </c>
      <c r="B143" s="47">
        <v>45316</v>
      </c>
      <c r="C143" s="39">
        <f t="shared" si="32"/>
        <v>45316</v>
      </c>
      <c r="D143" s="48" t="s">
        <v>633</v>
      </c>
      <c r="E143" s="37" t="str" cm="1">
        <f t="array" ref="E143">_xlfn.IFS(D143="delhi","north",D143="mumbai","west",D143="bengaluru","south",D143="chennai","south",D143="kolkata","east",TRUE,"west")</f>
        <v>south</v>
      </c>
      <c r="F143" s="46" t="s">
        <v>230</v>
      </c>
      <c r="G143" s="37" t="str">
        <f t="shared" si="33"/>
        <v>dtdc</v>
      </c>
      <c r="H143" s="46" t="s">
        <v>110</v>
      </c>
      <c r="I143" s="37" t="str">
        <f t="shared" si="34"/>
        <v>surface</v>
      </c>
      <c r="J143" s="46" t="s">
        <v>313</v>
      </c>
      <c r="K143" s="37" t="str">
        <f t="shared" si="35"/>
        <v>automotiveparts</v>
      </c>
      <c r="L143" s="46" t="s">
        <v>197</v>
      </c>
      <c r="M143" s="37" t="str">
        <f t="shared" si="36"/>
        <v>south</v>
      </c>
      <c r="N143" s="46" t="s">
        <v>90</v>
      </c>
      <c r="O143" s="41" t="str">
        <f t="shared" si="37"/>
        <v>Yes</v>
      </c>
      <c r="P143" s="49" t="s">
        <v>883</v>
      </c>
      <c r="Q143" s="49">
        <v>264</v>
      </c>
      <c r="R143" s="42">
        <f t="shared" si="38"/>
        <v>21.8181818181818</v>
      </c>
      <c r="S143" s="46">
        <v>4</v>
      </c>
      <c r="T143" s="46" t="s">
        <v>688</v>
      </c>
      <c r="U143" s="43" t="str">
        <f t="shared" si="39"/>
        <v>04/02/2024</v>
      </c>
      <c r="V143" s="43">
        <f t="shared" si="40"/>
        <v>45326</v>
      </c>
      <c r="W143" s="44">
        <f t="array" ref="W143">_xlfn.IFS(TRIM(C143)="","",TRIM(V143)="","",TRUE,V143-C143)</f>
        <v>10</v>
      </c>
      <c r="X143" s="37">
        <f t="shared" si="41"/>
        <v>6</v>
      </c>
      <c r="Y143" s="46" t="s">
        <v>72</v>
      </c>
      <c r="Z143" s="37" t="str">
        <f t="shared" si="42"/>
        <v>delayed</v>
      </c>
      <c r="AA143" s="37" t="str">
        <f t="shared" si="43"/>
        <v>Late</v>
      </c>
      <c r="AB143" s="37" t="str">
        <f t="shared" si="46"/>
        <v>1</v>
      </c>
      <c r="AC143" s="37">
        <f t="shared" si="47"/>
        <v>1</v>
      </c>
      <c r="AD143" s="45">
        <f t="shared" si="45"/>
        <v>0.508298755186722</v>
      </c>
      <c r="AE143" s="46">
        <v>3</v>
      </c>
      <c r="AF143" s="46" t="s">
        <v>191</v>
      </c>
      <c r="AG143" s="37" t="str">
        <f t="shared" si="44"/>
        <v>no</v>
      </c>
      <c r="AH143" s="37" t="str">
        <f t="array" ref="AH143">_xlfn.IFS(LOWER(AG143)="n","no",LOWER(AG143)="y","yes",TRUE,LOWER(AG143))</f>
        <v>no</v>
      </c>
      <c r="AI143" s="46" t="s">
        <v>4692</v>
      </c>
    </row>
    <row r="144" spans="1:35">
      <c r="A144" s="37" t="s">
        <v>885</v>
      </c>
      <c r="B144" s="38">
        <v>45453</v>
      </c>
      <c r="C144" s="39">
        <f t="shared" si="32"/>
        <v>45453</v>
      </c>
      <c r="D144" s="40" t="s">
        <v>633</v>
      </c>
      <c r="E144" s="37" t="str" cm="1">
        <f t="array" ref="E144">_xlfn.IFS(D144="delhi","north",D144="mumbai","west",D144="bengaluru","south",D144="chennai","south",D144="kolkata","east",TRUE,"west")</f>
        <v>south</v>
      </c>
      <c r="F144" s="37" t="s">
        <v>312</v>
      </c>
      <c r="G144" s="37" t="str">
        <f t="shared" si="33"/>
        <v>bluedart</v>
      </c>
      <c r="H144" s="37" t="s">
        <v>195</v>
      </c>
      <c r="I144" s="37" t="str">
        <f t="shared" si="34"/>
        <v>road</v>
      </c>
      <c r="J144" s="37" t="s">
        <v>237</v>
      </c>
      <c r="K144" s="37" t="str">
        <f t="shared" si="35"/>
        <v>automotiveparts</v>
      </c>
      <c r="L144" s="37" t="s">
        <v>302</v>
      </c>
      <c r="M144" s="37" t="str">
        <f t="shared" si="36"/>
        <v>east</v>
      </c>
      <c r="N144" s="37" t="s">
        <v>91</v>
      </c>
      <c r="O144" s="41" t="str">
        <f t="shared" si="37"/>
        <v>Yes</v>
      </c>
      <c r="P144" s="41">
        <v>25.7</v>
      </c>
      <c r="Q144" s="41">
        <v>525</v>
      </c>
      <c r="R144" s="42">
        <f t="shared" si="38"/>
        <v>20.4280155642023</v>
      </c>
      <c r="S144" s="37">
        <v>8</v>
      </c>
      <c r="T144" s="37" t="s">
        <v>888</v>
      </c>
      <c r="U144" s="43" t="str">
        <f t="shared" si="39"/>
        <v>19-jun-2024</v>
      </c>
      <c r="V144" s="43">
        <f t="shared" si="40"/>
        <v>45462</v>
      </c>
      <c r="W144" s="44">
        <f t="array" ref="W144">_xlfn.IFS(TRIM(C144)="","",TRIM(V144)="","",TRUE,V144-C144)</f>
        <v>9</v>
      </c>
      <c r="X144" s="37">
        <f t="shared" si="41"/>
        <v>1</v>
      </c>
      <c r="Y144" s="37" t="s">
        <v>172</v>
      </c>
      <c r="Z144" s="37" t="str">
        <f t="shared" si="42"/>
        <v>delayed</v>
      </c>
      <c r="AA144" s="37" t="str">
        <f t="shared" si="43"/>
        <v>Late</v>
      </c>
      <c r="AB144" s="37" t="str">
        <f t="shared" si="46"/>
        <v>1</v>
      </c>
      <c r="AC144" s="37">
        <f t="shared" si="47"/>
        <v>1</v>
      </c>
      <c r="AD144" s="45">
        <f t="shared" si="45"/>
        <v>0.507958477508651</v>
      </c>
      <c r="AE144" s="37">
        <v>3</v>
      </c>
      <c r="AF144" s="37" t="s">
        <v>191</v>
      </c>
      <c r="AG144" s="37" t="str">
        <f t="shared" si="44"/>
        <v>no</v>
      </c>
      <c r="AH144" s="37" t="str">
        <f t="array" ref="AH144">_xlfn.IFS(LOWER(AG144)="n","no",LOWER(AG144)="y","yes",TRUE,LOWER(AG144))</f>
        <v>no</v>
      </c>
      <c r="AI144" s="37" t="s">
        <v>4692</v>
      </c>
    </row>
    <row r="145" spans="1:35">
      <c r="A145" s="46" t="s">
        <v>889</v>
      </c>
      <c r="B145" s="47">
        <v>45392</v>
      </c>
      <c r="C145" s="39">
        <f t="shared" si="32"/>
        <v>45392</v>
      </c>
      <c r="D145" s="48" t="s">
        <v>340</v>
      </c>
      <c r="E145" s="37" t="str" cm="1">
        <f t="array" ref="E145">_xlfn.IFS(D145="delhi","north",D145="mumbai","west",D145="bengaluru","south",D145="chennai","south",D145="kolkata","east",TRUE,"west")</f>
        <v>north</v>
      </c>
      <c r="F145" s="46" t="s">
        <v>223</v>
      </c>
      <c r="G145" s="37" t="str">
        <f t="shared" si="33"/>
        <v>xpressbees</v>
      </c>
      <c r="H145" s="46" t="s">
        <v>345</v>
      </c>
      <c r="I145" s="37" t="str">
        <f t="shared" si="34"/>
        <v>surface</v>
      </c>
      <c r="J145" s="46" t="s">
        <v>158</v>
      </c>
      <c r="K145" s="37" t="str">
        <f t="shared" si="35"/>
        <v>pharma</v>
      </c>
      <c r="L145" s="46" t="s">
        <v>197</v>
      </c>
      <c r="M145" s="37" t="str">
        <f t="shared" si="36"/>
        <v>south</v>
      </c>
      <c r="N145" s="46" t="s">
        <v>90</v>
      </c>
      <c r="O145" s="41" t="str">
        <f t="shared" si="37"/>
        <v>Yes</v>
      </c>
      <c r="P145" s="49">
        <v>2</v>
      </c>
      <c r="Q145" s="49">
        <v>216</v>
      </c>
      <c r="R145" s="42">
        <f t="shared" si="38"/>
        <v>108</v>
      </c>
      <c r="S145" s="46">
        <v>6</v>
      </c>
      <c r="T145" s="46" t="s">
        <v>891</v>
      </c>
      <c r="U145" s="43" t="str">
        <f t="shared" si="39"/>
        <v>20/04/2024</v>
      </c>
      <c r="V145" s="43">
        <f t="shared" si="40"/>
        <v>45402</v>
      </c>
      <c r="W145" s="44">
        <f t="array" ref="W145">_xlfn.IFS(TRIM(C145)="","",TRIM(V145)="","",TRUE,V145-C145)</f>
        <v>10</v>
      </c>
      <c r="X145" s="37">
        <f t="shared" si="41"/>
        <v>4</v>
      </c>
      <c r="Y145" s="46" t="s">
        <v>200</v>
      </c>
      <c r="Z145" s="37" t="str">
        <f t="shared" si="42"/>
        <v>delayed</v>
      </c>
      <c r="AA145" s="37" t="str">
        <f t="shared" si="43"/>
        <v>Late</v>
      </c>
      <c r="AB145" s="37" t="str">
        <f t="shared" si="46"/>
        <v>1</v>
      </c>
      <c r="AC145" s="37">
        <f t="shared" si="47"/>
        <v>1</v>
      </c>
      <c r="AD145" s="45">
        <f t="shared" si="45"/>
        <v>0.507617728531856</v>
      </c>
      <c r="AE145" s="46">
        <v>2</v>
      </c>
      <c r="AF145" s="46" t="s">
        <v>131</v>
      </c>
      <c r="AG145" s="37" t="str">
        <f t="shared" si="44"/>
        <v>n</v>
      </c>
      <c r="AH145" s="37" t="str">
        <f t="array" ref="AH145">_xlfn.IFS(LOWER(AG145)="n","no",LOWER(AG145)="y","yes",TRUE,LOWER(AG145))</f>
        <v>no</v>
      </c>
      <c r="AI145" s="46" t="s">
        <v>4692</v>
      </c>
    </row>
    <row r="146" spans="1:35">
      <c r="A146" s="37" t="s">
        <v>892</v>
      </c>
      <c r="B146" s="38" t="s">
        <v>4701</v>
      </c>
      <c r="C146" s="39">
        <f t="shared" si="32"/>
        <v>45326</v>
      </c>
      <c r="D146" s="40" t="s">
        <v>4699</v>
      </c>
      <c r="E146" s="37" t="str" cm="1">
        <f t="array" ref="E146">_xlfn.IFS(D146="delhi","north",D146="mumbai","west",D146="bengaluru","south",D146="chennai","south",D146="kolkata","east",TRUE,"west")</f>
        <v>west</v>
      </c>
      <c r="F146" s="37" t="s">
        <v>312</v>
      </c>
      <c r="G146" s="37" t="str">
        <f t="shared" si="33"/>
        <v>bluedart</v>
      </c>
      <c r="H146" s="37" t="s">
        <v>147</v>
      </c>
      <c r="I146" s="37" t="str">
        <f t="shared" si="34"/>
        <v>road</v>
      </c>
      <c r="J146" s="37" t="s">
        <v>237</v>
      </c>
      <c r="K146" s="37" t="str">
        <f t="shared" si="35"/>
        <v>automotiveparts</v>
      </c>
      <c r="L146" s="37" t="s">
        <v>264</v>
      </c>
      <c r="M146" s="37" t="str">
        <f t="shared" si="36"/>
        <v>west</v>
      </c>
      <c r="N146" s="37" t="s">
        <v>88</v>
      </c>
      <c r="O146" s="41" t="str">
        <f t="shared" si="37"/>
        <v>Yes</v>
      </c>
      <c r="P146" s="41">
        <v>20.9</v>
      </c>
      <c r="Q146" s="41">
        <v>292</v>
      </c>
      <c r="R146" s="42">
        <f t="shared" si="38"/>
        <v>13.9712918660287</v>
      </c>
      <c r="S146" s="37">
        <v>6</v>
      </c>
      <c r="T146" s="37" t="s">
        <v>816</v>
      </c>
      <c r="U146" s="43" t="str">
        <f t="shared" si="39"/>
        <v>10/02/2024</v>
      </c>
      <c r="V146" s="43">
        <f t="shared" si="40"/>
        <v>45332</v>
      </c>
      <c r="W146" s="44">
        <f t="array" ref="W146">_xlfn.IFS(TRIM(C146)="","",TRIM(V146)="","",TRUE,V146-C146)</f>
        <v>6</v>
      </c>
      <c r="X146" s="37">
        <f t="shared" si="41"/>
        <v>0</v>
      </c>
      <c r="Y146" s="37" t="s">
        <v>219</v>
      </c>
      <c r="Z146" s="37" t="str">
        <f t="shared" si="42"/>
        <v>delivered</v>
      </c>
      <c r="AA146" s="37" t="str">
        <f t="shared" si="43"/>
        <v>On Time</v>
      </c>
      <c r="AB146" s="37" t="str">
        <f t="shared" si="46"/>
        <v>0</v>
      </c>
      <c r="AC146" s="37">
        <f t="shared" si="47"/>
        <v>0</v>
      </c>
      <c r="AD146" s="45">
        <f t="shared" si="45"/>
        <v>0.507276507276507</v>
      </c>
      <c r="AE146" s="37">
        <v>4</v>
      </c>
      <c r="AF146" s="37" t="s">
        <v>152</v>
      </c>
      <c r="AG146" s="37" t="str">
        <f t="shared" si="44"/>
        <v>no</v>
      </c>
      <c r="AH146" s="37" t="str">
        <f t="array" ref="AH146">_xlfn.IFS(LOWER(AG146)="n","no",LOWER(AG146)="y","yes",TRUE,LOWER(AG146))</f>
        <v>no</v>
      </c>
      <c r="AI146" s="37" t="s">
        <v>4692</v>
      </c>
    </row>
    <row r="147" spans="1:35">
      <c r="A147" s="46" t="s">
        <v>894</v>
      </c>
      <c r="B147" s="47" t="s">
        <v>4730</v>
      </c>
      <c r="C147" s="39">
        <f t="shared" si="32"/>
        <v>45314</v>
      </c>
      <c r="D147" s="48" t="s">
        <v>4695</v>
      </c>
      <c r="E147" s="37" t="str" cm="1">
        <f t="array" ref="E147">_xlfn.IFS(D147="delhi","north",D147="mumbai","west",D147="bengaluru","south",D147="chennai","south",D147="kolkata","east",TRUE,"west")</f>
        <v>west</v>
      </c>
      <c r="F147" s="46" t="s">
        <v>333</v>
      </c>
      <c r="G147" s="37" t="str">
        <f t="shared" si="33"/>
        <v>delhivery</v>
      </c>
      <c r="H147" s="46" t="s">
        <v>195</v>
      </c>
      <c r="I147" s="37" t="str">
        <f t="shared" si="34"/>
        <v>road</v>
      </c>
      <c r="J147" s="46" t="s">
        <v>231</v>
      </c>
      <c r="K147" s="37" t="str">
        <f t="shared" si="35"/>
        <v>furniture</v>
      </c>
      <c r="L147" s="46" t="s">
        <v>264</v>
      </c>
      <c r="M147" s="37" t="str">
        <f t="shared" si="36"/>
        <v>west</v>
      </c>
      <c r="N147" s="46" t="s">
        <v>187</v>
      </c>
      <c r="O147" s="41" t="str">
        <f t="shared" si="37"/>
        <v>Yes</v>
      </c>
      <c r="P147" s="49">
        <v>78.8</v>
      </c>
      <c r="Q147" s="49">
        <v>1117</v>
      </c>
      <c r="R147" s="42">
        <f t="shared" si="38"/>
        <v>14.1751269035533</v>
      </c>
      <c r="S147" s="46">
        <v>6</v>
      </c>
      <c r="T147" s="46" t="s">
        <v>897</v>
      </c>
      <c r="U147" s="43" t="str">
        <f t="shared" si="39"/>
        <v>28/01/2024</v>
      </c>
      <c r="V147" s="43">
        <f t="shared" si="40"/>
        <v>45319</v>
      </c>
      <c r="W147" s="44">
        <f t="array" ref="W147">_xlfn.IFS(TRIM(C147)="","",TRIM(V147)="","",TRUE,V147-C147)</f>
        <v>5</v>
      </c>
      <c r="X147" s="37">
        <f t="shared" si="41"/>
        <v>-1</v>
      </c>
      <c r="Y147" s="46" t="s">
        <v>105</v>
      </c>
      <c r="Z147" s="37" t="str">
        <f t="shared" si="42"/>
        <v>delivered</v>
      </c>
      <c r="AA147" s="37" t="str">
        <f t="shared" si="43"/>
        <v>On Time</v>
      </c>
      <c r="AB147" s="37" t="str">
        <f t="shared" si="46"/>
        <v>0</v>
      </c>
      <c r="AC147" s="37">
        <f t="shared" si="47"/>
        <v>0</v>
      </c>
      <c r="AD147" s="45">
        <f t="shared" si="45"/>
        <v>0.507628294036061</v>
      </c>
      <c r="AE147" s="46">
        <v>5</v>
      </c>
      <c r="AF147" s="46" t="s">
        <v>191</v>
      </c>
      <c r="AG147" s="37" t="str">
        <f t="shared" si="44"/>
        <v>no</v>
      </c>
      <c r="AH147" s="37" t="str">
        <f t="array" ref="AH147">_xlfn.IFS(LOWER(AG147)="n","no",LOWER(AG147)="y","yes",TRUE,LOWER(AG147))</f>
        <v>no</v>
      </c>
      <c r="AI147" s="46" t="s">
        <v>4692</v>
      </c>
    </row>
    <row r="148" spans="1:35">
      <c r="A148" s="37" t="s">
        <v>898</v>
      </c>
      <c r="B148" s="38" t="s">
        <v>4731</v>
      </c>
      <c r="C148" s="39">
        <f t="shared" si="32"/>
        <v>45350</v>
      </c>
      <c r="D148" s="40" t="s">
        <v>212</v>
      </c>
      <c r="E148" s="37" t="str" cm="1">
        <f t="array" ref="E148">_xlfn.IFS(D148="delhi","north",D148="mumbai","west",D148="bengaluru","south",D148="chennai","south",D148="kolkata","east",TRUE,"west")</f>
        <v>west</v>
      </c>
      <c r="F148" s="37" t="s">
        <v>98</v>
      </c>
      <c r="G148" s="37" t="str">
        <f t="shared" si="33"/>
        <v>dtdc</v>
      </c>
      <c r="H148" s="37" t="s">
        <v>224</v>
      </c>
      <c r="I148" s="37" t="str">
        <f t="shared" si="34"/>
        <v>air</v>
      </c>
      <c r="J148" s="37" t="s">
        <v>47</v>
      </c>
      <c r="K148" s="37" t="str">
        <f t="shared" si="35"/>
        <v>electronics</v>
      </c>
      <c r="L148" s="37" t="s">
        <v>139</v>
      </c>
      <c r="M148" s="37" t="str">
        <f t="shared" si="36"/>
        <v>north</v>
      </c>
      <c r="N148" s="37" t="s">
        <v>354</v>
      </c>
      <c r="O148" s="41" t="str">
        <f t="shared" si="37"/>
        <v>Yes</v>
      </c>
      <c r="P148" s="41">
        <v>1.5</v>
      </c>
      <c r="Q148" s="41">
        <v>260</v>
      </c>
      <c r="R148" s="42">
        <f t="shared" si="38"/>
        <v>173.333333333333</v>
      </c>
      <c r="S148" s="37">
        <v>4</v>
      </c>
      <c r="T148" s="37" t="s">
        <v>902</v>
      </c>
      <c r="U148" s="43" t="str">
        <f t="shared" si="39"/>
        <v>2024-03-04</v>
      </c>
      <c r="V148" s="43">
        <f t="shared" si="40"/>
        <v>45355</v>
      </c>
      <c r="W148" s="44">
        <f t="array" ref="W148">_xlfn.IFS(TRIM(C148)="","",TRIM(V148)="","",TRUE,V148-C148)</f>
        <v>5</v>
      </c>
      <c r="X148" s="37">
        <f t="shared" si="41"/>
        <v>1</v>
      </c>
      <c r="Y148" s="37" t="s">
        <v>200</v>
      </c>
      <c r="Z148" s="37" t="str">
        <f t="shared" si="42"/>
        <v>delayed</v>
      </c>
      <c r="AA148" s="37" t="str">
        <f t="shared" si="43"/>
        <v>Late</v>
      </c>
      <c r="AB148" s="37" t="str">
        <f t="shared" si="46"/>
        <v>1</v>
      </c>
      <c r="AC148" s="37">
        <f t="shared" si="47"/>
        <v>1</v>
      </c>
      <c r="AD148" s="45">
        <f t="shared" si="45"/>
        <v>0.507980569049271</v>
      </c>
      <c r="AE148" s="37">
        <v>3</v>
      </c>
      <c r="AF148" s="37" t="s">
        <v>152</v>
      </c>
      <c r="AG148" s="37" t="str">
        <f t="shared" si="44"/>
        <v>no</v>
      </c>
      <c r="AH148" s="37" t="str">
        <f t="array" ref="AH148">_xlfn.IFS(LOWER(AG148)="n","no",LOWER(AG148)="y","yes",TRUE,LOWER(AG148))</f>
        <v>no</v>
      </c>
      <c r="AI148" s="37" t="s">
        <v>4692</v>
      </c>
    </row>
    <row r="149" spans="1:35">
      <c r="A149" s="46" t="s">
        <v>903</v>
      </c>
      <c r="B149" s="47">
        <v>45358</v>
      </c>
      <c r="C149" s="39">
        <f t="shared" si="32"/>
        <v>45358</v>
      </c>
      <c r="D149" s="48" t="s">
        <v>4695</v>
      </c>
      <c r="E149" s="37" t="str" cm="1">
        <f t="array" ref="E149">_xlfn.IFS(D149="delhi","north",D149="mumbai","west",D149="bengaluru","south",D149="chennai","south",D149="kolkata","east",TRUE,"west")</f>
        <v>west</v>
      </c>
      <c r="F149" s="46" t="s">
        <v>175</v>
      </c>
      <c r="G149" s="37" t="str">
        <f t="shared" si="33"/>
        <v>ecomexpress</v>
      </c>
      <c r="H149" s="46" t="s">
        <v>42</v>
      </c>
      <c r="I149" s="37" t="str">
        <f t="shared" si="34"/>
        <v>surface</v>
      </c>
      <c r="J149" s="46" t="s">
        <v>277</v>
      </c>
      <c r="K149" s="37" t="str">
        <f t="shared" si="35"/>
        <v>apparel</v>
      </c>
      <c r="L149" s="46" t="s">
        <v>168</v>
      </c>
      <c r="M149" s="37" t="str">
        <f t="shared" si="36"/>
        <v>west</v>
      </c>
      <c r="N149" s="46" t="s">
        <v>278</v>
      </c>
      <c r="O149" s="41" t="str">
        <f t="shared" si="37"/>
        <v>Yes</v>
      </c>
      <c r="P149" s="49">
        <v>2.4</v>
      </c>
      <c r="Q149" s="49">
        <v>102</v>
      </c>
      <c r="R149" s="42">
        <f t="shared" si="38"/>
        <v>42.5</v>
      </c>
      <c r="S149" s="46">
        <v>4</v>
      </c>
      <c r="T149" s="46" t="s">
        <v>299</v>
      </c>
      <c r="U149" s="43" t="str">
        <f t="shared" si="39"/>
        <v>2024-03-19</v>
      </c>
      <c r="V149" s="43">
        <f t="shared" si="40"/>
        <v>45370</v>
      </c>
      <c r="W149" s="44">
        <f t="array" ref="W149">_xlfn.IFS(TRIM(C149)="","",TRIM(V149)="","",TRUE,V149-C149)</f>
        <v>12</v>
      </c>
      <c r="X149" s="37">
        <f t="shared" si="41"/>
        <v>8</v>
      </c>
      <c r="Y149" s="46" t="s">
        <v>200</v>
      </c>
      <c r="Z149" s="37" t="str">
        <f t="shared" si="42"/>
        <v>delayed</v>
      </c>
      <c r="AA149" s="37" t="str">
        <f t="shared" si="43"/>
        <v>Late</v>
      </c>
      <c r="AB149" s="37" t="str">
        <f t="shared" si="46"/>
        <v>1</v>
      </c>
      <c r="AC149" s="37">
        <f t="shared" si="47"/>
        <v>1</v>
      </c>
      <c r="AD149" s="45">
        <f t="shared" si="45"/>
        <v>0.507638888888889</v>
      </c>
      <c r="AE149" s="46">
        <v>3</v>
      </c>
      <c r="AF149" s="46" t="s">
        <v>131</v>
      </c>
      <c r="AG149" s="37" t="str">
        <f t="shared" si="44"/>
        <v>n</v>
      </c>
      <c r="AH149" s="37" t="str">
        <f t="array" ref="AH149">_xlfn.IFS(LOWER(AG149)="n","no",LOWER(AG149)="y","yes",TRUE,LOWER(AG149))</f>
        <v>no</v>
      </c>
      <c r="AI149" s="46" t="s">
        <v>4692</v>
      </c>
    </row>
    <row r="150" spans="1:35">
      <c r="A150" s="37" t="s">
        <v>907</v>
      </c>
      <c r="B150" s="38" t="s">
        <v>4732</v>
      </c>
      <c r="C150" s="39">
        <f t="shared" si="32"/>
        <v>45462</v>
      </c>
      <c r="D150" s="40" t="s">
        <v>135</v>
      </c>
      <c r="E150" s="37" t="str" cm="1">
        <f t="array" ref="E150">_xlfn.IFS(D150="delhi","north",D150="mumbai","west",D150="bengaluru","south",D150="chennai","south",D150="kolkata","east",TRUE,"west")</f>
        <v>west</v>
      </c>
      <c r="F150" s="37" t="s">
        <v>146</v>
      </c>
      <c r="G150" s="37" t="str">
        <f t="shared" si="33"/>
        <v>ecomexpress</v>
      </c>
      <c r="H150" s="37" t="s">
        <v>224</v>
      </c>
      <c r="I150" s="37" t="str">
        <f t="shared" si="34"/>
        <v>air</v>
      </c>
      <c r="J150" s="37" t="s">
        <v>47</v>
      </c>
      <c r="K150" s="37" t="str">
        <f t="shared" si="35"/>
        <v>electronics</v>
      </c>
      <c r="L150" s="37" t="s">
        <v>334</v>
      </c>
      <c r="M150" s="37" t="str">
        <f t="shared" si="36"/>
        <v>north</v>
      </c>
      <c r="N150" s="37" t="s">
        <v>113</v>
      </c>
      <c r="O150" s="41" t="str">
        <f t="shared" si="37"/>
        <v>Yes</v>
      </c>
      <c r="P150" s="41" t="s">
        <v>529</v>
      </c>
      <c r="Q150" s="41">
        <v>206</v>
      </c>
      <c r="R150" s="42">
        <f t="shared" si="38"/>
        <v>128.75</v>
      </c>
      <c r="S150" s="37">
        <v>4</v>
      </c>
      <c r="T150" s="37" t="s">
        <v>909</v>
      </c>
      <c r="U150" s="43" t="str">
        <f t="shared" si="39"/>
        <v>24-jun-2024</v>
      </c>
      <c r="V150" s="43">
        <f t="shared" si="40"/>
        <v>45467</v>
      </c>
      <c r="W150" s="44">
        <f t="array" ref="W150">_xlfn.IFS(TRIM(C150)="","",TRIM(V150)="","",TRUE,V150-C150)</f>
        <v>5</v>
      </c>
      <c r="X150" s="37">
        <f t="shared" si="41"/>
        <v>1</v>
      </c>
      <c r="Y150" s="37" t="s">
        <v>200</v>
      </c>
      <c r="Z150" s="37" t="str">
        <f t="shared" si="42"/>
        <v>delayed</v>
      </c>
      <c r="AA150" s="37" t="str">
        <f t="shared" si="43"/>
        <v>Late</v>
      </c>
      <c r="AB150" s="37" t="str">
        <f t="shared" si="46"/>
        <v>1</v>
      </c>
      <c r="AC150" s="37">
        <f t="shared" si="47"/>
        <v>1</v>
      </c>
      <c r="AD150" s="45">
        <f t="shared" si="45"/>
        <v>0.507296733842946</v>
      </c>
      <c r="AE150" s="37">
        <v>2</v>
      </c>
      <c r="AF150" s="37" t="s">
        <v>152</v>
      </c>
      <c r="AG150" s="37" t="str">
        <f t="shared" si="44"/>
        <v>no</v>
      </c>
      <c r="AH150" s="37" t="str">
        <f t="array" ref="AH150">_xlfn.IFS(LOWER(AG150)="n","no",LOWER(AG150)="y","yes",TRUE,LOWER(AG150))</f>
        <v>no</v>
      </c>
      <c r="AI150" s="37" t="s">
        <v>4692</v>
      </c>
    </row>
    <row r="151" spans="1:35">
      <c r="A151" s="46" t="s">
        <v>910</v>
      </c>
      <c r="B151" s="47" t="s">
        <v>4733</v>
      </c>
      <c r="C151" s="39">
        <f t="shared" si="32"/>
        <v>45356</v>
      </c>
      <c r="D151" s="48" t="s">
        <v>340</v>
      </c>
      <c r="E151" s="37" t="str" cm="1">
        <f t="array" ref="E151">_xlfn.IFS(D151="delhi","north",D151="mumbai","west",D151="bengaluru","south",D151="chennai","south",D151="kolkata","east",TRUE,"west")</f>
        <v>north</v>
      </c>
      <c r="F151" s="46" t="s">
        <v>146</v>
      </c>
      <c r="G151" s="37" t="str">
        <f t="shared" si="33"/>
        <v>ecomexpress</v>
      </c>
      <c r="H151" s="46" t="s">
        <v>110</v>
      </c>
      <c r="I151" s="37" t="str">
        <f t="shared" si="34"/>
        <v>surface</v>
      </c>
      <c r="J151" s="46" t="s">
        <v>843</v>
      </c>
      <c r="K151" s="37" t="str">
        <f t="shared" si="35"/>
        <v>automotiveparts</v>
      </c>
      <c r="L151" s="46" t="s">
        <v>168</v>
      </c>
      <c r="M151" s="37" t="str">
        <f t="shared" si="36"/>
        <v>west</v>
      </c>
      <c r="N151" s="46" t="s">
        <v>88</v>
      </c>
      <c r="O151" s="41" t="str">
        <f t="shared" si="37"/>
        <v>Yes</v>
      </c>
      <c r="P151" s="49" t="s">
        <v>911</v>
      </c>
      <c r="Q151" s="49">
        <v>722</v>
      </c>
      <c r="R151" s="42">
        <f t="shared" si="38"/>
        <v>28.4251968503937</v>
      </c>
      <c r="S151" s="46">
        <v>6</v>
      </c>
      <c r="T151" s="46" t="s">
        <v>913</v>
      </c>
      <c r="U151" s="43" t="str">
        <f t="shared" si="39"/>
        <v>11/03/2024</v>
      </c>
      <c r="V151" s="43">
        <f t="shared" si="40"/>
        <v>45362</v>
      </c>
      <c r="W151" s="44">
        <f t="array" ref="W151">_xlfn.IFS(TRIM(C151)="","",TRIM(V151)="","",TRUE,V151-C151)</f>
        <v>6</v>
      </c>
      <c r="X151" s="37">
        <f t="shared" si="41"/>
        <v>0</v>
      </c>
      <c r="Y151" s="46" t="s">
        <v>105</v>
      </c>
      <c r="Z151" s="37" t="str">
        <f t="shared" si="42"/>
        <v>delivered</v>
      </c>
      <c r="AA151" s="37" t="str">
        <f t="shared" si="43"/>
        <v>On Time</v>
      </c>
      <c r="AB151" s="37" t="str">
        <f t="shared" si="46"/>
        <v>0</v>
      </c>
      <c r="AC151" s="37">
        <f t="shared" si="47"/>
        <v>0</v>
      </c>
      <c r="AD151" s="45">
        <f t="shared" si="45"/>
        <v>0.506954102920723</v>
      </c>
      <c r="AE151" s="46">
        <v>4</v>
      </c>
      <c r="AF151" s="46" t="s">
        <v>131</v>
      </c>
      <c r="AG151" s="37" t="str">
        <f t="shared" si="44"/>
        <v>n</v>
      </c>
      <c r="AH151" s="37" t="str">
        <f t="array" ref="AH151">_xlfn.IFS(LOWER(AG151)="n","no",LOWER(AG151)="y","yes",TRUE,LOWER(AG151))</f>
        <v>no</v>
      </c>
      <c r="AI151" s="46" t="s">
        <v>4692</v>
      </c>
    </row>
    <row r="152" spans="1:35">
      <c r="A152" s="37" t="s">
        <v>914</v>
      </c>
      <c r="B152" s="38">
        <v>45299</v>
      </c>
      <c r="C152" s="39">
        <f t="shared" si="32"/>
        <v>45299</v>
      </c>
      <c r="D152" s="40" t="s">
        <v>340</v>
      </c>
      <c r="E152" s="37" t="str" cm="1">
        <f t="array" ref="E152">_xlfn.IFS(D152="delhi","north",D152="mumbai","west",D152="bengaluru","south",D152="chennai","south",D152="kolkata","east",TRUE,"west")</f>
        <v>north</v>
      </c>
      <c r="F152" s="37" t="s">
        <v>156</v>
      </c>
      <c r="G152" s="37" t="str">
        <f t="shared" si="33"/>
        <v>xpressbees</v>
      </c>
      <c r="H152" s="37" t="s">
        <v>157</v>
      </c>
      <c r="I152" s="37" t="str">
        <f t="shared" si="34"/>
        <v>surface</v>
      </c>
      <c r="J152" s="37" t="s">
        <v>186</v>
      </c>
      <c r="K152" s="37" t="str">
        <f t="shared" si="35"/>
        <v>automotiveparts</v>
      </c>
      <c r="L152" s="37" t="s">
        <v>87</v>
      </c>
      <c r="M152" s="37" t="str">
        <f t="shared" si="36"/>
        <v>north</v>
      </c>
      <c r="N152" s="37" t="s">
        <v>354</v>
      </c>
      <c r="O152" s="41" t="str">
        <f t="shared" si="37"/>
        <v>Yes</v>
      </c>
      <c r="P152" s="41">
        <v>18.5</v>
      </c>
      <c r="Q152" s="41">
        <v>435</v>
      </c>
      <c r="R152" s="42">
        <f t="shared" si="38"/>
        <v>23.5135135135135</v>
      </c>
      <c r="S152" s="37">
        <v>4</v>
      </c>
      <c r="T152" s="37" t="s">
        <v>774</v>
      </c>
      <c r="U152" s="43" t="str">
        <f t="shared" si="39"/>
        <v>13/01/2024</v>
      </c>
      <c r="V152" s="43">
        <f t="shared" si="40"/>
        <v>45304</v>
      </c>
      <c r="W152" s="44">
        <f t="array" ref="W152">_xlfn.IFS(TRIM(C152)="","",TRIM(V152)="","",TRUE,V152-C152)</f>
        <v>5</v>
      </c>
      <c r="X152" s="37">
        <f t="shared" si="41"/>
        <v>1</v>
      </c>
      <c r="Y152" s="37" t="s">
        <v>72</v>
      </c>
      <c r="Z152" s="37" t="str">
        <f t="shared" si="42"/>
        <v>delayed</v>
      </c>
      <c r="AA152" s="37" t="str">
        <f t="shared" si="43"/>
        <v>Late</v>
      </c>
      <c r="AB152" s="37" t="str">
        <f t="shared" si="46"/>
        <v>1</v>
      </c>
      <c r="AC152" s="37">
        <f t="shared" si="47"/>
        <v>1</v>
      </c>
      <c r="AD152" s="45">
        <f t="shared" si="45"/>
        <v>0.507306889352818</v>
      </c>
      <c r="AE152" s="37">
        <v>1</v>
      </c>
      <c r="AF152" s="37" t="s">
        <v>79</v>
      </c>
      <c r="AG152" s="37" t="str">
        <f t="shared" si="44"/>
        <v>yes</v>
      </c>
      <c r="AH152" s="37" t="str">
        <f t="array" ref="AH152">_xlfn.IFS(LOWER(AG152)="n","no",LOWER(AG152)="y","yes",TRUE,LOWER(AG152))</f>
        <v>yes</v>
      </c>
      <c r="AI152" s="37" t="s">
        <v>4692</v>
      </c>
    </row>
    <row r="153" spans="1:35">
      <c r="A153" s="46" t="s">
        <v>917</v>
      </c>
      <c r="B153" s="47">
        <v>45409</v>
      </c>
      <c r="C153" s="39">
        <f t="shared" si="32"/>
        <v>45409</v>
      </c>
      <c r="D153" s="48" t="s">
        <v>340</v>
      </c>
      <c r="E153" s="37" t="str" cm="1">
        <f t="array" ref="E153">_xlfn.IFS(D153="delhi","north",D153="mumbai","west",D153="bengaluru","south",D153="chennai","south",D153="kolkata","east",TRUE,"west")</f>
        <v>north</v>
      </c>
      <c r="F153" s="46" t="s">
        <v>919</v>
      </c>
      <c r="G153" s="37" t="str">
        <f t="shared" si="33"/>
        <v>xpressbees</v>
      </c>
      <c r="H153" s="46" t="s">
        <v>345</v>
      </c>
      <c r="I153" s="37" t="str">
        <f t="shared" si="34"/>
        <v>surface</v>
      </c>
      <c r="J153" s="46" t="s">
        <v>231</v>
      </c>
      <c r="K153" s="37" t="str">
        <f t="shared" si="35"/>
        <v>furniture</v>
      </c>
      <c r="L153" s="46" t="s">
        <v>470</v>
      </c>
      <c r="M153" s="37" t="str">
        <f t="shared" si="36"/>
        <v>east</v>
      </c>
      <c r="N153" s="46" t="s">
        <v>126</v>
      </c>
      <c r="O153" s="41" t="str">
        <f t="shared" si="37"/>
        <v>Yes</v>
      </c>
      <c r="P153" s="49">
        <v>44</v>
      </c>
      <c r="Q153" s="49">
        <v>1104</v>
      </c>
      <c r="R153" s="42">
        <f t="shared" si="38"/>
        <v>25.0909090909091</v>
      </c>
      <c r="S153" s="46">
        <v>6</v>
      </c>
      <c r="T153" s="46" t="s">
        <v>922</v>
      </c>
      <c r="U153" s="43" t="str">
        <f t="shared" si="39"/>
        <v>10/05/2024</v>
      </c>
      <c r="V153" s="43">
        <f t="shared" si="40"/>
        <v>45422</v>
      </c>
      <c r="W153" s="44">
        <f t="array" ref="W153">_xlfn.IFS(TRIM(C153)="","",TRIM(V153)="","",TRUE,V153-C153)</f>
        <v>13</v>
      </c>
      <c r="X153" s="37">
        <f t="shared" si="41"/>
        <v>7</v>
      </c>
      <c r="Y153" s="46" t="s">
        <v>200</v>
      </c>
      <c r="Z153" s="37" t="str">
        <f t="shared" si="42"/>
        <v>delayed</v>
      </c>
      <c r="AA153" s="37" t="str">
        <f t="shared" si="43"/>
        <v>Late</v>
      </c>
      <c r="AB153" s="37" t="str">
        <f t="shared" si="46"/>
        <v>1</v>
      </c>
      <c r="AC153" s="37">
        <f t="shared" si="47"/>
        <v>1</v>
      </c>
      <c r="AD153" s="45">
        <f t="shared" si="45"/>
        <v>0.506963788300836</v>
      </c>
      <c r="AE153" s="46">
        <v>5</v>
      </c>
      <c r="AF153" s="46" t="s">
        <v>131</v>
      </c>
      <c r="AG153" s="37" t="str">
        <f t="shared" si="44"/>
        <v>n</v>
      </c>
      <c r="AH153" s="37" t="str">
        <f t="array" ref="AH153">_xlfn.IFS(LOWER(AG153)="n","no",LOWER(AG153)="y","yes",TRUE,LOWER(AG153))</f>
        <v>no</v>
      </c>
      <c r="AI153" s="46" t="s">
        <v>4692</v>
      </c>
    </row>
    <row r="154" spans="1:35">
      <c r="A154" s="37" t="s">
        <v>923</v>
      </c>
      <c r="B154" s="38">
        <v>45401</v>
      </c>
      <c r="C154" s="39">
        <f t="shared" si="32"/>
        <v>45401</v>
      </c>
      <c r="D154" s="40" t="s">
        <v>633</v>
      </c>
      <c r="E154" s="37" t="str" cm="1">
        <f t="array" ref="E154">_xlfn.IFS(D154="delhi","north",D154="mumbai","west",D154="bengaluru","south",D154="chennai","south",D154="kolkata","east",TRUE,"west")</f>
        <v>south</v>
      </c>
      <c r="F154" s="37" t="s">
        <v>122</v>
      </c>
      <c r="G154" s="37" t="str">
        <f t="shared" si="33"/>
        <v>delhivery</v>
      </c>
      <c r="H154" s="37" t="s">
        <v>137</v>
      </c>
      <c r="I154" s="37" t="str">
        <f t="shared" si="34"/>
        <v>road</v>
      </c>
      <c r="J154" s="37" t="s">
        <v>313</v>
      </c>
      <c r="K154" s="37" t="str">
        <f t="shared" si="35"/>
        <v>automotiveparts</v>
      </c>
      <c r="L154" s="37" t="s">
        <v>401</v>
      </c>
      <c r="M154" s="37" t="str">
        <f t="shared" si="36"/>
        <v>south</v>
      </c>
      <c r="N154" s="37" t="s">
        <v>90</v>
      </c>
      <c r="O154" s="41" t="str">
        <f t="shared" si="37"/>
        <v>Yes</v>
      </c>
      <c r="P154" s="41" t="s">
        <v>925</v>
      </c>
      <c r="Q154" s="41">
        <v>80</v>
      </c>
      <c r="R154" s="42">
        <f t="shared" si="38"/>
        <v>14.8148148148148</v>
      </c>
      <c r="S154" s="37">
        <v>6</v>
      </c>
      <c r="T154" s="37" t="s">
        <v>926</v>
      </c>
      <c r="U154" s="43" t="str">
        <f t="shared" si="39"/>
        <v>24/04/2024</v>
      </c>
      <c r="V154" s="43">
        <f t="shared" si="40"/>
        <v>45406</v>
      </c>
      <c r="W154" s="44">
        <f t="array" ref="W154">_xlfn.IFS(TRIM(C154)="","",TRIM(V154)="","",TRUE,V154-C154)</f>
        <v>5</v>
      </c>
      <c r="X154" s="37">
        <f t="shared" si="41"/>
        <v>-1</v>
      </c>
      <c r="Y154" s="37" t="s">
        <v>117</v>
      </c>
      <c r="Z154" s="37" t="str">
        <f t="shared" si="42"/>
        <v>delivered</v>
      </c>
      <c r="AA154" s="37" t="str">
        <f t="shared" si="43"/>
        <v>On Time</v>
      </c>
      <c r="AB154" s="37" t="str">
        <f t="shared" si="46"/>
        <v>0</v>
      </c>
      <c r="AC154" s="37">
        <f t="shared" si="47"/>
        <v>0</v>
      </c>
      <c r="AD154" s="45">
        <f t="shared" si="45"/>
        <v>0.506620209059233</v>
      </c>
      <c r="AE154" s="37">
        <v>4</v>
      </c>
      <c r="AF154" s="37" t="s">
        <v>152</v>
      </c>
      <c r="AG154" s="37" t="str">
        <f t="shared" si="44"/>
        <v>no</v>
      </c>
      <c r="AH154" s="37" t="str">
        <f t="array" ref="AH154">_xlfn.IFS(LOWER(AG154)="n","no",LOWER(AG154)="y","yes",TRUE,LOWER(AG154))</f>
        <v>no</v>
      </c>
      <c r="AI154" s="37" t="s">
        <v>4692</v>
      </c>
    </row>
    <row r="155" spans="1:35">
      <c r="A155" s="46" t="s">
        <v>927</v>
      </c>
      <c r="B155" s="47">
        <v>45409</v>
      </c>
      <c r="C155" s="39">
        <f t="shared" si="32"/>
        <v>45409</v>
      </c>
      <c r="D155" s="48" t="s">
        <v>340</v>
      </c>
      <c r="E155" s="37" t="str" cm="1">
        <f t="array" ref="E155">_xlfn.IFS(D155="delhi","north",D155="mumbai","west",D155="bengaluru","south",D155="chennai","south",D155="kolkata","east",TRUE,"west")</f>
        <v>north</v>
      </c>
      <c r="F155" s="46" t="s">
        <v>194</v>
      </c>
      <c r="G155" s="37" t="str">
        <f t="shared" si="33"/>
        <v>xpressbees</v>
      </c>
      <c r="H155" s="46" t="s">
        <v>224</v>
      </c>
      <c r="I155" s="37" t="str">
        <f t="shared" si="34"/>
        <v>air</v>
      </c>
      <c r="J155" s="46" t="s">
        <v>301</v>
      </c>
      <c r="K155" s="37" t="str">
        <f t="shared" si="35"/>
        <v>furniture</v>
      </c>
      <c r="L155" s="46" t="s">
        <v>125</v>
      </c>
      <c r="M155" s="37" t="str">
        <f t="shared" si="36"/>
        <v>east</v>
      </c>
      <c r="N155" s="46" t="s">
        <v>294</v>
      </c>
      <c r="O155" s="41" t="str">
        <f t="shared" si="37"/>
        <v>Yes</v>
      </c>
      <c r="P155" s="49">
        <v>31.3</v>
      </c>
      <c r="Q155" s="51">
        <v>1568</v>
      </c>
      <c r="R155" s="42">
        <f t="shared" si="38"/>
        <v>50.0958466453674</v>
      </c>
      <c r="S155" s="46">
        <v>4</v>
      </c>
      <c r="T155" s="46" t="s">
        <v>931</v>
      </c>
      <c r="U155" s="43" t="str">
        <f t="shared" si="39"/>
        <v>09/05/2024</v>
      </c>
      <c r="V155" s="43">
        <f t="shared" si="40"/>
        <v>45421</v>
      </c>
      <c r="W155" s="44">
        <f t="array" ref="W155">_xlfn.IFS(TRIM(C155)="","",TRIM(V155)="","",TRUE,V155-C155)</f>
        <v>12</v>
      </c>
      <c r="X155" s="37">
        <f t="shared" si="41"/>
        <v>8</v>
      </c>
      <c r="Y155" s="46" t="s">
        <v>200</v>
      </c>
      <c r="Z155" s="37" t="str">
        <f t="shared" si="42"/>
        <v>delayed</v>
      </c>
      <c r="AA155" s="37" t="str">
        <f t="shared" si="43"/>
        <v>Late</v>
      </c>
      <c r="AB155" s="37" t="str">
        <f t="shared" si="46"/>
        <v>1</v>
      </c>
      <c r="AC155" s="37">
        <f t="shared" si="47"/>
        <v>1</v>
      </c>
      <c r="AD155" s="45">
        <f t="shared" si="45"/>
        <v>0.50697350069735</v>
      </c>
      <c r="AE155" s="46">
        <v>3</v>
      </c>
      <c r="AF155" s="46" t="s">
        <v>118</v>
      </c>
      <c r="AG155" s="37" t="str">
        <f t="shared" si="44"/>
        <v>no</v>
      </c>
      <c r="AH155" s="37" t="str">
        <f t="array" ref="AH155">_xlfn.IFS(LOWER(AG155)="n","no",LOWER(AG155)="y","yes",TRUE,LOWER(AG155))</f>
        <v>no</v>
      </c>
      <c r="AI155" s="46" t="s">
        <v>4692</v>
      </c>
    </row>
    <row r="156" spans="1:35">
      <c r="A156" s="37" t="s">
        <v>932</v>
      </c>
      <c r="B156" s="38" t="s">
        <v>4734</v>
      </c>
      <c r="C156" s="39">
        <f t="shared" si="32"/>
        <v>45454</v>
      </c>
      <c r="D156" s="40" t="s">
        <v>366</v>
      </c>
      <c r="E156" s="37" t="str" cm="1">
        <f t="array" ref="E156">_xlfn.IFS(D156="delhi","north",D156="mumbai","west",D156="bengaluru","south",D156="chennai","south",D156="kolkata","east",TRUE,"west")</f>
        <v>east</v>
      </c>
      <c r="F156" s="37" t="s">
        <v>175</v>
      </c>
      <c r="G156" s="37" t="str">
        <f t="shared" si="33"/>
        <v>ecomexpress</v>
      </c>
      <c r="H156" s="37" t="s">
        <v>176</v>
      </c>
      <c r="I156" s="37" t="str">
        <f t="shared" si="34"/>
        <v>road</v>
      </c>
      <c r="J156" s="37" t="s">
        <v>237</v>
      </c>
      <c r="K156" s="37" t="str">
        <f t="shared" si="35"/>
        <v>automotiveparts</v>
      </c>
      <c r="L156" s="37" t="s">
        <v>159</v>
      </c>
      <c r="M156" s="37" t="str">
        <f t="shared" si="36"/>
        <v>south</v>
      </c>
      <c r="N156" s="37" t="s">
        <v>90</v>
      </c>
      <c r="O156" s="41" t="str">
        <f t="shared" si="37"/>
        <v>Yes</v>
      </c>
      <c r="P156" s="41">
        <v>7.3</v>
      </c>
      <c r="Q156" s="41" t="s">
        <v>935</v>
      </c>
      <c r="R156" s="42">
        <f t="shared" si="38"/>
        <v>32.6027397260274</v>
      </c>
      <c r="S156" s="37">
        <v>8</v>
      </c>
      <c r="T156" s="37" t="s">
        <v>936</v>
      </c>
      <c r="U156" s="43" t="str">
        <f t="shared" si="39"/>
        <v>25-jun-2024</v>
      </c>
      <c r="V156" s="43">
        <f t="shared" si="40"/>
        <v>45468</v>
      </c>
      <c r="W156" s="44">
        <f t="array" ref="W156">_xlfn.IFS(TRIM(C156)="","",TRIM(V156)="","",TRUE,V156-C156)</f>
        <v>14</v>
      </c>
      <c r="X156" s="37">
        <f t="shared" si="41"/>
        <v>6</v>
      </c>
      <c r="Y156" s="37" t="s">
        <v>72</v>
      </c>
      <c r="Z156" s="37" t="str">
        <f t="shared" si="42"/>
        <v>delayed</v>
      </c>
      <c r="AA156" s="37" t="str">
        <f t="shared" si="43"/>
        <v>Late</v>
      </c>
      <c r="AB156" s="37" t="str">
        <f t="shared" si="46"/>
        <v>1</v>
      </c>
      <c r="AC156" s="37">
        <f t="shared" si="47"/>
        <v>1</v>
      </c>
      <c r="AD156" s="45">
        <f t="shared" si="45"/>
        <v>0.506629448709002</v>
      </c>
      <c r="AE156" s="37">
        <v>1</v>
      </c>
      <c r="AF156" s="37" t="s">
        <v>79</v>
      </c>
      <c r="AG156" s="37" t="str">
        <f t="shared" si="44"/>
        <v>yes</v>
      </c>
      <c r="AH156" s="37" t="str">
        <f t="array" ref="AH156">_xlfn.IFS(LOWER(AG156)="n","no",LOWER(AG156)="y","yes",TRUE,LOWER(AG156))</f>
        <v>yes</v>
      </c>
      <c r="AI156" s="37" t="s">
        <v>4692</v>
      </c>
    </row>
    <row r="157" spans="1:35">
      <c r="A157" s="46" t="s">
        <v>937</v>
      </c>
      <c r="B157" s="47">
        <v>45360</v>
      </c>
      <c r="C157" s="39">
        <f t="shared" si="32"/>
        <v>45360</v>
      </c>
      <c r="D157" s="48" t="s">
        <v>243</v>
      </c>
      <c r="E157" s="37" t="str" cm="1">
        <f t="array" ref="E157">_xlfn.IFS(D157="delhi","north",D157="mumbai","west",D157="bengaluru","south",D157="chennai","south",D157="kolkata","east",TRUE,"west")</f>
        <v>west</v>
      </c>
      <c r="F157" s="46" t="s">
        <v>175</v>
      </c>
      <c r="G157" s="37" t="str">
        <f t="shared" si="33"/>
        <v>ecomexpress</v>
      </c>
      <c r="H157" s="46" t="s">
        <v>99</v>
      </c>
      <c r="I157" s="37" t="str">
        <f t="shared" si="34"/>
        <v>air</v>
      </c>
      <c r="J157" s="46" t="s">
        <v>368</v>
      </c>
      <c r="K157" s="37" t="str">
        <f t="shared" si="35"/>
        <v>furniture</v>
      </c>
      <c r="L157" s="46" t="s">
        <v>257</v>
      </c>
      <c r="M157" s="37" t="str">
        <f t="shared" si="36"/>
        <v>west</v>
      </c>
      <c r="N157" s="46" t="s">
        <v>187</v>
      </c>
      <c r="O157" s="41" t="str">
        <f t="shared" si="37"/>
        <v>Yes</v>
      </c>
      <c r="P157" s="49">
        <v>66.1</v>
      </c>
      <c r="Q157" s="49" t="s">
        <v>939</v>
      </c>
      <c r="R157" s="42">
        <f t="shared" si="38"/>
        <v>47.7458396369138</v>
      </c>
      <c r="S157" s="46">
        <v>4</v>
      </c>
      <c r="T157" s="46" t="s">
        <v>940</v>
      </c>
      <c r="U157" s="43" t="str">
        <f t="shared" si="39"/>
        <v>2024-03-17</v>
      </c>
      <c r="V157" s="43">
        <f t="shared" si="40"/>
        <v>45368</v>
      </c>
      <c r="W157" s="44">
        <f t="array" ref="W157">_xlfn.IFS(TRIM(C157)="","",TRIM(V157)="","",TRUE,V157-C157)</f>
        <v>8</v>
      </c>
      <c r="X157" s="37">
        <f t="shared" si="41"/>
        <v>4</v>
      </c>
      <c r="Y157" s="46" t="s">
        <v>200</v>
      </c>
      <c r="Z157" s="37" t="str">
        <f t="shared" si="42"/>
        <v>delayed</v>
      </c>
      <c r="AA157" s="37" t="str">
        <f t="shared" si="43"/>
        <v>Late</v>
      </c>
      <c r="AB157" s="37" t="str">
        <f t="shared" si="46"/>
        <v>1</v>
      </c>
      <c r="AC157" s="37">
        <f t="shared" si="47"/>
        <v>1</v>
      </c>
      <c r="AD157" s="45">
        <f t="shared" si="45"/>
        <v>0.506284916201117</v>
      </c>
      <c r="AE157" s="46">
        <v>5</v>
      </c>
      <c r="AF157" s="46" t="s">
        <v>286</v>
      </c>
      <c r="AG157" s="37" t="str">
        <f t="shared" si="44"/>
        <v>yes</v>
      </c>
      <c r="AH157" s="37" t="str">
        <f t="array" ref="AH157">_xlfn.IFS(LOWER(AG157)="n","no",LOWER(AG157)="y","yes",TRUE,LOWER(AG157))</f>
        <v>yes</v>
      </c>
      <c r="AI157" s="46" t="s">
        <v>4692</v>
      </c>
    </row>
    <row r="158" spans="1:35">
      <c r="A158" s="37" t="s">
        <v>941</v>
      </c>
      <c r="B158" s="38">
        <v>45365</v>
      </c>
      <c r="C158" s="39">
        <f t="shared" si="32"/>
        <v>45365</v>
      </c>
      <c r="D158" s="40" t="s">
        <v>243</v>
      </c>
      <c r="E158" s="37" t="str" cm="1">
        <f t="array" ref="E158">_xlfn.IFS(D158="delhi","north",D158="mumbai","west",D158="bengaluru","south",D158="chennai","south",D158="kolkata","east",TRUE,"west")</f>
        <v>west</v>
      </c>
      <c r="F158" s="37" t="s">
        <v>352</v>
      </c>
      <c r="G158" s="37" t="str">
        <f t="shared" si="33"/>
        <v>delhivery</v>
      </c>
      <c r="H158" s="37" t="s">
        <v>137</v>
      </c>
      <c r="I158" s="37" t="str">
        <f t="shared" si="34"/>
        <v>road</v>
      </c>
      <c r="J158" s="37" t="s">
        <v>533</v>
      </c>
      <c r="K158" s="37" t="str">
        <f t="shared" si="35"/>
        <v>pharma</v>
      </c>
      <c r="L158" s="37" t="s">
        <v>380</v>
      </c>
      <c r="M158" s="37" t="str">
        <f t="shared" si="36"/>
        <v>east</v>
      </c>
      <c r="N158" s="37" t="s">
        <v>126</v>
      </c>
      <c r="O158" s="41" t="str">
        <f t="shared" si="37"/>
        <v>Yes</v>
      </c>
      <c r="P158" s="41">
        <v>2.4</v>
      </c>
      <c r="Q158" s="41" t="s">
        <v>942</v>
      </c>
      <c r="R158" s="42">
        <f t="shared" si="38"/>
        <v>71.6666666666667</v>
      </c>
      <c r="S158" s="37">
        <v>8</v>
      </c>
      <c r="T158" s="37" t="s">
        <v>808</v>
      </c>
      <c r="U158" s="43" t="str">
        <f t="shared" si="39"/>
        <v>2024-03-22</v>
      </c>
      <c r="V158" s="43">
        <f t="shared" si="40"/>
        <v>45373</v>
      </c>
      <c r="W158" s="44">
        <f t="array" ref="W158">_xlfn.IFS(TRIM(C158)="","",TRIM(V158)="","",TRUE,V158-C158)</f>
        <v>8</v>
      </c>
      <c r="X158" s="37">
        <f t="shared" si="41"/>
        <v>0</v>
      </c>
      <c r="Y158" s="37" t="s">
        <v>163</v>
      </c>
      <c r="Z158" s="37" t="str">
        <f t="shared" si="42"/>
        <v>delivered</v>
      </c>
      <c r="AA158" s="37" t="str">
        <f t="shared" si="43"/>
        <v>On Time</v>
      </c>
      <c r="AB158" s="37" t="str">
        <f t="shared" si="46"/>
        <v>0</v>
      </c>
      <c r="AC158" s="37">
        <f t="shared" si="47"/>
        <v>0</v>
      </c>
      <c r="AD158" s="45">
        <f t="shared" si="45"/>
        <v>0.505939902166317</v>
      </c>
      <c r="AE158" s="37">
        <v>5</v>
      </c>
      <c r="AF158" s="37" t="s">
        <v>118</v>
      </c>
      <c r="AG158" s="37" t="str">
        <f t="shared" si="44"/>
        <v>no</v>
      </c>
      <c r="AH158" s="37" t="str">
        <f t="array" ref="AH158">_xlfn.IFS(LOWER(AG158)="n","no",LOWER(AG158)="y","yes",TRUE,LOWER(AG158))</f>
        <v>no</v>
      </c>
      <c r="AI158" s="37" t="s">
        <v>4692</v>
      </c>
    </row>
    <row r="159" spans="1:35">
      <c r="A159" s="46" t="s">
        <v>943</v>
      </c>
      <c r="B159" s="47" t="s">
        <v>4721</v>
      </c>
      <c r="C159" s="39">
        <f t="shared" si="32"/>
        <v>45444</v>
      </c>
      <c r="D159" s="48" t="s">
        <v>4712</v>
      </c>
      <c r="E159" s="37" t="str" cm="1">
        <f t="array" ref="E159">_xlfn.IFS(D159="delhi","north",D159="mumbai","west",D159="bengaluru","south",D159="chennai","south",D159="kolkata","east",TRUE,"west")</f>
        <v>west</v>
      </c>
      <c r="F159" s="46" t="s">
        <v>919</v>
      </c>
      <c r="G159" s="37" t="str">
        <f t="shared" si="33"/>
        <v>xpressbees</v>
      </c>
      <c r="H159" s="46" t="s">
        <v>147</v>
      </c>
      <c r="I159" s="37" t="str">
        <f t="shared" si="34"/>
        <v>road</v>
      </c>
      <c r="J159" s="46" t="s">
        <v>582</v>
      </c>
      <c r="K159" s="37" t="str">
        <f t="shared" si="35"/>
        <v>grocery&amp;fmcg</v>
      </c>
      <c r="L159" s="46" t="s">
        <v>401</v>
      </c>
      <c r="M159" s="37" t="str">
        <f t="shared" si="36"/>
        <v>south</v>
      </c>
      <c r="N159" s="46" t="s">
        <v>93</v>
      </c>
      <c r="O159" s="41" t="str">
        <f t="shared" si="37"/>
        <v>Yes</v>
      </c>
      <c r="P159" s="49" t="s">
        <v>944</v>
      </c>
      <c r="Q159" s="49">
        <v>269</v>
      </c>
      <c r="R159" s="42">
        <f t="shared" si="38"/>
        <v>15.9171597633136</v>
      </c>
      <c r="S159" s="46">
        <v>6</v>
      </c>
      <c r="T159" s="46" t="s">
        <v>632</v>
      </c>
      <c r="U159" s="43" t="str">
        <f t="shared" si="39"/>
        <v>09/06/2024</v>
      </c>
      <c r="V159" s="43">
        <f t="shared" si="40"/>
        <v>45452</v>
      </c>
      <c r="W159" s="44">
        <f t="array" ref="W159">_xlfn.IFS(TRIM(C159)="","",TRIM(V159)="","",TRUE,V159-C159)</f>
        <v>8</v>
      </c>
      <c r="X159" s="37">
        <f t="shared" si="41"/>
        <v>2</v>
      </c>
      <c r="Y159" s="46" t="s">
        <v>72</v>
      </c>
      <c r="Z159" s="37" t="str">
        <f t="shared" si="42"/>
        <v>delayed</v>
      </c>
      <c r="AA159" s="37" t="str">
        <f t="shared" si="43"/>
        <v>Late</v>
      </c>
      <c r="AB159" s="37" t="str">
        <f t="shared" si="46"/>
        <v>1</v>
      </c>
      <c r="AC159" s="37">
        <f t="shared" si="47"/>
        <v>1</v>
      </c>
      <c r="AD159" s="45">
        <f t="shared" si="45"/>
        <v>0.506293706293706</v>
      </c>
      <c r="AE159" s="46">
        <v>3</v>
      </c>
      <c r="AF159" s="46" t="s">
        <v>131</v>
      </c>
      <c r="AG159" s="37" t="str">
        <f t="shared" si="44"/>
        <v>n</v>
      </c>
      <c r="AH159" s="37" t="str">
        <f t="array" ref="AH159">_xlfn.IFS(LOWER(AG159)="n","no",LOWER(AG159)="y","yes",TRUE,LOWER(AG159))</f>
        <v>no</v>
      </c>
      <c r="AI159" s="46" t="s">
        <v>4692</v>
      </c>
    </row>
    <row r="160" spans="1:35">
      <c r="A160" s="37" t="s">
        <v>946</v>
      </c>
      <c r="B160" s="38">
        <v>45345</v>
      </c>
      <c r="C160" s="39">
        <f t="shared" si="32"/>
        <v>45345</v>
      </c>
      <c r="D160" s="40" t="s">
        <v>424</v>
      </c>
      <c r="E160" s="37" t="str" cm="1">
        <f t="array" ref="E160">_xlfn.IFS(D160="delhi","north",D160="mumbai","west",D160="bengaluru","south",D160="chennai","south",D160="kolkata","east",TRUE,"west")</f>
        <v>south</v>
      </c>
      <c r="F160" s="37" t="s">
        <v>204</v>
      </c>
      <c r="G160" s="37" t="str">
        <f t="shared" si="33"/>
        <v>delhivery</v>
      </c>
      <c r="H160" s="37" t="s">
        <v>244</v>
      </c>
      <c r="I160" s="37" t="str">
        <f t="shared" si="34"/>
        <v>air</v>
      </c>
      <c r="J160" s="37" t="s">
        <v>100</v>
      </c>
      <c r="K160" s="37" t="str">
        <f t="shared" si="35"/>
        <v>electronics</v>
      </c>
      <c r="L160" s="37" t="s">
        <v>346</v>
      </c>
      <c r="M160" s="37" t="str">
        <f t="shared" si="36"/>
        <v>north</v>
      </c>
      <c r="N160" s="37" t="s">
        <v>354</v>
      </c>
      <c r="O160" s="41" t="str">
        <f t="shared" si="37"/>
        <v>Yes</v>
      </c>
      <c r="P160" s="41">
        <v>9.4</v>
      </c>
      <c r="Q160" s="41" t="s">
        <v>949</v>
      </c>
      <c r="R160" s="42">
        <f t="shared" si="38"/>
        <v>59.8936170212766</v>
      </c>
      <c r="S160" s="37">
        <v>4</v>
      </c>
      <c r="T160" s="37" t="s">
        <v>306</v>
      </c>
      <c r="U160" s="43" t="str">
        <f t="shared" si="39"/>
        <v>28/02/2024</v>
      </c>
      <c r="V160" s="43">
        <f t="shared" si="40"/>
        <v>45350</v>
      </c>
      <c r="W160" s="44">
        <f t="array" ref="W160">_xlfn.IFS(TRIM(C160)="","",TRIM(V160)="","",TRUE,V160-C160)</f>
        <v>5</v>
      </c>
      <c r="X160" s="37">
        <f t="shared" si="41"/>
        <v>1</v>
      </c>
      <c r="Y160" s="37" t="s">
        <v>72</v>
      </c>
      <c r="Z160" s="37" t="str">
        <f t="shared" si="42"/>
        <v>delayed</v>
      </c>
      <c r="AA160" s="37" t="str">
        <f t="shared" si="43"/>
        <v>Late</v>
      </c>
      <c r="AB160" s="37" t="str">
        <f t="shared" si="46"/>
        <v>1</v>
      </c>
      <c r="AC160" s="37">
        <f t="shared" si="47"/>
        <v>1</v>
      </c>
      <c r="AD160" s="45">
        <f t="shared" si="45"/>
        <v>0.505948215535339</v>
      </c>
      <c r="AE160" s="37">
        <v>1</v>
      </c>
      <c r="AF160" s="37" t="s">
        <v>191</v>
      </c>
      <c r="AG160" s="37" t="str">
        <f t="shared" si="44"/>
        <v>no</v>
      </c>
      <c r="AH160" s="37" t="str">
        <f t="array" ref="AH160">_xlfn.IFS(LOWER(AG160)="n","no",LOWER(AG160)="y","yes",TRUE,LOWER(AG160))</f>
        <v>no</v>
      </c>
      <c r="AI160" s="37" t="s">
        <v>4692</v>
      </c>
    </row>
    <row r="161" spans="1:35">
      <c r="A161" s="46" t="s">
        <v>950</v>
      </c>
      <c r="B161" s="47" t="s">
        <v>4735</v>
      </c>
      <c r="C161" s="39">
        <f t="shared" si="32"/>
        <v>45358</v>
      </c>
      <c r="D161" s="48" t="s">
        <v>4694</v>
      </c>
      <c r="E161" s="37" t="str" cm="1">
        <f t="array" ref="E161">_xlfn.IFS(D161="delhi","north",D161="mumbai","west",D161="bengaluru","south",D161="chennai","south",D161="kolkata","east",TRUE,"west")</f>
        <v>west</v>
      </c>
      <c r="F161" s="46" t="s">
        <v>136</v>
      </c>
      <c r="G161" s="37" t="str">
        <f t="shared" si="33"/>
        <v>bluedart</v>
      </c>
      <c r="H161" s="46" t="s">
        <v>224</v>
      </c>
      <c r="I161" s="37" t="str">
        <f t="shared" si="34"/>
        <v>air</v>
      </c>
      <c r="J161" s="46" t="s">
        <v>186</v>
      </c>
      <c r="K161" s="37" t="str">
        <f t="shared" si="35"/>
        <v>automotiveparts</v>
      </c>
      <c r="L161" s="46" t="s">
        <v>159</v>
      </c>
      <c r="M161" s="37" t="str">
        <f t="shared" si="36"/>
        <v>south</v>
      </c>
      <c r="N161" s="46" t="s">
        <v>327</v>
      </c>
      <c r="O161" s="41" t="str">
        <f t="shared" si="37"/>
        <v>Yes</v>
      </c>
      <c r="P161" s="49">
        <v>10.7</v>
      </c>
      <c r="Q161" s="49">
        <v>504</v>
      </c>
      <c r="R161" s="42">
        <f t="shared" si="38"/>
        <v>47.1028037383178</v>
      </c>
      <c r="S161" s="46">
        <v>2</v>
      </c>
      <c r="T161" s="46" t="s">
        <v>805</v>
      </c>
      <c r="U161" s="43" t="str">
        <f t="shared" si="39"/>
        <v>10/03/2024</v>
      </c>
      <c r="V161" s="43">
        <f t="shared" si="40"/>
        <v>45361</v>
      </c>
      <c r="W161" s="44">
        <f t="array" ref="W161">_xlfn.IFS(TRIM(C161)="","",TRIM(V161)="","",TRUE,V161-C161)</f>
        <v>3</v>
      </c>
      <c r="X161" s="37">
        <f t="shared" si="41"/>
        <v>1</v>
      </c>
      <c r="Y161" s="46" t="s">
        <v>172</v>
      </c>
      <c r="Z161" s="37" t="str">
        <f t="shared" si="42"/>
        <v>delayed</v>
      </c>
      <c r="AA161" s="37" t="str">
        <f t="shared" si="43"/>
        <v>Late</v>
      </c>
      <c r="AB161" s="37" t="str">
        <f t="shared" si="46"/>
        <v>1</v>
      </c>
      <c r="AC161" s="37">
        <f t="shared" si="47"/>
        <v>1</v>
      </c>
      <c r="AD161" s="45">
        <f t="shared" si="45"/>
        <v>0.505602240896359</v>
      </c>
      <c r="AE161" s="46">
        <v>2</v>
      </c>
      <c r="AF161" s="46" t="s">
        <v>152</v>
      </c>
      <c r="AG161" s="37" t="str">
        <f t="shared" si="44"/>
        <v>no</v>
      </c>
      <c r="AH161" s="37" t="str">
        <f t="array" ref="AH161">_xlfn.IFS(LOWER(AG161)="n","no",LOWER(AG161)="y","yes",TRUE,LOWER(AG161))</f>
        <v>no</v>
      </c>
      <c r="AI161" s="46" t="s">
        <v>4692</v>
      </c>
    </row>
    <row r="162" spans="1:35">
      <c r="A162" s="37" t="s">
        <v>953</v>
      </c>
      <c r="B162" s="38">
        <v>45296</v>
      </c>
      <c r="C162" s="39">
        <f t="shared" si="32"/>
        <v>45296</v>
      </c>
      <c r="D162" s="40" t="s">
        <v>300</v>
      </c>
      <c r="E162" s="37" t="str" cm="1">
        <f t="array" ref="E162">_xlfn.IFS(D162="delhi","north",D162="mumbai","west",D162="bengaluru","south",D162="chennai","south",D162="kolkata","east",TRUE,"west")</f>
        <v>west</v>
      </c>
      <c r="F162" s="37" t="s">
        <v>146</v>
      </c>
      <c r="G162" s="37" t="str">
        <f t="shared" si="33"/>
        <v>ecomexpress</v>
      </c>
      <c r="H162" s="37" t="s">
        <v>42</v>
      </c>
      <c r="I162" s="37" t="str">
        <f t="shared" si="34"/>
        <v>surface</v>
      </c>
      <c r="J162" s="37" t="s">
        <v>100</v>
      </c>
      <c r="K162" s="37" t="str">
        <f t="shared" si="35"/>
        <v>electronics</v>
      </c>
      <c r="L162" s="37" t="s">
        <v>346</v>
      </c>
      <c r="M162" s="37" t="str">
        <f t="shared" si="36"/>
        <v>north</v>
      </c>
      <c r="N162" s="37" t="s">
        <v>113</v>
      </c>
      <c r="O162" s="41" t="str">
        <f t="shared" si="37"/>
        <v>Yes</v>
      </c>
      <c r="P162" s="41">
        <v>10.1</v>
      </c>
      <c r="Q162" s="41" t="s">
        <v>956</v>
      </c>
      <c r="R162" s="42">
        <f t="shared" si="38"/>
        <v>41.980198019802</v>
      </c>
      <c r="S162" s="37">
        <v>6</v>
      </c>
      <c r="T162" s="37" t="s">
        <v>291</v>
      </c>
      <c r="U162" s="43" t="str">
        <f t="shared" si="39"/>
        <v>11/01/2024</v>
      </c>
      <c r="V162" s="43">
        <f t="shared" si="40"/>
        <v>45302</v>
      </c>
      <c r="W162" s="44">
        <f t="array" ref="W162">_xlfn.IFS(TRIM(C162)="","",TRIM(V162)="","",TRUE,V162-C162)</f>
        <v>6</v>
      </c>
      <c r="X162" s="37">
        <f t="shared" si="41"/>
        <v>0</v>
      </c>
      <c r="Y162" s="37" t="s">
        <v>105</v>
      </c>
      <c r="Z162" s="37" t="str">
        <f t="shared" si="42"/>
        <v>delivered</v>
      </c>
      <c r="AA162" s="37" t="str">
        <f t="shared" si="43"/>
        <v>On Time</v>
      </c>
      <c r="AB162" s="37" t="str">
        <f t="shared" si="46"/>
        <v>0</v>
      </c>
      <c r="AC162" s="37">
        <f t="shared" si="47"/>
        <v>0</v>
      </c>
      <c r="AD162" s="45">
        <f t="shared" si="45"/>
        <v>0.505255781359495</v>
      </c>
      <c r="AE162" s="37">
        <v>5</v>
      </c>
      <c r="AF162" s="37" t="s">
        <v>131</v>
      </c>
      <c r="AG162" s="37" t="str">
        <f t="shared" si="44"/>
        <v>n</v>
      </c>
      <c r="AH162" s="37" t="str">
        <f t="array" ref="AH162">_xlfn.IFS(LOWER(AG162)="n","no",LOWER(AG162)="y","yes",TRUE,LOWER(AG162))</f>
        <v>no</v>
      </c>
      <c r="AI162" s="37" t="s">
        <v>4692</v>
      </c>
    </row>
    <row r="163" spans="1:35">
      <c r="A163" s="46" t="s">
        <v>957</v>
      </c>
      <c r="B163" s="47">
        <v>45358</v>
      </c>
      <c r="C163" s="39">
        <f t="shared" si="32"/>
        <v>45358</v>
      </c>
      <c r="D163" s="48" t="s">
        <v>424</v>
      </c>
      <c r="E163" s="37" t="str" cm="1">
        <f t="array" ref="E163">_xlfn.IFS(D163="delhi","north",D163="mumbai","west",D163="bengaluru","south",D163="chennai","south",D163="kolkata","east",TRUE,"west")</f>
        <v>south</v>
      </c>
      <c r="F163" s="46" t="s">
        <v>37</v>
      </c>
      <c r="G163" s="37" t="str">
        <f t="shared" si="33"/>
        <v>bluedart</v>
      </c>
      <c r="H163" s="46" t="s">
        <v>176</v>
      </c>
      <c r="I163" s="37" t="str">
        <f t="shared" si="34"/>
        <v>road</v>
      </c>
      <c r="J163" s="46" t="s">
        <v>313</v>
      </c>
      <c r="K163" s="37" t="str">
        <f t="shared" si="35"/>
        <v>automotiveparts</v>
      </c>
      <c r="L163" s="46" t="s">
        <v>101</v>
      </c>
      <c r="M163" s="37" t="str">
        <f t="shared" si="36"/>
        <v>west</v>
      </c>
      <c r="N163" s="46" t="s">
        <v>206</v>
      </c>
      <c r="O163" s="41" t="str">
        <f t="shared" si="37"/>
        <v>Yes</v>
      </c>
      <c r="P163" s="49">
        <v>30.3</v>
      </c>
      <c r="Q163" s="49">
        <v>591</v>
      </c>
      <c r="R163" s="42">
        <f t="shared" si="38"/>
        <v>19.5049504950495</v>
      </c>
      <c r="S163" s="46">
        <v>8</v>
      </c>
      <c r="T163" s="46" t="s">
        <v>959</v>
      </c>
      <c r="U163" s="43" t="str">
        <f t="shared" si="39"/>
        <v>2024-03-15</v>
      </c>
      <c r="V163" s="43">
        <f t="shared" si="40"/>
        <v>45366</v>
      </c>
      <c r="W163" s="44">
        <f t="array" ref="W163">_xlfn.IFS(TRIM(C163)="","",TRIM(V163)="","",TRUE,V163-C163)</f>
        <v>8</v>
      </c>
      <c r="X163" s="37">
        <f t="shared" si="41"/>
        <v>0</v>
      </c>
      <c r="Y163" s="46" t="s">
        <v>117</v>
      </c>
      <c r="Z163" s="37" t="str">
        <f t="shared" si="42"/>
        <v>delivered</v>
      </c>
      <c r="AA163" s="37" t="str">
        <f t="shared" si="43"/>
        <v>On Time</v>
      </c>
      <c r="AB163" s="37" t="str">
        <f t="shared" si="46"/>
        <v>0</v>
      </c>
      <c r="AC163" s="37">
        <f t="shared" si="47"/>
        <v>0</v>
      </c>
      <c r="AD163" s="45">
        <f t="shared" si="45"/>
        <v>0.505610098176718</v>
      </c>
      <c r="AE163" s="46">
        <v>5</v>
      </c>
      <c r="AF163" s="46" t="s">
        <v>191</v>
      </c>
      <c r="AG163" s="37" t="str">
        <f t="shared" si="44"/>
        <v>no</v>
      </c>
      <c r="AH163" s="37" t="str">
        <f t="array" ref="AH163">_xlfn.IFS(LOWER(AG163)="n","no",LOWER(AG163)="y","yes",TRUE,LOWER(AG163))</f>
        <v>no</v>
      </c>
      <c r="AI163" s="46" t="s">
        <v>4692</v>
      </c>
    </row>
    <row r="164" spans="1:35">
      <c r="A164" s="37" t="s">
        <v>960</v>
      </c>
      <c r="B164" s="38">
        <v>45446</v>
      </c>
      <c r="C164" s="39">
        <f t="shared" si="32"/>
        <v>45446</v>
      </c>
      <c r="D164" s="40" t="s">
        <v>366</v>
      </c>
      <c r="E164" s="37" t="str" cm="1">
        <f t="array" ref="E164">_xlfn.IFS(D164="delhi","north",D164="mumbai","west",D164="bengaluru","south",D164="chennai","south",D164="kolkata","east",TRUE,"west")</f>
        <v>east</v>
      </c>
      <c r="F164" s="37" t="s">
        <v>194</v>
      </c>
      <c r="G164" s="37" t="str">
        <f t="shared" si="33"/>
        <v>xpressbees</v>
      </c>
      <c r="H164" s="37" t="s">
        <v>195</v>
      </c>
      <c r="I164" s="37" t="str">
        <f t="shared" si="34"/>
        <v>road</v>
      </c>
      <c r="J164" s="37" t="s">
        <v>100</v>
      </c>
      <c r="K164" s="37" t="str">
        <f t="shared" si="35"/>
        <v>electronics</v>
      </c>
      <c r="L164" s="37" t="s">
        <v>87</v>
      </c>
      <c r="M164" s="37" t="str">
        <f t="shared" si="36"/>
        <v>north</v>
      </c>
      <c r="N164" s="37" t="s">
        <v>32</v>
      </c>
      <c r="O164" s="41" t="str">
        <f t="shared" si="37"/>
        <v>Yes</v>
      </c>
      <c r="P164" s="41">
        <v>8.8</v>
      </c>
      <c r="Q164" s="41">
        <v>252</v>
      </c>
      <c r="R164" s="42">
        <f t="shared" si="38"/>
        <v>28.6363636363636</v>
      </c>
      <c r="S164" s="37">
        <v>8</v>
      </c>
      <c r="T164" s="37" t="s">
        <v>508</v>
      </c>
      <c r="U164" s="43" t="str">
        <f t="shared" si="39"/>
        <v>12-jun-2024</v>
      </c>
      <c r="V164" s="43">
        <f t="shared" si="40"/>
        <v>45455</v>
      </c>
      <c r="W164" s="44">
        <f t="array" ref="W164">_xlfn.IFS(TRIM(C164)="","",TRIM(V164)="","",TRUE,V164-C164)</f>
        <v>9</v>
      </c>
      <c r="X164" s="37">
        <f t="shared" si="41"/>
        <v>1</v>
      </c>
      <c r="Y164" s="37" t="s">
        <v>172</v>
      </c>
      <c r="Z164" s="37" t="str">
        <f t="shared" si="42"/>
        <v>delayed</v>
      </c>
      <c r="AA164" s="37" t="str">
        <f t="shared" si="43"/>
        <v>Late</v>
      </c>
      <c r="AB164" s="37" t="str">
        <f t="shared" si="46"/>
        <v>1</v>
      </c>
      <c r="AC164" s="37">
        <f t="shared" si="47"/>
        <v>1</v>
      </c>
      <c r="AD164" s="45">
        <f t="shared" si="45"/>
        <v>0.505964912280702</v>
      </c>
      <c r="AE164" s="37">
        <v>4</v>
      </c>
      <c r="AF164" s="37" t="s">
        <v>118</v>
      </c>
      <c r="AG164" s="37" t="str">
        <f t="shared" si="44"/>
        <v>no</v>
      </c>
      <c r="AH164" s="37" t="str">
        <f t="array" ref="AH164">_xlfn.IFS(LOWER(AG164)="n","no",LOWER(AG164)="y","yes",TRUE,LOWER(AG164))</f>
        <v>no</v>
      </c>
      <c r="AI164" s="37" t="s">
        <v>4692</v>
      </c>
    </row>
    <row r="165" spans="1:35">
      <c r="A165" s="46" t="s">
        <v>964</v>
      </c>
      <c r="B165" s="47">
        <v>45305</v>
      </c>
      <c r="C165" s="39">
        <f t="shared" si="32"/>
        <v>45305</v>
      </c>
      <c r="D165" s="48" t="s">
        <v>212</v>
      </c>
      <c r="E165" s="37" t="str" cm="1">
        <f t="array" ref="E165">_xlfn.IFS(D165="delhi","north",D165="mumbai","west",D165="bengaluru","south",D165="chennai","south",D165="kolkata","east",TRUE,"west")</f>
        <v>west</v>
      </c>
      <c r="F165" s="46" t="s">
        <v>270</v>
      </c>
      <c r="G165" s="37" t="str">
        <f t="shared" si="33"/>
        <v>ecomexpress</v>
      </c>
      <c r="H165" s="46" t="s">
        <v>42</v>
      </c>
      <c r="I165" s="37" t="str">
        <f t="shared" si="34"/>
        <v>surface</v>
      </c>
      <c r="J165" s="46" t="s">
        <v>498</v>
      </c>
      <c r="K165" s="37" t="str">
        <f t="shared" si="35"/>
        <v>apparel</v>
      </c>
      <c r="L165" s="46" t="s">
        <v>346</v>
      </c>
      <c r="M165" s="37" t="str">
        <f t="shared" si="36"/>
        <v>north</v>
      </c>
      <c r="N165" s="46" t="s">
        <v>113</v>
      </c>
      <c r="O165" s="41" t="str">
        <f t="shared" si="37"/>
        <v>Yes</v>
      </c>
      <c r="P165" s="49">
        <v>5.7</v>
      </c>
      <c r="Q165" s="49" t="s">
        <v>966</v>
      </c>
      <c r="R165" s="42">
        <f t="shared" si="38"/>
        <v>43.6842105263158</v>
      </c>
      <c r="S165" s="46">
        <v>6</v>
      </c>
      <c r="T165" s="46" t="s">
        <v>967</v>
      </c>
      <c r="U165" s="43" t="str">
        <f t="shared" si="39"/>
        <v>2024-01-20</v>
      </c>
      <c r="V165" s="43">
        <f t="shared" si="40"/>
        <v>45311</v>
      </c>
      <c r="W165" s="44">
        <f t="array" ref="W165">_xlfn.IFS(TRIM(C165)="","",TRIM(V165)="","",TRUE,V165-C165)</f>
        <v>6</v>
      </c>
      <c r="X165" s="37">
        <f t="shared" si="41"/>
        <v>0</v>
      </c>
      <c r="Y165" s="46" t="s">
        <v>219</v>
      </c>
      <c r="Z165" s="37" t="str">
        <f t="shared" si="42"/>
        <v>delivered</v>
      </c>
      <c r="AA165" s="37" t="str">
        <f t="shared" si="43"/>
        <v>On Time</v>
      </c>
      <c r="AB165" s="37" t="str">
        <f t="shared" si="46"/>
        <v>0</v>
      </c>
      <c r="AC165" s="37">
        <f t="shared" si="47"/>
        <v>0</v>
      </c>
      <c r="AD165" s="45">
        <f t="shared" si="45"/>
        <v>0.50561797752809</v>
      </c>
      <c r="AE165" s="46">
        <v>5</v>
      </c>
      <c r="AF165" s="46" t="s">
        <v>191</v>
      </c>
      <c r="AG165" s="37" t="str">
        <f t="shared" si="44"/>
        <v>no</v>
      </c>
      <c r="AH165" s="37" t="str">
        <f t="array" ref="AH165">_xlfn.IFS(LOWER(AG165)="n","no",LOWER(AG165)="y","yes",TRUE,LOWER(AG165))</f>
        <v>no</v>
      </c>
      <c r="AI165" s="46" t="s">
        <v>4692</v>
      </c>
    </row>
    <row r="166" spans="1:35">
      <c r="A166" s="37" t="s">
        <v>968</v>
      </c>
      <c r="B166" s="38">
        <v>45367</v>
      </c>
      <c r="C166" s="39">
        <f t="shared" si="32"/>
        <v>45367</v>
      </c>
      <c r="D166" s="40" t="s">
        <v>135</v>
      </c>
      <c r="E166" s="37" t="str" cm="1">
        <f t="array" ref="E166">_xlfn.IFS(D166="delhi","north",D166="mumbai","west",D166="bengaluru","south",D166="chennai","south",D166="kolkata","east",TRUE,"west")</f>
        <v>west</v>
      </c>
      <c r="F166" s="37" t="s">
        <v>213</v>
      </c>
      <c r="G166" s="37" t="str">
        <f t="shared" si="33"/>
        <v>dtdc</v>
      </c>
      <c r="H166" s="37" t="s">
        <v>110</v>
      </c>
      <c r="I166" s="37" t="str">
        <f t="shared" si="34"/>
        <v>surface</v>
      </c>
      <c r="J166" s="37" t="s">
        <v>148</v>
      </c>
      <c r="K166" s="37" t="str">
        <f t="shared" si="35"/>
        <v>electronics</v>
      </c>
      <c r="L166" s="37" t="s">
        <v>418</v>
      </c>
      <c r="M166" s="37" t="str">
        <f t="shared" si="36"/>
        <v>south</v>
      </c>
      <c r="N166" s="37" t="s">
        <v>54</v>
      </c>
      <c r="O166" s="41" t="str">
        <f t="shared" si="37"/>
        <v>Yes</v>
      </c>
      <c r="P166" s="41">
        <v>7.4</v>
      </c>
      <c r="Q166" s="41">
        <v>289</v>
      </c>
      <c r="R166" s="42">
        <f t="shared" si="38"/>
        <v>39.054054054054</v>
      </c>
      <c r="S166" s="37">
        <v>6</v>
      </c>
      <c r="T166" s="37" t="s">
        <v>972</v>
      </c>
      <c r="U166" s="43" t="str">
        <f t="shared" si="39"/>
        <v>21/03/2024</v>
      </c>
      <c r="V166" s="43">
        <f t="shared" si="40"/>
        <v>45372</v>
      </c>
      <c r="W166" s="44">
        <f t="array" ref="W166">_xlfn.IFS(TRIM(C166)="","",TRIM(V166)="","",TRUE,V166-C166)</f>
        <v>5</v>
      </c>
      <c r="X166" s="37">
        <f t="shared" si="41"/>
        <v>-1</v>
      </c>
      <c r="Y166" s="37" t="s">
        <v>219</v>
      </c>
      <c r="Z166" s="37" t="str">
        <f t="shared" si="42"/>
        <v>delivered</v>
      </c>
      <c r="AA166" s="37" t="str">
        <f t="shared" si="43"/>
        <v>On Time</v>
      </c>
      <c r="AB166" s="37" t="str">
        <f t="shared" si="46"/>
        <v>0</v>
      </c>
      <c r="AC166" s="37">
        <f t="shared" si="47"/>
        <v>0</v>
      </c>
      <c r="AD166" s="45">
        <f t="shared" si="45"/>
        <v>0.50597329585383</v>
      </c>
      <c r="AE166" s="37">
        <v>5</v>
      </c>
      <c r="AF166" s="37" t="s">
        <v>131</v>
      </c>
      <c r="AG166" s="37" t="str">
        <f t="shared" si="44"/>
        <v>n</v>
      </c>
      <c r="AH166" s="37" t="str">
        <f t="array" ref="AH166">_xlfn.IFS(LOWER(AG166)="n","no",LOWER(AG166)="y","yes",TRUE,LOWER(AG166))</f>
        <v>no</v>
      </c>
      <c r="AI166" s="37" t="s">
        <v>4692</v>
      </c>
    </row>
    <row r="167" spans="1:35">
      <c r="A167" s="46" t="s">
        <v>973</v>
      </c>
      <c r="B167" s="47">
        <v>45438</v>
      </c>
      <c r="C167" s="39">
        <f t="shared" si="32"/>
        <v>45438</v>
      </c>
      <c r="D167" s="48" t="s">
        <v>340</v>
      </c>
      <c r="E167" s="37" t="str" cm="1">
        <f t="array" ref="E167">_xlfn.IFS(D167="delhi","north",D167="mumbai","west",D167="bengaluru","south",D167="chennai","south",D167="kolkata","east",TRUE,"west")</f>
        <v>north</v>
      </c>
      <c r="F167" s="46" t="s">
        <v>223</v>
      </c>
      <c r="G167" s="37" t="str">
        <f t="shared" si="33"/>
        <v>xpressbees</v>
      </c>
      <c r="H167" s="46" t="s">
        <v>137</v>
      </c>
      <c r="I167" s="37" t="str">
        <f t="shared" si="34"/>
        <v>road</v>
      </c>
      <c r="J167" s="46" t="s">
        <v>138</v>
      </c>
      <c r="K167" s="37" t="str">
        <f t="shared" si="35"/>
        <v>apparel</v>
      </c>
      <c r="L167" s="46" t="s">
        <v>112</v>
      </c>
      <c r="M167" s="37" t="str">
        <f t="shared" si="36"/>
        <v>north</v>
      </c>
      <c r="N167" s="46" t="s">
        <v>215</v>
      </c>
      <c r="O167" s="41" t="str">
        <f t="shared" si="37"/>
        <v>Yes</v>
      </c>
      <c r="P167" s="49">
        <v>4.9</v>
      </c>
      <c r="Q167" s="49" t="s">
        <v>975</v>
      </c>
      <c r="R167" s="42">
        <f t="shared" si="38"/>
        <v>18.9795918367347</v>
      </c>
      <c r="S167" s="46">
        <v>6</v>
      </c>
      <c r="T167" s="46" t="s">
        <v>799</v>
      </c>
      <c r="U167" s="43" t="str">
        <f t="shared" si="39"/>
        <v>2024-06-01</v>
      </c>
      <c r="V167" s="43">
        <f t="shared" si="40"/>
        <v>45444</v>
      </c>
      <c r="W167" s="44">
        <f t="array" ref="W167">_xlfn.IFS(TRIM(C167)="","",TRIM(V167)="","",TRUE,V167-C167)</f>
        <v>6</v>
      </c>
      <c r="X167" s="37">
        <f t="shared" si="41"/>
        <v>0</v>
      </c>
      <c r="Y167" s="46" t="s">
        <v>117</v>
      </c>
      <c r="Z167" s="37" t="str">
        <f t="shared" si="42"/>
        <v>delivered</v>
      </c>
      <c r="AA167" s="37" t="str">
        <f t="shared" si="43"/>
        <v>On Time</v>
      </c>
      <c r="AB167" s="37" t="str">
        <f t="shared" si="46"/>
        <v>0</v>
      </c>
      <c r="AC167" s="37">
        <f t="shared" si="47"/>
        <v>0</v>
      </c>
      <c r="AD167" s="45">
        <f t="shared" si="45"/>
        <v>0.506329113924051</v>
      </c>
      <c r="AE167" s="46">
        <v>2</v>
      </c>
      <c r="AF167" s="46" t="s">
        <v>152</v>
      </c>
      <c r="AG167" s="37" t="str">
        <f t="shared" si="44"/>
        <v>no</v>
      </c>
      <c r="AH167" s="37" t="str">
        <f t="array" ref="AH167">_xlfn.IFS(LOWER(AG167)="n","no",LOWER(AG167)="y","yes",TRUE,LOWER(AG167))</f>
        <v>no</v>
      </c>
      <c r="AI167" s="46" t="s">
        <v>4692</v>
      </c>
    </row>
    <row r="168" spans="1:35">
      <c r="A168" s="37" t="s">
        <v>976</v>
      </c>
      <c r="B168" s="38">
        <v>45402</v>
      </c>
      <c r="C168" s="39">
        <f t="shared" si="32"/>
        <v>45402</v>
      </c>
      <c r="D168" s="40" t="s">
        <v>243</v>
      </c>
      <c r="E168" s="37" t="str" cm="1">
        <f t="array" ref="E168">_xlfn.IFS(D168="delhi","north",D168="mumbai","west",D168="bengaluru","south",D168="chennai","south",D168="kolkata","east",TRUE,"west")</f>
        <v>west</v>
      </c>
      <c r="F168" s="37" t="s">
        <v>122</v>
      </c>
      <c r="G168" s="37" t="str">
        <f t="shared" si="33"/>
        <v>delhivery</v>
      </c>
      <c r="H168" s="37" t="s">
        <v>123</v>
      </c>
      <c r="I168" s="37" t="str">
        <f t="shared" si="34"/>
        <v>air</v>
      </c>
      <c r="J168" s="37" t="s">
        <v>582</v>
      </c>
      <c r="K168" s="37" t="str">
        <f t="shared" si="35"/>
        <v>grocery&amp;fmcg</v>
      </c>
      <c r="L168" s="37" t="s">
        <v>264</v>
      </c>
      <c r="M168" s="37" t="str">
        <f t="shared" si="36"/>
        <v>west</v>
      </c>
      <c r="N168" s="37" t="s">
        <v>278</v>
      </c>
      <c r="O168" s="41" t="str">
        <f t="shared" si="37"/>
        <v>Yes</v>
      </c>
      <c r="P168" s="41">
        <v>15.4</v>
      </c>
      <c r="Q168" s="41" t="s">
        <v>978</v>
      </c>
      <c r="R168" s="42">
        <f t="shared" si="38"/>
        <v>54.6103896103896</v>
      </c>
      <c r="S168" s="37">
        <v>4</v>
      </c>
      <c r="T168" s="37" t="s">
        <v>979</v>
      </c>
      <c r="U168" s="43" t="str">
        <f t="shared" si="39"/>
        <v>23-apr-2024</v>
      </c>
      <c r="V168" s="43">
        <f t="shared" si="40"/>
        <v>45405</v>
      </c>
      <c r="W168" s="44">
        <f t="array" ref="W168">_xlfn.IFS(TRIM(C168)="","",TRIM(V168)="","",TRUE,V168-C168)</f>
        <v>3</v>
      </c>
      <c r="X168" s="37">
        <f t="shared" si="41"/>
        <v>-1</v>
      </c>
      <c r="Y168" s="37" t="s">
        <v>105</v>
      </c>
      <c r="Z168" s="37" t="str">
        <f t="shared" si="42"/>
        <v>delivered</v>
      </c>
      <c r="AA168" s="37" t="str">
        <f t="shared" si="43"/>
        <v>On Time</v>
      </c>
      <c r="AB168" s="37" t="str">
        <f t="shared" si="46"/>
        <v>0</v>
      </c>
      <c r="AC168" s="37">
        <f t="shared" si="47"/>
        <v>0</v>
      </c>
      <c r="AD168" s="45">
        <f t="shared" si="45"/>
        <v>0.506685432793807</v>
      </c>
      <c r="AE168" s="37">
        <v>5</v>
      </c>
      <c r="AF168" s="37" t="s">
        <v>118</v>
      </c>
      <c r="AG168" s="37" t="str">
        <f t="shared" si="44"/>
        <v>no</v>
      </c>
      <c r="AH168" s="37" t="str">
        <f t="array" ref="AH168">_xlfn.IFS(LOWER(AG168)="n","no",LOWER(AG168)="y","yes",TRUE,LOWER(AG168))</f>
        <v>no</v>
      </c>
      <c r="AI168" s="37" t="s">
        <v>4692</v>
      </c>
    </row>
    <row r="169" spans="1:35">
      <c r="A169" s="46" t="s">
        <v>980</v>
      </c>
      <c r="B169" s="47">
        <v>45299</v>
      </c>
      <c r="C169" s="39">
        <f t="shared" si="32"/>
        <v>45299</v>
      </c>
      <c r="D169" s="48" t="s">
        <v>300</v>
      </c>
      <c r="E169" s="37" t="str" cm="1">
        <f t="array" ref="E169">_xlfn.IFS(D169="delhi","north",D169="mumbai","west",D169="bengaluru","south",D169="chennai","south",D169="kolkata","east",TRUE,"west")</f>
        <v>west</v>
      </c>
      <c r="F169" s="46" t="s">
        <v>270</v>
      </c>
      <c r="G169" s="37" t="str">
        <f t="shared" si="33"/>
        <v>ecomexpress</v>
      </c>
      <c r="H169" s="46" t="s">
        <v>42</v>
      </c>
      <c r="I169" s="37" t="str">
        <f t="shared" si="34"/>
        <v>surface</v>
      </c>
      <c r="J169" s="46" t="s">
        <v>981</v>
      </c>
      <c r="K169" s="37" t="str">
        <f t="shared" si="35"/>
        <v>automotiveparts</v>
      </c>
      <c r="L169" s="46" t="s">
        <v>197</v>
      </c>
      <c r="M169" s="37" t="str">
        <f t="shared" si="36"/>
        <v>south</v>
      </c>
      <c r="N169" s="46" t="s">
        <v>327</v>
      </c>
      <c r="O169" s="41" t="str">
        <f t="shared" si="37"/>
        <v>Yes</v>
      </c>
      <c r="P169" s="49" t="s">
        <v>982</v>
      </c>
      <c r="Q169" s="49">
        <v>768</v>
      </c>
      <c r="R169" s="42">
        <f t="shared" si="38"/>
        <v>21.8803418803419</v>
      </c>
      <c r="S169" s="46">
        <v>4</v>
      </c>
      <c r="T169" s="46" t="s">
        <v>984</v>
      </c>
      <c r="U169" s="43" t="str">
        <f t="shared" si="39"/>
        <v>2024-01-13</v>
      </c>
      <c r="V169" s="43">
        <f t="shared" si="40"/>
        <v>45304</v>
      </c>
      <c r="W169" s="44">
        <f t="array" ref="W169">_xlfn.IFS(TRIM(C169)="","",TRIM(V169)="","",TRUE,V169-C169)</f>
        <v>5</v>
      </c>
      <c r="X169" s="37">
        <f t="shared" si="41"/>
        <v>1</v>
      </c>
      <c r="Y169" s="46" t="s">
        <v>200</v>
      </c>
      <c r="Z169" s="37" t="str">
        <f t="shared" si="42"/>
        <v>delayed</v>
      </c>
      <c r="AA169" s="37" t="str">
        <f t="shared" si="43"/>
        <v>Late</v>
      </c>
      <c r="AB169" s="37" t="str">
        <f t="shared" si="46"/>
        <v>1</v>
      </c>
      <c r="AC169" s="37">
        <f t="shared" si="47"/>
        <v>1</v>
      </c>
      <c r="AD169" s="45">
        <f t="shared" si="45"/>
        <v>0.507042253521127</v>
      </c>
      <c r="AE169" s="46">
        <v>2</v>
      </c>
      <c r="AF169" s="46" t="s">
        <v>79</v>
      </c>
      <c r="AG169" s="37" t="str">
        <f t="shared" si="44"/>
        <v>yes</v>
      </c>
      <c r="AH169" s="37" t="str">
        <f t="array" ref="AH169">_xlfn.IFS(LOWER(AG169)="n","no",LOWER(AG169)="y","yes",TRUE,LOWER(AG169))</f>
        <v>yes</v>
      </c>
      <c r="AI169" s="46" t="s">
        <v>4692</v>
      </c>
    </row>
    <row r="170" spans="1:35">
      <c r="A170" s="37" t="s">
        <v>985</v>
      </c>
      <c r="B170" s="38" t="s">
        <v>4736</v>
      </c>
      <c r="C170" s="39">
        <f t="shared" si="32"/>
        <v>45461</v>
      </c>
      <c r="D170" s="40" t="s">
        <v>340</v>
      </c>
      <c r="E170" s="37" t="str" cm="1">
        <f t="array" ref="E170">_xlfn.IFS(D170="delhi","north",D170="mumbai","west",D170="bengaluru","south",D170="chennai","south",D170="kolkata","east",TRUE,"west")</f>
        <v>north</v>
      </c>
      <c r="F170" s="37" t="s">
        <v>213</v>
      </c>
      <c r="G170" s="37" t="str">
        <f t="shared" si="33"/>
        <v>dtdc</v>
      </c>
      <c r="H170" s="37" t="s">
        <v>147</v>
      </c>
      <c r="I170" s="37" t="str">
        <f t="shared" si="34"/>
        <v>road</v>
      </c>
      <c r="J170" s="37" t="s">
        <v>214</v>
      </c>
      <c r="K170" s="37" t="str">
        <f t="shared" si="35"/>
        <v>grocery&amp;fmcg</v>
      </c>
      <c r="L170" s="37" t="s">
        <v>380</v>
      </c>
      <c r="M170" s="37" t="str">
        <f t="shared" si="36"/>
        <v>east</v>
      </c>
      <c r="N170" s="37" t="s">
        <v>126</v>
      </c>
      <c r="O170" s="41" t="str">
        <f t="shared" si="37"/>
        <v>Yes</v>
      </c>
      <c r="P170" s="41">
        <v>6</v>
      </c>
      <c r="Q170" s="41" t="s">
        <v>988</v>
      </c>
      <c r="R170" s="42">
        <f t="shared" si="38"/>
        <v>40.3333333333333</v>
      </c>
      <c r="S170" s="37">
        <v>8</v>
      </c>
      <c r="T170" s="37" t="s">
        <v>989</v>
      </c>
      <c r="U170" s="43" t="str">
        <f t="shared" si="39"/>
        <v>25/06/2024</v>
      </c>
      <c r="V170" s="43">
        <f t="shared" si="40"/>
        <v>45468</v>
      </c>
      <c r="W170" s="44">
        <f t="array" ref="W170">_xlfn.IFS(TRIM(C170)="","",TRIM(V170)="","",TRUE,V170-C170)</f>
        <v>7</v>
      </c>
      <c r="X170" s="37">
        <f t="shared" si="41"/>
        <v>-1</v>
      </c>
      <c r="Y170" s="37" t="s">
        <v>219</v>
      </c>
      <c r="Z170" s="37" t="str">
        <f t="shared" si="42"/>
        <v>delivered</v>
      </c>
      <c r="AA170" s="37" t="str">
        <f t="shared" si="43"/>
        <v>On Time</v>
      </c>
      <c r="AB170" s="37" t="str">
        <f t="shared" si="46"/>
        <v>0</v>
      </c>
      <c r="AC170" s="37">
        <f t="shared" si="47"/>
        <v>0</v>
      </c>
      <c r="AD170" s="45">
        <f t="shared" si="45"/>
        <v>0.506694855532065</v>
      </c>
      <c r="AE170" s="37">
        <v>5</v>
      </c>
      <c r="AF170" s="37" t="s">
        <v>152</v>
      </c>
      <c r="AG170" s="37" t="str">
        <f t="shared" si="44"/>
        <v>no</v>
      </c>
      <c r="AH170" s="37" t="str">
        <f t="array" ref="AH170">_xlfn.IFS(LOWER(AG170)="n","no",LOWER(AG170)="y","yes",TRUE,LOWER(AG170))</f>
        <v>no</v>
      </c>
      <c r="AI170" s="37" t="s">
        <v>4692</v>
      </c>
    </row>
    <row r="171" spans="1:35">
      <c r="A171" s="46" t="s">
        <v>990</v>
      </c>
      <c r="B171" s="47" t="s">
        <v>4737</v>
      </c>
      <c r="C171" s="39">
        <f t="shared" si="32"/>
        <v>45311</v>
      </c>
      <c r="D171" s="48" t="s">
        <v>424</v>
      </c>
      <c r="E171" s="37" t="str" cm="1">
        <f t="array" ref="E171">_xlfn.IFS(D171="delhi","north",D171="mumbai","west",D171="bengaluru","south",D171="chennai","south",D171="kolkata","east",TRUE,"west")</f>
        <v>south</v>
      </c>
      <c r="F171" s="46" t="s">
        <v>270</v>
      </c>
      <c r="G171" s="37" t="str">
        <f t="shared" si="33"/>
        <v>ecomexpress</v>
      </c>
      <c r="H171" s="46" t="s">
        <v>345</v>
      </c>
      <c r="I171" s="37" t="str">
        <f t="shared" si="34"/>
        <v>surface</v>
      </c>
      <c r="J171" s="46" t="s">
        <v>425</v>
      </c>
      <c r="K171" s="37" t="str">
        <f t="shared" si="35"/>
        <v>automotiveparts</v>
      </c>
      <c r="L171" s="46" t="s">
        <v>139</v>
      </c>
      <c r="M171" s="37" t="str">
        <f t="shared" si="36"/>
        <v>north</v>
      </c>
      <c r="N171" s="46" t="s">
        <v>32</v>
      </c>
      <c r="O171" s="41" t="str">
        <f t="shared" si="37"/>
        <v>Yes</v>
      </c>
      <c r="P171" s="49">
        <v>21.8</v>
      </c>
      <c r="Q171" s="49">
        <v>668</v>
      </c>
      <c r="R171" s="42">
        <f t="shared" si="38"/>
        <v>30.6422018348624</v>
      </c>
      <c r="S171" s="46">
        <v>6</v>
      </c>
      <c r="T171" s="46" t="s">
        <v>332</v>
      </c>
      <c r="U171" s="43" t="str">
        <f t="shared" si="39"/>
        <v>04/02/2024</v>
      </c>
      <c r="V171" s="43">
        <f t="shared" si="40"/>
        <v>45326</v>
      </c>
      <c r="W171" s="44">
        <f t="array" ref="W171">_xlfn.IFS(TRIM(C171)="","",TRIM(V171)="","",TRUE,V171-C171)</f>
        <v>15</v>
      </c>
      <c r="X171" s="37">
        <f t="shared" si="41"/>
        <v>9</v>
      </c>
      <c r="Y171" s="46" t="s">
        <v>72</v>
      </c>
      <c r="Z171" s="37" t="str">
        <f t="shared" si="42"/>
        <v>delayed</v>
      </c>
      <c r="AA171" s="37" t="str">
        <f t="shared" si="43"/>
        <v>Late</v>
      </c>
      <c r="AB171" s="37" t="str">
        <f t="shared" si="46"/>
        <v>1</v>
      </c>
      <c r="AC171" s="37">
        <f t="shared" si="47"/>
        <v>1</v>
      </c>
      <c r="AD171" s="45">
        <f t="shared" si="45"/>
        <v>0.507052186177715</v>
      </c>
      <c r="AE171" s="46">
        <v>1</v>
      </c>
      <c r="AF171" s="46" t="s">
        <v>131</v>
      </c>
      <c r="AG171" s="37" t="str">
        <f t="shared" si="44"/>
        <v>n</v>
      </c>
      <c r="AH171" s="37" t="str">
        <f t="array" ref="AH171">_xlfn.IFS(LOWER(AG171)="n","no",LOWER(AG171)="y","yes",TRUE,LOWER(AG171))</f>
        <v>no</v>
      </c>
      <c r="AI171" s="46" t="s">
        <v>4692</v>
      </c>
    </row>
    <row r="172" spans="1:35">
      <c r="A172" s="37" t="s">
        <v>994</v>
      </c>
      <c r="B172" s="38">
        <v>45358</v>
      </c>
      <c r="C172" s="39">
        <f t="shared" si="32"/>
        <v>45358</v>
      </c>
      <c r="D172" s="40" t="s">
        <v>4699</v>
      </c>
      <c r="E172" s="37" t="str" cm="1">
        <f t="array" ref="E172">_xlfn.IFS(D172="delhi","north",D172="mumbai","west",D172="bengaluru","south",D172="chennai","south",D172="kolkata","east",TRUE,"west")</f>
        <v>west</v>
      </c>
      <c r="F172" s="37" t="s">
        <v>175</v>
      </c>
      <c r="G172" s="37" t="str">
        <f t="shared" si="33"/>
        <v>ecomexpress</v>
      </c>
      <c r="H172" s="37" t="s">
        <v>42</v>
      </c>
      <c r="I172" s="37" t="str">
        <f t="shared" si="34"/>
        <v>surface</v>
      </c>
      <c r="J172" s="37" t="s">
        <v>313</v>
      </c>
      <c r="K172" s="37" t="str">
        <f t="shared" si="35"/>
        <v>automotiveparts</v>
      </c>
      <c r="L172" s="37" t="s">
        <v>418</v>
      </c>
      <c r="M172" s="37" t="str">
        <f t="shared" si="36"/>
        <v>south</v>
      </c>
      <c r="N172" s="37" t="s">
        <v>90</v>
      </c>
      <c r="O172" s="41" t="str">
        <f t="shared" si="37"/>
        <v>Yes</v>
      </c>
      <c r="P172" s="41">
        <v>24.9</v>
      </c>
      <c r="Q172" s="41">
        <v>680</v>
      </c>
      <c r="R172" s="42">
        <f t="shared" si="38"/>
        <v>27.3092369477912</v>
      </c>
      <c r="S172" s="37">
        <v>6</v>
      </c>
      <c r="T172" s="37" t="s">
        <v>299</v>
      </c>
      <c r="U172" s="43" t="str">
        <f t="shared" si="39"/>
        <v>2024-03-19</v>
      </c>
      <c r="V172" s="43">
        <f t="shared" si="40"/>
        <v>45370</v>
      </c>
      <c r="W172" s="44">
        <f t="array" ref="W172">_xlfn.IFS(TRIM(C172)="","",TRIM(V172)="","",TRUE,V172-C172)</f>
        <v>12</v>
      </c>
      <c r="X172" s="37">
        <f t="shared" si="41"/>
        <v>6</v>
      </c>
      <c r="Y172" s="37" t="s">
        <v>72</v>
      </c>
      <c r="Z172" s="37" t="str">
        <f t="shared" si="42"/>
        <v>delayed</v>
      </c>
      <c r="AA172" s="37" t="str">
        <f t="shared" si="43"/>
        <v>Late</v>
      </c>
      <c r="AB172" s="37" t="str">
        <f t="shared" si="46"/>
        <v>1</v>
      </c>
      <c r="AC172" s="37">
        <f t="shared" si="47"/>
        <v>1</v>
      </c>
      <c r="AD172" s="45">
        <f t="shared" si="45"/>
        <v>0.506704304869443</v>
      </c>
      <c r="AE172" s="37">
        <v>5</v>
      </c>
      <c r="AF172" s="37" t="s">
        <v>191</v>
      </c>
      <c r="AG172" s="37" t="str">
        <f t="shared" si="44"/>
        <v>no</v>
      </c>
      <c r="AH172" s="37" t="str">
        <f t="array" ref="AH172">_xlfn.IFS(LOWER(AG172)="n","no",LOWER(AG172)="y","yes",TRUE,LOWER(AG172))</f>
        <v>no</v>
      </c>
      <c r="AI172" s="37" t="s">
        <v>4692</v>
      </c>
    </row>
    <row r="173" spans="1:35">
      <c r="A173" s="46" t="s">
        <v>998</v>
      </c>
      <c r="B173" s="47" t="s">
        <v>4738</v>
      </c>
      <c r="C173" s="39">
        <f t="shared" si="32"/>
        <v>45352</v>
      </c>
      <c r="D173" s="48" t="s">
        <v>424</v>
      </c>
      <c r="E173" s="37" t="str" cm="1">
        <f t="array" ref="E173">_xlfn.IFS(D173="delhi","north",D173="mumbai","west",D173="bengaluru","south",D173="chennai","south",D173="kolkata","east",TRUE,"west")</f>
        <v>south</v>
      </c>
      <c r="F173" s="46" t="s">
        <v>352</v>
      </c>
      <c r="G173" s="37" t="str">
        <f t="shared" si="33"/>
        <v>delhivery</v>
      </c>
      <c r="H173" s="46" t="s">
        <v>99</v>
      </c>
      <c r="I173" s="37" t="str">
        <f t="shared" si="34"/>
        <v>air</v>
      </c>
      <c r="J173" s="46" t="s">
        <v>111</v>
      </c>
      <c r="K173" s="37" t="str">
        <f t="shared" si="35"/>
        <v>grocery&amp;fmcg</v>
      </c>
      <c r="L173" s="46" t="s">
        <v>101</v>
      </c>
      <c r="M173" s="37" t="str">
        <f t="shared" si="36"/>
        <v>west</v>
      </c>
      <c r="N173" s="46" t="s">
        <v>206</v>
      </c>
      <c r="O173" s="41" t="str">
        <f t="shared" si="37"/>
        <v>Yes</v>
      </c>
      <c r="P173" s="49" t="s">
        <v>999</v>
      </c>
      <c r="Q173" s="49">
        <v>329</v>
      </c>
      <c r="R173" s="42">
        <f t="shared" si="38"/>
        <v>106.129032258065</v>
      </c>
      <c r="S173" s="46">
        <v>4</v>
      </c>
      <c r="T173" s="46" t="s">
        <v>1001</v>
      </c>
      <c r="U173" s="43" t="str">
        <f t="shared" si="39"/>
        <v>06/03/2024</v>
      </c>
      <c r="V173" s="43">
        <f t="shared" si="40"/>
        <v>45357</v>
      </c>
      <c r="W173" s="44">
        <f t="array" ref="W173">_xlfn.IFS(TRIM(C173)="","",TRIM(V173)="","",TRUE,V173-C173)</f>
        <v>5</v>
      </c>
      <c r="X173" s="37">
        <f t="shared" si="41"/>
        <v>1</v>
      </c>
      <c r="Y173" s="46" t="s">
        <v>143</v>
      </c>
      <c r="Z173" s="37" t="str">
        <f t="shared" si="42"/>
        <v>delayed</v>
      </c>
      <c r="AA173" s="37" t="str">
        <f t="shared" si="43"/>
        <v>Late</v>
      </c>
      <c r="AB173" s="37" t="str">
        <f t="shared" si="46"/>
        <v>1</v>
      </c>
      <c r="AC173" s="37">
        <f t="shared" si="47"/>
        <v>1</v>
      </c>
      <c r="AD173" s="45">
        <f t="shared" si="45"/>
        <v>0.50635593220339</v>
      </c>
      <c r="AE173" s="46">
        <v>3</v>
      </c>
      <c r="AF173" s="46" t="s">
        <v>118</v>
      </c>
      <c r="AG173" s="37" t="str">
        <f t="shared" si="44"/>
        <v>no</v>
      </c>
      <c r="AH173" s="37" t="str">
        <f t="array" ref="AH173">_xlfn.IFS(LOWER(AG173)="n","no",LOWER(AG173)="y","yes",TRUE,LOWER(AG173))</f>
        <v>no</v>
      </c>
      <c r="AI173" s="46" t="s">
        <v>4692</v>
      </c>
    </row>
    <row r="174" spans="1:35">
      <c r="A174" s="37" t="s">
        <v>1002</v>
      </c>
      <c r="B174" s="38">
        <v>45369</v>
      </c>
      <c r="C174" s="39">
        <f t="shared" si="32"/>
        <v>45369</v>
      </c>
      <c r="D174" s="40" t="s">
        <v>4699</v>
      </c>
      <c r="E174" s="37" t="str" cm="1">
        <f t="array" ref="E174">_xlfn.IFS(D174="delhi","north",D174="mumbai","west",D174="bengaluru","south",D174="chennai","south",D174="kolkata","east",TRUE,"west")</f>
        <v>west</v>
      </c>
      <c r="F174" s="37" t="s">
        <v>367</v>
      </c>
      <c r="G174" s="37" t="str">
        <f t="shared" si="33"/>
        <v>dtdc</v>
      </c>
      <c r="H174" s="37" t="s">
        <v>137</v>
      </c>
      <c r="I174" s="37" t="str">
        <f t="shared" si="34"/>
        <v>road</v>
      </c>
      <c r="J174" s="37" t="s">
        <v>664</v>
      </c>
      <c r="K174" s="37" t="str">
        <f t="shared" si="35"/>
        <v>grocery&amp;fmcg</v>
      </c>
      <c r="L174" s="37" t="s">
        <v>380</v>
      </c>
      <c r="M174" s="37" t="str">
        <f t="shared" si="36"/>
        <v>east</v>
      </c>
      <c r="N174" s="37" t="s">
        <v>91</v>
      </c>
      <c r="O174" s="41" t="str">
        <f t="shared" si="37"/>
        <v>Yes</v>
      </c>
      <c r="P174" s="41">
        <v>2.2</v>
      </c>
      <c r="Q174" s="41" t="s">
        <v>1004</v>
      </c>
      <c r="R174" s="42">
        <f t="shared" si="38"/>
        <v>74.0909090909091</v>
      </c>
      <c r="S174" s="37">
        <v>8</v>
      </c>
      <c r="T174" s="37" t="s">
        <v>1005</v>
      </c>
      <c r="U174" s="43" t="str">
        <f t="shared" si="39"/>
        <v>2024-03-28</v>
      </c>
      <c r="V174" s="43">
        <f t="shared" si="40"/>
        <v>45379</v>
      </c>
      <c r="W174" s="44">
        <f t="array" ref="W174">_xlfn.IFS(TRIM(C174)="","",TRIM(V174)="","",TRUE,V174-C174)</f>
        <v>10</v>
      </c>
      <c r="X174" s="37">
        <f t="shared" si="41"/>
        <v>2</v>
      </c>
      <c r="Y174" s="37" t="s">
        <v>72</v>
      </c>
      <c r="Z174" s="37" t="str">
        <f t="shared" si="42"/>
        <v>delayed</v>
      </c>
      <c r="AA174" s="37" t="str">
        <f t="shared" si="43"/>
        <v>Late</v>
      </c>
      <c r="AB174" s="37" t="str">
        <f t="shared" si="46"/>
        <v>1</v>
      </c>
      <c r="AC174" s="37">
        <f t="shared" si="47"/>
        <v>1</v>
      </c>
      <c r="AD174" s="45">
        <f t="shared" si="45"/>
        <v>0.506007067137809</v>
      </c>
      <c r="AE174" s="37">
        <v>1</v>
      </c>
      <c r="AF174" s="37" t="s">
        <v>286</v>
      </c>
      <c r="AG174" s="37" t="str">
        <f t="shared" si="44"/>
        <v>yes</v>
      </c>
      <c r="AH174" s="37" t="str">
        <f t="array" ref="AH174">_xlfn.IFS(LOWER(AG174)="n","no",LOWER(AG174)="y","yes",TRUE,LOWER(AG174))</f>
        <v>yes</v>
      </c>
      <c r="AI174" s="37" t="s">
        <v>4692</v>
      </c>
    </row>
    <row r="175" spans="1:35">
      <c r="A175" s="46" t="s">
        <v>1006</v>
      </c>
      <c r="B175" s="47" t="s">
        <v>4735</v>
      </c>
      <c r="C175" s="39">
        <f t="shared" si="32"/>
        <v>45358</v>
      </c>
      <c r="D175" s="48" t="s">
        <v>109</v>
      </c>
      <c r="E175" s="37" t="str" cm="1">
        <f t="array" ref="E175">_xlfn.IFS(D175="delhi","north",D175="mumbai","west",D175="bengaluru","south",D175="chennai","south",D175="kolkata","east",TRUE,"west")</f>
        <v>west</v>
      </c>
      <c r="F175" s="46" t="s">
        <v>230</v>
      </c>
      <c r="G175" s="37" t="str">
        <f t="shared" si="33"/>
        <v>dtdc</v>
      </c>
      <c r="H175" s="46" t="s">
        <v>42</v>
      </c>
      <c r="I175" s="37" t="str">
        <f t="shared" si="34"/>
        <v>surface</v>
      </c>
      <c r="J175" s="46" t="s">
        <v>271</v>
      </c>
      <c r="K175" s="37" t="str">
        <f t="shared" si="35"/>
        <v>electronics</v>
      </c>
      <c r="L175" s="46" t="s">
        <v>418</v>
      </c>
      <c r="M175" s="37" t="str">
        <f t="shared" si="36"/>
        <v>south</v>
      </c>
      <c r="N175" s="46" t="s">
        <v>93</v>
      </c>
      <c r="O175" s="41" t="str">
        <f t="shared" si="37"/>
        <v>Yes</v>
      </c>
      <c r="P175" s="49" t="s">
        <v>284</v>
      </c>
      <c r="Q175" s="49" t="s">
        <v>1007</v>
      </c>
      <c r="R175" s="42">
        <f t="shared" si="38"/>
        <v>177.272727272727</v>
      </c>
      <c r="S175" s="46">
        <v>6</v>
      </c>
      <c r="T175" s="46" t="s">
        <v>1008</v>
      </c>
      <c r="U175" s="43" t="str">
        <f t="shared" si="39"/>
        <v>14/03/2024</v>
      </c>
      <c r="V175" s="43">
        <f t="shared" si="40"/>
        <v>45365</v>
      </c>
      <c r="W175" s="44">
        <f t="array" ref="W175">_xlfn.IFS(TRIM(C175)="","",TRIM(V175)="","",TRUE,V175-C175)</f>
        <v>7</v>
      </c>
      <c r="X175" s="37">
        <f t="shared" si="41"/>
        <v>1</v>
      </c>
      <c r="Y175" s="46" t="s">
        <v>143</v>
      </c>
      <c r="Z175" s="37" t="str">
        <f t="shared" si="42"/>
        <v>delayed</v>
      </c>
      <c r="AA175" s="37" t="str">
        <f t="shared" si="43"/>
        <v>Late</v>
      </c>
      <c r="AB175" s="37" t="str">
        <f t="shared" si="46"/>
        <v>1</v>
      </c>
      <c r="AC175" s="37">
        <f t="shared" si="47"/>
        <v>1</v>
      </c>
      <c r="AD175" s="45">
        <f t="shared" si="45"/>
        <v>0.505657708628006</v>
      </c>
      <c r="AE175" s="46">
        <v>4</v>
      </c>
      <c r="AF175" s="46" t="s">
        <v>286</v>
      </c>
      <c r="AG175" s="37" t="str">
        <f t="shared" si="44"/>
        <v>yes</v>
      </c>
      <c r="AH175" s="37" t="str">
        <f t="array" ref="AH175">_xlfn.IFS(LOWER(AG175)="n","no",LOWER(AG175)="y","yes",TRUE,LOWER(AG175))</f>
        <v>yes</v>
      </c>
      <c r="AI175" s="46" t="s">
        <v>4692</v>
      </c>
    </row>
    <row r="176" spans="1:35">
      <c r="A176" s="37" t="s">
        <v>1009</v>
      </c>
      <c r="B176" s="38">
        <v>45353</v>
      </c>
      <c r="C176" s="39">
        <f t="shared" si="32"/>
        <v>45353</v>
      </c>
      <c r="D176" s="40" t="s">
        <v>633</v>
      </c>
      <c r="E176" s="37" t="str" cm="1">
        <f t="array" ref="E176">_xlfn.IFS(D176="delhi","north",D176="mumbai","west",D176="bengaluru","south",D176="chennai","south",D176="kolkata","east",TRUE,"west")</f>
        <v>south</v>
      </c>
      <c r="F176" s="37" t="s">
        <v>136</v>
      </c>
      <c r="G176" s="37" t="str">
        <f t="shared" si="33"/>
        <v>bluedart</v>
      </c>
      <c r="H176" s="37" t="s">
        <v>325</v>
      </c>
      <c r="I176" s="37" t="str">
        <f t="shared" si="34"/>
        <v>air</v>
      </c>
      <c r="J176" s="37" t="s">
        <v>138</v>
      </c>
      <c r="K176" s="37" t="str">
        <f t="shared" si="35"/>
        <v>apparel</v>
      </c>
      <c r="L176" s="37" t="s">
        <v>380</v>
      </c>
      <c r="M176" s="37" t="str">
        <f t="shared" si="36"/>
        <v>east</v>
      </c>
      <c r="N176" s="37" t="s">
        <v>396</v>
      </c>
      <c r="O176" s="41" t="str">
        <f t="shared" si="37"/>
        <v>Yes</v>
      </c>
      <c r="P176" s="41">
        <v>4.6</v>
      </c>
      <c r="Q176" s="41" t="s">
        <v>1012</v>
      </c>
      <c r="R176" s="42">
        <f t="shared" si="38"/>
        <v>71.9565217391304</v>
      </c>
      <c r="S176" s="37">
        <v>4</v>
      </c>
      <c r="T176" s="37" t="s">
        <v>363</v>
      </c>
      <c r="U176" s="43" t="str">
        <f t="shared" si="39"/>
        <v>07/03/2024</v>
      </c>
      <c r="V176" s="43">
        <f t="shared" si="40"/>
        <v>45358</v>
      </c>
      <c r="W176" s="44">
        <f t="array" ref="W176">_xlfn.IFS(TRIM(C176)="","",TRIM(V176)="","",TRUE,V176-C176)</f>
        <v>5</v>
      </c>
      <c r="X176" s="37">
        <f t="shared" si="41"/>
        <v>1</v>
      </c>
      <c r="Y176" s="37" t="s">
        <v>172</v>
      </c>
      <c r="Z176" s="37" t="str">
        <f t="shared" si="42"/>
        <v>delayed</v>
      </c>
      <c r="AA176" s="37" t="str">
        <f t="shared" si="43"/>
        <v>Late</v>
      </c>
      <c r="AB176" s="37" t="str">
        <f t="shared" si="46"/>
        <v>1</v>
      </c>
      <c r="AC176" s="37">
        <f t="shared" si="47"/>
        <v>1</v>
      </c>
      <c r="AD176" s="45">
        <f t="shared" si="45"/>
        <v>0.505307855626327</v>
      </c>
      <c r="AE176" s="37">
        <v>2</v>
      </c>
      <c r="AF176" s="37" t="s">
        <v>191</v>
      </c>
      <c r="AG176" s="37" t="str">
        <f t="shared" si="44"/>
        <v>no</v>
      </c>
      <c r="AH176" s="37" t="str">
        <f t="array" ref="AH176">_xlfn.IFS(LOWER(AG176)="n","no",LOWER(AG176)="y","yes",TRUE,LOWER(AG176))</f>
        <v>no</v>
      </c>
      <c r="AI176" s="37" t="s">
        <v>4692</v>
      </c>
    </row>
    <row r="177" spans="1:35">
      <c r="A177" s="46" t="s">
        <v>1013</v>
      </c>
      <c r="B177" s="47">
        <v>45429</v>
      </c>
      <c r="C177" s="39">
        <f t="shared" si="32"/>
        <v>45429</v>
      </c>
      <c r="D177" s="48" t="s">
        <v>424</v>
      </c>
      <c r="E177" s="37" t="str" cm="1">
        <f t="array" ref="E177">_xlfn.IFS(D177="delhi","north",D177="mumbai","west",D177="bengaluru","south",D177="chennai","south",D177="kolkata","east",TRUE,"west")</f>
        <v>south</v>
      </c>
      <c r="F177" s="46" t="s">
        <v>136</v>
      </c>
      <c r="G177" s="37" t="str">
        <f t="shared" si="33"/>
        <v>bluedart</v>
      </c>
      <c r="H177" s="46" t="s">
        <v>157</v>
      </c>
      <c r="I177" s="37" t="str">
        <f t="shared" si="34"/>
        <v>surface</v>
      </c>
      <c r="J177" s="46" t="s">
        <v>1014</v>
      </c>
      <c r="K177" s="37" t="str">
        <f t="shared" si="35"/>
        <v>pharma</v>
      </c>
      <c r="L177" s="46" t="s">
        <v>380</v>
      </c>
      <c r="M177" s="37" t="str">
        <f t="shared" si="36"/>
        <v>east</v>
      </c>
      <c r="N177" s="46" t="s">
        <v>126</v>
      </c>
      <c r="O177" s="41" t="str">
        <f t="shared" si="37"/>
        <v>Yes</v>
      </c>
      <c r="P177" s="49" t="s">
        <v>745</v>
      </c>
      <c r="Q177" s="49">
        <v>264</v>
      </c>
      <c r="R177" s="42">
        <f t="shared" si="38"/>
        <v>77.6470588235294</v>
      </c>
      <c r="S177" s="46">
        <v>6</v>
      </c>
      <c r="T177" s="46" t="s">
        <v>1015</v>
      </c>
      <c r="U177" s="43" t="str">
        <f t="shared" si="39"/>
        <v>28/05/2024</v>
      </c>
      <c r="V177" s="43">
        <f t="shared" si="40"/>
        <v>45440</v>
      </c>
      <c r="W177" s="44">
        <f t="array" ref="W177">_xlfn.IFS(TRIM(C177)="","",TRIM(V177)="","",TRUE,V177-C177)</f>
        <v>11</v>
      </c>
      <c r="X177" s="37">
        <f t="shared" si="41"/>
        <v>5</v>
      </c>
      <c r="Y177" s="46" t="s">
        <v>72</v>
      </c>
      <c r="Z177" s="37" t="str">
        <f t="shared" si="42"/>
        <v>delayed</v>
      </c>
      <c r="AA177" s="37" t="str">
        <f t="shared" si="43"/>
        <v>Late</v>
      </c>
      <c r="AB177" s="37" t="str">
        <f t="shared" si="46"/>
        <v>1</v>
      </c>
      <c r="AC177" s="37">
        <f t="shared" si="47"/>
        <v>1</v>
      </c>
      <c r="AD177" s="45">
        <f t="shared" si="45"/>
        <v>0.504957507082153</v>
      </c>
      <c r="AE177" s="46">
        <v>3</v>
      </c>
      <c r="AF177" s="46" t="s">
        <v>191</v>
      </c>
      <c r="AG177" s="37" t="str">
        <f t="shared" si="44"/>
        <v>no</v>
      </c>
      <c r="AH177" s="37" t="str">
        <f t="array" ref="AH177">_xlfn.IFS(LOWER(AG177)="n","no",LOWER(AG177)="y","yes",TRUE,LOWER(AG177))</f>
        <v>no</v>
      </c>
      <c r="AI177" s="46" t="s">
        <v>4692</v>
      </c>
    </row>
    <row r="178" spans="1:35">
      <c r="A178" s="37" t="s">
        <v>1016</v>
      </c>
      <c r="B178" s="38">
        <v>45308</v>
      </c>
      <c r="C178" s="39">
        <f t="shared" si="32"/>
        <v>45308</v>
      </c>
      <c r="D178" s="40" t="s">
        <v>366</v>
      </c>
      <c r="E178" s="37" t="str" cm="1">
        <f t="array" ref="E178">_xlfn.IFS(D178="delhi","north",D178="mumbai","west",D178="bengaluru","south",D178="chennai","south",D178="kolkata","east",TRUE,"west")</f>
        <v>east</v>
      </c>
      <c r="F178" s="37" t="s">
        <v>312</v>
      </c>
      <c r="G178" s="37" t="str">
        <f t="shared" si="33"/>
        <v>bluedart</v>
      </c>
      <c r="H178" s="37" t="s">
        <v>147</v>
      </c>
      <c r="I178" s="37" t="str">
        <f t="shared" si="34"/>
        <v>road</v>
      </c>
      <c r="J178" s="37" t="s">
        <v>582</v>
      </c>
      <c r="K178" s="37" t="str">
        <f t="shared" si="35"/>
        <v>grocery&amp;fmcg</v>
      </c>
      <c r="L178" s="37" t="s">
        <v>418</v>
      </c>
      <c r="M178" s="37" t="str">
        <f t="shared" si="36"/>
        <v>south</v>
      </c>
      <c r="N178" s="37" t="s">
        <v>327</v>
      </c>
      <c r="O178" s="41" t="str">
        <f t="shared" si="37"/>
        <v>Yes</v>
      </c>
      <c r="P178" s="41" t="s">
        <v>1018</v>
      </c>
      <c r="Q178" s="41">
        <v>306</v>
      </c>
      <c r="R178" s="42">
        <f t="shared" si="38"/>
        <v>28.5981308411215</v>
      </c>
      <c r="S178" s="37">
        <v>8</v>
      </c>
      <c r="T178" s="37" t="s">
        <v>104</v>
      </c>
      <c r="U178" s="43" t="str">
        <f t="shared" si="39"/>
        <v>25/01/2024</v>
      </c>
      <c r="V178" s="43">
        <f t="shared" si="40"/>
        <v>45316</v>
      </c>
      <c r="W178" s="44">
        <f t="array" ref="W178">_xlfn.IFS(TRIM(C178)="","",TRIM(V178)="","",TRUE,V178-C178)</f>
        <v>8</v>
      </c>
      <c r="X178" s="37">
        <f t="shared" si="41"/>
        <v>0</v>
      </c>
      <c r="Y178" s="37" t="s">
        <v>163</v>
      </c>
      <c r="Z178" s="37" t="str">
        <f t="shared" si="42"/>
        <v>delivered</v>
      </c>
      <c r="AA178" s="37" t="str">
        <f t="shared" si="43"/>
        <v>On Time</v>
      </c>
      <c r="AB178" s="37" t="str">
        <f t="shared" si="46"/>
        <v>0</v>
      </c>
      <c r="AC178" s="37">
        <f t="shared" si="47"/>
        <v>0</v>
      </c>
      <c r="AD178" s="45">
        <f t="shared" si="45"/>
        <v>0.504606661941885</v>
      </c>
      <c r="AE178" s="37">
        <v>1</v>
      </c>
      <c r="AF178" s="37" t="s">
        <v>131</v>
      </c>
      <c r="AG178" s="37" t="str">
        <f t="shared" si="44"/>
        <v>n</v>
      </c>
      <c r="AH178" s="37" t="str">
        <f t="array" ref="AH178">_xlfn.IFS(LOWER(AG178)="n","no",LOWER(AG178)="y","yes",TRUE,LOWER(AG178))</f>
        <v>no</v>
      </c>
      <c r="AI178" s="37" t="s">
        <v>4692</v>
      </c>
    </row>
    <row r="179" spans="1:35">
      <c r="A179" s="46" t="s">
        <v>1020</v>
      </c>
      <c r="B179" s="47">
        <v>45364</v>
      </c>
      <c r="C179" s="39">
        <f t="shared" si="32"/>
        <v>45364</v>
      </c>
      <c r="D179" s="48" t="s">
        <v>4704</v>
      </c>
      <c r="E179" s="37" t="str" cm="1">
        <f t="array" ref="E179">_xlfn.IFS(D179="delhi","north",D179="mumbai","west",D179="bengaluru","south",D179="chennai","south",D179="kolkata","east",TRUE,"west")</f>
        <v>west</v>
      </c>
      <c r="F179" s="46" t="s">
        <v>136</v>
      </c>
      <c r="G179" s="37" t="str">
        <f t="shared" si="33"/>
        <v>bluedart</v>
      </c>
      <c r="H179" s="46" t="s">
        <v>176</v>
      </c>
      <c r="I179" s="37" t="str">
        <f t="shared" si="34"/>
        <v>road</v>
      </c>
      <c r="J179" s="46" t="s">
        <v>452</v>
      </c>
      <c r="K179" s="37" t="str">
        <f t="shared" si="35"/>
        <v>apparel</v>
      </c>
      <c r="L179" s="46" t="s">
        <v>418</v>
      </c>
      <c r="M179" s="37" t="str">
        <f t="shared" si="36"/>
        <v>south</v>
      </c>
      <c r="N179" s="46" t="s">
        <v>54</v>
      </c>
      <c r="O179" s="41" t="str">
        <f t="shared" si="37"/>
        <v>Yes</v>
      </c>
      <c r="P179" s="49">
        <v>6.2</v>
      </c>
      <c r="Q179" s="49" t="s">
        <v>1023</v>
      </c>
      <c r="R179" s="42">
        <f t="shared" si="38"/>
        <v>35.9677419354839</v>
      </c>
      <c r="S179" s="46">
        <v>8</v>
      </c>
      <c r="T179" s="46" t="s">
        <v>597</v>
      </c>
      <c r="U179" s="43" t="str">
        <f t="shared" si="39"/>
        <v>2024-03-20</v>
      </c>
      <c r="V179" s="43">
        <f t="shared" si="40"/>
        <v>45371</v>
      </c>
      <c r="W179" s="44">
        <f t="array" ref="W179">_xlfn.IFS(TRIM(C179)="","",TRIM(V179)="","",TRUE,V179-C179)</f>
        <v>7</v>
      </c>
      <c r="X179" s="37">
        <f t="shared" si="41"/>
        <v>-1</v>
      </c>
      <c r="Y179" s="46" t="s">
        <v>105</v>
      </c>
      <c r="Z179" s="37" t="str">
        <f t="shared" si="42"/>
        <v>delivered</v>
      </c>
      <c r="AA179" s="37" t="str">
        <f t="shared" si="43"/>
        <v>On Time</v>
      </c>
      <c r="AB179" s="37" t="str">
        <f t="shared" si="46"/>
        <v>0</v>
      </c>
      <c r="AC179" s="37">
        <f t="shared" si="47"/>
        <v>0</v>
      </c>
      <c r="AD179" s="45">
        <f t="shared" si="45"/>
        <v>0.504964539007092</v>
      </c>
      <c r="AE179" s="46">
        <v>4</v>
      </c>
      <c r="AF179" s="46" t="s">
        <v>191</v>
      </c>
      <c r="AG179" s="37" t="str">
        <f t="shared" si="44"/>
        <v>no</v>
      </c>
      <c r="AH179" s="37" t="str">
        <f t="array" ref="AH179">_xlfn.IFS(LOWER(AG179)="n","no",LOWER(AG179)="y","yes",TRUE,LOWER(AG179))</f>
        <v>no</v>
      </c>
      <c r="AI179" s="46" t="s">
        <v>4692</v>
      </c>
    </row>
    <row r="180" spans="1:35">
      <c r="A180" s="37" t="s">
        <v>1024</v>
      </c>
      <c r="B180" s="38">
        <v>45399</v>
      </c>
      <c r="C180" s="39">
        <f t="shared" si="32"/>
        <v>45399</v>
      </c>
      <c r="D180" s="40" t="s">
        <v>4694</v>
      </c>
      <c r="E180" s="37" t="str" cm="1">
        <f t="array" ref="E180">_xlfn.IFS(D180="delhi","north",D180="mumbai","west",D180="bengaluru","south",D180="chennai","south",D180="kolkata","east",TRUE,"west")</f>
        <v>west</v>
      </c>
      <c r="F180" s="37" t="s">
        <v>184</v>
      </c>
      <c r="G180" s="37" t="str">
        <f t="shared" si="33"/>
        <v>ecomexpress</v>
      </c>
      <c r="H180" s="37" t="s">
        <v>224</v>
      </c>
      <c r="I180" s="37" t="str">
        <f t="shared" si="34"/>
        <v>air</v>
      </c>
      <c r="J180" s="37" t="s">
        <v>205</v>
      </c>
      <c r="K180" s="37" t="str">
        <f t="shared" si="35"/>
        <v>furniture</v>
      </c>
      <c r="L180" s="37" t="s">
        <v>159</v>
      </c>
      <c r="M180" s="37" t="str">
        <f t="shared" si="36"/>
        <v>south</v>
      </c>
      <c r="N180" s="37" t="s">
        <v>93</v>
      </c>
      <c r="O180" s="41" t="str">
        <f t="shared" si="37"/>
        <v>Yes</v>
      </c>
      <c r="P180" s="41">
        <v>76.1</v>
      </c>
      <c r="Q180" s="50">
        <v>3434</v>
      </c>
      <c r="R180" s="42">
        <f t="shared" si="38"/>
        <v>45.1248357424442</v>
      </c>
      <c r="S180" s="37">
        <v>2</v>
      </c>
      <c r="T180" s="37" t="s">
        <v>1028</v>
      </c>
      <c r="U180" s="43" t="str">
        <f t="shared" si="39"/>
        <v>18/04/2024</v>
      </c>
      <c r="V180" s="43">
        <f t="shared" si="40"/>
        <v>45400</v>
      </c>
      <c r="W180" s="44">
        <f t="array" ref="W180">_xlfn.IFS(TRIM(C180)="","",TRIM(V180)="","",TRUE,V180-C180)</f>
        <v>1</v>
      </c>
      <c r="X180" s="37">
        <f t="shared" si="41"/>
        <v>-1</v>
      </c>
      <c r="Y180" s="37" t="s">
        <v>105</v>
      </c>
      <c r="Z180" s="37" t="str">
        <f t="shared" si="42"/>
        <v>delivered</v>
      </c>
      <c r="AA180" s="37" t="str">
        <f t="shared" si="43"/>
        <v>On Time</v>
      </c>
      <c r="AB180" s="37" t="str">
        <f t="shared" si="46"/>
        <v>0</v>
      </c>
      <c r="AC180" s="37">
        <f t="shared" si="47"/>
        <v>0</v>
      </c>
      <c r="AD180" s="45">
        <f t="shared" si="45"/>
        <v>0.505322924059617</v>
      </c>
      <c r="AE180" s="37">
        <v>4</v>
      </c>
      <c r="AF180" s="37" t="s">
        <v>152</v>
      </c>
      <c r="AG180" s="37" t="str">
        <f t="shared" si="44"/>
        <v>no</v>
      </c>
      <c r="AH180" s="37" t="str">
        <f t="array" ref="AH180">_xlfn.IFS(LOWER(AG180)="n","no",LOWER(AG180)="y","yes",TRUE,LOWER(AG180))</f>
        <v>no</v>
      </c>
      <c r="AI180" s="37" t="s">
        <v>4692</v>
      </c>
    </row>
    <row r="181" spans="1:35">
      <c r="A181" s="46" t="s">
        <v>1029</v>
      </c>
      <c r="B181" s="47">
        <v>45414</v>
      </c>
      <c r="C181" s="39">
        <f t="shared" si="32"/>
        <v>45414</v>
      </c>
      <c r="D181" s="48" t="s">
        <v>4704</v>
      </c>
      <c r="E181" s="37" t="str" cm="1">
        <f t="array" ref="E181">_xlfn.IFS(D181="delhi","north",D181="mumbai","west",D181="bengaluru","south",D181="chennai","south",D181="kolkata","east",TRUE,"west")</f>
        <v>west</v>
      </c>
      <c r="F181" s="46" t="s">
        <v>122</v>
      </c>
      <c r="G181" s="37" t="str">
        <f t="shared" si="33"/>
        <v>delhivery</v>
      </c>
      <c r="H181" s="46" t="s">
        <v>224</v>
      </c>
      <c r="I181" s="37" t="str">
        <f t="shared" si="34"/>
        <v>air</v>
      </c>
      <c r="J181" s="46" t="s">
        <v>592</v>
      </c>
      <c r="K181" s="37" t="str">
        <f t="shared" si="35"/>
        <v>grocery&amp;fmcg</v>
      </c>
      <c r="L181" s="46" t="s">
        <v>139</v>
      </c>
      <c r="M181" s="37" t="str">
        <f t="shared" si="36"/>
        <v>north</v>
      </c>
      <c r="N181" s="46" t="s">
        <v>215</v>
      </c>
      <c r="O181" s="41" t="str">
        <f t="shared" si="37"/>
        <v>Yes</v>
      </c>
      <c r="P181" s="49" t="s">
        <v>57</v>
      </c>
      <c r="Q181" s="49">
        <v>719</v>
      </c>
      <c r="R181" s="42">
        <f t="shared" si="38"/>
        <v>57.52</v>
      </c>
      <c r="S181" s="46">
        <v>4</v>
      </c>
      <c r="T181" s="46" t="s">
        <v>1032</v>
      </c>
      <c r="U181" s="43" t="str">
        <f t="shared" si="39"/>
        <v>06-may-2024</v>
      </c>
      <c r="V181" s="43">
        <f t="shared" si="40"/>
        <v>45418</v>
      </c>
      <c r="W181" s="44">
        <f t="array" ref="W181">_xlfn.IFS(TRIM(C181)="","",TRIM(V181)="","",TRUE,V181-C181)</f>
        <v>4</v>
      </c>
      <c r="X181" s="37">
        <f t="shared" si="41"/>
        <v>0</v>
      </c>
      <c r="Y181" s="46" t="s">
        <v>219</v>
      </c>
      <c r="Z181" s="37" t="str">
        <f t="shared" si="42"/>
        <v>delivered</v>
      </c>
      <c r="AA181" s="37" t="str">
        <f t="shared" si="43"/>
        <v>On Time</v>
      </c>
      <c r="AB181" s="37" t="str">
        <f t="shared" si="46"/>
        <v>0</v>
      </c>
      <c r="AC181" s="37">
        <f t="shared" si="47"/>
        <v>0</v>
      </c>
      <c r="AD181" s="45">
        <f t="shared" si="45"/>
        <v>0.505681818181818</v>
      </c>
      <c r="AE181" s="46">
        <v>5</v>
      </c>
      <c r="AF181" s="46" t="s">
        <v>106</v>
      </c>
      <c r="AG181" s="37" t="str">
        <f t="shared" si="44"/>
        <v>yes</v>
      </c>
      <c r="AH181" s="37" t="str">
        <f t="array" ref="AH181">_xlfn.IFS(LOWER(AG181)="n","no",LOWER(AG181)="y","yes",TRUE,LOWER(AG181))</f>
        <v>yes</v>
      </c>
      <c r="AI181" s="46" t="s">
        <v>4692</v>
      </c>
    </row>
    <row r="182" spans="1:35">
      <c r="A182" s="37" t="s">
        <v>1033</v>
      </c>
      <c r="B182" s="38" t="s">
        <v>4739</v>
      </c>
      <c r="C182" s="39">
        <f t="shared" si="32"/>
        <v>45318</v>
      </c>
      <c r="D182" s="40" t="s">
        <v>424</v>
      </c>
      <c r="E182" s="37" t="str" cm="1">
        <f t="array" ref="E182">_xlfn.IFS(D182="delhi","north",D182="mumbai","west",D182="bengaluru","south",D182="chennai","south",D182="kolkata","east",TRUE,"west")</f>
        <v>south</v>
      </c>
      <c r="F182" s="37" t="s">
        <v>175</v>
      </c>
      <c r="G182" s="37" t="str">
        <f t="shared" si="33"/>
        <v>ecomexpress</v>
      </c>
      <c r="H182" s="37" t="s">
        <v>110</v>
      </c>
      <c r="I182" s="37" t="str">
        <f t="shared" si="34"/>
        <v>surface</v>
      </c>
      <c r="J182" s="37" t="s">
        <v>368</v>
      </c>
      <c r="K182" s="37" t="str">
        <f t="shared" si="35"/>
        <v>furniture</v>
      </c>
      <c r="L182" s="37" t="s">
        <v>168</v>
      </c>
      <c r="M182" s="37" t="str">
        <f t="shared" si="36"/>
        <v>west</v>
      </c>
      <c r="N182" s="37" t="s">
        <v>88</v>
      </c>
      <c r="O182" s="41" t="str">
        <f t="shared" si="37"/>
        <v>Yes</v>
      </c>
      <c r="P182" s="41">
        <v>68.5</v>
      </c>
      <c r="Q182" s="41">
        <v>1689</v>
      </c>
      <c r="R182" s="42">
        <f t="shared" si="38"/>
        <v>24.6569343065693</v>
      </c>
      <c r="S182" s="37">
        <v>6</v>
      </c>
      <c r="T182" s="37" t="s">
        <v>1037</v>
      </c>
      <c r="U182" s="43" t="str">
        <f t="shared" si="39"/>
        <v>2024-02-03</v>
      </c>
      <c r="V182" s="43">
        <f t="shared" si="40"/>
        <v>45325</v>
      </c>
      <c r="W182" s="44">
        <f t="array" ref="W182">_xlfn.IFS(TRIM(C182)="","",TRIM(V182)="","",TRUE,V182-C182)</f>
        <v>7</v>
      </c>
      <c r="X182" s="37">
        <f t="shared" si="41"/>
        <v>1</v>
      </c>
      <c r="Y182" s="37" t="s">
        <v>72</v>
      </c>
      <c r="Z182" s="37" t="str">
        <f t="shared" si="42"/>
        <v>delayed</v>
      </c>
      <c r="AA182" s="37" t="str">
        <f t="shared" si="43"/>
        <v>Late</v>
      </c>
      <c r="AB182" s="37" t="str">
        <f t="shared" si="46"/>
        <v>1</v>
      </c>
      <c r="AC182" s="37">
        <f t="shared" si="47"/>
        <v>1</v>
      </c>
      <c r="AD182" s="45">
        <f t="shared" si="45"/>
        <v>0.506041222459133</v>
      </c>
      <c r="AE182" s="37">
        <v>3</v>
      </c>
      <c r="AF182" s="37" t="s">
        <v>286</v>
      </c>
      <c r="AG182" s="37" t="str">
        <f t="shared" si="44"/>
        <v>yes</v>
      </c>
      <c r="AH182" s="37" t="str">
        <f t="array" ref="AH182">_xlfn.IFS(LOWER(AG182)="n","no",LOWER(AG182)="y","yes",TRUE,LOWER(AG182))</f>
        <v>yes</v>
      </c>
      <c r="AI182" s="37" t="s">
        <v>4692</v>
      </c>
    </row>
    <row r="183" spans="1:35">
      <c r="A183" s="46" t="s">
        <v>1038</v>
      </c>
      <c r="B183" s="47" t="s">
        <v>4740</v>
      </c>
      <c r="C183" s="39">
        <f t="shared" si="32"/>
        <v>45448</v>
      </c>
      <c r="D183" s="48" t="s">
        <v>212</v>
      </c>
      <c r="E183" s="37" t="str" cm="1">
        <f t="array" ref="E183">_xlfn.IFS(D183="delhi","north",D183="mumbai","west",D183="bengaluru","south",D183="chennai","south",D183="kolkata","east",TRUE,"west")</f>
        <v>west</v>
      </c>
      <c r="F183" s="46" t="s">
        <v>223</v>
      </c>
      <c r="G183" s="37" t="str">
        <f t="shared" si="33"/>
        <v>xpressbees</v>
      </c>
      <c r="H183" s="46" t="s">
        <v>345</v>
      </c>
      <c r="I183" s="37" t="str">
        <f t="shared" si="34"/>
        <v>surface</v>
      </c>
      <c r="J183" s="46" t="s">
        <v>167</v>
      </c>
      <c r="K183" s="37" t="str">
        <f t="shared" si="35"/>
        <v>pharma</v>
      </c>
      <c r="L183" s="46" t="s">
        <v>334</v>
      </c>
      <c r="M183" s="37" t="str">
        <f t="shared" si="36"/>
        <v>north</v>
      </c>
      <c r="N183" s="46" t="s">
        <v>354</v>
      </c>
      <c r="O183" s="41" t="str">
        <f t="shared" si="37"/>
        <v>Yes</v>
      </c>
      <c r="P183" s="49">
        <v>3.7</v>
      </c>
      <c r="Q183" s="49">
        <v>238</v>
      </c>
      <c r="R183" s="42">
        <f t="shared" si="38"/>
        <v>64.3243243243243</v>
      </c>
      <c r="S183" s="46">
        <v>6</v>
      </c>
      <c r="T183" s="46" t="s">
        <v>707</v>
      </c>
      <c r="U183" s="43" t="str">
        <f t="shared" si="39"/>
        <v>10/06/2024</v>
      </c>
      <c r="V183" s="43">
        <f t="shared" si="40"/>
        <v>45453</v>
      </c>
      <c r="W183" s="44">
        <f t="array" ref="W183">_xlfn.IFS(TRIM(C183)="","",TRIM(V183)="","",TRUE,V183-C183)</f>
        <v>5</v>
      </c>
      <c r="X183" s="37">
        <f t="shared" si="41"/>
        <v>-1</v>
      </c>
      <c r="Y183" s="46" t="s">
        <v>219</v>
      </c>
      <c r="Z183" s="37" t="str">
        <f t="shared" si="42"/>
        <v>delivered</v>
      </c>
      <c r="AA183" s="37" t="str">
        <f t="shared" si="43"/>
        <v>On Time</v>
      </c>
      <c r="AB183" s="37" t="str">
        <f t="shared" si="46"/>
        <v>0</v>
      </c>
      <c r="AC183" s="37">
        <f t="shared" si="47"/>
        <v>0</v>
      </c>
      <c r="AD183" s="45">
        <f t="shared" si="45"/>
        <v>0.505689900426743</v>
      </c>
      <c r="AE183" s="46">
        <v>5</v>
      </c>
      <c r="AF183" s="46" t="s">
        <v>79</v>
      </c>
      <c r="AG183" s="37" t="str">
        <f t="shared" si="44"/>
        <v>yes</v>
      </c>
      <c r="AH183" s="37" t="str">
        <f t="array" ref="AH183">_xlfn.IFS(LOWER(AG183)="n","no",LOWER(AG183)="y","yes",TRUE,LOWER(AG183))</f>
        <v>yes</v>
      </c>
      <c r="AI183" s="46" t="s">
        <v>4692</v>
      </c>
    </row>
    <row r="184" spans="1:35">
      <c r="A184" s="37" t="s">
        <v>1041</v>
      </c>
      <c r="B184" s="38">
        <v>45462</v>
      </c>
      <c r="C184" s="39">
        <f t="shared" si="32"/>
        <v>45462</v>
      </c>
      <c r="D184" s="40" t="s">
        <v>222</v>
      </c>
      <c r="E184" s="37" t="str" cm="1">
        <f t="array" ref="E184">_xlfn.IFS(D184="delhi","north",D184="mumbai","west",D184="bengaluru","south",D184="chennai","south",D184="kolkata","east",TRUE,"west")</f>
        <v>west</v>
      </c>
      <c r="F184" s="37" t="s">
        <v>146</v>
      </c>
      <c r="G184" s="37" t="str">
        <f t="shared" si="33"/>
        <v>ecomexpress</v>
      </c>
      <c r="H184" s="37" t="s">
        <v>42</v>
      </c>
      <c r="I184" s="37" t="str">
        <f t="shared" si="34"/>
        <v>surface</v>
      </c>
      <c r="J184" s="37" t="s">
        <v>167</v>
      </c>
      <c r="K184" s="37" t="str">
        <f t="shared" si="35"/>
        <v>pharma</v>
      </c>
      <c r="L184" s="37" t="s">
        <v>101</v>
      </c>
      <c r="M184" s="37" t="str">
        <f t="shared" si="36"/>
        <v>west</v>
      </c>
      <c r="N184" s="37" t="s">
        <v>187</v>
      </c>
      <c r="O184" s="41" t="str">
        <f t="shared" si="37"/>
        <v>Yes</v>
      </c>
      <c r="P184" s="41" t="s">
        <v>1042</v>
      </c>
      <c r="Q184" s="41" t="s">
        <v>1043</v>
      </c>
      <c r="R184" s="42">
        <f t="shared" si="38"/>
        <v>38.5714285714286</v>
      </c>
      <c r="S184" s="37">
        <v>4</v>
      </c>
      <c r="T184" s="37" t="s">
        <v>199</v>
      </c>
      <c r="U184" s="43" t="str">
        <f t="shared" si="39"/>
        <v>22/06/2024</v>
      </c>
      <c r="V184" s="43">
        <f t="shared" si="40"/>
        <v>45465</v>
      </c>
      <c r="W184" s="44">
        <f t="array" ref="W184">_xlfn.IFS(TRIM(C184)="","",TRIM(V184)="","",TRUE,V184-C184)</f>
        <v>3</v>
      </c>
      <c r="X184" s="37">
        <f t="shared" si="41"/>
        <v>-1</v>
      </c>
      <c r="Y184" s="37" t="s">
        <v>163</v>
      </c>
      <c r="Z184" s="37" t="str">
        <f t="shared" si="42"/>
        <v>delivered</v>
      </c>
      <c r="AA184" s="37" t="str">
        <f t="shared" si="43"/>
        <v>On Time</v>
      </c>
      <c r="AB184" s="37" t="str">
        <f t="shared" si="46"/>
        <v>0</v>
      </c>
      <c r="AC184" s="37">
        <f t="shared" si="47"/>
        <v>0</v>
      </c>
      <c r="AD184" s="45">
        <f t="shared" si="45"/>
        <v>0.506049822064057</v>
      </c>
      <c r="AE184" s="37">
        <v>4</v>
      </c>
      <c r="AF184" s="37" t="s">
        <v>79</v>
      </c>
      <c r="AG184" s="37" t="str">
        <f t="shared" si="44"/>
        <v>yes</v>
      </c>
      <c r="AH184" s="37" t="str">
        <f t="array" ref="AH184">_xlfn.IFS(LOWER(AG184)="n","no",LOWER(AG184)="y","yes",TRUE,LOWER(AG184))</f>
        <v>yes</v>
      </c>
      <c r="AI184" s="37" t="s">
        <v>4692</v>
      </c>
    </row>
    <row r="185" spans="1:35">
      <c r="A185" s="46" t="s">
        <v>1044</v>
      </c>
      <c r="B185" s="47">
        <v>45332</v>
      </c>
      <c r="C185" s="39">
        <f t="shared" si="32"/>
        <v>45332</v>
      </c>
      <c r="D185" s="48" t="s">
        <v>212</v>
      </c>
      <c r="E185" s="37" t="str" cm="1">
        <f t="array" ref="E185">_xlfn.IFS(D185="delhi","north",D185="mumbai","west",D185="bengaluru","south",D185="chennai","south",D185="kolkata","east",TRUE,"west")</f>
        <v>west</v>
      </c>
      <c r="F185" s="46" t="s">
        <v>184</v>
      </c>
      <c r="G185" s="37" t="str">
        <f t="shared" si="33"/>
        <v>ecomexpress</v>
      </c>
      <c r="H185" s="46" t="s">
        <v>325</v>
      </c>
      <c r="I185" s="37" t="str">
        <f t="shared" si="34"/>
        <v>air</v>
      </c>
      <c r="J185" s="46" t="s">
        <v>214</v>
      </c>
      <c r="K185" s="37" t="str">
        <f t="shared" si="35"/>
        <v>grocery&amp;fmcg</v>
      </c>
      <c r="L185" s="46" t="s">
        <v>302</v>
      </c>
      <c r="M185" s="37" t="str">
        <f t="shared" si="36"/>
        <v>east</v>
      </c>
      <c r="N185" s="46" t="s">
        <v>294</v>
      </c>
      <c r="O185" s="41" t="str">
        <f t="shared" si="37"/>
        <v>Yes</v>
      </c>
      <c r="P185" s="49" t="s">
        <v>1046</v>
      </c>
      <c r="Q185" s="49" t="s">
        <v>1047</v>
      </c>
      <c r="R185" s="42">
        <f t="shared" si="38"/>
        <v>58.2312925170068</v>
      </c>
      <c r="S185" s="46">
        <v>4</v>
      </c>
      <c r="T185" s="46" t="s">
        <v>1048</v>
      </c>
      <c r="U185" s="43" t="str">
        <f t="shared" si="39"/>
        <v>2024-02-13</v>
      </c>
      <c r="V185" s="43">
        <f t="shared" si="40"/>
        <v>45335</v>
      </c>
      <c r="W185" s="44">
        <f t="array" ref="W185">_xlfn.IFS(TRIM(C185)="","",TRIM(V185)="","",TRUE,V185-C185)</f>
        <v>3</v>
      </c>
      <c r="X185" s="37">
        <f t="shared" si="41"/>
        <v>-1</v>
      </c>
      <c r="Y185" s="46" t="s">
        <v>219</v>
      </c>
      <c r="Z185" s="37" t="str">
        <f t="shared" si="42"/>
        <v>delivered</v>
      </c>
      <c r="AA185" s="37" t="str">
        <f t="shared" si="43"/>
        <v>On Time</v>
      </c>
      <c r="AB185" s="37" t="str">
        <f t="shared" si="46"/>
        <v>0</v>
      </c>
      <c r="AC185" s="37">
        <f t="shared" si="47"/>
        <v>0</v>
      </c>
      <c r="AD185" s="45">
        <f t="shared" si="45"/>
        <v>0.506410256410256</v>
      </c>
      <c r="AE185" s="46">
        <v>4</v>
      </c>
      <c r="AF185" s="46" t="s">
        <v>191</v>
      </c>
      <c r="AG185" s="37" t="str">
        <f t="shared" si="44"/>
        <v>no</v>
      </c>
      <c r="AH185" s="37" t="str">
        <f t="array" ref="AH185">_xlfn.IFS(LOWER(AG185)="n","no",LOWER(AG185)="y","yes",TRUE,LOWER(AG185))</f>
        <v>no</v>
      </c>
      <c r="AI185" s="46" t="s">
        <v>4692</v>
      </c>
    </row>
    <row r="186" spans="1:35">
      <c r="A186" s="37" t="s">
        <v>1049</v>
      </c>
      <c r="B186" s="38">
        <v>45420</v>
      </c>
      <c r="C186" s="39">
        <f t="shared" si="32"/>
        <v>45420</v>
      </c>
      <c r="D186" s="40" t="s">
        <v>166</v>
      </c>
      <c r="E186" s="37" t="str" cm="1">
        <f t="array" ref="E186">_xlfn.IFS(D186="delhi","north",D186="mumbai","west",D186="bengaluru","south",D186="chennai","south",D186="kolkata","east",TRUE,"west")</f>
        <v>west</v>
      </c>
      <c r="F186" s="37" t="s">
        <v>122</v>
      </c>
      <c r="G186" s="37" t="str">
        <f t="shared" si="33"/>
        <v>delhivery</v>
      </c>
      <c r="H186" s="37" t="s">
        <v>99</v>
      </c>
      <c r="I186" s="37" t="str">
        <f t="shared" si="34"/>
        <v>air</v>
      </c>
      <c r="J186" s="37" t="s">
        <v>368</v>
      </c>
      <c r="K186" s="37" t="str">
        <f t="shared" si="35"/>
        <v>furniture</v>
      </c>
      <c r="L186" s="37" t="s">
        <v>51</v>
      </c>
      <c r="M186" s="37" t="str">
        <f t="shared" si="36"/>
        <v>south</v>
      </c>
      <c r="N186" s="37" t="s">
        <v>93</v>
      </c>
      <c r="O186" s="41" t="str">
        <f t="shared" si="37"/>
        <v>Yes</v>
      </c>
      <c r="P186" s="41" t="s">
        <v>1051</v>
      </c>
      <c r="Q186" s="50">
        <v>3409</v>
      </c>
      <c r="R186" s="42">
        <f t="shared" si="38"/>
        <v>47.1507607192255</v>
      </c>
      <c r="S186" s="37">
        <v>4</v>
      </c>
      <c r="T186" s="37" t="s">
        <v>410</v>
      </c>
      <c r="U186" s="43" t="str">
        <f t="shared" si="39"/>
        <v>12/05/2024</v>
      </c>
      <c r="V186" s="43">
        <f t="shared" si="40"/>
        <v>45424</v>
      </c>
      <c r="W186" s="44">
        <f t="array" ref="W186">_xlfn.IFS(TRIM(C186)="","",TRIM(V186)="","",TRUE,V186-C186)</f>
        <v>4</v>
      </c>
      <c r="X186" s="37">
        <f t="shared" si="41"/>
        <v>0</v>
      </c>
      <c r="Y186" s="37" t="s">
        <v>624</v>
      </c>
      <c r="Z186" s="37" t="str">
        <f t="shared" si="42"/>
        <v>returned</v>
      </c>
      <c r="AA186" s="37" t="str">
        <f t="shared" si="43"/>
        <v>On Time</v>
      </c>
      <c r="AB186" s="37" t="str">
        <f t="shared" si="46"/>
        <v>0</v>
      </c>
      <c r="AC186" s="37">
        <f t="shared" si="47"/>
        <v>0</v>
      </c>
      <c r="AD186" s="45">
        <f t="shared" si="45"/>
        <v>0.506771204561654</v>
      </c>
      <c r="AE186" s="37"/>
      <c r="AF186" s="37" t="s">
        <v>181</v>
      </c>
      <c r="AG186" s="37" t="str">
        <f t="shared" si="44"/>
        <v>y</v>
      </c>
      <c r="AH186" s="37" t="str">
        <f t="array" ref="AH186">_xlfn.IFS(LOWER(AG186)="n","no",LOWER(AG186)="y","yes",TRUE,LOWER(AG186))</f>
        <v>yes</v>
      </c>
      <c r="AI186" s="37" t="s">
        <v>83</v>
      </c>
    </row>
    <row r="187" spans="1:35">
      <c r="A187" s="46" t="s">
        <v>1053</v>
      </c>
      <c r="B187" s="47" t="s">
        <v>4741</v>
      </c>
      <c r="C187" s="39">
        <f t="shared" si="32"/>
        <v>45418</v>
      </c>
      <c r="D187" s="48" t="s">
        <v>633</v>
      </c>
      <c r="E187" s="37" t="str" cm="1">
        <f t="array" ref="E187">_xlfn.IFS(D187="delhi","north",D187="mumbai","west",D187="bengaluru","south",D187="chennai","south",D187="kolkata","east",TRUE,"west")</f>
        <v>south</v>
      </c>
      <c r="F187" s="46" t="s">
        <v>175</v>
      </c>
      <c r="G187" s="37" t="str">
        <f t="shared" si="33"/>
        <v>ecomexpress</v>
      </c>
      <c r="H187" s="46" t="s">
        <v>110</v>
      </c>
      <c r="I187" s="37" t="str">
        <f t="shared" si="34"/>
        <v>surface</v>
      </c>
      <c r="J187" s="46" t="s">
        <v>326</v>
      </c>
      <c r="K187" s="37" t="str">
        <f t="shared" si="35"/>
        <v>apparel</v>
      </c>
      <c r="L187" s="46" t="s">
        <v>51</v>
      </c>
      <c r="M187" s="37" t="str">
        <f t="shared" si="36"/>
        <v>south</v>
      </c>
      <c r="N187" s="46" t="s">
        <v>93</v>
      </c>
      <c r="O187" s="41" t="str">
        <f t="shared" si="37"/>
        <v>Yes</v>
      </c>
      <c r="P187" s="49">
        <v>2.8</v>
      </c>
      <c r="Q187" s="49">
        <v>80</v>
      </c>
      <c r="R187" s="42">
        <f t="shared" si="38"/>
        <v>28.5714285714286</v>
      </c>
      <c r="S187" s="46">
        <v>4</v>
      </c>
      <c r="T187" s="46" t="s">
        <v>729</v>
      </c>
      <c r="U187" s="43" t="str">
        <f t="shared" si="39"/>
        <v>2024-05-11</v>
      </c>
      <c r="V187" s="43">
        <f t="shared" si="40"/>
        <v>45423</v>
      </c>
      <c r="W187" s="44">
        <f t="array" ref="W187">_xlfn.IFS(TRIM(C187)="","",TRIM(V187)="","",TRUE,V187-C187)</f>
        <v>5</v>
      </c>
      <c r="X187" s="37">
        <f t="shared" si="41"/>
        <v>1</v>
      </c>
      <c r="Y187" s="46" t="s">
        <v>72</v>
      </c>
      <c r="Z187" s="37" t="str">
        <f t="shared" si="42"/>
        <v>delayed</v>
      </c>
      <c r="AA187" s="37" t="str">
        <f t="shared" si="43"/>
        <v>Late</v>
      </c>
      <c r="AB187" s="37" t="str">
        <f t="shared" si="46"/>
        <v>1</v>
      </c>
      <c r="AC187" s="37">
        <f t="shared" si="47"/>
        <v>1</v>
      </c>
      <c r="AD187" s="45">
        <f t="shared" si="45"/>
        <v>0.507132667617689</v>
      </c>
      <c r="AE187" s="46">
        <v>1</v>
      </c>
      <c r="AF187" s="46" t="s">
        <v>79</v>
      </c>
      <c r="AG187" s="37" t="str">
        <f t="shared" si="44"/>
        <v>yes</v>
      </c>
      <c r="AH187" s="37" t="str">
        <f t="array" ref="AH187">_xlfn.IFS(LOWER(AG187)="n","no",LOWER(AG187)="y","yes",TRUE,LOWER(AG187))</f>
        <v>yes</v>
      </c>
      <c r="AI187" s="46" t="s">
        <v>4692</v>
      </c>
    </row>
    <row r="188" spans="1:35">
      <c r="A188" s="37" t="s">
        <v>1055</v>
      </c>
      <c r="B188" s="38">
        <v>45410</v>
      </c>
      <c r="C188" s="39">
        <f t="shared" si="32"/>
        <v>45410</v>
      </c>
      <c r="D188" s="40" t="s">
        <v>366</v>
      </c>
      <c r="E188" s="37" t="str" cm="1">
        <f t="array" ref="E188">_xlfn.IFS(D188="delhi","north",D188="mumbai","west",D188="bengaluru","south",D188="chennai","south",D188="kolkata","east",TRUE,"west")</f>
        <v>east</v>
      </c>
      <c r="F188" s="37" t="s">
        <v>122</v>
      </c>
      <c r="G188" s="37" t="str">
        <f t="shared" si="33"/>
        <v>delhivery</v>
      </c>
      <c r="H188" s="37" t="s">
        <v>185</v>
      </c>
      <c r="I188" s="37" t="str">
        <f t="shared" si="34"/>
        <v>surface</v>
      </c>
      <c r="J188" s="37" t="s">
        <v>138</v>
      </c>
      <c r="K188" s="37" t="str">
        <f t="shared" si="35"/>
        <v>apparel</v>
      </c>
      <c r="L188" s="37" t="s">
        <v>139</v>
      </c>
      <c r="M188" s="37" t="str">
        <f t="shared" si="36"/>
        <v>north</v>
      </c>
      <c r="N188" s="37" t="s">
        <v>215</v>
      </c>
      <c r="O188" s="41" t="str">
        <f t="shared" si="37"/>
        <v>Yes</v>
      </c>
      <c r="P188" s="41">
        <v>7.6</v>
      </c>
      <c r="Q188" s="41">
        <v>314</v>
      </c>
      <c r="R188" s="42">
        <f t="shared" si="38"/>
        <v>41.3157894736842</v>
      </c>
      <c r="S188" s="37">
        <v>6</v>
      </c>
      <c r="T188" s="37" t="s">
        <v>1059</v>
      </c>
      <c r="U188" s="43" t="str">
        <f t="shared" si="39"/>
        <v>2024-05-04</v>
      </c>
      <c r="V188" s="43">
        <f t="shared" si="40"/>
        <v>45416</v>
      </c>
      <c r="W188" s="44">
        <f t="array" ref="W188">_xlfn.IFS(TRIM(C188)="","",TRIM(V188)="","",TRUE,V188-C188)</f>
        <v>6</v>
      </c>
      <c r="X188" s="37">
        <f t="shared" si="41"/>
        <v>0</v>
      </c>
      <c r="Y188" s="37" t="s">
        <v>105</v>
      </c>
      <c r="Z188" s="37" t="str">
        <f t="shared" si="42"/>
        <v>delivered</v>
      </c>
      <c r="AA188" s="37" t="str">
        <f t="shared" si="43"/>
        <v>On Time</v>
      </c>
      <c r="AB188" s="37" t="str">
        <f t="shared" si="46"/>
        <v>0</v>
      </c>
      <c r="AC188" s="37">
        <f t="shared" si="47"/>
        <v>0</v>
      </c>
      <c r="AD188" s="45">
        <f t="shared" si="45"/>
        <v>0.506780870806567</v>
      </c>
      <c r="AE188" s="37">
        <v>5</v>
      </c>
      <c r="AF188" s="37" t="s">
        <v>191</v>
      </c>
      <c r="AG188" s="37" t="str">
        <f t="shared" si="44"/>
        <v>no</v>
      </c>
      <c r="AH188" s="37" t="str">
        <f t="array" ref="AH188">_xlfn.IFS(LOWER(AG188)="n","no",LOWER(AG188)="y","yes",TRUE,LOWER(AG188))</f>
        <v>no</v>
      </c>
      <c r="AI188" s="37" t="s">
        <v>4692</v>
      </c>
    </row>
    <row r="189" spans="1:35">
      <c r="A189" s="46" t="s">
        <v>1060</v>
      </c>
      <c r="B189" s="47">
        <v>45436</v>
      </c>
      <c r="C189" s="39">
        <f t="shared" si="32"/>
        <v>45436</v>
      </c>
      <c r="D189" s="48" t="s">
        <v>212</v>
      </c>
      <c r="E189" s="37" t="str" cm="1">
        <f t="array" ref="E189">_xlfn.IFS(D189="delhi","north",D189="mumbai","west",D189="bengaluru","south",D189="chennai","south",D189="kolkata","east",TRUE,"west")</f>
        <v>west</v>
      </c>
      <c r="F189" s="46" t="s">
        <v>230</v>
      </c>
      <c r="G189" s="37" t="str">
        <f t="shared" si="33"/>
        <v>dtdc</v>
      </c>
      <c r="H189" s="46" t="s">
        <v>224</v>
      </c>
      <c r="I189" s="37" t="str">
        <f t="shared" si="34"/>
        <v>air</v>
      </c>
      <c r="J189" s="46" t="s">
        <v>158</v>
      </c>
      <c r="K189" s="37" t="str">
        <f t="shared" si="35"/>
        <v>pharma</v>
      </c>
      <c r="L189" s="46" t="s">
        <v>125</v>
      </c>
      <c r="M189" s="37" t="str">
        <f t="shared" si="36"/>
        <v>east</v>
      </c>
      <c r="N189" s="46" t="s">
        <v>396</v>
      </c>
      <c r="O189" s="41" t="str">
        <f t="shared" si="37"/>
        <v>Yes</v>
      </c>
      <c r="P189" s="49">
        <v>2.3</v>
      </c>
      <c r="Q189" s="49">
        <v>233</v>
      </c>
      <c r="R189" s="42">
        <f t="shared" si="38"/>
        <v>101.304347826087</v>
      </c>
      <c r="S189" s="46">
        <v>4</v>
      </c>
      <c r="T189" s="46" t="s">
        <v>1064</v>
      </c>
      <c r="U189" s="43" t="str">
        <f t="shared" si="39"/>
        <v>2024-05-29</v>
      </c>
      <c r="V189" s="43">
        <f t="shared" si="40"/>
        <v>45441</v>
      </c>
      <c r="W189" s="44">
        <f t="array" ref="W189">_xlfn.IFS(TRIM(C189)="","",TRIM(V189)="","",TRUE,V189-C189)</f>
        <v>5</v>
      </c>
      <c r="X189" s="37">
        <f t="shared" si="41"/>
        <v>1</v>
      </c>
      <c r="Y189" s="46" t="s">
        <v>200</v>
      </c>
      <c r="Z189" s="37" t="str">
        <f t="shared" si="42"/>
        <v>delayed</v>
      </c>
      <c r="AA189" s="37" t="str">
        <f t="shared" si="43"/>
        <v>Late</v>
      </c>
      <c r="AB189" s="37" t="str">
        <f t="shared" si="46"/>
        <v>1</v>
      </c>
      <c r="AC189" s="37">
        <f t="shared" si="47"/>
        <v>1</v>
      </c>
      <c r="AD189" s="45">
        <f t="shared" si="45"/>
        <v>0.507142857142857</v>
      </c>
      <c r="AE189" s="46">
        <v>2</v>
      </c>
      <c r="AF189" s="46" t="s">
        <v>181</v>
      </c>
      <c r="AG189" s="37" t="str">
        <f t="shared" si="44"/>
        <v>y</v>
      </c>
      <c r="AH189" s="37" t="str">
        <f t="array" ref="AH189">_xlfn.IFS(LOWER(AG189)="n","no",LOWER(AG189)="y","yes",TRUE,LOWER(AG189))</f>
        <v>yes</v>
      </c>
      <c r="AI189" s="46" t="s">
        <v>4692</v>
      </c>
    </row>
    <row r="190" spans="1:35">
      <c r="A190" s="37" t="s">
        <v>1065</v>
      </c>
      <c r="B190" s="38">
        <v>45433</v>
      </c>
      <c r="C190" s="39">
        <f t="shared" si="32"/>
        <v>45433</v>
      </c>
      <c r="D190" s="40" t="s">
        <v>222</v>
      </c>
      <c r="E190" s="37" t="str" cm="1">
        <f t="array" ref="E190">_xlfn.IFS(D190="delhi","north",D190="mumbai","west",D190="bengaluru","south",D190="chennai","south",D190="kolkata","east",TRUE,"west")</f>
        <v>west</v>
      </c>
      <c r="F190" s="37" t="s">
        <v>544</v>
      </c>
      <c r="G190" s="37" t="str">
        <f t="shared" si="33"/>
        <v>bluedart</v>
      </c>
      <c r="H190" s="37" t="s">
        <v>224</v>
      </c>
      <c r="I190" s="37" t="str">
        <f t="shared" si="34"/>
        <v>air</v>
      </c>
      <c r="J190" s="37" t="s">
        <v>425</v>
      </c>
      <c r="K190" s="37" t="str">
        <f t="shared" si="35"/>
        <v>automotiveparts</v>
      </c>
      <c r="L190" s="37" t="s">
        <v>168</v>
      </c>
      <c r="M190" s="37" t="str">
        <f t="shared" si="36"/>
        <v>west</v>
      </c>
      <c r="N190" s="37" t="s">
        <v>278</v>
      </c>
      <c r="O190" s="41" t="str">
        <f t="shared" si="37"/>
        <v>Yes</v>
      </c>
      <c r="P190" s="41">
        <v>38.8</v>
      </c>
      <c r="Q190" s="41">
        <v>1805</v>
      </c>
      <c r="R190" s="42">
        <f t="shared" si="38"/>
        <v>46.520618556701</v>
      </c>
      <c r="S190" s="37">
        <v>2</v>
      </c>
      <c r="T190" s="37" t="s">
        <v>1068</v>
      </c>
      <c r="U190" s="43" t="str">
        <f t="shared" si="39"/>
        <v>29/05/2024</v>
      </c>
      <c r="V190" s="43">
        <f t="shared" si="40"/>
        <v>45441</v>
      </c>
      <c r="W190" s="44">
        <f t="array" ref="W190">_xlfn.IFS(TRIM(C190)="","",TRIM(V190)="","",TRUE,V190-C190)</f>
        <v>8</v>
      </c>
      <c r="X190" s="37">
        <f t="shared" si="41"/>
        <v>6</v>
      </c>
      <c r="Y190" s="37" t="s">
        <v>72</v>
      </c>
      <c r="Z190" s="37" t="str">
        <f t="shared" si="42"/>
        <v>delayed</v>
      </c>
      <c r="AA190" s="37" t="str">
        <f t="shared" si="43"/>
        <v>Late</v>
      </c>
      <c r="AB190" s="37" t="str">
        <f t="shared" si="46"/>
        <v>1</v>
      </c>
      <c r="AC190" s="37">
        <f t="shared" si="47"/>
        <v>1</v>
      </c>
      <c r="AD190" s="45">
        <f t="shared" si="45"/>
        <v>0.506790564689064</v>
      </c>
      <c r="AE190" s="37">
        <v>3</v>
      </c>
      <c r="AF190" s="37" t="s">
        <v>131</v>
      </c>
      <c r="AG190" s="37" t="str">
        <f t="shared" si="44"/>
        <v>n</v>
      </c>
      <c r="AH190" s="37" t="str">
        <f t="array" ref="AH190">_xlfn.IFS(LOWER(AG190)="n","no",LOWER(AG190)="y","yes",TRUE,LOWER(AG190))</f>
        <v>no</v>
      </c>
      <c r="AI190" s="37" t="s">
        <v>4692</v>
      </c>
    </row>
    <row r="191" spans="1:35">
      <c r="A191" s="46" t="s">
        <v>1069</v>
      </c>
      <c r="B191" s="47">
        <v>45448</v>
      </c>
      <c r="C191" s="39">
        <f t="shared" si="32"/>
        <v>45448</v>
      </c>
      <c r="D191" s="48" t="s">
        <v>340</v>
      </c>
      <c r="E191" s="37" t="str" cm="1">
        <f t="array" ref="E191">_xlfn.IFS(D191="delhi","north",D191="mumbai","west",D191="bengaluru","south",D191="chennai","south",D191="kolkata","east",TRUE,"west")</f>
        <v>north</v>
      </c>
      <c r="F191" s="46" t="s">
        <v>919</v>
      </c>
      <c r="G191" s="37" t="str">
        <f t="shared" si="33"/>
        <v>xpressbees</v>
      </c>
      <c r="H191" s="46" t="s">
        <v>185</v>
      </c>
      <c r="I191" s="37" t="str">
        <f t="shared" si="34"/>
        <v>surface</v>
      </c>
      <c r="J191" s="46" t="s">
        <v>100</v>
      </c>
      <c r="K191" s="37" t="str">
        <f t="shared" si="35"/>
        <v>electronics</v>
      </c>
      <c r="L191" s="46" t="s">
        <v>139</v>
      </c>
      <c r="M191" s="37" t="str">
        <f t="shared" si="36"/>
        <v>north</v>
      </c>
      <c r="N191" s="46" t="s">
        <v>215</v>
      </c>
      <c r="O191" s="41" t="str">
        <f t="shared" si="37"/>
        <v>Yes</v>
      </c>
      <c r="P191" s="49" t="s">
        <v>1070</v>
      </c>
      <c r="Q191" s="49">
        <v>160</v>
      </c>
      <c r="R191" s="42">
        <f t="shared" si="38"/>
        <v>32.6530612244898</v>
      </c>
      <c r="S191" s="46">
        <v>4</v>
      </c>
      <c r="T191" s="46" t="s">
        <v>1072</v>
      </c>
      <c r="U191" s="43" t="str">
        <f t="shared" si="39"/>
        <v>08/06/2024</v>
      </c>
      <c r="V191" s="43">
        <f t="shared" si="40"/>
        <v>45451</v>
      </c>
      <c r="W191" s="44">
        <f t="array" ref="W191">_xlfn.IFS(TRIM(C191)="","",TRIM(V191)="","",TRUE,V191-C191)</f>
        <v>3</v>
      </c>
      <c r="X191" s="37">
        <f t="shared" si="41"/>
        <v>-1</v>
      </c>
      <c r="Y191" s="46" t="s">
        <v>130</v>
      </c>
      <c r="Z191" s="37" t="str">
        <f t="shared" si="42"/>
        <v>damaged</v>
      </c>
      <c r="AA191" s="37" t="str">
        <f t="shared" si="43"/>
        <v>On Time</v>
      </c>
      <c r="AB191" s="37" t="str">
        <f t="shared" si="46"/>
        <v>0</v>
      </c>
      <c r="AC191" s="37">
        <f t="shared" si="47"/>
        <v>0</v>
      </c>
      <c r="AD191" s="45">
        <f t="shared" si="45"/>
        <v>0.506437768240343</v>
      </c>
      <c r="AE191" s="46"/>
      <c r="AF191" s="46" t="s">
        <v>118</v>
      </c>
      <c r="AG191" s="37" t="str">
        <f t="shared" si="44"/>
        <v>no</v>
      </c>
      <c r="AH191" s="37" t="str">
        <f t="array" ref="AH191">_xlfn.IFS(LOWER(AG191)="n","no",LOWER(AG191)="y","yes",TRUE,LOWER(AG191))</f>
        <v>no</v>
      </c>
      <c r="AI191" s="46" t="s">
        <v>132</v>
      </c>
    </row>
    <row r="192" spans="1:35">
      <c r="A192" s="37" t="s">
        <v>1073</v>
      </c>
      <c r="B192" s="38">
        <v>45400</v>
      </c>
      <c r="C192" s="39">
        <f t="shared" si="32"/>
        <v>45400</v>
      </c>
      <c r="D192" s="40" t="s">
        <v>212</v>
      </c>
      <c r="E192" s="37" t="str" cm="1">
        <f t="array" ref="E192">_xlfn.IFS(D192="delhi","north",D192="mumbai","west",D192="bengaluru","south",D192="chennai","south",D192="kolkata","east",TRUE,"west")</f>
        <v>west</v>
      </c>
      <c r="F192" s="37" t="s">
        <v>122</v>
      </c>
      <c r="G192" s="37" t="str">
        <f t="shared" si="33"/>
        <v>delhivery</v>
      </c>
      <c r="H192" s="37" t="s">
        <v>440</v>
      </c>
      <c r="I192" s="37" t="str">
        <f t="shared" si="34"/>
        <v>road</v>
      </c>
      <c r="J192" s="37" t="s">
        <v>430</v>
      </c>
      <c r="K192" s="37" t="str">
        <f t="shared" si="35"/>
        <v>pharma</v>
      </c>
      <c r="L192" s="37" t="s">
        <v>334</v>
      </c>
      <c r="M192" s="37" t="str">
        <f t="shared" si="36"/>
        <v>north</v>
      </c>
      <c r="N192" s="37" t="s">
        <v>113</v>
      </c>
      <c r="O192" s="41" t="str">
        <f t="shared" si="37"/>
        <v>Yes</v>
      </c>
      <c r="P192" s="41">
        <v>4.9</v>
      </c>
      <c r="Q192" s="41">
        <v>251</v>
      </c>
      <c r="R192" s="42">
        <f t="shared" si="38"/>
        <v>51.2244897959184</v>
      </c>
      <c r="S192" s="37">
        <v>8</v>
      </c>
      <c r="T192" s="37" t="s">
        <v>918</v>
      </c>
      <c r="U192" s="43" t="str">
        <f t="shared" si="39"/>
        <v>27/04/2024</v>
      </c>
      <c r="V192" s="43">
        <f t="shared" si="40"/>
        <v>45409</v>
      </c>
      <c r="W192" s="44">
        <f t="array" ref="W192">_xlfn.IFS(TRIM(C192)="","",TRIM(V192)="","",TRUE,V192-C192)</f>
        <v>9</v>
      </c>
      <c r="X192" s="37">
        <f t="shared" si="41"/>
        <v>1</v>
      </c>
      <c r="Y192" s="37" t="s">
        <v>143</v>
      </c>
      <c r="Z192" s="37" t="str">
        <f t="shared" si="42"/>
        <v>delayed</v>
      </c>
      <c r="AA192" s="37" t="str">
        <f t="shared" si="43"/>
        <v>Late</v>
      </c>
      <c r="AB192" s="37" t="str">
        <f t="shared" si="46"/>
        <v>1</v>
      </c>
      <c r="AC192" s="37">
        <f t="shared" si="47"/>
        <v>1</v>
      </c>
      <c r="AD192" s="45">
        <f t="shared" si="45"/>
        <v>0.506800286327845</v>
      </c>
      <c r="AE192" s="37">
        <v>2</v>
      </c>
      <c r="AF192" s="37" t="s">
        <v>131</v>
      </c>
      <c r="AG192" s="37" t="str">
        <f t="shared" si="44"/>
        <v>n</v>
      </c>
      <c r="AH192" s="37" t="str">
        <f t="array" ref="AH192">_xlfn.IFS(LOWER(AG192)="n","no",LOWER(AG192)="y","yes",TRUE,LOWER(AG192))</f>
        <v>no</v>
      </c>
      <c r="AI192" s="37" t="s">
        <v>4692</v>
      </c>
    </row>
    <row r="193" spans="1:35">
      <c r="A193" s="46" t="s">
        <v>1076</v>
      </c>
      <c r="B193" s="47">
        <v>45398</v>
      </c>
      <c r="C193" s="39">
        <f t="shared" si="32"/>
        <v>45398</v>
      </c>
      <c r="D193" s="48" t="s">
        <v>633</v>
      </c>
      <c r="E193" s="37" t="str" cm="1">
        <f t="array" ref="E193">_xlfn.IFS(D193="delhi","north",D193="mumbai","west",D193="bengaluru","south",D193="chennai","south",D193="kolkata","east",TRUE,"west")</f>
        <v>south</v>
      </c>
      <c r="F193" s="46" t="s">
        <v>352</v>
      </c>
      <c r="G193" s="37" t="str">
        <f t="shared" si="33"/>
        <v>delhivery</v>
      </c>
      <c r="H193" s="46" t="s">
        <v>195</v>
      </c>
      <c r="I193" s="37" t="str">
        <f t="shared" si="34"/>
        <v>road</v>
      </c>
      <c r="J193" s="46" t="s">
        <v>313</v>
      </c>
      <c r="K193" s="37" t="str">
        <f t="shared" si="35"/>
        <v>automotiveparts</v>
      </c>
      <c r="L193" s="46" t="s">
        <v>112</v>
      </c>
      <c r="M193" s="37" t="str">
        <f t="shared" si="36"/>
        <v>north</v>
      </c>
      <c r="N193" s="46" t="s">
        <v>113</v>
      </c>
      <c r="O193" s="41" t="str">
        <f t="shared" si="37"/>
        <v>Yes</v>
      </c>
      <c r="P193" s="49" t="s">
        <v>1077</v>
      </c>
      <c r="Q193" s="49">
        <v>524</v>
      </c>
      <c r="R193" s="42">
        <f t="shared" si="38"/>
        <v>21.1290322580645</v>
      </c>
      <c r="S193" s="46">
        <v>8</v>
      </c>
      <c r="T193" s="46" t="s">
        <v>1078</v>
      </c>
      <c r="U193" s="43" t="str">
        <f t="shared" si="39"/>
        <v>2024-04-24</v>
      </c>
      <c r="V193" s="43">
        <f t="shared" si="40"/>
        <v>45406</v>
      </c>
      <c r="W193" s="44">
        <f t="array" ref="W193">_xlfn.IFS(TRIM(C193)="","",TRIM(V193)="","",TRUE,V193-C193)</f>
        <v>8</v>
      </c>
      <c r="X193" s="37">
        <f t="shared" si="41"/>
        <v>0</v>
      </c>
      <c r="Y193" s="46" t="s">
        <v>163</v>
      </c>
      <c r="Z193" s="37" t="str">
        <f t="shared" si="42"/>
        <v>delivered</v>
      </c>
      <c r="AA193" s="37" t="str">
        <f t="shared" si="43"/>
        <v>On Time</v>
      </c>
      <c r="AB193" s="37" t="str">
        <f t="shared" si="46"/>
        <v>0</v>
      </c>
      <c r="AC193" s="37">
        <f t="shared" si="47"/>
        <v>0</v>
      </c>
      <c r="AD193" s="45">
        <f t="shared" si="45"/>
        <v>0.506446991404012</v>
      </c>
      <c r="AE193" s="46">
        <v>5</v>
      </c>
      <c r="AF193" s="46" t="s">
        <v>118</v>
      </c>
      <c r="AG193" s="37" t="str">
        <f t="shared" si="44"/>
        <v>no</v>
      </c>
      <c r="AH193" s="37" t="str">
        <f t="array" ref="AH193">_xlfn.IFS(LOWER(AG193)="n","no",LOWER(AG193)="y","yes",TRUE,LOWER(AG193))</f>
        <v>no</v>
      </c>
      <c r="AI193" s="46" t="s">
        <v>4692</v>
      </c>
    </row>
    <row r="194" spans="1:35">
      <c r="A194" s="37" t="s">
        <v>1079</v>
      </c>
      <c r="B194" s="38">
        <v>45451</v>
      </c>
      <c r="C194" s="39">
        <f t="shared" ref="C194:C257" si="48">IF(ISNUMBER(B194),B194,DATE(RIGHT(TRIM(B194),4),MID(TRIM(B194),4,2),LEFT(TRIM(B194),2)))</f>
        <v>45451</v>
      </c>
      <c r="D194" s="40" t="s">
        <v>424</v>
      </c>
      <c r="E194" s="37" t="str" cm="1">
        <f t="array" ref="E194">_xlfn.IFS(D194="delhi","north",D194="mumbai","west",D194="bengaluru","south",D194="chennai","south",D194="kolkata","east",TRUE,"west")</f>
        <v>south</v>
      </c>
      <c r="F194" s="37" t="s">
        <v>312</v>
      </c>
      <c r="G194" s="37" t="str">
        <f t="shared" ref="G194:G257" si="49">SUBSTITUTE(LOWER(F194)," ","")</f>
        <v>bluedart</v>
      </c>
      <c r="H194" s="37" t="s">
        <v>195</v>
      </c>
      <c r="I194" s="37" t="str">
        <f t="shared" ref="I194:I257" si="50">SUBSTITUTE(LOWER(H194)," ","")</f>
        <v>road</v>
      </c>
      <c r="J194" s="37" t="s">
        <v>148</v>
      </c>
      <c r="K194" s="37" t="str">
        <f t="shared" ref="K194:K257" si="51">SUBSTITUTE(LOWER(J194)," ","")</f>
        <v>electronics</v>
      </c>
      <c r="L194" s="37" t="s">
        <v>346</v>
      </c>
      <c r="M194" s="37" t="str">
        <f t="shared" ref="M194:M257" si="52">SUBSTITUTE(LOWER(L194)," ","")</f>
        <v>north</v>
      </c>
      <c r="N194" s="37" t="s">
        <v>354</v>
      </c>
      <c r="O194" s="41" t="str">
        <f t="shared" ref="O194:O257" si="53">IF(OR(D194="",M194=""),"",IF(D194=M194,"No","Yes"))</f>
        <v>Yes</v>
      </c>
      <c r="P194" s="41">
        <v>11.8</v>
      </c>
      <c r="Q194" s="41" t="s">
        <v>1082</v>
      </c>
      <c r="R194" s="42">
        <f t="shared" ref="R194:R257" si="54">IF(OR(Q194="",P194="",P194=0),"",Q194/P194)</f>
        <v>24.9152542372881</v>
      </c>
      <c r="S194" s="37">
        <v>8</v>
      </c>
      <c r="T194" s="37" t="s">
        <v>1083</v>
      </c>
      <c r="U194" s="43" t="str">
        <f t="shared" ref="U194:U257" si="55">SUBSTITUTE(LOWER(T194)," ","")</f>
        <v>17/06/2024</v>
      </c>
      <c r="V194" s="43">
        <f t="shared" ref="V194:V257" si="56">DATEVALUE(TEXT(U194,"yyyy-mm-dd"))</f>
        <v>45460</v>
      </c>
      <c r="W194" s="44">
        <f t="array" ref="W194">_xlfn.IFS(TRIM(C194)="","",TRIM(V194)="","",TRUE,V194-C194)</f>
        <v>9</v>
      </c>
      <c r="X194" s="37">
        <f t="shared" ref="X194:X257" si="57">IF(OR(W194="",S194=""),"",W194-S194)</f>
        <v>1</v>
      </c>
      <c r="Y194" s="37" t="s">
        <v>143</v>
      </c>
      <c r="Z194" s="37" t="str">
        <f t="shared" ref="Z194:Z257" si="58">SUBSTITUTE(LOWER(Y194)," ","")</f>
        <v>delayed</v>
      </c>
      <c r="AA194" s="37" t="str">
        <f t="shared" ref="AA194:AA257" si="59">IF(Z194="In-Transit","N/A",IF(X194="","",IF(X194&gt;0,"Late","On Time")))</f>
        <v>Late</v>
      </c>
      <c r="AB194" s="37" t="str">
        <f t="shared" si="46"/>
        <v>1</v>
      </c>
      <c r="AC194" s="37">
        <f t="shared" si="47"/>
        <v>1</v>
      </c>
      <c r="AD194" s="45">
        <f t="shared" si="45"/>
        <v>0.506810035842294</v>
      </c>
      <c r="AE194" s="37">
        <v>1</v>
      </c>
      <c r="AF194" s="37" t="s">
        <v>286</v>
      </c>
      <c r="AG194" s="37" t="str">
        <f t="shared" ref="AG194:AG257" si="60">SUBSTITUTE(LOWER(AF194)," ","")</f>
        <v>yes</v>
      </c>
      <c r="AH194" s="37" t="str">
        <f t="array" ref="AH194">_xlfn.IFS(LOWER(AG194)="n","no",LOWER(AG194)="y","yes",TRUE,LOWER(AG194))</f>
        <v>yes</v>
      </c>
      <c r="AI194" s="37" t="s">
        <v>4692</v>
      </c>
    </row>
    <row r="195" spans="1:35">
      <c r="A195" s="46" t="s">
        <v>1084</v>
      </c>
      <c r="B195" s="47">
        <v>45302</v>
      </c>
      <c r="C195" s="39">
        <f t="shared" si="48"/>
        <v>45302</v>
      </c>
      <c r="D195" s="48" t="s">
        <v>424</v>
      </c>
      <c r="E195" s="37" t="str" cm="1">
        <f t="array" ref="E195">_xlfn.IFS(D195="delhi","north",D195="mumbai","west",D195="bengaluru","south",D195="chennai","south",D195="kolkata","east",TRUE,"west")</f>
        <v>south</v>
      </c>
      <c r="F195" s="46" t="s">
        <v>333</v>
      </c>
      <c r="G195" s="37" t="str">
        <f t="shared" si="49"/>
        <v>delhivery</v>
      </c>
      <c r="H195" s="46" t="s">
        <v>176</v>
      </c>
      <c r="I195" s="37" t="str">
        <f t="shared" si="50"/>
        <v>road</v>
      </c>
      <c r="J195" s="46" t="s">
        <v>283</v>
      </c>
      <c r="K195" s="37" t="str">
        <f t="shared" si="51"/>
        <v>pharma</v>
      </c>
      <c r="L195" s="46" t="s">
        <v>125</v>
      </c>
      <c r="M195" s="37" t="str">
        <f t="shared" si="52"/>
        <v>east</v>
      </c>
      <c r="N195" s="46" t="s">
        <v>294</v>
      </c>
      <c r="O195" s="41" t="str">
        <f t="shared" si="53"/>
        <v>Yes</v>
      </c>
      <c r="P195" s="49">
        <v>2.4</v>
      </c>
      <c r="Q195" s="49">
        <v>210</v>
      </c>
      <c r="R195" s="42">
        <f t="shared" si="54"/>
        <v>87.5</v>
      </c>
      <c r="S195" s="46">
        <v>8</v>
      </c>
      <c r="T195" s="46" t="s">
        <v>1087</v>
      </c>
      <c r="U195" s="43" t="str">
        <f t="shared" si="55"/>
        <v>23-jan-2024</v>
      </c>
      <c r="V195" s="43">
        <f t="shared" si="56"/>
        <v>45314</v>
      </c>
      <c r="W195" s="44">
        <f t="array" ref="W195">_xlfn.IFS(TRIM(C195)="","",TRIM(V195)="","",TRUE,V195-C195)</f>
        <v>12</v>
      </c>
      <c r="X195" s="37">
        <f t="shared" si="57"/>
        <v>4</v>
      </c>
      <c r="Y195" s="46" t="s">
        <v>143</v>
      </c>
      <c r="Z195" s="37" t="str">
        <f t="shared" si="58"/>
        <v>delayed</v>
      </c>
      <c r="AA195" s="37" t="str">
        <f t="shared" si="59"/>
        <v>Late</v>
      </c>
      <c r="AB195" s="37" t="str">
        <f t="shared" si="46"/>
        <v>1</v>
      </c>
      <c r="AC195" s="37">
        <f t="shared" si="47"/>
        <v>1</v>
      </c>
      <c r="AD195" s="45">
        <f t="shared" ref="AD195:AD258" si="61">COUNTIF(AC195:AC1794,1)/COUNT(AC195:AC1794)</f>
        <v>0.506456241032999</v>
      </c>
      <c r="AE195" s="46">
        <v>2</v>
      </c>
      <c r="AF195" s="46" t="s">
        <v>286</v>
      </c>
      <c r="AG195" s="37" t="str">
        <f t="shared" si="60"/>
        <v>yes</v>
      </c>
      <c r="AH195" s="37" t="str">
        <f t="array" ref="AH195">_xlfn.IFS(LOWER(AG195)="n","no",LOWER(AG195)="y","yes",TRUE,LOWER(AG195))</f>
        <v>yes</v>
      </c>
      <c r="AI195" s="46" t="s">
        <v>4692</v>
      </c>
    </row>
    <row r="196" spans="1:35">
      <c r="A196" s="37" t="s">
        <v>1088</v>
      </c>
      <c r="B196" s="38">
        <v>45468</v>
      </c>
      <c r="C196" s="39">
        <f t="shared" si="48"/>
        <v>45468</v>
      </c>
      <c r="D196" s="40" t="s">
        <v>212</v>
      </c>
      <c r="E196" s="37" t="str" cm="1">
        <f t="array" ref="E196">_xlfn.IFS(D196="delhi","north",D196="mumbai","west",D196="bengaluru","south",D196="chennai","south",D196="kolkata","east",TRUE,"west")</f>
        <v>west</v>
      </c>
      <c r="F196" s="37" t="s">
        <v>156</v>
      </c>
      <c r="G196" s="37" t="str">
        <f t="shared" si="49"/>
        <v>xpressbees</v>
      </c>
      <c r="H196" s="37" t="s">
        <v>325</v>
      </c>
      <c r="I196" s="37" t="str">
        <f t="shared" si="50"/>
        <v>air</v>
      </c>
      <c r="J196" s="37" t="s">
        <v>430</v>
      </c>
      <c r="K196" s="37" t="str">
        <f t="shared" si="51"/>
        <v>pharma</v>
      </c>
      <c r="L196" s="37" t="s">
        <v>197</v>
      </c>
      <c r="M196" s="37" t="str">
        <f t="shared" si="52"/>
        <v>south</v>
      </c>
      <c r="N196" s="37" t="s">
        <v>90</v>
      </c>
      <c r="O196" s="41" t="str">
        <f t="shared" si="53"/>
        <v>Yes</v>
      </c>
      <c r="P196" s="41" t="s">
        <v>1090</v>
      </c>
      <c r="Q196" s="41">
        <v>371</v>
      </c>
      <c r="R196" s="42">
        <f t="shared" si="54"/>
        <v>86.2790697674419</v>
      </c>
      <c r="S196" s="37">
        <v>4</v>
      </c>
      <c r="T196" s="37" t="s">
        <v>1092</v>
      </c>
      <c r="U196" s="43" t="str">
        <f t="shared" si="55"/>
        <v>29-jun-2024</v>
      </c>
      <c r="V196" s="43">
        <f t="shared" si="56"/>
        <v>45472</v>
      </c>
      <c r="W196" s="44">
        <f t="array" ref="W196">_xlfn.IFS(TRIM(C196)="","",TRIM(V196)="","",TRUE,V196-C196)</f>
        <v>4</v>
      </c>
      <c r="X196" s="37">
        <f t="shared" si="57"/>
        <v>0</v>
      </c>
      <c r="Y196" s="37" t="s">
        <v>163</v>
      </c>
      <c r="Z196" s="37" t="str">
        <f t="shared" si="58"/>
        <v>delivered</v>
      </c>
      <c r="AA196" s="37" t="str">
        <f t="shared" si="59"/>
        <v>On Time</v>
      </c>
      <c r="AB196" s="37" t="str">
        <f t="shared" si="46"/>
        <v>0</v>
      </c>
      <c r="AC196" s="37">
        <f t="shared" si="47"/>
        <v>0</v>
      </c>
      <c r="AD196" s="45">
        <f t="shared" si="61"/>
        <v>0.506101938262742</v>
      </c>
      <c r="AE196" s="37">
        <v>2</v>
      </c>
      <c r="AF196" s="37" t="s">
        <v>286</v>
      </c>
      <c r="AG196" s="37" t="str">
        <f t="shared" si="60"/>
        <v>yes</v>
      </c>
      <c r="AH196" s="37" t="str">
        <f t="array" ref="AH196">_xlfn.IFS(LOWER(AG196)="n","no",LOWER(AG196)="y","yes",TRUE,LOWER(AG196))</f>
        <v>yes</v>
      </c>
      <c r="AI196" s="37" t="s">
        <v>4692</v>
      </c>
    </row>
    <row r="197" spans="1:35">
      <c r="A197" s="46" t="s">
        <v>1093</v>
      </c>
      <c r="B197" s="47">
        <v>45469</v>
      </c>
      <c r="C197" s="39">
        <f t="shared" si="48"/>
        <v>45469</v>
      </c>
      <c r="D197" s="48" t="s">
        <v>340</v>
      </c>
      <c r="E197" s="37" t="str" cm="1">
        <f t="array" ref="E197">_xlfn.IFS(D197="delhi","north",D197="mumbai","west",D197="bengaluru","south",D197="chennai","south",D197="kolkata","east",TRUE,"west")</f>
        <v>north</v>
      </c>
      <c r="F197" s="46" t="s">
        <v>544</v>
      </c>
      <c r="G197" s="37" t="str">
        <f t="shared" si="49"/>
        <v>bluedart</v>
      </c>
      <c r="H197" s="46" t="s">
        <v>123</v>
      </c>
      <c r="I197" s="37" t="str">
        <f t="shared" si="50"/>
        <v>air</v>
      </c>
      <c r="J197" s="46" t="s">
        <v>138</v>
      </c>
      <c r="K197" s="37" t="str">
        <f t="shared" si="51"/>
        <v>apparel</v>
      </c>
      <c r="L197" s="46" t="s">
        <v>168</v>
      </c>
      <c r="M197" s="37" t="str">
        <f t="shared" si="52"/>
        <v>west</v>
      </c>
      <c r="N197" s="46" t="s">
        <v>187</v>
      </c>
      <c r="O197" s="41" t="str">
        <f t="shared" si="53"/>
        <v>Yes</v>
      </c>
      <c r="P197" s="49">
        <v>0.7</v>
      </c>
      <c r="Q197" s="49">
        <v>187</v>
      </c>
      <c r="R197" s="42">
        <f t="shared" si="54"/>
        <v>267.142857142857</v>
      </c>
      <c r="S197" s="46">
        <v>4</v>
      </c>
      <c r="T197" s="46" t="s">
        <v>1096</v>
      </c>
      <c r="U197" s="43" t="str">
        <f t="shared" si="55"/>
        <v>30-jun-2024</v>
      </c>
      <c r="V197" s="43">
        <f t="shared" si="56"/>
        <v>45473</v>
      </c>
      <c r="W197" s="44">
        <f t="array" ref="W197">_xlfn.IFS(TRIM(C197)="","",TRIM(V197)="","",TRUE,V197-C197)</f>
        <v>4</v>
      </c>
      <c r="X197" s="37">
        <f t="shared" si="57"/>
        <v>0</v>
      </c>
      <c r="Y197" s="46" t="s">
        <v>219</v>
      </c>
      <c r="Z197" s="37" t="str">
        <f t="shared" si="58"/>
        <v>delivered</v>
      </c>
      <c r="AA197" s="37" t="str">
        <f t="shared" si="59"/>
        <v>On Time</v>
      </c>
      <c r="AB197" s="37" t="str">
        <f t="shared" si="46"/>
        <v>0</v>
      </c>
      <c r="AC197" s="37">
        <f t="shared" si="47"/>
        <v>0</v>
      </c>
      <c r="AD197" s="45">
        <f t="shared" si="61"/>
        <v>0.506465517241379</v>
      </c>
      <c r="AE197" s="46">
        <v>4</v>
      </c>
      <c r="AF197" s="46" t="s">
        <v>181</v>
      </c>
      <c r="AG197" s="37" t="str">
        <f t="shared" si="60"/>
        <v>y</v>
      </c>
      <c r="AH197" s="37" t="str">
        <f t="array" ref="AH197">_xlfn.IFS(LOWER(AG197)="n","no",LOWER(AG197)="y","yes",TRUE,LOWER(AG197))</f>
        <v>yes</v>
      </c>
      <c r="AI197" s="46" t="s">
        <v>4692</v>
      </c>
    </row>
    <row r="198" spans="1:35">
      <c r="A198" s="37" t="s">
        <v>1097</v>
      </c>
      <c r="B198" s="38">
        <v>45367</v>
      </c>
      <c r="C198" s="39">
        <f t="shared" si="48"/>
        <v>45367</v>
      </c>
      <c r="D198" s="40" t="s">
        <v>121</v>
      </c>
      <c r="E198" s="37" t="str" cm="1">
        <f t="array" ref="E198">_xlfn.IFS(D198="delhi","north",D198="mumbai","west",D198="bengaluru","south",D198="chennai","south",D198="kolkata","east",TRUE,"west")</f>
        <v>west</v>
      </c>
      <c r="F198" s="37" t="s">
        <v>367</v>
      </c>
      <c r="G198" s="37" t="str">
        <f t="shared" si="49"/>
        <v>dtdc</v>
      </c>
      <c r="H198" s="37" t="s">
        <v>147</v>
      </c>
      <c r="I198" s="37" t="str">
        <f t="shared" si="50"/>
        <v>road</v>
      </c>
      <c r="J198" s="37" t="s">
        <v>47</v>
      </c>
      <c r="K198" s="37" t="str">
        <f t="shared" si="51"/>
        <v>electronics</v>
      </c>
      <c r="L198" s="37" t="s">
        <v>168</v>
      </c>
      <c r="M198" s="37" t="str">
        <f t="shared" si="52"/>
        <v>west</v>
      </c>
      <c r="N198" s="37" t="s">
        <v>187</v>
      </c>
      <c r="O198" s="41" t="str">
        <f t="shared" si="53"/>
        <v>Yes</v>
      </c>
      <c r="P198" s="41">
        <v>13.3</v>
      </c>
      <c r="Q198" s="41">
        <v>369</v>
      </c>
      <c r="R198" s="42">
        <f t="shared" si="54"/>
        <v>27.7443609022556</v>
      </c>
      <c r="S198" s="37">
        <v>8</v>
      </c>
      <c r="T198" s="37" t="s">
        <v>1100</v>
      </c>
      <c r="U198" s="43" t="str">
        <f t="shared" si="55"/>
        <v>29-mar-2024</v>
      </c>
      <c r="V198" s="43">
        <f t="shared" si="56"/>
        <v>45380</v>
      </c>
      <c r="W198" s="44">
        <f t="array" ref="W198">_xlfn.IFS(TRIM(C198)="","",TRIM(V198)="","",TRUE,V198-C198)</f>
        <v>13</v>
      </c>
      <c r="X198" s="37">
        <f t="shared" si="57"/>
        <v>5</v>
      </c>
      <c r="Y198" s="37" t="s">
        <v>72</v>
      </c>
      <c r="Z198" s="37" t="str">
        <f t="shared" si="58"/>
        <v>delayed</v>
      </c>
      <c r="AA198" s="37" t="str">
        <f t="shared" si="59"/>
        <v>Late</v>
      </c>
      <c r="AB198" s="37" t="str">
        <f t="shared" ref="AB198:AB261" si="62">IF(Z198="In-Transit","N/A",IF(X198="","",IF(X198&gt;0,"1","0")))</f>
        <v>1</v>
      </c>
      <c r="AC198" s="37">
        <f t="shared" si="47"/>
        <v>1</v>
      </c>
      <c r="AD198" s="45">
        <f t="shared" si="61"/>
        <v>0.506829618979152</v>
      </c>
      <c r="AE198" s="37">
        <v>3</v>
      </c>
      <c r="AF198" s="37" t="s">
        <v>131</v>
      </c>
      <c r="AG198" s="37" t="str">
        <f t="shared" si="60"/>
        <v>n</v>
      </c>
      <c r="AH198" s="37" t="str">
        <f t="array" ref="AH198">_xlfn.IFS(LOWER(AG198)="n","no",LOWER(AG198)="y","yes",TRUE,LOWER(AG198))</f>
        <v>no</v>
      </c>
      <c r="AI198" s="37" t="s">
        <v>4692</v>
      </c>
    </row>
    <row r="199" spans="1:35">
      <c r="A199" s="46" t="s">
        <v>1101</v>
      </c>
      <c r="B199" s="47" t="s">
        <v>4742</v>
      </c>
      <c r="C199" s="39">
        <f t="shared" si="48"/>
        <v>45434</v>
      </c>
      <c r="D199" s="48" t="s">
        <v>633</v>
      </c>
      <c r="E199" s="37" t="str" cm="1">
        <f t="array" ref="E199">_xlfn.IFS(D199="delhi","north",D199="mumbai","west",D199="bengaluru","south",D199="chennai","south",D199="kolkata","east",TRUE,"west")</f>
        <v>south</v>
      </c>
      <c r="F199" s="46" t="s">
        <v>156</v>
      </c>
      <c r="G199" s="37" t="str">
        <f t="shared" si="49"/>
        <v>xpressbees</v>
      </c>
      <c r="H199" s="46" t="s">
        <v>123</v>
      </c>
      <c r="I199" s="37" t="str">
        <f t="shared" si="50"/>
        <v>air</v>
      </c>
      <c r="J199" s="46" t="s">
        <v>385</v>
      </c>
      <c r="K199" s="37" t="str">
        <f t="shared" si="51"/>
        <v>furniture</v>
      </c>
      <c r="L199" s="46" t="s">
        <v>470</v>
      </c>
      <c r="M199" s="37" t="str">
        <f t="shared" si="52"/>
        <v>east</v>
      </c>
      <c r="N199" s="46" t="s">
        <v>126</v>
      </c>
      <c r="O199" s="41" t="str">
        <f t="shared" si="53"/>
        <v>Yes</v>
      </c>
      <c r="P199" s="49" t="s">
        <v>1103</v>
      </c>
      <c r="Q199" s="49" t="s">
        <v>1104</v>
      </c>
      <c r="R199" s="42">
        <f t="shared" si="54"/>
        <v>49.1269841269841</v>
      </c>
      <c r="S199" s="46">
        <v>4</v>
      </c>
      <c r="T199" s="46" t="s">
        <v>1105</v>
      </c>
      <c r="U199" s="43" t="str">
        <f t="shared" si="55"/>
        <v>25-may-2024</v>
      </c>
      <c r="V199" s="43">
        <f t="shared" si="56"/>
        <v>45437</v>
      </c>
      <c r="W199" s="44">
        <f t="array" ref="W199">_xlfn.IFS(TRIM(C199)="","",TRIM(V199)="","",TRUE,V199-C199)</f>
        <v>3</v>
      </c>
      <c r="X199" s="37">
        <f t="shared" si="57"/>
        <v>-1</v>
      </c>
      <c r="Y199" s="46" t="s">
        <v>117</v>
      </c>
      <c r="Z199" s="37" t="str">
        <f t="shared" si="58"/>
        <v>delivered</v>
      </c>
      <c r="AA199" s="37" t="str">
        <f t="shared" si="59"/>
        <v>On Time</v>
      </c>
      <c r="AB199" s="37" t="str">
        <f t="shared" si="62"/>
        <v>0</v>
      </c>
      <c r="AC199" s="37">
        <f t="shared" ref="AC199:AC262" si="63">IF(TRIM(AB199&amp;"")="","",VALUE(TRIM(AB199&amp;"")))</f>
        <v>0</v>
      </c>
      <c r="AD199" s="45">
        <f t="shared" si="61"/>
        <v>0.506474820143885</v>
      </c>
      <c r="AE199" s="46">
        <v>5</v>
      </c>
      <c r="AF199" s="46" t="s">
        <v>181</v>
      </c>
      <c r="AG199" s="37" t="str">
        <f t="shared" si="60"/>
        <v>y</v>
      </c>
      <c r="AH199" s="37" t="str">
        <f t="array" ref="AH199">_xlfn.IFS(LOWER(AG199)="n","no",LOWER(AG199)="y","yes",TRUE,LOWER(AG199))</f>
        <v>yes</v>
      </c>
      <c r="AI199" s="46" t="s">
        <v>4692</v>
      </c>
    </row>
    <row r="200" spans="1:35">
      <c r="A200" s="37" t="s">
        <v>1106</v>
      </c>
      <c r="B200" s="38">
        <v>45361</v>
      </c>
      <c r="C200" s="39">
        <f t="shared" si="48"/>
        <v>45361</v>
      </c>
      <c r="D200" s="40" t="s">
        <v>212</v>
      </c>
      <c r="E200" s="37" t="str" cm="1">
        <f t="array" ref="E200">_xlfn.IFS(D200="delhi","north",D200="mumbai","west",D200="bengaluru","south",D200="chennai","south",D200="kolkata","east",TRUE,"west")</f>
        <v>west</v>
      </c>
      <c r="F200" s="37" t="s">
        <v>544</v>
      </c>
      <c r="G200" s="37" t="str">
        <f t="shared" si="49"/>
        <v>bluedart</v>
      </c>
      <c r="H200" s="37" t="s">
        <v>42</v>
      </c>
      <c r="I200" s="37" t="str">
        <f t="shared" si="50"/>
        <v>surface</v>
      </c>
      <c r="J200" s="37" t="s">
        <v>582</v>
      </c>
      <c r="K200" s="37" t="str">
        <f t="shared" si="51"/>
        <v>grocery&amp;fmcg</v>
      </c>
      <c r="L200" s="37" t="s">
        <v>334</v>
      </c>
      <c r="M200" s="37" t="str">
        <f t="shared" si="52"/>
        <v>north</v>
      </c>
      <c r="N200" s="37" t="s">
        <v>32</v>
      </c>
      <c r="O200" s="41" t="str">
        <f t="shared" si="53"/>
        <v>Yes</v>
      </c>
      <c r="P200" s="41">
        <v>15.8</v>
      </c>
      <c r="Q200" s="41" t="s">
        <v>1109</v>
      </c>
      <c r="R200" s="42">
        <f t="shared" si="54"/>
        <v>35.253164556962</v>
      </c>
      <c r="S200" s="37">
        <v>6</v>
      </c>
      <c r="T200" s="37" t="s">
        <v>421</v>
      </c>
      <c r="U200" s="43" t="str">
        <f t="shared" si="55"/>
        <v>15/03/2024</v>
      </c>
      <c r="V200" s="43">
        <f t="shared" si="56"/>
        <v>45366</v>
      </c>
      <c r="W200" s="44">
        <f t="array" ref="W200">_xlfn.IFS(TRIM(C200)="","",TRIM(V200)="","",TRUE,V200-C200)</f>
        <v>5</v>
      </c>
      <c r="X200" s="37">
        <f t="shared" si="57"/>
        <v>-1</v>
      </c>
      <c r="Y200" s="37" t="s">
        <v>219</v>
      </c>
      <c r="Z200" s="37" t="str">
        <f t="shared" si="58"/>
        <v>delivered</v>
      </c>
      <c r="AA200" s="37" t="str">
        <f t="shared" si="59"/>
        <v>On Time</v>
      </c>
      <c r="AB200" s="37" t="str">
        <f t="shared" si="62"/>
        <v>0</v>
      </c>
      <c r="AC200" s="37">
        <f t="shared" si="63"/>
        <v>0</v>
      </c>
      <c r="AD200" s="45">
        <f t="shared" si="61"/>
        <v>0.506839452843773</v>
      </c>
      <c r="AE200" s="37">
        <v>5</v>
      </c>
      <c r="AF200" s="37" t="s">
        <v>79</v>
      </c>
      <c r="AG200" s="37" t="str">
        <f t="shared" si="60"/>
        <v>yes</v>
      </c>
      <c r="AH200" s="37" t="str">
        <f t="array" ref="AH200">_xlfn.IFS(LOWER(AG200)="n","no",LOWER(AG200)="y","yes",TRUE,LOWER(AG200))</f>
        <v>yes</v>
      </c>
      <c r="AI200" s="37" t="s">
        <v>4692</v>
      </c>
    </row>
    <row r="201" spans="1:35">
      <c r="A201" s="46" t="s">
        <v>1110</v>
      </c>
      <c r="B201" s="47">
        <v>45330</v>
      </c>
      <c r="C201" s="39">
        <f t="shared" si="48"/>
        <v>45330</v>
      </c>
      <c r="D201" s="48" t="s">
        <v>366</v>
      </c>
      <c r="E201" s="37" t="str" cm="1">
        <f t="array" ref="E201">_xlfn.IFS(D201="delhi","north",D201="mumbai","west",D201="bengaluru","south",D201="chennai","south",D201="kolkata","east",TRUE,"west")</f>
        <v>east</v>
      </c>
      <c r="F201" s="46" t="s">
        <v>333</v>
      </c>
      <c r="G201" s="37" t="str">
        <f t="shared" si="49"/>
        <v>delhivery</v>
      </c>
      <c r="H201" s="46" t="s">
        <v>224</v>
      </c>
      <c r="I201" s="37" t="str">
        <f t="shared" si="50"/>
        <v>air</v>
      </c>
      <c r="J201" s="46" t="s">
        <v>1112</v>
      </c>
      <c r="K201" s="37" t="str">
        <f t="shared" si="51"/>
        <v>automotiveparts</v>
      </c>
      <c r="L201" s="46" t="s">
        <v>159</v>
      </c>
      <c r="M201" s="37" t="str">
        <f t="shared" si="52"/>
        <v>south</v>
      </c>
      <c r="N201" s="46" t="s">
        <v>93</v>
      </c>
      <c r="O201" s="41" t="str">
        <f t="shared" si="53"/>
        <v>Yes</v>
      </c>
      <c r="P201" s="49">
        <v>17.4</v>
      </c>
      <c r="Q201" s="49" t="s">
        <v>1114</v>
      </c>
      <c r="R201" s="42">
        <f t="shared" si="54"/>
        <v>53.9655172413793</v>
      </c>
      <c r="S201" s="46">
        <v>4</v>
      </c>
      <c r="T201" s="46" t="s">
        <v>1115</v>
      </c>
      <c r="U201" s="43" t="str">
        <f t="shared" si="55"/>
        <v>13/02/2024</v>
      </c>
      <c r="V201" s="43">
        <f t="shared" si="56"/>
        <v>45335</v>
      </c>
      <c r="W201" s="44">
        <f t="array" ref="W201">_xlfn.IFS(TRIM(C201)="","",TRIM(V201)="","",TRUE,V201-C201)</f>
        <v>5</v>
      </c>
      <c r="X201" s="37">
        <f t="shared" si="57"/>
        <v>1</v>
      </c>
      <c r="Y201" s="46" t="s">
        <v>72</v>
      </c>
      <c r="Z201" s="37" t="str">
        <f t="shared" si="58"/>
        <v>delayed</v>
      </c>
      <c r="AA201" s="37" t="str">
        <f t="shared" si="59"/>
        <v>Late</v>
      </c>
      <c r="AB201" s="37" t="str">
        <f t="shared" si="62"/>
        <v>1</v>
      </c>
      <c r="AC201" s="37">
        <f t="shared" si="63"/>
        <v>1</v>
      </c>
      <c r="AD201" s="45">
        <f t="shared" si="61"/>
        <v>0.507204610951009</v>
      </c>
      <c r="AE201" s="46">
        <v>3</v>
      </c>
      <c r="AF201" s="46" t="s">
        <v>79</v>
      </c>
      <c r="AG201" s="37" t="str">
        <f t="shared" si="60"/>
        <v>yes</v>
      </c>
      <c r="AH201" s="37" t="str">
        <f t="array" ref="AH201">_xlfn.IFS(LOWER(AG201)="n","no",LOWER(AG201)="y","yes",TRUE,LOWER(AG201))</f>
        <v>yes</v>
      </c>
      <c r="AI201" s="46" t="s">
        <v>4692</v>
      </c>
    </row>
    <row r="202" spans="1:35">
      <c r="A202" s="37" t="s">
        <v>1116</v>
      </c>
      <c r="B202" s="38">
        <v>45465</v>
      </c>
      <c r="C202" s="39">
        <f t="shared" si="48"/>
        <v>45465</v>
      </c>
      <c r="D202" s="40" t="s">
        <v>212</v>
      </c>
      <c r="E202" s="37" t="str" cm="1">
        <f t="array" ref="E202">_xlfn.IFS(D202="delhi","north",D202="mumbai","west",D202="bengaluru","south",D202="chennai","south",D202="kolkata","east",TRUE,"west")</f>
        <v>west</v>
      </c>
      <c r="F202" s="37" t="s">
        <v>194</v>
      </c>
      <c r="G202" s="37" t="str">
        <f t="shared" si="49"/>
        <v>xpressbees</v>
      </c>
      <c r="H202" s="37" t="s">
        <v>440</v>
      </c>
      <c r="I202" s="37" t="str">
        <f t="shared" si="50"/>
        <v>road</v>
      </c>
      <c r="J202" s="37" t="s">
        <v>425</v>
      </c>
      <c r="K202" s="37" t="str">
        <f t="shared" si="51"/>
        <v>automotiveparts</v>
      </c>
      <c r="L202" s="37" t="s">
        <v>139</v>
      </c>
      <c r="M202" s="37" t="str">
        <f t="shared" si="52"/>
        <v>north</v>
      </c>
      <c r="N202" s="37" t="s">
        <v>215</v>
      </c>
      <c r="O202" s="41" t="str">
        <f t="shared" si="53"/>
        <v>Yes</v>
      </c>
      <c r="P202" s="41">
        <v>20.7</v>
      </c>
      <c r="Q202" s="41">
        <v>469</v>
      </c>
      <c r="R202" s="42">
        <f t="shared" si="54"/>
        <v>22.6570048309179</v>
      </c>
      <c r="S202" s="37">
        <v>8</v>
      </c>
      <c r="T202" s="37" t="s">
        <v>1120</v>
      </c>
      <c r="U202" s="43" t="str">
        <f t="shared" si="55"/>
        <v>03/07/2024</v>
      </c>
      <c r="V202" s="43">
        <f t="shared" si="56"/>
        <v>45476</v>
      </c>
      <c r="W202" s="44">
        <f t="array" ref="W202">_xlfn.IFS(TRIM(C202)="","",TRIM(V202)="","",TRUE,V202-C202)</f>
        <v>11</v>
      </c>
      <c r="X202" s="37">
        <f t="shared" si="57"/>
        <v>3</v>
      </c>
      <c r="Y202" s="37" t="s">
        <v>72</v>
      </c>
      <c r="Z202" s="37" t="str">
        <f t="shared" si="58"/>
        <v>delayed</v>
      </c>
      <c r="AA202" s="37" t="str">
        <f t="shared" si="59"/>
        <v>Late</v>
      </c>
      <c r="AB202" s="37" t="str">
        <f t="shared" si="62"/>
        <v>1</v>
      </c>
      <c r="AC202" s="37">
        <f t="shared" si="63"/>
        <v>1</v>
      </c>
      <c r="AD202" s="45">
        <f t="shared" si="61"/>
        <v>0.506849315068493</v>
      </c>
      <c r="AE202" s="37">
        <v>2</v>
      </c>
      <c r="AF202" s="37" t="s">
        <v>118</v>
      </c>
      <c r="AG202" s="37" t="str">
        <f t="shared" si="60"/>
        <v>no</v>
      </c>
      <c r="AH202" s="37" t="str">
        <f t="array" ref="AH202">_xlfn.IFS(LOWER(AG202)="n","no",LOWER(AG202)="y","yes",TRUE,LOWER(AG202))</f>
        <v>no</v>
      </c>
      <c r="AI202" s="37" t="s">
        <v>4692</v>
      </c>
    </row>
    <row r="203" spans="1:35">
      <c r="A203" s="46" t="s">
        <v>1121</v>
      </c>
      <c r="B203" s="47" t="s">
        <v>4743</v>
      </c>
      <c r="C203" s="39">
        <f t="shared" si="48"/>
        <v>45328</v>
      </c>
      <c r="D203" s="48" t="s">
        <v>135</v>
      </c>
      <c r="E203" s="37" t="str" cm="1">
        <f t="array" ref="E203">_xlfn.IFS(D203="delhi","north",D203="mumbai","west",D203="bengaluru","south",D203="chennai","south",D203="kolkata","east",TRUE,"west")</f>
        <v>west</v>
      </c>
      <c r="F203" s="46" t="s">
        <v>333</v>
      </c>
      <c r="G203" s="37" t="str">
        <f t="shared" si="49"/>
        <v>delhivery</v>
      </c>
      <c r="H203" s="46" t="s">
        <v>157</v>
      </c>
      <c r="I203" s="37" t="str">
        <f t="shared" si="50"/>
        <v>surface</v>
      </c>
      <c r="J203" s="46" t="s">
        <v>664</v>
      </c>
      <c r="K203" s="37" t="str">
        <f t="shared" si="51"/>
        <v>grocery&amp;fmcg</v>
      </c>
      <c r="L203" s="46" t="s">
        <v>401</v>
      </c>
      <c r="M203" s="37" t="str">
        <f t="shared" si="52"/>
        <v>south</v>
      </c>
      <c r="N203" s="46" t="s">
        <v>327</v>
      </c>
      <c r="O203" s="41" t="str">
        <f t="shared" si="53"/>
        <v>Yes</v>
      </c>
      <c r="P203" s="49">
        <v>7.8</v>
      </c>
      <c r="Q203" s="49">
        <v>336</v>
      </c>
      <c r="R203" s="42">
        <f t="shared" si="54"/>
        <v>43.0769230769231</v>
      </c>
      <c r="S203" s="46">
        <v>6</v>
      </c>
      <c r="T203" s="46" t="s">
        <v>1125</v>
      </c>
      <c r="U203" s="43" t="str">
        <f t="shared" si="55"/>
        <v>2024-02-11</v>
      </c>
      <c r="V203" s="43">
        <f t="shared" si="56"/>
        <v>45333</v>
      </c>
      <c r="W203" s="44">
        <f t="array" ref="W203">_xlfn.IFS(TRIM(C203)="","",TRIM(V203)="","",TRUE,V203-C203)</f>
        <v>5</v>
      </c>
      <c r="X203" s="37">
        <f t="shared" si="57"/>
        <v>-1</v>
      </c>
      <c r="Y203" s="46" t="s">
        <v>163</v>
      </c>
      <c r="Z203" s="37" t="str">
        <f t="shared" si="58"/>
        <v>delivered</v>
      </c>
      <c r="AA203" s="37" t="str">
        <f t="shared" si="59"/>
        <v>On Time</v>
      </c>
      <c r="AB203" s="37" t="str">
        <f t="shared" si="62"/>
        <v>0</v>
      </c>
      <c r="AC203" s="37">
        <f t="shared" si="63"/>
        <v>0</v>
      </c>
      <c r="AD203" s="45">
        <f t="shared" si="61"/>
        <v>0.506493506493506</v>
      </c>
      <c r="AE203" s="46">
        <v>3</v>
      </c>
      <c r="AF203" s="46" t="s">
        <v>181</v>
      </c>
      <c r="AG203" s="37" t="str">
        <f t="shared" si="60"/>
        <v>y</v>
      </c>
      <c r="AH203" s="37" t="str">
        <f t="array" ref="AH203">_xlfn.IFS(LOWER(AG203)="n","no",LOWER(AG203)="y","yes",TRUE,LOWER(AG203))</f>
        <v>yes</v>
      </c>
      <c r="AI203" s="46" t="s">
        <v>4692</v>
      </c>
    </row>
    <row r="204" spans="1:35">
      <c r="A204" s="37" t="s">
        <v>1126</v>
      </c>
      <c r="B204" s="38" t="s">
        <v>4744</v>
      </c>
      <c r="C204" s="39">
        <f t="shared" si="48"/>
        <v>45463</v>
      </c>
      <c r="D204" s="40" t="s">
        <v>4712</v>
      </c>
      <c r="E204" s="37" t="str" cm="1">
        <f t="array" ref="E204">_xlfn.IFS(D204="delhi","north",D204="mumbai","west",D204="bengaluru","south",D204="chennai","south",D204="kolkata","east",TRUE,"west")</f>
        <v>west</v>
      </c>
      <c r="F204" s="37" t="s">
        <v>156</v>
      </c>
      <c r="G204" s="37" t="str">
        <f t="shared" si="49"/>
        <v>xpressbees</v>
      </c>
      <c r="H204" s="37" t="s">
        <v>224</v>
      </c>
      <c r="I204" s="37" t="str">
        <f t="shared" si="50"/>
        <v>air</v>
      </c>
      <c r="J204" s="37" t="s">
        <v>612</v>
      </c>
      <c r="K204" s="37" t="str">
        <f t="shared" si="51"/>
        <v>grocery&amp;fmcg</v>
      </c>
      <c r="L204" s="37" t="s">
        <v>125</v>
      </c>
      <c r="M204" s="37" t="str">
        <f t="shared" si="52"/>
        <v>east</v>
      </c>
      <c r="N204" s="37" t="s">
        <v>396</v>
      </c>
      <c r="O204" s="41" t="str">
        <f t="shared" si="53"/>
        <v>Yes</v>
      </c>
      <c r="P204" s="41" t="s">
        <v>1128</v>
      </c>
      <c r="Q204" s="41">
        <v>840</v>
      </c>
      <c r="R204" s="42">
        <f t="shared" si="54"/>
        <v>59.1549295774648</v>
      </c>
      <c r="S204" s="37">
        <v>4</v>
      </c>
      <c r="T204" s="37" t="s">
        <v>989</v>
      </c>
      <c r="U204" s="43" t="str">
        <f t="shared" si="55"/>
        <v>25/06/2024</v>
      </c>
      <c r="V204" s="43">
        <f t="shared" si="56"/>
        <v>45468</v>
      </c>
      <c r="W204" s="44">
        <f t="array" ref="W204">_xlfn.IFS(TRIM(C204)="","",TRIM(V204)="","",TRUE,V204-C204)</f>
        <v>5</v>
      </c>
      <c r="X204" s="37">
        <f t="shared" si="57"/>
        <v>1</v>
      </c>
      <c r="Y204" s="37" t="s">
        <v>143</v>
      </c>
      <c r="Z204" s="37" t="str">
        <f t="shared" si="58"/>
        <v>delayed</v>
      </c>
      <c r="AA204" s="37" t="str">
        <f t="shared" si="59"/>
        <v>Late</v>
      </c>
      <c r="AB204" s="37" t="str">
        <f t="shared" si="62"/>
        <v>1</v>
      </c>
      <c r="AC204" s="37">
        <f t="shared" si="63"/>
        <v>1</v>
      </c>
      <c r="AD204" s="45">
        <f t="shared" si="61"/>
        <v>0.506859205776173</v>
      </c>
      <c r="AE204" s="37">
        <v>2</v>
      </c>
      <c r="AF204" s="37" t="s">
        <v>286</v>
      </c>
      <c r="AG204" s="37" t="str">
        <f t="shared" si="60"/>
        <v>yes</v>
      </c>
      <c r="AH204" s="37" t="str">
        <f t="array" ref="AH204">_xlfn.IFS(LOWER(AG204)="n","no",LOWER(AG204)="y","yes",TRUE,LOWER(AG204))</f>
        <v>yes</v>
      </c>
      <c r="AI204" s="37" t="s">
        <v>4692</v>
      </c>
    </row>
    <row r="205" spans="1:35">
      <c r="A205" s="46" t="s">
        <v>1130</v>
      </c>
      <c r="B205" s="47">
        <v>45454</v>
      </c>
      <c r="C205" s="39">
        <f t="shared" si="48"/>
        <v>45454</v>
      </c>
      <c r="D205" s="48" t="s">
        <v>4699</v>
      </c>
      <c r="E205" s="37" t="str" cm="1">
        <f t="array" ref="E205">_xlfn.IFS(D205="delhi","north",D205="mumbai","west",D205="bengaluru","south",D205="chennai","south",D205="kolkata","east",TRUE,"west")</f>
        <v>west</v>
      </c>
      <c r="F205" s="46" t="s">
        <v>270</v>
      </c>
      <c r="G205" s="37" t="str">
        <f t="shared" si="49"/>
        <v>ecomexpress</v>
      </c>
      <c r="H205" s="46" t="s">
        <v>325</v>
      </c>
      <c r="I205" s="37" t="str">
        <f t="shared" si="50"/>
        <v>air</v>
      </c>
      <c r="J205" s="46" t="s">
        <v>186</v>
      </c>
      <c r="K205" s="37" t="str">
        <f t="shared" si="51"/>
        <v>automotiveparts</v>
      </c>
      <c r="L205" s="46" t="s">
        <v>139</v>
      </c>
      <c r="M205" s="37" t="str">
        <f t="shared" si="52"/>
        <v>north</v>
      </c>
      <c r="N205" s="46" t="s">
        <v>32</v>
      </c>
      <c r="O205" s="41" t="str">
        <f t="shared" si="53"/>
        <v>Yes</v>
      </c>
      <c r="P205" s="49" t="s">
        <v>1132</v>
      </c>
      <c r="Q205" s="51">
        <v>1369</v>
      </c>
      <c r="R205" s="42">
        <f t="shared" si="54"/>
        <v>51.2734082397004</v>
      </c>
      <c r="S205" s="46">
        <v>4</v>
      </c>
      <c r="T205" s="46" t="s">
        <v>1134</v>
      </c>
      <c r="U205" s="43" t="str">
        <f t="shared" si="55"/>
        <v>17/06/2024</v>
      </c>
      <c r="V205" s="43">
        <f t="shared" si="56"/>
        <v>45460</v>
      </c>
      <c r="W205" s="44">
        <f t="array" ref="W205">_xlfn.IFS(TRIM(C205)="","",TRIM(V205)="","",TRUE,V205-C205)</f>
        <v>6</v>
      </c>
      <c r="X205" s="37">
        <f t="shared" si="57"/>
        <v>2</v>
      </c>
      <c r="Y205" s="46" t="s">
        <v>72</v>
      </c>
      <c r="Z205" s="37" t="str">
        <f t="shared" si="58"/>
        <v>delayed</v>
      </c>
      <c r="AA205" s="37" t="str">
        <f t="shared" si="59"/>
        <v>Late</v>
      </c>
      <c r="AB205" s="37" t="str">
        <f t="shared" si="62"/>
        <v>1</v>
      </c>
      <c r="AC205" s="37">
        <f t="shared" si="63"/>
        <v>1</v>
      </c>
      <c r="AD205" s="45">
        <f t="shared" si="61"/>
        <v>0.50650289017341</v>
      </c>
      <c r="AE205" s="46">
        <v>1</v>
      </c>
      <c r="AF205" s="46" t="s">
        <v>181</v>
      </c>
      <c r="AG205" s="37" t="str">
        <f t="shared" si="60"/>
        <v>y</v>
      </c>
      <c r="AH205" s="37" t="str">
        <f t="array" ref="AH205">_xlfn.IFS(LOWER(AG205)="n","no",LOWER(AG205)="y","yes",TRUE,LOWER(AG205))</f>
        <v>yes</v>
      </c>
      <c r="AI205" s="46" t="s">
        <v>4692</v>
      </c>
    </row>
    <row r="206" spans="1:35">
      <c r="A206" s="37" t="s">
        <v>1135</v>
      </c>
      <c r="B206" s="38">
        <v>45377</v>
      </c>
      <c r="C206" s="39">
        <f t="shared" si="48"/>
        <v>45377</v>
      </c>
      <c r="D206" s="40" t="s">
        <v>424</v>
      </c>
      <c r="E206" s="37" t="str" cm="1">
        <f t="array" ref="E206">_xlfn.IFS(D206="delhi","north",D206="mumbai","west",D206="bengaluru","south",D206="chennai","south",D206="kolkata","east",TRUE,"west")</f>
        <v>south</v>
      </c>
      <c r="F206" s="37" t="s">
        <v>37</v>
      </c>
      <c r="G206" s="37" t="str">
        <f t="shared" si="49"/>
        <v>bluedart</v>
      </c>
      <c r="H206" s="37" t="s">
        <v>244</v>
      </c>
      <c r="I206" s="37" t="str">
        <f t="shared" si="50"/>
        <v>air</v>
      </c>
      <c r="J206" s="37" t="s">
        <v>111</v>
      </c>
      <c r="K206" s="37" t="str">
        <f t="shared" si="51"/>
        <v>grocery&amp;fmcg</v>
      </c>
      <c r="L206" s="37" t="s">
        <v>125</v>
      </c>
      <c r="M206" s="37" t="str">
        <f t="shared" si="52"/>
        <v>east</v>
      </c>
      <c r="N206" s="37" t="s">
        <v>91</v>
      </c>
      <c r="O206" s="41" t="str">
        <f t="shared" si="53"/>
        <v>Yes</v>
      </c>
      <c r="P206" s="41">
        <v>14.7</v>
      </c>
      <c r="Q206" s="41">
        <v>782</v>
      </c>
      <c r="R206" s="42">
        <f t="shared" si="54"/>
        <v>53.1972789115646</v>
      </c>
      <c r="S206" s="37">
        <v>4</v>
      </c>
      <c r="T206" s="37" t="s">
        <v>1138</v>
      </c>
      <c r="U206" s="43" t="str">
        <f t="shared" si="55"/>
        <v>2024-03-31</v>
      </c>
      <c r="V206" s="43">
        <f t="shared" si="56"/>
        <v>45382</v>
      </c>
      <c r="W206" s="44">
        <f t="array" ref="W206">_xlfn.IFS(TRIM(C206)="","",TRIM(V206)="","",TRUE,V206-C206)</f>
        <v>5</v>
      </c>
      <c r="X206" s="37">
        <f t="shared" si="57"/>
        <v>1</v>
      </c>
      <c r="Y206" s="37" t="s">
        <v>200</v>
      </c>
      <c r="Z206" s="37" t="str">
        <f t="shared" si="58"/>
        <v>delayed</v>
      </c>
      <c r="AA206" s="37" t="str">
        <f t="shared" si="59"/>
        <v>Late</v>
      </c>
      <c r="AB206" s="37" t="str">
        <f t="shared" si="62"/>
        <v>1</v>
      </c>
      <c r="AC206" s="37">
        <f t="shared" si="63"/>
        <v>1</v>
      </c>
      <c r="AD206" s="45">
        <f t="shared" si="61"/>
        <v>0.506146059291396</v>
      </c>
      <c r="AE206" s="37">
        <v>1</v>
      </c>
      <c r="AF206" s="37" t="s">
        <v>191</v>
      </c>
      <c r="AG206" s="37" t="str">
        <f t="shared" si="60"/>
        <v>no</v>
      </c>
      <c r="AH206" s="37" t="str">
        <f t="array" ref="AH206">_xlfn.IFS(LOWER(AG206)="n","no",LOWER(AG206)="y","yes",TRUE,LOWER(AG206))</f>
        <v>no</v>
      </c>
      <c r="AI206" s="37" t="s">
        <v>4692</v>
      </c>
    </row>
    <row r="207" spans="1:35">
      <c r="A207" s="46" t="s">
        <v>1139</v>
      </c>
      <c r="B207" s="47" t="s">
        <v>4723</v>
      </c>
      <c r="C207" s="39">
        <f t="shared" si="48"/>
        <v>45409</v>
      </c>
      <c r="D207" s="48" t="s">
        <v>4695</v>
      </c>
      <c r="E207" s="37" t="str" cm="1">
        <f t="array" ref="E207">_xlfn.IFS(D207="delhi","north",D207="mumbai","west",D207="bengaluru","south",D207="chennai","south",D207="kolkata","east",TRUE,"west")</f>
        <v>west</v>
      </c>
      <c r="F207" s="46" t="s">
        <v>352</v>
      </c>
      <c r="G207" s="37" t="str">
        <f t="shared" si="49"/>
        <v>delhivery</v>
      </c>
      <c r="H207" s="46" t="s">
        <v>325</v>
      </c>
      <c r="I207" s="37" t="str">
        <f t="shared" si="50"/>
        <v>air</v>
      </c>
      <c r="J207" s="46" t="s">
        <v>47</v>
      </c>
      <c r="K207" s="37" t="str">
        <f t="shared" si="51"/>
        <v>electronics</v>
      </c>
      <c r="L207" s="46" t="s">
        <v>89</v>
      </c>
      <c r="M207" s="37" t="str">
        <f t="shared" si="52"/>
        <v>west</v>
      </c>
      <c r="N207" s="46" t="s">
        <v>187</v>
      </c>
      <c r="O207" s="41" t="str">
        <f t="shared" si="53"/>
        <v>Yes</v>
      </c>
      <c r="P207" s="49">
        <v>14.7</v>
      </c>
      <c r="Q207" s="49" t="s">
        <v>1141</v>
      </c>
      <c r="R207" s="42">
        <f t="shared" si="54"/>
        <v>48.6394557823129</v>
      </c>
      <c r="S207" s="46">
        <v>2</v>
      </c>
      <c r="T207" s="46" t="s">
        <v>1142</v>
      </c>
      <c r="U207" s="43" t="str">
        <f t="shared" si="55"/>
        <v>28/04/2024</v>
      </c>
      <c r="V207" s="43">
        <f t="shared" si="56"/>
        <v>45410</v>
      </c>
      <c r="W207" s="44">
        <f t="array" ref="W207">_xlfn.IFS(TRIM(C207)="","",TRIM(V207)="","",TRUE,V207-C207)</f>
        <v>1</v>
      </c>
      <c r="X207" s="37">
        <f t="shared" si="57"/>
        <v>-1</v>
      </c>
      <c r="Y207" s="46" t="s">
        <v>105</v>
      </c>
      <c r="Z207" s="37" t="str">
        <f t="shared" si="58"/>
        <v>delivered</v>
      </c>
      <c r="AA207" s="37" t="str">
        <f t="shared" si="59"/>
        <v>On Time</v>
      </c>
      <c r="AB207" s="37" t="str">
        <f t="shared" si="62"/>
        <v>0</v>
      </c>
      <c r="AC207" s="37">
        <f t="shared" si="63"/>
        <v>0</v>
      </c>
      <c r="AD207" s="45">
        <f t="shared" si="61"/>
        <v>0.505788712011577</v>
      </c>
      <c r="AE207" s="46">
        <v>5</v>
      </c>
      <c r="AF207" s="46" t="s">
        <v>181</v>
      </c>
      <c r="AG207" s="37" t="str">
        <f t="shared" si="60"/>
        <v>y</v>
      </c>
      <c r="AH207" s="37" t="str">
        <f t="array" ref="AH207">_xlfn.IFS(LOWER(AG207)="n","no",LOWER(AG207)="y","yes",TRUE,LOWER(AG207))</f>
        <v>yes</v>
      </c>
      <c r="AI207" s="46" t="s">
        <v>4692</v>
      </c>
    </row>
    <row r="208" spans="1:35">
      <c r="A208" s="37" t="s">
        <v>1143</v>
      </c>
      <c r="B208" s="38">
        <v>45446</v>
      </c>
      <c r="C208" s="39">
        <f t="shared" si="48"/>
        <v>45446</v>
      </c>
      <c r="D208" s="40" t="s">
        <v>109</v>
      </c>
      <c r="E208" s="37" t="str" cm="1">
        <f t="array" ref="E208">_xlfn.IFS(D208="delhi","north",D208="mumbai","west",D208="bengaluru","south",D208="chennai","south",D208="kolkata","east",TRUE,"west")</f>
        <v>west</v>
      </c>
      <c r="F208" s="37" t="s">
        <v>175</v>
      </c>
      <c r="G208" s="37" t="str">
        <f t="shared" si="49"/>
        <v>ecomexpress</v>
      </c>
      <c r="H208" s="37" t="s">
        <v>176</v>
      </c>
      <c r="I208" s="37" t="str">
        <f t="shared" si="50"/>
        <v>road</v>
      </c>
      <c r="J208" s="37" t="s">
        <v>1145</v>
      </c>
      <c r="K208" s="37" t="str">
        <f t="shared" si="51"/>
        <v>grocery&amp;fmcg</v>
      </c>
      <c r="L208" s="37" t="s">
        <v>139</v>
      </c>
      <c r="M208" s="37" t="str">
        <f t="shared" si="52"/>
        <v>north</v>
      </c>
      <c r="N208" s="37" t="s">
        <v>32</v>
      </c>
      <c r="O208" s="41" t="str">
        <f t="shared" si="53"/>
        <v>Yes</v>
      </c>
      <c r="P208" s="41">
        <v>3.8</v>
      </c>
      <c r="Q208" s="41">
        <v>200</v>
      </c>
      <c r="R208" s="42">
        <f t="shared" si="54"/>
        <v>52.6315789473684</v>
      </c>
      <c r="S208" s="37">
        <v>8</v>
      </c>
      <c r="T208" s="37" t="s">
        <v>1147</v>
      </c>
      <c r="U208" s="43" t="str">
        <f t="shared" si="55"/>
        <v>12/06/2024</v>
      </c>
      <c r="V208" s="43">
        <f t="shared" si="56"/>
        <v>45455</v>
      </c>
      <c r="W208" s="44">
        <f t="array" ref="W208">_xlfn.IFS(TRIM(C208)="","",TRIM(V208)="","",TRUE,V208-C208)</f>
        <v>9</v>
      </c>
      <c r="X208" s="37">
        <f t="shared" si="57"/>
        <v>1</v>
      </c>
      <c r="Y208" s="37" t="s">
        <v>172</v>
      </c>
      <c r="Z208" s="37" t="str">
        <f t="shared" si="58"/>
        <v>delayed</v>
      </c>
      <c r="AA208" s="37" t="str">
        <f t="shared" si="59"/>
        <v>Late</v>
      </c>
      <c r="AB208" s="37" t="str">
        <f t="shared" si="62"/>
        <v>1</v>
      </c>
      <c r="AC208" s="37">
        <f t="shared" si="63"/>
        <v>1</v>
      </c>
      <c r="AD208" s="45">
        <f t="shared" si="61"/>
        <v>0.506154960173787</v>
      </c>
      <c r="AE208" s="37">
        <v>1</v>
      </c>
      <c r="AF208" s="37" t="s">
        <v>152</v>
      </c>
      <c r="AG208" s="37" t="str">
        <f t="shared" si="60"/>
        <v>no</v>
      </c>
      <c r="AH208" s="37" t="str">
        <f t="array" ref="AH208">_xlfn.IFS(LOWER(AG208)="n","no",LOWER(AG208)="y","yes",TRUE,LOWER(AG208))</f>
        <v>no</v>
      </c>
      <c r="AI208" s="37" t="s">
        <v>4692</v>
      </c>
    </row>
    <row r="209" spans="1:35">
      <c r="A209" s="46" t="s">
        <v>1148</v>
      </c>
      <c r="B209" s="47">
        <v>45303</v>
      </c>
      <c r="C209" s="39">
        <f t="shared" si="48"/>
        <v>45303</v>
      </c>
      <c r="D209" s="48" t="s">
        <v>135</v>
      </c>
      <c r="E209" s="37" t="str" cm="1">
        <f t="array" ref="E209">_xlfn.IFS(D209="delhi","north",D209="mumbai","west",D209="bengaluru","south",D209="chennai","south",D209="kolkata","east",TRUE,"west")</f>
        <v>west</v>
      </c>
      <c r="F209" s="46" t="s">
        <v>122</v>
      </c>
      <c r="G209" s="37" t="str">
        <f t="shared" si="49"/>
        <v>delhivery</v>
      </c>
      <c r="H209" s="46" t="s">
        <v>224</v>
      </c>
      <c r="I209" s="37" t="str">
        <f t="shared" si="50"/>
        <v>air</v>
      </c>
      <c r="J209" s="46" t="s">
        <v>196</v>
      </c>
      <c r="K209" s="37" t="str">
        <f t="shared" si="51"/>
        <v>apparel</v>
      </c>
      <c r="L209" s="46" t="s">
        <v>125</v>
      </c>
      <c r="M209" s="37" t="str">
        <f t="shared" si="52"/>
        <v>east</v>
      </c>
      <c r="N209" s="46" t="s">
        <v>294</v>
      </c>
      <c r="O209" s="41" t="str">
        <f t="shared" si="53"/>
        <v>Yes</v>
      </c>
      <c r="P209" s="49">
        <v>6.5</v>
      </c>
      <c r="Q209" s="49">
        <v>440</v>
      </c>
      <c r="R209" s="42">
        <f t="shared" si="54"/>
        <v>67.6923076923077</v>
      </c>
      <c r="S209" s="46">
        <v>4</v>
      </c>
      <c r="T209" s="46" t="s">
        <v>1152</v>
      </c>
      <c r="U209" s="43" t="str">
        <f t="shared" si="55"/>
        <v>2024-01-17</v>
      </c>
      <c r="V209" s="43">
        <f t="shared" si="56"/>
        <v>45308</v>
      </c>
      <c r="W209" s="44">
        <f t="array" ref="W209">_xlfn.IFS(TRIM(C209)="","",TRIM(V209)="","",TRUE,V209-C209)</f>
        <v>5</v>
      </c>
      <c r="X209" s="37">
        <f t="shared" si="57"/>
        <v>1</v>
      </c>
      <c r="Y209" s="46" t="s">
        <v>72</v>
      </c>
      <c r="Z209" s="37" t="str">
        <f t="shared" si="58"/>
        <v>delayed</v>
      </c>
      <c r="AA209" s="37" t="str">
        <f t="shared" si="59"/>
        <v>Late</v>
      </c>
      <c r="AB209" s="37" t="str">
        <f t="shared" si="62"/>
        <v>1</v>
      </c>
      <c r="AC209" s="37">
        <f t="shared" si="63"/>
        <v>1</v>
      </c>
      <c r="AD209" s="45">
        <f t="shared" si="61"/>
        <v>0.505797101449275</v>
      </c>
      <c r="AE209" s="46">
        <v>1</v>
      </c>
      <c r="AF209" s="46" t="s">
        <v>181</v>
      </c>
      <c r="AG209" s="37" t="str">
        <f t="shared" si="60"/>
        <v>y</v>
      </c>
      <c r="AH209" s="37" t="str">
        <f t="array" ref="AH209">_xlfn.IFS(LOWER(AG209)="n","no",LOWER(AG209)="y","yes",TRUE,LOWER(AG209))</f>
        <v>yes</v>
      </c>
      <c r="AI209" s="46" t="s">
        <v>4692</v>
      </c>
    </row>
    <row r="210" spans="1:35">
      <c r="A210" s="37" t="s">
        <v>1153</v>
      </c>
      <c r="B210" s="38">
        <v>45469</v>
      </c>
      <c r="C210" s="39">
        <f t="shared" si="48"/>
        <v>45469</v>
      </c>
      <c r="D210" s="40" t="s">
        <v>212</v>
      </c>
      <c r="E210" s="37" t="str" cm="1">
        <f t="array" ref="E210">_xlfn.IFS(D210="delhi","north",D210="mumbai","west",D210="bengaluru","south",D210="chennai","south",D210="kolkata","east",TRUE,"west")</f>
        <v>west</v>
      </c>
      <c r="F210" s="37" t="s">
        <v>213</v>
      </c>
      <c r="G210" s="37" t="str">
        <f t="shared" si="49"/>
        <v>dtdc</v>
      </c>
      <c r="H210" s="37" t="s">
        <v>440</v>
      </c>
      <c r="I210" s="37" t="str">
        <f t="shared" si="50"/>
        <v>road</v>
      </c>
      <c r="J210" s="37" t="s">
        <v>214</v>
      </c>
      <c r="K210" s="37" t="str">
        <f t="shared" si="51"/>
        <v>grocery&amp;fmcg</v>
      </c>
      <c r="L210" s="37" t="s">
        <v>380</v>
      </c>
      <c r="M210" s="37" t="str">
        <f t="shared" si="52"/>
        <v>east</v>
      </c>
      <c r="N210" s="37" t="s">
        <v>294</v>
      </c>
      <c r="O210" s="41" t="str">
        <f t="shared" si="53"/>
        <v>Yes</v>
      </c>
      <c r="P210" s="41" t="s">
        <v>1154</v>
      </c>
      <c r="Q210" s="41">
        <v>303</v>
      </c>
      <c r="R210" s="42">
        <f t="shared" si="54"/>
        <v>26.3478260869565</v>
      </c>
      <c r="S210" s="37">
        <v>8</v>
      </c>
      <c r="T210" s="37"/>
      <c r="U210" s="43" t="str">
        <f t="shared" si="55"/>
        <v/>
      </c>
      <c r="V210" s="43" t="e">
        <f t="shared" si="56"/>
        <v>#VALUE!</v>
      </c>
      <c r="W210" s="44" t="e">
        <f t="array" ref="W210">_xlfn.IFS(TRIM(C210)="","",TRIM(V210)="","",TRUE,V210-C210)</f>
        <v>#VALUE!</v>
      </c>
      <c r="X210" s="37" t="e">
        <f t="shared" si="57"/>
        <v>#VALUE!</v>
      </c>
      <c r="Y210" s="37" t="s">
        <v>1156</v>
      </c>
      <c r="Z210" s="37" t="str">
        <f t="shared" si="58"/>
        <v>intransit</v>
      </c>
      <c r="AA210" s="37" t="e">
        <f t="shared" si="59"/>
        <v>#VALUE!</v>
      </c>
      <c r="AB210" s="37" t="e">
        <f t="shared" si="62"/>
        <v>#VALUE!</v>
      </c>
      <c r="AC210" s="37" t="e">
        <f t="shared" si="63"/>
        <v>#VALUE!</v>
      </c>
      <c r="AD210" s="45">
        <f t="shared" si="61"/>
        <v>0.505438723712835</v>
      </c>
      <c r="AE210" s="37"/>
      <c r="AF210" s="37" t="s">
        <v>106</v>
      </c>
      <c r="AG210" s="37" t="str">
        <f t="shared" si="60"/>
        <v>yes</v>
      </c>
      <c r="AH210" s="37" t="str">
        <f t="array" ref="AH210">_xlfn.IFS(LOWER(AG210)="n","no",LOWER(AG210)="y","yes",TRUE,LOWER(AG210))</f>
        <v>yes</v>
      </c>
      <c r="AI210" s="37" t="s">
        <v>4692</v>
      </c>
    </row>
    <row r="211" spans="1:35">
      <c r="A211" s="46" t="s">
        <v>1157</v>
      </c>
      <c r="B211" s="47">
        <v>45317</v>
      </c>
      <c r="C211" s="39">
        <f t="shared" si="48"/>
        <v>45317</v>
      </c>
      <c r="D211" s="48" t="s">
        <v>340</v>
      </c>
      <c r="E211" s="37" t="str" cm="1">
        <f t="array" ref="E211">_xlfn.IFS(D211="delhi","north",D211="mumbai","west",D211="bengaluru","south",D211="chennai","south",D211="kolkata","east",TRUE,"west")</f>
        <v>north</v>
      </c>
      <c r="F211" s="46" t="s">
        <v>352</v>
      </c>
      <c r="G211" s="37" t="str">
        <f t="shared" si="49"/>
        <v>delhivery</v>
      </c>
      <c r="H211" s="46" t="s">
        <v>244</v>
      </c>
      <c r="I211" s="37" t="str">
        <f t="shared" si="50"/>
        <v>air</v>
      </c>
      <c r="J211" s="46" t="s">
        <v>214</v>
      </c>
      <c r="K211" s="37" t="str">
        <f t="shared" si="51"/>
        <v>grocery&amp;fmcg</v>
      </c>
      <c r="L211" s="46" t="s">
        <v>139</v>
      </c>
      <c r="M211" s="37" t="str">
        <f t="shared" si="52"/>
        <v>north</v>
      </c>
      <c r="N211" s="46" t="s">
        <v>215</v>
      </c>
      <c r="O211" s="41" t="str">
        <f t="shared" si="53"/>
        <v>Yes</v>
      </c>
      <c r="P211" s="49" t="s">
        <v>289</v>
      </c>
      <c r="Q211" s="49">
        <v>232</v>
      </c>
      <c r="R211" s="42">
        <f t="shared" si="54"/>
        <v>48.3333333333333</v>
      </c>
      <c r="S211" s="46">
        <v>2</v>
      </c>
      <c r="T211" s="46" t="s">
        <v>1160</v>
      </c>
      <c r="U211" s="43" t="str">
        <f t="shared" si="55"/>
        <v>2024-01-29</v>
      </c>
      <c r="V211" s="43">
        <f t="shared" si="56"/>
        <v>45320</v>
      </c>
      <c r="W211" s="44">
        <f t="array" ref="W211">_xlfn.IFS(TRIM(C211)="","",TRIM(V211)="","",TRUE,V211-C211)</f>
        <v>3</v>
      </c>
      <c r="X211" s="37">
        <f t="shared" si="57"/>
        <v>1</v>
      </c>
      <c r="Y211" s="46" t="s">
        <v>143</v>
      </c>
      <c r="Z211" s="37" t="str">
        <f t="shared" si="58"/>
        <v>delayed</v>
      </c>
      <c r="AA211" s="37" t="str">
        <f t="shared" si="59"/>
        <v>Late</v>
      </c>
      <c r="AB211" s="37" t="str">
        <f t="shared" si="62"/>
        <v>1</v>
      </c>
      <c r="AC211" s="37">
        <f t="shared" si="63"/>
        <v>1</v>
      </c>
      <c r="AD211" s="45">
        <f t="shared" si="61"/>
        <v>0.505438723712835</v>
      </c>
      <c r="AE211" s="46">
        <v>2</v>
      </c>
      <c r="AF211" s="46" t="s">
        <v>118</v>
      </c>
      <c r="AG211" s="37" t="str">
        <f t="shared" si="60"/>
        <v>no</v>
      </c>
      <c r="AH211" s="37" t="str">
        <f t="array" ref="AH211">_xlfn.IFS(LOWER(AG211)="n","no",LOWER(AG211)="y","yes",TRUE,LOWER(AG211))</f>
        <v>no</v>
      </c>
      <c r="AI211" s="46" t="s">
        <v>4692</v>
      </c>
    </row>
    <row r="212" spans="1:35">
      <c r="A212" s="37" t="s">
        <v>1161</v>
      </c>
      <c r="B212" s="38">
        <v>45361</v>
      </c>
      <c r="C212" s="39">
        <f t="shared" si="48"/>
        <v>45361</v>
      </c>
      <c r="D212" s="40" t="s">
        <v>340</v>
      </c>
      <c r="E212" s="37" t="str" cm="1">
        <f t="array" ref="E212">_xlfn.IFS(D212="delhi","north",D212="mumbai","west",D212="bengaluru","south",D212="chennai","south",D212="kolkata","east",TRUE,"west")</f>
        <v>north</v>
      </c>
      <c r="F212" s="37" t="s">
        <v>156</v>
      </c>
      <c r="G212" s="37" t="str">
        <f t="shared" si="49"/>
        <v>xpressbees</v>
      </c>
      <c r="H212" s="37" t="s">
        <v>224</v>
      </c>
      <c r="I212" s="37" t="str">
        <f t="shared" si="50"/>
        <v>air</v>
      </c>
      <c r="J212" s="37" t="s">
        <v>612</v>
      </c>
      <c r="K212" s="37" t="str">
        <f t="shared" si="51"/>
        <v>grocery&amp;fmcg</v>
      </c>
      <c r="L212" s="37" t="s">
        <v>302</v>
      </c>
      <c r="M212" s="37" t="str">
        <f t="shared" si="52"/>
        <v>east</v>
      </c>
      <c r="N212" s="37" t="s">
        <v>294</v>
      </c>
      <c r="O212" s="41" t="str">
        <f t="shared" si="53"/>
        <v>Yes</v>
      </c>
      <c r="P212" s="41" t="s">
        <v>1162</v>
      </c>
      <c r="Q212" s="41" t="s">
        <v>1163</v>
      </c>
      <c r="R212" s="42">
        <f t="shared" si="54"/>
        <v>61.4893617021277</v>
      </c>
      <c r="S212" s="37">
        <v>4</v>
      </c>
      <c r="T212" s="37" t="s">
        <v>1164</v>
      </c>
      <c r="U212" s="43" t="str">
        <f t="shared" si="55"/>
        <v>15-mar-2024</v>
      </c>
      <c r="V212" s="43">
        <f t="shared" si="56"/>
        <v>45366</v>
      </c>
      <c r="W212" s="44">
        <f t="array" ref="W212">_xlfn.IFS(TRIM(C212)="","",TRIM(V212)="","",TRUE,V212-C212)</f>
        <v>5</v>
      </c>
      <c r="X212" s="37">
        <f t="shared" si="57"/>
        <v>1</v>
      </c>
      <c r="Y212" s="37" t="s">
        <v>72</v>
      </c>
      <c r="Z212" s="37" t="str">
        <f t="shared" si="58"/>
        <v>delayed</v>
      </c>
      <c r="AA212" s="37" t="str">
        <f t="shared" si="59"/>
        <v>Late</v>
      </c>
      <c r="AB212" s="37" t="str">
        <f t="shared" si="62"/>
        <v>1</v>
      </c>
      <c r="AC212" s="37">
        <f t="shared" si="63"/>
        <v>1</v>
      </c>
      <c r="AD212" s="45">
        <f t="shared" si="61"/>
        <v>0.505079825834543</v>
      </c>
      <c r="AE212" s="37">
        <v>3</v>
      </c>
      <c r="AF212" s="37" t="s">
        <v>106</v>
      </c>
      <c r="AG212" s="37" t="str">
        <f t="shared" si="60"/>
        <v>yes</v>
      </c>
      <c r="AH212" s="37" t="str">
        <f t="array" ref="AH212">_xlfn.IFS(LOWER(AG212)="n","no",LOWER(AG212)="y","yes",TRUE,LOWER(AG212))</f>
        <v>yes</v>
      </c>
      <c r="AI212" s="37" t="s">
        <v>4692</v>
      </c>
    </row>
    <row r="213" spans="1:35">
      <c r="A213" s="46" t="s">
        <v>1165</v>
      </c>
      <c r="B213" s="47">
        <v>45372</v>
      </c>
      <c r="C213" s="39">
        <f t="shared" si="48"/>
        <v>45372</v>
      </c>
      <c r="D213" s="48" t="s">
        <v>166</v>
      </c>
      <c r="E213" s="37" t="str" cm="1">
        <f t="array" ref="E213">_xlfn.IFS(D213="delhi","north",D213="mumbai","west",D213="bengaluru","south",D213="chennai","south",D213="kolkata","east",TRUE,"west")</f>
        <v>west</v>
      </c>
      <c r="F213" s="46" t="s">
        <v>919</v>
      </c>
      <c r="G213" s="37" t="str">
        <f t="shared" si="49"/>
        <v>xpressbees</v>
      </c>
      <c r="H213" s="46" t="s">
        <v>157</v>
      </c>
      <c r="I213" s="37" t="str">
        <f t="shared" si="50"/>
        <v>surface</v>
      </c>
      <c r="J213" s="46" t="s">
        <v>100</v>
      </c>
      <c r="K213" s="37" t="str">
        <f t="shared" si="51"/>
        <v>electronics</v>
      </c>
      <c r="L213" s="46" t="s">
        <v>264</v>
      </c>
      <c r="M213" s="37" t="str">
        <f t="shared" si="52"/>
        <v>west</v>
      </c>
      <c r="N213" s="46" t="s">
        <v>206</v>
      </c>
      <c r="O213" s="41" t="str">
        <f t="shared" si="53"/>
        <v>Yes</v>
      </c>
      <c r="P213" s="49" t="s">
        <v>1167</v>
      </c>
      <c r="Q213" s="49">
        <v>442</v>
      </c>
      <c r="R213" s="42">
        <f t="shared" si="54"/>
        <v>40.1818181818182</v>
      </c>
      <c r="S213" s="46">
        <v>6</v>
      </c>
      <c r="T213" s="46" t="s">
        <v>1169</v>
      </c>
      <c r="U213" s="43" t="str">
        <f t="shared" si="55"/>
        <v>27-mar-2024</v>
      </c>
      <c r="V213" s="43">
        <f t="shared" si="56"/>
        <v>45378</v>
      </c>
      <c r="W213" s="44">
        <f t="array" ref="W213">_xlfn.IFS(TRIM(C213)="","",TRIM(V213)="","",TRUE,V213-C213)</f>
        <v>6</v>
      </c>
      <c r="X213" s="37">
        <f t="shared" si="57"/>
        <v>0</v>
      </c>
      <c r="Y213" s="46" t="s">
        <v>105</v>
      </c>
      <c r="Z213" s="37" t="str">
        <f t="shared" si="58"/>
        <v>delivered</v>
      </c>
      <c r="AA213" s="37" t="str">
        <f t="shared" si="59"/>
        <v>On Time</v>
      </c>
      <c r="AB213" s="37" t="str">
        <f t="shared" si="62"/>
        <v>0</v>
      </c>
      <c r="AC213" s="37">
        <f t="shared" si="63"/>
        <v>0</v>
      </c>
      <c r="AD213" s="45">
        <f t="shared" si="61"/>
        <v>0.504720406681191</v>
      </c>
      <c r="AE213" s="46">
        <v>3</v>
      </c>
      <c r="AF213" s="46" t="s">
        <v>79</v>
      </c>
      <c r="AG213" s="37" t="str">
        <f t="shared" si="60"/>
        <v>yes</v>
      </c>
      <c r="AH213" s="37" t="str">
        <f t="array" ref="AH213">_xlfn.IFS(LOWER(AG213)="n","no",LOWER(AG213)="y","yes",TRUE,LOWER(AG213))</f>
        <v>yes</v>
      </c>
      <c r="AI213" s="46" t="s">
        <v>4692</v>
      </c>
    </row>
    <row r="214" spans="1:35">
      <c r="A214" s="37" t="s">
        <v>1170</v>
      </c>
      <c r="B214" s="38">
        <v>45388</v>
      </c>
      <c r="C214" s="39">
        <f t="shared" si="48"/>
        <v>45388</v>
      </c>
      <c r="D214" s="40" t="s">
        <v>4694</v>
      </c>
      <c r="E214" s="37" t="str" cm="1">
        <f t="array" ref="E214">_xlfn.IFS(D214="delhi","north",D214="mumbai","west",D214="bengaluru","south",D214="chennai","south",D214="kolkata","east",TRUE,"west")</f>
        <v>west</v>
      </c>
      <c r="F214" s="37" t="s">
        <v>352</v>
      </c>
      <c r="G214" s="37" t="str">
        <f t="shared" si="49"/>
        <v>delhivery</v>
      </c>
      <c r="H214" s="37" t="s">
        <v>325</v>
      </c>
      <c r="I214" s="37" t="str">
        <f t="shared" si="50"/>
        <v>air</v>
      </c>
      <c r="J214" s="37" t="s">
        <v>425</v>
      </c>
      <c r="K214" s="37" t="str">
        <f t="shared" si="51"/>
        <v>automotiveparts</v>
      </c>
      <c r="L214" s="37" t="s">
        <v>92</v>
      </c>
      <c r="M214" s="37" t="str">
        <f t="shared" si="52"/>
        <v>east</v>
      </c>
      <c r="N214" s="37" t="s">
        <v>91</v>
      </c>
      <c r="O214" s="41" t="str">
        <f t="shared" si="53"/>
        <v>Yes</v>
      </c>
      <c r="P214" s="41">
        <v>6.4</v>
      </c>
      <c r="Q214" s="41">
        <v>476</v>
      </c>
      <c r="R214" s="42">
        <f t="shared" si="54"/>
        <v>74.375</v>
      </c>
      <c r="S214" s="37">
        <v>4</v>
      </c>
      <c r="T214" s="37" t="s">
        <v>1173</v>
      </c>
      <c r="U214" s="43" t="str">
        <f t="shared" si="55"/>
        <v>11/04/2024</v>
      </c>
      <c r="V214" s="43">
        <f t="shared" si="56"/>
        <v>45393</v>
      </c>
      <c r="W214" s="44">
        <f t="array" ref="W214">_xlfn.IFS(TRIM(C214)="","",TRIM(V214)="","",TRUE,V214-C214)</f>
        <v>5</v>
      </c>
      <c r="X214" s="37">
        <f t="shared" si="57"/>
        <v>1</v>
      </c>
      <c r="Y214" s="37" t="s">
        <v>172</v>
      </c>
      <c r="Z214" s="37" t="str">
        <f t="shared" si="58"/>
        <v>delayed</v>
      </c>
      <c r="AA214" s="37" t="str">
        <f t="shared" si="59"/>
        <v>Late</v>
      </c>
      <c r="AB214" s="37" t="str">
        <f t="shared" si="62"/>
        <v>1</v>
      </c>
      <c r="AC214" s="37">
        <f t="shared" si="63"/>
        <v>1</v>
      </c>
      <c r="AD214" s="45">
        <f t="shared" si="61"/>
        <v>0.505087209302326</v>
      </c>
      <c r="AE214" s="37">
        <v>5</v>
      </c>
      <c r="AF214" s="37" t="s">
        <v>106</v>
      </c>
      <c r="AG214" s="37" t="str">
        <f t="shared" si="60"/>
        <v>yes</v>
      </c>
      <c r="AH214" s="37" t="str">
        <f t="array" ref="AH214">_xlfn.IFS(LOWER(AG214)="n","no",LOWER(AG214)="y","yes",TRUE,LOWER(AG214))</f>
        <v>yes</v>
      </c>
      <c r="AI214" s="37" t="s">
        <v>4692</v>
      </c>
    </row>
    <row r="215" spans="1:35">
      <c r="A215" s="46" t="s">
        <v>1174</v>
      </c>
      <c r="B215" s="47">
        <v>45363</v>
      </c>
      <c r="C215" s="39">
        <f t="shared" si="48"/>
        <v>45363</v>
      </c>
      <c r="D215" s="48" t="s">
        <v>424</v>
      </c>
      <c r="E215" s="37" t="str" cm="1">
        <f t="array" ref="E215">_xlfn.IFS(D215="delhi","north",D215="mumbai","west",D215="bengaluru","south",D215="chennai","south",D215="kolkata","east",TRUE,"west")</f>
        <v>south</v>
      </c>
      <c r="F215" s="46" t="s">
        <v>122</v>
      </c>
      <c r="G215" s="37" t="str">
        <f t="shared" si="49"/>
        <v>delhivery</v>
      </c>
      <c r="H215" s="46" t="s">
        <v>440</v>
      </c>
      <c r="I215" s="37" t="str">
        <f t="shared" si="50"/>
        <v>road</v>
      </c>
      <c r="J215" s="46" t="s">
        <v>353</v>
      </c>
      <c r="K215" s="37" t="str">
        <f t="shared" si="51"/>
        <v>automotiveparts</v>
      </c>
      <c r="L215" s="46" t="s">
        <v>92</v>
      </c>
      <c r="M215" s="37" t="str">
        <f t="shared" si="52"/>
        <v>east</v>
      </c>
      <c r="N215" s="46" t="s">
        <v>126</v>
      </c>
      <c r="O215" s="41" t="str">
        <f t="shared" si="53"/>
        <v>Yes</v>
      </c>
      <c r="P215" s="49" t="s">
        <v>1176</v>
      </c>
      <c r="Q215" s="49" t="s">
        <v>1177</v>
      </c>
      <c r="R215" s="42">
        <f t="shared" si="54"/>
        <v>23.6979166666667</v>
      </c>
      <c r="S215" s="46">
        <v>8</v>
      </c>
      <c r="T215" s="46" t="s">
        <v>1166</v>
      </c>
      <c r="U215" s="43" t="str">
        <f t="shared" si="55"/>
        <v>21/03/2024</v>
      </c>
      <c r="V215" s="43">
        <f t="shared" si="56"/>
        <v>45372</v>
      </c>
      <c r="W215" s="44">
        <f t="array" ref="W215">_xlfn.IFS(TRIM(C215)="","",TRIM(V215)="","",TRUE,V215-C215)</f>
        <v>9</v>
      </c>
      <c r="X215" s="37">
        <f t="shared" si="57"/>
        <v>1</v>
      </c>
      <c r="Y215" s="46" t="s">
        <v>143</v>
      </c>
      <c r="Z215" s="37" t="str">
        <f t="shared" si="58"/>
        <v>delayed</v>
      </c>
      <c r="AA215" s="37" t="str">
        <f t="shared" si="59"/>
        <v>Late</v>
      </c>
      <c r="AB215" s="37" t="str">
        <f t="shared" si="62"/>
        <v>1</v>
      </c>
      <c r="AC215" s="37">
        <f t="shared" si="63"/>
        <v>1</v>
      </c>
      <c r="AD215" s="45">
        <f t="shared" si="61"/>
        <v>0.504727272727273</v>
      </c>
      <c r="AE215" s="46">
        <v>4</v>
      </c>
      <c r="AF215" s="46" t="s">
        <v>79</v>
      </c>
      <c r="AG215" s="37" t="str">
        <f t="shared" si="60"/>
        <v>yes</v>
      </c>
      <c r="AH215" s="37" t="str">
        <f t="array" ref="AH215">_xlfn.IFS(LOWER(AG215)="n","no",LOWER(AG215)="y","yes",TRUE,LOWER(AG215))</f>
        <v>yes</v>
      </c>
      <c r="AI215" s="46" t="s">
        <v>4692</v>
      </c>
    </row>
    <row r="216" spans="1:35">
      <c r="A216" s="37" t="s">
        <v>1178</v>
      </c>
      <c r="B216" s="38">
        <v>45306</v>
      </c>
      <c r="C216" s="39">
        <f t="shared" si="48"/>
        <v>45306</v>
      </c>
      <c r="D216" s="40" t="s">
        <v>633</v>
      </c>
      <c r="E216" s="37" t="str" cm="1">
        <f t="array" ref="E216">_xlfn.IFS(D216="delhi","north",D216="mumbai","west",D216="bengaluru","south",D216="chennai","south",D216="kolkata","east",TRUE,"west")</f>
        <v>south</v>
      </c>
      <c r="F216" s="37" t="s">
        <v>204</v>
      </c>
      <c r="G216" s="37" t="str">
        <f t="shared" si="49"/>
        <v>delhivery</v>
      </c>
      <c r="H216" s="37" t="s">
        <v>110</v>
      </c>
      <c r="I216" s="37" t="str">
        <f t="shared" si="50"/>
        <v>surface</v>
      </c>
      <c r="J216" s="37" t="s">
        <v>385</v>
      </c>
      <c r="K216" s="37" t="str">
        <f t="shared" si="51"/>
        <v>furniture</v>
      </c>
      <c r="L216" s="37" t="s">
        <v>112</v>
      </c>
      <c r="M216" s="37" t="str">
        <f t="shared" si="52"/>
        <v>north</v>
      </c>
      <c r="N216" s="37" t="s">
        <v>32</v>
      </c>
      <c r="O216" s="41" t="str">
        <f t="shared" si="53"/>
        <v>Yes</v>
      </c>
      <c r="P216" s="41">
        <v>77</v>
      </c>
      <c r="Q216" s="50">
        <v>1851</v>
      </c>
      <c r="R216" s="42">
        <f t="shared" si="54"/>
        <v>24.038961038961</v>
      </c>
      <c r="S216" s="37">
        <v>6</v>
      </c>
      <c r="T216" s="37" t="s">
        <v>1182</v>
      </c>
      <c r="U216" s="43" t="str">
        <f t="shared" si="55"/>
        <v>2024-01-22</v>
      </c>
      <c r="V216" s="43">
        <f t="shared" si="56"/>
        <v>45313</v>
      </c>
      <c r="W216" s="44">
        <f t="array" ref="W216">_xlfn.IFS(TRIM(C216)="","",TRIM(V216)="","",TRUE,V216-C216)</f>
        <v>7</v>
      </c>
      <c r="X216" s="37">
        <f t="shared" si="57"/>
        <v>1</v>
      </c>
      <c r="Y216" s="37" t="s">
        <v>200</v>
      </c>
      <c r="Z216" s="37" t="str">
        <f t="shared" si="58"/>
        <v>delayed</v>
      </c>
      <c r="AA216" s="37" t="str">
        <f t="shared" si="59"/>
        <v>Late</v>
      </c>
      <c r="AB216" s="37" t="str">
        <f t="shared" si="62"/>
        <v>1</v>
      </c>
      <c r="AC216" s="37">
        <f t="shared" si="63"/>
        <v>1</v>
      </c>
      <c r="AD216" s="45">
        <f t="shared" si="61"/>
        <v>0.504366812227074</v>
      </c>
      <c r="AE216" s="37">
        <v>3</v>
      </c>
      <c r="AF216" s="37" t="s">
        <v>286</v>
      </c>
      <c r="AG216" s="37" t="str">
        <f t="shared" si="60"/>
        <v>yes</v>
      </c>
      <c r="AH216" s="37" t="str">
        <f t="array" ref="AH216">_xlfn.IFS(LOWER(AG216)="n","no",LOWER(AG216)="y","yes",TRUE,LOWER(AG216))</f>
        <v>yes</v>
      </c>
      <c r="AI216" s="37" t="s">
        <v>4692</v>
      </c>
    </row>
    <row r="217" spans="1:35">
      <c r="A217" s="46" t="s">
        <v>1183</v>
      </c>
      <c r="B217" s="47">
        <v>45364</v>
      </c>
      <c r="C217" s="39">
        <f t="shared" si="48"/>
        <v>45364</v>
      </c>
      <c r="D217" s="48" t="s">
        <v>4699</v>
      </c>
      <c r="E217" s="37" t="str" cm="1">
        <f t="array" ref="E217">_xlfn.IFS(D217="delhi","north",D217="mumbai","west",D217="bengaluru","south",D217="chennai","south",D217="kolkata","east",TRUE,"west")</f>
        <v>west</v>
      </c>
      <c r="F217" s="46" t="s">
        <v>175</v>
      </c>
      <c r="G217" s="37" t="str">
        <f t="shared" si="49"/>
        <v>ecomexpress</v>
      </c>
      <c r="H217" s="46" t="s">
        <v>157</v>
      </c>
      <c r="I217" s="37" t="str">
        <f t="shared" si="50"/>
        <v>surface</v>
      </c>
      <c r="J217" s="46" t="s">
        <v>368</v>
      </c>
      <c r="K217" s="37" t="str">
        <f t="shared" si="51"/>
        <v>furniture</v>
      </c>
      <c r="L217" s="46" t="s">
        <v>92</v>
      </c>
      <c r="M217" s="37" t="str">
        <f t="shared" si="52"/>
        <v>east</v>
      </c>
      <c r="N217" s="46" t="s">
        <v>126</v>
      </c>
      <c r="O217" s="41" t="str">
        <f t="shared" si="53"/>
        <v>Yes</v>
      </c>
      <c r="P217" s="49">
        <v>39.1</v>
      </c>
      <c r="Q217" s="51">
        <v>1053</v>
      </c>
      <c r="R217" s="42">
        <f t="shared" si="54"/>
        <v>26.9309462915601</v>
      </c>
      <c r="S217" s="46">
        <v>6</v>
      </c>
      <c r="T217" s="46" t="s">
        <v>697</v>
      </c>
      <c r="U217" s="43" t="str">
        <f t="shared" si="55"/>
        <v>28-mar-2024</v>
      </c>
      <c r="V217" s="43">
        <f t="shared" si="56"/>
        <v>45379</v>
      </c>
      <c r="W217" s="44">
        <f t="array" ref="W217">_xlfn.IFS(TRIM(C217)="","",TRIM(V217)="","",TRUE,V217-C217)</f>
        <v>15</v>
      </c>
      <c r="X217" s="37">
        <f t="shared" si="57"/>
        <v>9</v>
      </c>
      <c r="Y217" s="46" t="s">
        <v>200</v>
      </c>
      <c r="Z217" s="37" t="str">
        <f t="shared" si="58"/>
        <v>delayed</v>
      </c>
      <c r="AA217" s="37" t="str">
        <f t="shared" si="59"/>
        <v>Late</v>
      </c>
      <c r="AB217" s="37" t="str">
        <f t="shared" si="62"/>
        <v>1</v>
      </c>
      <c r="AC217" s="37">
        <f t="shared" si="63"/>
        <v>1</v>
      </c>
      <c r="AD217" s="45">
        <f t="shared" si="61"/>
        <v>0.504005826656956</v>
      </c>
      <c r="AE217" s="46">
        <v>2</v>
      </c>
      <c r="AF217" s="46" t="s">
        <v>152</v>
      </c>
      <c r="AG217" s="37" t="str">
        <f t="shared" si="60"/>
        <v>no</v>
      </c>
      <c r="AH217" s="37" t="str">
        <f t="array" ref="AH217">_xlfn.IFS(LOWER(AG217)="n","no",LOWER(AG217)="y","yes",TRUE,LOWER(AG217))</f>
        <v>no</v>
      </c>
      <c r="AI217" s="46" t="s">
        <v>4692</v>
      </c>
    </row>
    <row r="218" spans="1:35">
      <c r="A218" s="37" t="s">
        <v>1186</v>
      </c>
      <c r="B218" s="38">
        <v>45377</v>
      </c>
      <c r="C218" s="39">
        <f t="shared" si="48"/>
        <v>45377</v>
      </c>
      <c r="D218" s="40" t="s">
        <v>166</v>
      </c>
      <c r="E218" s="37" t="str" cm="1">
        <f t="array" ref="E218">_xlfn.IFS(D218="delhi","north",D218="mumbai","west",D218="bengaluru","south",D218="chennai","south",D218="kolkata","east",TRUE,"west")</f>
        <v>west</v>
      </c>
      <c r="F218" s="37" t="s">
        <v>333</v>
      </c>
      <c r="G218" s="37" t="str">
        <f t="shared" si="49"/>
        <v>delhivery</v>
      </c>
      <c r="H218" s="37" t="s">
        <v>224</v>
      </c>
      <c r="I218" s="37" t="str">
        <f t="shared" si="50"/>
        <v>air</v>
      </c>
      <c r="J218" s="37" t="s">
        <v>1145</v>
      </c>
      <c r="K218" s="37" t="str">
        <f t="shared" si="51"/>
        <v>grocery&amp;fmcg</v>
      </c>
      <c r="L218" s="37" t="s">
        <v>380</v>
      </c>
      <c r="M218" s="37" t="str">
        <f t="shared" si="52"/>
        <v>east</v>
      </c>
      <c r="N218" s="37" t="s">
        <v>396</v>
      </c>
      <c r="O218" s="41" t="str">
        <f t="shared" si="53"/>
        <v>Yes</v>
      </c>
      <c r="P218" s="41">
        <v>12.5</v>
      </c>
      <c r="Q218" s="41">
        <v>562</v>
      </c>
      <c r="R218" s="42">
        <f t="shared" si="54"/>
        <v>44.96</v>
      </c>
      <c r="S218" s="37">
        <v>2</v>
      </c>
      <c r="T218" s="37" t="s">
        <v>697</v>
      </c>
      <c r="U218" s="43" t="str">
        <f t="shared" si="55"/>
        <v>28-mar-2024</v>
      </c>
      <c r="V218" s="43">
        <f t="shared" si="56"/>
        <v>45379</v>
      </c>
      <c r="W218" s="44">
        <f t="array" ref="W218">_xlfn.IFS(TRIM(C218)="","",TRIM(V218)="","",TRUE,V218-C218)</f>
        <v>2</v>
      </c>
      <c r="X218" s="37">
        <f t="shared" si="57"/>
        <v>0</v>
      </c>
      <c r="Y218" s="37" t="s">
        <v>105</v>
      </c>
      <c r="Z218" s="37" t="str">
        <f t="shared" si="58"/>
        <v>delivered</v>
      </c>
      <c r="AA218" s="37" t="str">
        <f t="shared" si="59"/>
        <v>On Time</v>
      </c>
      <c r="AB218" s="37" t="str">
        <f t="shared" si="62"/>
        <v>0</v>
      </c>
      <c r="AC218" s="37">
        <f t="shared" si="63"/>
        <v>0</v>
      </c>
      <c r="AD218" s="45">
        <f t="shared" si="61"/>
        <v>0.503644314868805</v>
      </c>
      <c r="AE218" s="37">
        <v>4</v>
      </c>
      <c r="AF218" s="37" t="s">
        <v>286</v>
      </c>
      <c r="AG218" s="37" t="str">
        <f t="shared" si="60"/>
        <v>yes</v>
      </c>
      <c r="AH218" s="37" t="str">
        <f t="array" ref="AH218">_xlfn.IFS(LOWER(AG218)="n","no",LOWER(AG218)="y","yes",TRUE,LOWER(AG218))</f>
        <v>yes</v>
      </c>
      <c r="AI218" s="37" t="s">
        <v>4692</v>
      </c>
    </row>
    <row r="219" spans="1:35">
      <c r="A219" s="46" t="s">
        <v>1189</v>
      </c>
      <c r="B219" s="47" t="s">
        <v>4745</v>
      </c>
      <c r="C219" s="39">
        <f t="shared" si="48"/>
        <v>45422</v>
      </c>
      <c r="D219" s="48" t="s">
        <v>424</v>
      </c>
      <c r="E219" s="37" t="str" cm="1">
        <f t="array" ref="E219">_xlfn.IFS(D219="delhi","north",D219="mumbai","west",D219="bengaluru","south",D219="chennai","south",D219="kolkata","east",TRUE,"west")</f>
        <v>south</v>
      </c>
      <c r="F219" s="46" t="s">
        <v>333</v>
      </c>
      <c r="G219" s="37" t="str">
        <f t="shared" si="49"/>
        <v>delhivery</v>
      </c>
      <c r="H219" s="46" t="s">
        <v>345</v>
      </c>
      <c r="I219" s="37" t="str">
        <f t="shared" si="50"/>
        <v>surface</v>
      </c>
      <c r="J219" s="46" t="s">
        <v>148</v>
      </c>
      <c r="K219" s="37" t="str">
        <f t="shared" si="51"/>
        <v>electronics</v>
      </c>
      <c r="L219" s="46" t="s">
        <v>401</v>
      </c>
      <c r="M219" s="37" t="str">
        <f t="shared" si="52"/>
        <v>south</v>
      </c>
      <c r="N219" s="46" t="s">
        <v>90</v>
      </c>
      <c r="O219" s="41" t="str">
        <f t="shared" si="53"/>
        <v>Yes</v>
      </c>
      <c r="P219" s="49">
        <v>11.4</v>
      </c>
      <c r="Q219" s="49">
        <v>227</v>
      </c>
      <c r="R219" s="42">
        <f t="shared" si="54"/>
        <v>19.9122807017544</v>
      </c>
      <c r="S219" s="46">
        <v>4</v>
      </c>
      <c r="T219" s="46" t="s">
        <v>1193</v>
      </c>
      <c r="U219" s="43" t="str">
        <f t="shared" si="55"/>
        <v>13/05/2024</v>
      </c>
      <c r="V219" s="43">
        <f t="shared" si="56"/>
        <v>45425</v>
      </c>
      <c r="W219" s="44">
        <f t="array" ref="W219">_xlfn.IFS(TRIM(C219)="","",TRIM(V219)="","",TRUE,V219-C219)</f>
        <v>3</v>
      </c>
      <c r="X219" s="37">
        <f t="shared" si="57"/>
        <v>-1</v>
      </c>
      <c r="Y219" s="46" t="s">
        <v>117</v>
      </c>
      <c r="Z219" s="37" t="str">
        <f t="shared" si="58"/>
        <v>delivered</v>
      </c>
      <c r="AA219" s="37" t="str">
        <f t="shared" si="59"/>
        <v>On Time</v>
      </c>
      <c r="AB219" s="37" t="str">
        <f t="shared" si="62"/>
        <v>0</v>
      </c>
      <c r="AC219" s="37">
        <f t="shared" si="63"/>
        <v>0</v>
      </c>
      <c r="AD219" s="45">
        <f t="shared" si="61"/>
        <v>0.50401167031364</v>
      </c>
      <c r="AE219" s="46">
        <v>3</v>
      </c>
      <c r="AF219" s="46" t="s">
        <v>106</v>
      </c>
      <c r="AG219" s="37" t="str">
        <f t="shared" si="60"/>
        <v>yes</v>
      </c>
      <c r="AH219" s="37" t="str">
        <f t="array" ref="AH219">_xlfn.IFS(LOWER(AG219)="n","no",LOWER(AG219)="y","yes",TRUE,LOWER(AG219))</f>
        <v>yes</v>
      </c>
      <c r="AI219" s="46" t="s">
        <v>4692</v>
      </c>
    </row>
    <row r="220" spans="1:35">
      <c r="A220" s="37" t="s">
        <v>1194</v>
      </c>
      <c r="B220" s="38">
        <v>45440</v>
      </c>
      <c r="C220" s="39">
        <f t="shared" si="48"/>
        <v>45440</v>
      </c>
      <c r="D220" s="40" t="s">
        <v>633</v>
      </c>
      <c r="E220" s="37" t="str" cm="1">
        <f t="array" ref="E220">_xlfn.IFS(D220="delhi","north",D220="mumbai","west",D220="bengaluru","south",D220="chennai","south",D220="kolkata","east",TRUE,"west")</f>
        <v>south</v>
      </c>
      <c r="F220" s="37" t="s">
        <v>213</v>
      </c>
      <c r="G220" s="37" t="str">
        <f t="shared" si="49"/>
        <v>dtdc</v>
      </c>
      <c r="H220" s="37" t="s">
        <v>345</v>
      </c>
      <c r="I220" s="37" t="str">
        <f t="shared" si="50"/>
        <v>surface</v>
      </c>
      <c r="J220" s="37" t="s">
        <v>612</v>
      </c>
      <c r="K220" s="37" t="str">
        <f t="shared" si="51"/>
        <v>grocery&amp;fmcg</v>
      </c>
      <c r="L220" s="37" t="s">
        <v>89</v>
      </c>
      <c r="M220" s="37" t="str">
        <f t="shared" si="52"/>
        <v>west</v>
      </c>
      <c r="N220" s="37" t="s">
        <v>187</v>
      </c>
      <c r="O220" s="41" t="str">
        <f t="shared" si="53"/>
        <v>Yes</v>
      </c>
      <c r="P220" s="41">
        <v>10.7</v>
      </c>
      <c r="Q220" s="41">
        <v>390</v>
      </c>
      <c r="R220" s="42">
        <f t="shared" si="54"/>
        <v>36.4485981308411</v>
      </c>
      <c r="S220" s="37">
        <v>6</v>
      </c>
      <c r="T220" s="37" t="s">
        <v>262</v>
      </c>
      <c r="U220" s="43" t="str">
        <f t="shared" si="55"/>
        <v>02-jun-2024</v>
      </c>
      <c r="V220" s="43">
        <f t="shared" si="56"/>
        <v>45445</v>
      </c>
      <c r="W220" s="44">
        <f t="array" ref="W220">_xlfn.IFS(TRIM(C220)="","",TRIM(V220)="","",TRUE,V220-C220)</f>
        <v>5</v>
      </c>
      <c r="X220" s="37">
        <f t="shared" si="57"/>
        <v>-1</v>
      </c>
      <c r="Y220" s="37" t="s">
        <v>219</v>
      </c>
      <c r="Z220" s="37" t="str">
        <f t="shared" si="58"/>
        <v>delivered</v>
      </c>
      <c r="AA220" s="37" t="str">
        <f t="shared" si="59"/>
        <v>On Time</v>
      </c>
      <c r="AB220" s="37" t="str">
        <f t="shared" si="62"/>
        <v>0</v>
      </c>
      <c r="AC220" s="37">
        <f t="shared" si="63"/>
        <v>0</v>
      </c>
      <c r="AD220" s="45">
        <f t="shared" si="61"/>
        <v>0.504379562043796</v>
      </c>
      <c r="AE220" s="37">
        <v>5</v>
      </c>
      <c r="AF220" s="37" t="s">
        <v>118</v>
      </c>
      <c r="AG220" s="37" t="str">
        <f t="shared" si="60"/>
        <v>no</v>
      </c>
      <c r="AH220" s="37" t="str">
        <f t="array" ref="AH220">_xlfn.IFS(LOWER(AG220)="n","no",LOWER(AG220)="y","yes",TRUE,LOWER(AG220))</f>
        <v>no</v>
      </c>
      <c r="AI220" s="37" t="s">
        <v>4692</v>
      </c>
    </row>
    <row r="221" spans="1:35">
      <c r="A221" s="46" t="s">
        <v>1198</v>
      </c>
      <c r="B221" s="47" t="s">
        <v>4746</v>
      </c>
      <c r="C221" s="39">
        <f t="shared" si="48"/>
        <v>45406</v>
      </c>
      <c r="D221" s="48" t="s">
        <v>340</v>
      </c>
      <c r="E221" s="37" t="str" cm="1">
        <f t="array" ref="E221">_xlfn.IFS(D221="delhi","north",D221="mumbai","west",D221="bengaluru","south",D221="chennai","south",D221="kolkata","east",TRUE,"west")</f>
        <v>north</v>
      </c>
      <c r="F221" s="46" t="s">
        <v>194</v>
      </c>
      <c r="G221" s="37" t="str">
        <f t="shared" si="49"/>
        <v>xpressbees</v>
      </c>
      <c r="H221" s="46" t="s">
        <v>137</v>
      </c>
      <c r="I221" s="37" t="str">
        <f t="shared" si="50"/>
        <v>road</v>
      </c>
      <c r="J221" s="46" t="s">
        <v>498</v>
      </c>
      <c r="K221" s="37" t="str">
        <f t="shared" si="51"/>
        <v>apparel</v>
      </c>
      <c r="L221" s="46" t="s">
        <v>125</v>
      </c>
      <c r="M221" s="37" t="str">
        <f t="shared" si="52"/>
        <v>east</v>
      </c>
      <c r="N221" s="46" t="s">
        <v>91</v>
      </c>
      <c r="O221" s="41" t="str">
        <f t="shared" si="53"/>
        <v>Yes</v>
      </c>
      <c r="P221" s="49">
        <v>4</v>
      </c>
      <c r="Q221" s="49">
        <v>238</v>
      </c>
      <c r="R221" s="42">
        <f t="shared" si="54"/>
        <v>59.5</v>
      </c>
      <c r="S221" s="46">
        <v>8</v>
      </c>
      <c r="T221" s="46" t="s">
        <v>742</v>
      </c>
      <c r="U221" s="43" t="str">
        <f t="shared" si="55"/>
        <v>2024-05-03</v>
      </c>
      <c r="V221" s="43">
        <f t="shared" si="56"/>
        <v>45415</v>
      </c>
      <c r="W221" s="44">
        <f t="array" ref="W221">_xlfn.IFS(TRIM(C221)="","",TRIM(V221)="","",TRUE,V221-C221)</f>
        <v>9</v>
      </c>
      <c r="X221" s="37">
        <f t="shared" si="57"/>
        <v>1</v>
      </c>
      <c r="Y221" s="46" t="s">
        <v>72</v>
      </c>
      <c r="Z221" s="37" t="str">
        <f t="shared" si="58"/>
        <v>delayed</v>
      </c>
      <c r="AA221" s="37" t="str">
        <f t="shared" si="59"/>
        <v>Late</v>
      </c>
      <c r="AB221" s="37" t="str">
        <f t="shared" si="62"/>
        <v>1</v>
      </c>
      <c r="AC221" s="37">
        <f t="shared" si="63"/>
        <v>1</v>
      </c>
      <c r="AD221" s="45">
        <f t="shared" si="61"/>
        <v>0.504747991234478</v>
      </c>
      <c r="AE221" s="46">
        <v>2</v>
      </c>
      <c r="AF221" s="46" t="s">
        <v>131</v>
      </c>
      <c r="AG221" s="37" t="str">
        <f t="shared" si="60"/>
        <v>n</v>
      </c>
      <c r="AH221" s="37" t="str">
        <f t="array" ref="AH221">_xlfn.IFS(LOWER(AG221)="n","no",LOWER(AG221)="y","yes",TRUE,LOWER(AG221))</f>
        <v>no</v>
      </c>
      <c r="AI221" s="46" t="s">
        <v>4692</v>
      </c>
    </row>
    <row r="222" spans="1:35">
      <c r="A222" s="37" t="s">
        <v>1200</v>
      </c>
      <c r="B222" s="38">
        <v>45353</v>
      </c>
      <c r="C222" s="39">
        <f t="shared" si="48"/>
        <v>45353</v>
      </c>
      <c r="D222" s="40" t="s">
        <v>222</v>
      </c>
      <c r="E222" s="37" t="str" cm="1">
        <f t="array" ref="E222">_xlfn.IFS(D222="delhi","north",D222="mumbai","west",D222="bengaluru","south",D222="chennai","south",D222="kolkata","east",TRUE,"west")</f>
        <v>west</v>
      </c>
      <c r="F222" s="37" t="s">
        <v>270</v>
      </c>
      <c r="G222" s="37" t="str">
        <f t="shared" si="49"/>
        <v>ecomexpress</v>
      </c>
      <c r="H222" s="37" t="s">
        <v>137</v>
      </c>
      <c r="I222" s="37" t="str">
        <f t="shared" si="50"/>
        <v>road</v>
      </c>
      <c r="J222" s="37" t="s">
        <v>353</v>
      </c>
      <c r="K222" s="37" t="str">
        <f t="shared" si="51"/>
        <v>automotiveparts</v>
      </c>
      <c r="L222" s="37" t="s">
        <v>197</v>
      </c>
      <c r="M222" s="37" t="str">
        <f t="shared" si="52"/>
        <v>south</v>
      </c>
      <c r="N222" s="37" t="s">
        <v>327</v>
      </c>
      <c r="O222" s="41" t="str">
        <f t="shared" si="53"/>
        <v>Yes</v>
      </c>
      <c r="P222" s="41">
        <v>13.8</v>
      </c>
      <c r="Q222" s="41" t="s">
        <v>1202</v>
      </c>
      <c r="R222" s="42">
        <f t="shared" si="54"/>
        <v>24.3478260869565</v>
      </c>
      <c r="S222" s="37">
        <v>8</v>
      </c>
      <c r="T222" s="37" t="s">
        <v>1107</v>
      </c>
      <c r="U222" s="43" t="str">
        <f t="shared" si="55"/>
        <v>10/03/2024</v>
      </c>
      <c r="V222" s="43">
        <f t="shared" si="56"/>
        <v>45361</v>
      </c>
      <c r="W222" s="44">
        <f t="array" ref="W222">_xlfn.IFS(TRIM(C222)="","",TRIM(V222)="","",TRUE,V222-C222)</f>
        <v>8</v>
      </c>
      <c r="X222" s="37">
        <f t="shared" si="57"/>
        <v>0</v>
      </c>
      <c r="Y222" s="37" t="s">
        <v>219</v>
      </c>
      <c r="Z222" s="37" t="str">
        <f t="shared" si="58"/>
        <v>delivered</v>
      </c>
      <c r="AA222" s="37" t="str">
        <f t="shared" si="59"/>
        <v>On Time</v>
      </c>
      <c r="AB222" s="37" t="str">
        <f t="shared" si="62"/>
        <v>0</v>
      </c>
      <c r="AC222" s="37">
        <f t="shared" si="63"/>
        <v>0</v>
      </c>
      <c r="AD222" s="45">
        <f t="shared" si="61"/>
        <v>0.504385964912281</v>
      </c>
      <c r="AE222" s="37">
        <v>4</v>
      </c>
      <c r="AF222" s="37" t="s">
        <v>106</v>
      </c>
      <c r="AG222" s="37" t="str">
        <f t="shared" si="60"/>
        <v>yes</v>
      </c>
      <c r="AH222" s="37" t="str">
        <f t="array" ref="AH222">_xlfn.IFS(LOWER(AG222)="n","no",LOWER(AG222)="y","yes",TRUE,LOWER(AG222))</f>
        <v>yes</v>
      </c>
      <c r="AI222" s="37" t="s">
        <v>4692</v>
      </c>
    </row>
    <row r="223" spans="1:35">
      <c r="A223" s="46" t="s">
        <v>1203</v>
      </c>
      <c r="B223" s="47">
        <v>45304</v>
      </c>
      <c r="C223" s="39">
        <f t="shared" si="48"/>
        <v>45304</v>
      </c>
      <c r="D223" s="48" t="s">
        <v>222</v>
      </c>
      <c r="E223" s="37" t="str" cm="1">
        <f t="array" ref="E223">_xlfn.IFS(D223="delhi","north",D223="mumbai","west",D223="bengaluru","south",D223="chennai","south",D223="kolkata","east",TRUE,"west")</f>
        <v>west</v>
      </c>
      <c r="F223" s="46" t="s">
        <v>352</v>
      </c>
      <c r="G223" s="37" t="str">
        <f t="shared" si="49"/>
        <v>delhivery</v>
      </c>
      <c r="H223" s="46" t="s">
        <v>157</v>
      </c>
      <c r="I223" s="37" t="str">
        <f t="shared" si="50"/>
        <v>surface</v>
      </c>
      <c r="J223" s="46" t="s">
        <v>664</v>
      </c>
      <c r="K223" s="37" t="str">
        <f t="shared" si="51"/>
        <v>grocery&amp;fmcg</v>
      </c>
      <c r="L223" s="46" t="s">
        <v>334</v>
      </c>
      <c r="M223" s="37" t="str">
        <f t="shared" si="52"/>
        <v>north</v>
      </c>
      <c r="N223" s="46" t="s">
        <v>32</v>
      </c>
      <c r="O223" s="41" t="str">
        <f t="shared" si="53"/>
        <v>Yes</v>
      </c>
      <c r="P223" s="49">
        <v>15</v>
      </c>
      <c r="Q223" s="49" t="s">
        <v>1205</v>
      </c>
      <c r="R223" s="42">
        <f t="shared" si="54"/>
        <v>31.3333333333333</v>
      </c>
      <c r="S223" s="46">
        <v>6</v>
      </c>
      <c r="T223" s="46" t="s">
        <v>506</v>
      </c>
      <c r="U223" s="43" t="str">
        <f t="shared" si="55"/>
        <v>19-jan-2024</v>
      </c>
      <c r="V223" s="43">
        <f t="shared" si="56"/>
        <v>45310</v>
      </c>
      <c r="W223" s="44">
        <f t="array" ref="W223">_xlfn.IFS(TRIM(C223)="","",TRIM(V223)="","",TRUE,V223-C223)</f>
        <v>6</v>
      </c>
      <c r="X223" s="37">
        <f t="shared" si="57"/>
        <v>0</v>
      </c>
      <c r="Y223" s="46" t="s">
        <v>219</v>
      </c>
      <c r="Z223" s="37" t="str">
        <f t="shared" si="58"/>
        <v>delivered</v>
      </c>
      <c r="AA223" s="37" t="str">
        <f t="shared" si="59"/>
        <v>On Time</v>
      </c>
      <c r="AB223" s="37" t="str">
        <f t="shared" si="62"/>
        <v>0</v>
      </c>
      <c r="AC223" s="37">
        <f t="shared" si="63"/>
        <v>0</v>
      </c>
      <c r="AD223" s="45">
        <f t="shared" si="61"/>
        <v>0.504754937820044</v>
      </c>
      <c r="AE223" s="46">
        <v>4</v>
      </c>
      <c r="AF223" s="46" t="s">
        <v>118</v>
      </c>
      <c r="AG223" s="37" t="str">
        <f t="shared" si="60"/>
        <v>no</v>
      </c>
      <c r="AH223" s="37" t="str">
        <f t="array" ref="AH223">_xlfn.IFS(LOWER(AG223)="n","no",LOWER(AG223)="y","yes",TRUE,LOWER(AG223))</f>
        <v>no</v>
      </c>
      <c r="AI223" s="46" t="s">
        <v>4692</v>
      </c>
    </row>
    <row r="224" spans="1:35">
      <c r="A224" s="37" t="s">
        <v>1206</v>
      </c>
      <c r="B224" s="38">
        <v>45470</v>
      </c>
      <c r="C224" s="39">
        <f t="shared" si="48"/>
        <v>45470</v>
      </c>
      <c r="D224" s="40" t="s">
        <v>4694</v>
      </c>
      <c r="E224" s="37" t="str" cm="1">
        <f t="array" ref="E224">_xlfn.IFS(D224="delhi","north",D224="mumbai","west",D224="bengaluru","south",D224="chennai","south",D224="kolkata","east",TRUE,"west")</f>
        <v>west</v>
      </c>
      <c r="F224" s="37" t="s">
        <v>156</v>
      </c>
      <c r="G224" s="37" t="str">
        <f t="shared" si="49"/>
        <v>xpressbees</v>
      </c>
      <c r="H224" s="37" t="s">
        <v>99</v>
      </c>
      <c r="I224" s="37" t="str">
        <f t="shared" si="50"/>
        <v>air</v>
      </c>
      <c r="J224" s="37" t="s">
        <v>301</v>
      </c>
      <c r="K224" s="37" t="str">
        <f t="shared" si="51"/>
        <v>furniture</v>
      </c>
      <c r="L224" s="37" t="s">
        <v>401</v>
      </c>
      <c r="M224" s="37" t="str">
        <f t="shared" si="52"/>
        <v>south</v>
      </c>
      <c r="N224" s="37" t="s">
        <v>327</v>
      </c>
      <c r="O224" s="41" t="str">
        <f t="shared" si="53"/>
        <v>Yes</v>
      </c>
      <c r="P224" s="41">
        <v>65.4</v>
      </c>
      <c r="Q224" s="50">
        <v>2934</v>
      </c>
      <c r="R224" s="42">
        <f t="shared" si="54"/>
        <v>44.8623853211009</v>
      </c>
      <c r="S224" s="37">
        <v>2</v>
      </c>
      <c r="T224" s="37" t="s">
        <v>1092</v>
      </c>
      <c r="U224" s="43" t="str">
        <f t="shared" si="55"/>
        <v>29-jun-2024</v>
      </c>
      <c r="V224" s="43">
        <f t="shared" si="56"/>
        <v>45472</v>
      </c>
      <c r="W224" s="44">
        <f t="array" ref="W224">_xlfn.IFS(TRIM(C224)="","",TRIM(V224)="","",TRUE,V224-C224)</f>
        <v>2</v>
      </c>
      <c r="X224" s="37">
        <f t="shared" si="57"/>
        <v>0</v>
      </c>
      <c r="Y224" s="37" t="s">
        <v>117</v>
      </c>
      <c r="Z224" s="37" t="str">
        <f t="shared" si="58"/>
        <v>delivered</v>
      </c>
      <c r="AA224" s="37" t="str">
        <f t="shared" si="59"/>
        <v>On Time</v>
      </c>
      <c r="AB224" s="37" t="str">
        <f t="shared" si="62"/>
        <v>0</v>
      </c>
      <c r="AC224" s="37">
        <f t="shared" si="63"/>
        <v>0</v>
      </c>
      <c r="AD224" s="45">
        <f t="shared" si="61"/>
        <v>0.505124450951684</v>
      </c>
      <c r="AE224" s="37">
        <v>1</v>
      </c>
      <c r="AF224" s="37" t="s">
        <v>118</v>
      </c>
      <c r="AG224" s="37" t="str">
        <f t="shared" si="60"/>
        <v>no</v>
      </c>
      <c r="AH224" s="37" t="str">
        <f t="array" ref="AH224">_xlfn.IFS(LOWER(AG224)="n","no",LOWER(AG224)="y","yes",TRUE,LOWER(AG224))</f>
        <v>no</v>
      </c>
      <c r="AI224" s="37" t="s">
        <v>4692</v>
      </c>
    </row>
    <row r="225" spans="1:35">
      <c r="A225" s="46" t="s">
        <v>1210</v>
      </c>
      <c r="B225" s="47">
        <v>45296</v>
      </c>
      <c r="C225" s="39">
        <f t="shared" si="48"/>
        <v>45296</v>
      </c>
      <c r="D225" s="48" t="s">
        <v>4694</v>
      </c>
      <c r="E225" s="37" t="str" cm="1">
        <f t="array" ref="E225">_xlfn.IFS(D225="delhi","north",D225="mumbai","west",D225="bengaluru","south",D225="chennai","south",D225="kolkata","east",TRUE,"west")</f>
        <v>west</v>
      </c>
      <c r="F225" s="46" t="s">
        <v>544</v>
      </c>
      <c r="G225" s="37" t="str">
        <f t="shared" si="49"/>
        <v>bluedart</v>
      </c>
      <c r="H225" s="46" t="s">
        <v>244</v>
      </c>
      <c r="I225" s="37" t="str">
        <f t="shared" si="50"/>
        <v>air</v>
      </c>
      <c r="J225" s="46" t="s">
        <v>498</v>
      </c>
      <c r="K225" s="37" t="str">
        <f t="shared" si="51"/>
        <v>apparel</v>
      </c>
      <c r="L225" s="46" t="s">
        <v>197</v>
      </c>
      <c r="M225" s="37" t="str">
        <f t="shared" si="52"/>
        <v>south</v>
      </c>
      <c r="N225" s="46" t="s">
        <v>93</v>
      </c>
      <c r="O225" s="41" t="str">
        <f t="shared" si="53"/>
        <v>Yes</v>
      </c>
      <c r="P225" s="49">
        <v>6.2</v>
      </c>
      <c r="Q225" s="49">
        <v>291</v>
      </c>
      <c r="R225" s="42">
        <f t="shared" si="54"/>
        <v>46.9354838709677</v>
      </c>
      <c r="S225" s="46">
        <v>2</v>
      </c>
      <c r="T225" s="46" t="s">
        <v>288</v>
      </c>
      <c r="U225" s="43" t="str">
        <f t="shared" si="55"/>
        <v>07/01/2024</v>
      </c>
      <c r="V225" s="43">
        <f t="shared" si="56"/>
        <v>45298</v>
      </c>
      <c r="W225" s="44">
        <f t="array" ref="W225">_xlfn.IFS(TRIM(C225)="","",TRIM(V225)="","",TRUE,V225-C225)</f>
        <v>2</v>
      </c>
      <c r="X225" s="37">
        <f t="shared" si="57"/>
        <v>0</v>
      </c>
      <c r="Y225" s="46" t="s">
        <v>105</v>
      </c>
      <c r="Z225" s="37" t="str">
        <f t="shared" si="58"/>
        <v>delivered</v>
      </c>
      <c r="AA225" s="37" t="str">
        <f t="shared" si="59"/>
        <v>On Time</v>
      </c>
      <c r="AB225" s="37" t="str">
        <f t="shared" si="62"/>
        <v>0</v>
      </c>
      <c r="AC225" s="37">
        <f t="shared" si="63"/>
        <v>0</v>
      </c>
      <c r="AD225" s="45">
        <f t="shared" si="61"/>
        <v>0.505494505494505</v>
      </c>
      <c r="AE225" s="46">
        <v>4</v>
      </c>
      <c r="AF225" s="46" t="s">
        <v>106</v>
      </c>
      <c r="AG225" s="37" t="str">
        <f t="shared" si="60"/>
        <v>yes</v>
      </c>
      <c r="AH225" s="37" t="str">
        <f t="array" ref="AH225">_xlfn.IFS(LOWER(AG225)="n","no",LOWER(AG225)="y","yes",TRUE,LOWER(AG225))</f>
        <v>yes</v>
      </c>
      <c r="AI225" s="46" t="s">
        <v>4692</v>
      </c>
    </row>
    <row r="226" spans="1:35">
      <c r="A226" s="37" t="s">
        <v>1214</v>
      </c>
      <c r="B226" s="38">
        <v>45434</v>
      </c>
      <c r="C226" s="39">
        <f t="shared" si="48"/>
        <v>45434</v>
      </c>
      <c r="D226" s="40" t="s">
        <v>633</v>
      </c>
      <c r="E226" s="37" t="str" cm="1">
        <f t="array" ref="E226">_xlfn.IFS(D226="delhi","north",D226="mumbai","west",D226="bengaluru","south",D226="chennai","south",D226="kolkata","east",TRUE,"west")</f>
        <v>south</v>
      </c>
      <c r="F226" s="37" t="s">
        <v>146</v>
      </c>
      <c r="G226" s="37" t="str">
        <f t="shared" si="49"/>
        <v>ecomexpress</v>
      </c>
      <c r="H226" s="37" t="s">
        <v>345</v>
      </c>
      <c r="I226" s="37" t="str">
        <f t="shared" si="50"/>
        <v>surface</v>
      </c>
      <c r="J226" s="37" t="s">
        <v>100</v>
      </c>
      <c r="K226" s="37" t="str">
        <f t="shared" si="51"/>
        <v>electronics</v>
      </c>
      <c r="L226" s="37" t="s">
        <v>101</v>
      </c>
      <c r="M226" s="37" t="str">
        <f t="shared" si="52"/>
        <v>west</v>
      </c>
      <c r="N226" s="37" t="s">
        <v>88</v>
      </c>
      <c r="O226" s="41" t="str">
        <f t="shared" si="53"/>
        <v>Yes</v>
      </c>
      <c r="P226" s="41">
        <v>4.2</v>
      </c>
      <c r="Q226" s="41">
        <v>284</v>
      </c>
      <c r="R226" s="42">
        <f t="shared" si="54"/>
        <v>67.6190476190476</v>
      </c>
      <c r="S226" s="37">
        <v>6</v>
      </c>
      <c r="T226" s="37" t="s">
        <v>1064</v>
      </c>
      <c r="U226" s="43" t="str">
        <f t="shared" si="55"/>
        <v>2024-05-29</v>
      </c>
      <c r="V226" s="43">
        <f t="shared" si="56"/>
        <v>45441</v>
      </c>
      <c r="W226" s="44">
        <f t="array" ref="W226">_xlfn.IFS(TRIM(C226)="","",TRIM(V226)="","",TRUE,V226-C226)</f>
        <v>7</v>
      </c>
      <c r="X226" s="37">
        <f t="shared" si="57"/>
        <v>1</v>
      </c>
      <c r="Y226" s="37" t="s">
        <v>200</v>
      </c>
      <c r="Z226" s="37" t="str">
        <f t="shared" si="58"/>
        <v>delayed</v>
      </c>
      <c r="AA226" s="37" t="str">
        <f t="shared" si="59"/>
        <v>Late</v>
      </c>
      <c r="AB226" s="37" t="str">
        <f t="shared" si="62"/>
        <v>1</v>
      </c>
      <c r="AC226" s="37">
        <f t="shared" si="63"/>
        <v>1</v>
      </c>
      <c r="AD226" s="45">
        <f t="shared" si="61"/>
        <v>0.505865102639296</v>
      </c>
      <c r="AE226" s="37">
        <v>1</v>
      </c>
      <c r="AF226" s="37" t="s">
        <v>191</v>
      </c>
      <c r="AG226" s="37" t="str">
        <f t="shared" si="60"/>
        <v>no</v>
      </c>
      <c r="AH226" s="37" t="str">
        <f t="array" ref="AH226">_xlfn.IFS(LOWER(AG226)="n","no",LOWER(AG226)="y","yes",TRUE,LOWER(AG226))</f>
        <v>no</v>
      </c>
      <c r="AI226" s="37" t="s">
        <v>4692</v>
      </c>
    </row>
    <row r="227" spans="1:35">
      <c r="A227" s="46" t="s">
        <v>1217</v>
      </c>
      <c r="B227" s="47">
        <v>45394</v>
      </c>
      <c r="C227" s="39">
        <f t="shared" si="48"/>
        <v>45394</v>
      </c>
      <c r="D227" s="48" t="s">
        <v>424</v>
      </c>
      <c r="E227" s="37" t="str" cm="1">
        <f t="array" ref="E227">_xlfn.IFS(D227="delhi","north",D227="mumbai","west",D227="bengaluru","south",D227="chennai","south",D227="kolkata","east",TRUE,"west")</f>
        <v>south</v>
      </c>
      <c r="F227" s="46" t="s">
        <v>122</v>
      </c>
      <c r="G227" s="37" t="str">
        <f t="shared" si="49"/>
        <v>delhivery</v>
      </c>
      <c r="H227" s="46" t="s">
        <v>244</v>
      </c>
      <c r="I227" s="37" t="str">
        <f t="shared" si="50"/>
        <v>air</v>
      </c>
      <c r="J227" s="46" t="s">
        <v>425</v>
      </c>
      <c r="K227" s="37" t="str">
        <f t="shared" si="51"/>
        <v>automotiveparts</v>
      </c>
      <c r="L227" s="46" t="s">
        <v>92</v>
      </c>
      <c r="M227" s="37" t="str">
        <f t="shared" si="52"/>
        <v>east</v>
      </c>
      <c r="N227" s="46" t="s">
        <v>126</v>
      </c>
      <c r="O227" s="41" t="str">
        <f t="shared" si="53"/>
        <v>Yes</v>
      </c>
      <c r="P227" s="49">
        <v>16.4</v>
      </c>
      <c r="Q227" s="49">
        <v>902</v>
      </c>
      <c r="R227" s="42">
        <f t="shared" si="54"/>
        <v>55</v>
      </c>
      <c r="S227" s="46">
        <v>4</v>
      </c>
      <c r="T227" s="46" t="s">
        <v>1220</v>
      </c>
      <c r="U227" s="43" t="str">
        <f t="shared" si="55"/>
        <v>16/04/2024</v>
      </c>
      <c r="V227" s="43">
        <f t="shared" si="56"/>
        <v>45398</v>
      </c>
      <c r="W227" s="44">
        <f t="array" ref="W227">_xlfn.IFS(TRIM(C227)="","",TRIM(V227)="","",TRUE,V227-C227)</f>
        <v>4</v>
      </c>
      <c r="X227" s="37">
        <f t="shared" si="57"/>
        <v>0</v>
      </c>
      <c r="Y227" s="46" t="s">
        <v>219</v>
      </c>
      <c r="Z227" s="37" t="str">
        <f t="shared" si="58"/>
        <v>delivered</v>
      </c>
      <c r="AA227" s="37" t="str">
        <f t="shared" si="59"/>
        <v>On Time</v>
      </c>
      <c r="AB227" s="37" t="str">
        <f t="shared" si="62"/>
        <v>0</v>
      </c>
      <c r="AC227" s="37">
        <f t="shared" si="63"/>
        <v>0</v>
      </c>
      <c r="AD227" s="45">
        <f t="shared" si="61"/>
        <v>0.505502567865004</v>
      </c>
      <c r="AE227" s="46">
        <v>4</v>
      </c>
      <c r="AF227" s="46" t="s">
        <v>181</v>
      </c>
      <c r="AG227" s="37" t="str">
        <f t="shared" si="60"/>
        <v>y</v>
      </c>
      <c r="AH227" s="37" t="str">
        <f t="array" ref="AH227">_xlfn.IFS(LOWER(AG227)="n","no",LOWER(AG227)="y","yes",TRUE,LOWER(AG227))</f>
        <v>yes</v>
      </c>
      <c r="AI227" s="46" t="s">
        <v>4692</v>
      </c>
    </row>
    <row r="228" spans="1:35">
      <c r="A228" s="37" t="s">
        <v>1221</v>
      </c>
      <c r="B228" s="38">
        <v>45339</v>
      </c>
      <c r="C228" s="39">
        <f t="shared" si="48"/>
        <v>45339</v>
      </c>
      <c r="D228" s="40" t="s">
        <v>109</v>
      </c>
      <c r="E228" s="37" t="str" cm="1">
        <f t="array" ref="E228">_xlfn.IFS(D228="delhi","north",D228="mumbai","west",D228="bengaluru","south",D228="chennai","south",D228="kolkata","east",TRUE,"west")</f>
        <v>west</v>
      </c>
      <c r="F228" s="37" t="s">
        <v>98</v>
      </c>
      <c r="G228" s="37" t="str">
        <f t="shared" si="49"/>
        <v>dtdc</v>
      </c>
      <c r="H228" s="37" t="s">
        <v>110</v>
      </c>
      <c r="I228" s="37" t="str">
        <f t="shared" si="50"/>
        <v>surface</v>
      </c>
      <c r="J228" s="37" t="s">
        <v>498</v>
      </c>
      <c r="K228" s="37" t="str">
        <f t="shared" si="51"/>
        <v>apparel</v>
      </c>
      <c r="L228" s="37" t="s">
        <v>101</v>
      </c>
      <c r="M228" s="37" t="str">
        <f t="shared" si="52"/>
        <v>west</v>
      </c>
      <c r="N228" s="37" t="s">
        <v>88</v>
      </c>
      <c r="O228" s="41" t="str">
        <f t="shared" si="53"/>
        <v>Yes</v>
      </c>
      <c r="P228" s="41">
        <v>3.8</v>
      </c>
      <c r="Q228" s="41">
        <v>124</v>
      </c>
      <c r="R228" s="42">
        <f t="shared" si="54"/>
        <v>32.6315789473684</v>
      </c>
      <c r="S228" s="37">
        <v>4</v>
      </c>
      <c r="T228" s="37" t="s">
        <v>1224</v>
      </c>
      <c r="U228" s="43" t="str">
        <f t="shared" si="55"/>
        <v>21-feb-2024</v>
      </c>
      <c r="V228" s="43">
        <f t="shared" si="56"/>
        <v>45343</v>
      </c>
      <c r="W228" s="44">
        <f t="array" ref="W228">_xlfn.IFS(TRIM(C228)="","",TRIM(V228)="","",TRUE,V228-C228)</f>
        <v>4</v>
      </c>
      <c r="X228" s="37">
        <f t="shared" si="57"/>
        <v>0</v>
      </c>
      <c r="Y228" s="37" t="s">
        <v>163</v>
      </c>
      <c r="Z228" s="37" t="str">
        <f t="shared" si="58"/>
        <v>delivered</v>
      </c>
      <c r="AA228" s="37" t="str">
        <f t="shared" si="59"/>
        <v>On Time</v>
      </c>
      <c r="AB228" s="37" t="str">
        <f t="shared" si="62"/>
        <v>0</v>
      </c>
      <c r="AC228" s="37">
        <f t="shared" si="63"/>
        <v>0</v>
      </c>
      <c r="AD228" s="45">
        <f t="shared" si="61"/>
        <v>0.505873715124816</v>
      </c>
      <c r="AE228" s="37">
        <v>4</v>
      </c>
      <c r="AF228" s="37" t="s">
        <v>106</v>
      </c>
      <c r="AG228" s="37" t="str">
        <f t="shared" si="60"/>
        <v>yes</v>
      </c>
      <c r="AH228" s="37" t="str">
        <f t="array" ref="AH228">_xlfn.IFS(LOWER(AG228)="n","no",LOWER(AG228)="y","yes",TRUE,LOWER(AG228))</f>
        <v>yes</v>
      </c>
      <c r="AI228" s="37" t="s">
        <v>4692</v>
      </c>
    </row>
    <row r="229" spans="1:35">
      <c r="A229" s="46" t="s">
        <v>1225</v>
      </c>
      <c r="B229" s="47">
        <v>45375</v>
      </c>
      <c r="C229" s="39">
        <f t="shared" si="48"/>
        <v>45375</v>
      </c>
      <c r="D229" s="48" t="s">
        <v>4695</v>
      </c>
      <c r="E229" s="37" t="str" cm="1">
        <f t="array" ref="E229">_xlfn.IFS(D229="delhi","north",D229="mumbai","west",D229="bengaluru","south",D229="chennai","south",D229="kolkata","east",TRUE,"west")</f>
        <v>west</v>
      </c>
      <c r="F229" s="46" t="s">
        <v>367</v>
      </c>
      <c r="G229" s="37" t="str">
        <f t="shared" si="49"/>
        <v>dtdc</v>
      </c>
      <c r="H229" s="46" t="s">
        <v>110</v>
      </c>
      <c r="I229" s="37" t="str">
        <f t="shared" si="50"/>
        <v>surface</v>
      </c>
      <c r="J229" s="46" t="s">
        <v>981</v>
      </c>
      <c r="K229" s="37" t="str">
        <f t="shared" si="51"/>
        <v>automotiveparts</v>
      </c>
      <c r="L229" s="46" t="s">
        <v>418</v>
      </c>
      <c r="M229" s="37" t="str">
        <f t="shared" si="52"/>
        <v>south</v>
      </c>
      <c r="N229" s="46" t="s">
        <v>54</v>
      </c>
      <c r="O229" s="41" t="str">
        <f t="shared" si="53"/>
        <v>Yes</v>
      </c>
      <c r="P229" s="49" t="s">
        <v>1226</v>
      </c>
      <c r="Q229" s="51">
        <v>1000</v>
      </c>
      <c r="R229" s="42">
        <f t="shared" si="54"/>
        <v>26.8817204301075</v>
      </c>
      <c r="S229" s="46">
        <v>6</v>
      </c>
      <c r="T229" s="46" t="s">
        <v>1228</v>
      </c>
      <c r="U229" s="43" t="str">
        <f t="shared" si="55"/>
        <v>08-apr-2024</v>
      </c>
      <c r="V229" s="43">
        <f t="shared" si="56"/>
        <v>45390</v>
      </c>
      <c r="W229" s="44">
        <f t="array" ref="W229">_xlfn.IFS(TRIM(C229)="","",TRIM(V229)="","",TRUE,V229-C229)</f>
        <v>15</v>
      </c>
      <c r="X229" s="37">
        <f t="shared" si="57"/>
        <v>9</v>
      </c>
      <c r="Y229" s="46" t="s">
        <v>200</v>
      </c>
      <c r="Z229" s="37" t="str">
        <f t="shared" si="58"/>
        <v>delayed</v>
      </c>
      <c r="AA229" s="37" t="str">
        <f t="shared" si="59"/>
        <v>Late</v>
      </c>
      <c r="AB229" s="37" t="str">
        <f t="shared" si="62"/>
        <v>1</v>
      </c>
      <c r="AC229" s="37">
        <f t="shared" si="63"/>
        <v>1</v>
      </c>
      <c r="AD229" s="45">
        <f t="shared" si="61"/>
        <v>0.506245407788391</v>
      </c>
      <c r="AE229" s="46">
        <v>3</v>
      </c>
      <c r="AF229" s="46" t="s">
        <v>118</v>
      </c>
      <c r="AG229" s="37" t="str">
        <f t="shared" si="60"/>
        <v>no</v>
      </c>
      <c r="AH229" s="37" t="str">
        <f t="array" ref="AH229">_xlfn.IFS(LOWER(AG229)="n","no",LOWER(AG229)="y","yes",TRUE,LOWER(AG229))</f>
        <v>no</v>
      </c>
      <c r="AI229" s="46" t="s">
        <v>4692</v>
      </c>
    </row>
    <row r="230" spans="1:35">
      <c r="A230" s="37" t="s">
        <v>1229</v>
      </c>
      <c r="B230" s="38" t="s">
        <v>4747</v>
      </c>
      <c r="C230" s="39">
        <f t="shared" si="48"/>
        <v>45345</v>
      </c>
      <c r="D230" s="40" t="s">
        <v>424</v>
      </c>
      <c r="E230" s="37" t="str" cm="1">
        <f t="array" ref="E230">_xlfn.IFS(D230="delhi","north",D230="mumbai","west",D230="bengaluru","south",D230="chennai","south",D230="kolkata","east",TRUE,"west")</f>
        <v>south</v>
      </c>
      <c r="F230" s="37" t="s">
        <v>156</v>
      </c>
      <c r="G230" s="37" t="str">
        <f t="shared" si="49"/>
        <v>xpressbees</v>
      </c>
      <c r="H230" s="37" t="s">
        <v>440</v>
      </c>
      <c r="I230" s="37" t="str">
        <f t="shared" si="50"/>
        <v>road</v>
      </c>
      <c r="J230" s="37" t="s">
        <v>231</v>
      </c>
      <c r="K230" s="37" t="str">
        <f t="shared" si="51"/>
        <v>furniture</v>
      </c>
      <c r="L230" s="37" t="s">
        <v>418</v>
      </c>
      <c r="M230" s="37" t="str">
        <f t="shared" si="52"/>
        <v>south</v>
      </c>
      <c r="N230" s="37" t="s">
        <v>93</v>
      </c>
      <c r="O230" s="41" t="str">
        <f t="shared" si="53"/>
        <v>Yes</v>
      </c>
      <c r="P230" s="41" t="s">
        <v>1231</v>
      </c>
      <c r="Q230" s="41" t="s">
        <v>666</v>
      </c>
      <c r="R230" s="42">
        <f t="shared" si="54"/>
        <v>14.1558441558442</v>
      </c>
      <c r="S230" s="37">
        <v>6</v>
      </c>
      <c r="T230" s="37" t="s">
        <v>842</v>
      </c>
      <c r="U230" s="43" t="str">
        <f t="shared" si="55"/>
        <v>01/03/2024</v>
      </c>
      <c r="V230" s="43">
        <f t="shared" si="56"/>
        <v>45352</v>
      </c>
      <c r="W230" s="44">
        <f t="array" ref="W230">_xlfn.IFS(TRIM(C230)="","",TRIM(V230)="","",TRUE,V230-C230)</f>
        <v>7</v>
      </c>
      <c r="X230" s="37">
        <f t="shared" si="57"/>
        <v>1</v>
      </c>
      <c r="Y230" s="37" t="s">
        <v>200</v>
      </c>
      <c r="Z230" s="37" t="str">
        <f t="shared" si="58"/>
        <v>delayed</v>
      </c>
      <c r="AA230" s="37" t="str">
        <f t="shared" si="59"/>
        <v>Late</v>
      </c>
      <c r="AB230" s="37" t="str">
        <f t="shared" si="62"/>
        <v>1</v>
      </c>
      <c r="AC230" s="37">
        <f t="shared" si="63"/>
        <v>1</v>
      </c>
      <c r="AD230" s="45">
        <f t="shared" si="61"/>
        <v>0.505882352941176</v>
      </c>
      <c r="AE230" s="37">
        <v>4</v>
      </c>
      <c r="AF230" s="37" t="s">
        <v>152</v>
      </c>
      <c r="AG230" s="37" t="str">
        <f t="shared" si="60"/>
        <v>no</v>
      </c>
      <c r="AH230" s="37" t="str">
        <f t="array" ref="AH230">_xlfn.IFS(LOWER(AG230)="n","no",LOWER(AG230)="y","yes",TRUE,LOWER(AG230))</f>
        <v>no</v>
      </c>
      <c r="AI230" s="37" t="s">
        <v>4692</v>
      </c>
    </row>
    <row r="231" spans="1:35">
      <c r="A231" s="46" t="s">
        <v>1232</v>
      </c>
      <c r="B231" s="47">
        <v>45439</v>
      </c>
      <c r="C231" s="39">
        <f t="shared" si="48"/>
        <v>45439</v>
      </c>
      <c r="D231" s="48" t="s">
        <v>4694</v>
      </c>
      <c r="E231" s="37" t="str" cm="1">
        <f t="array" ref="E231">_xlfn.IFS(D231="delhi","north",D231="mumbai","west",D231="bengaluru","south",D231="chennai","south",D231="kolkata","east",TRUE,"west")</f>
        <v>west</v>
      </c>
      <c r="F231" s="46" t="s">
        <v>352</v>
      </c>
      <c r="G231" s="37" t="str">
        <f t="shared" si="49"/>
        <v>delhivery</v>
      </c>
      <c r="H231" s="46" t="s">
        <v>123</v>
      </c>
      <c r="I231" s="37" t="str">
        <f t="shared" si="50"/>
        <v>air</v>
      </c>
      <c r="J231" s="46" t="s">
        <v>319</v>
      </c>
      <c r="K231" s="37" t="str">
        <f t="shared" si="51"/>
        <v>electronics</v>
      </c>
      <c r="L231" s="46" t="s">
        <v>112</v>
      </c>
      <c r="M231" s="37" t="str">
        <f t="shared" si="52"/>
        <v>north</v>
      </c>
      <c r="N231" s="46" t="s">
        <v>215</v>
      </c>
      <c r="O231" s="41" t="str">
        <f t="shared" si="53"/>
        <v>Yes</v>
      </c>
      <c r="P231" s="49">
        <v>3.6</v>
      </c>
      <c r="Q231" s="49">
        <v>348</v>
      </c>
      <c r="R231" s="42">
        <f t="shared" si="54"/>
        <v>96.6666666666667</v>
      </c>
      <c r="S231" s="46">
        <v>4</v>
      </c>
      <c r="T231" s="46" t="s">
        <v>1236</v>
      </c>
      <c r="U231" s="43" t="str">
        <f t="shared" si="55"/>
        <v>30-may-2024</v>
      </c>
      <c r="V231" s="43">
        <f t="shared" si="56"/>
        <v>45442</v>
      </c>
      <c r="W231" s="44">
        <f t="array" ref="W231">_xlfn.IFS(TRIM(C231)="","",TRIM(V231)="","",TRUE,V231-C231)</f>
        <v>3</v>
      </c>
      <c r="X231" s="37">
        <f t="shared" si="57"/>
        <v>-1</v>
      </c>
      <c r="Y231" s="46" t="s">
        <v>117</v>
      </c>
      <c r="Z231" s="37" t="str">
        <f t="shared" si="58"/>
        <v>delivered</v>
      </c>
      <c r="AA231" s="37" t="str">
        <f t="shared" si="59"/>
        <v>On Time</v>
      </c>
      <c r="AB231" s="37" t="str">
        <f t="shared" si="62"/>
        <v>0</v>
      </c>
      <c r="AC231" s="37">
        <f t="shared" si="63"/>
        <v>0</v>
      </c>
      <c r="AD231" s="45">
        <f t="shared" si="61"/>
        <v>0.50551876379691</v>
      </c>
      <c r="AE231" s="46">
        <v>4</v>
      </c>
      <c r="AF231" s="46" t="s">
        <v>286</v>
      </c>
      <c r="AG231" s="37" t="str">
        <f t="shared" si="60"/>
        <v>yes</v>
      </c>
      <c r="AH231" s="37" t="str">
        <f t="array" ref="AH231">_xlfn.IFS(LOWER(AG231)="n","no",LOWER(AG231)="y","yes",TRUE,LOWER(AG231))</f>
        <v>yes</v>
      </c>
      <c r="AI231" s="46" t="s">
        <v>4692</v>
      </c>
    </row>
    <row r="232" spans="1:35">
      <c r="A232" s="37" t="s">
        <v>1237</v>
      </c>
      <c r="B232" s="38">
        <v>45392</v>
      </c>
      <c r="C232" s="39">
        <f t="shared" si="48"/>
        <v>45392</v>
      </c>
      <c r="D232" s="40" t="s">
        <v>366</v>
      </c>
      <c r="E232" s="37" t="str" cm="1">
        <f t="array" ref="E232">_xlfn.IFS(D232="delhi","north",D232="mumbai","west",D232="bengaluru","south",D232="chennai","south",D232="kolkata","east",TRUE,"west")</f>
        <v>east</v>
      </c>
      <c r="F232" s="37" t="s">
        <v>175</v>
      </c>
      <c r="G232" s="37" t="str">
        <f t="shared" si="49"/>
        <v>ecomexpress</v>
      </c>
      <c r="H232" s="37" t="s">
        <v>224</v>
      </c>
      <c r="I232" s="37" t="str">
        <f t="shared" si="50"/>
        <v>air</v>
      </c>
      <c r="J232" s="37" t="s">
        <v>843</v>
      </c>
      <c r="K232" s="37" t="str">
        <f t="shared" si="51"/>
        <v>automotiveparts</v>
      </c>
      <c r="L232" s="37" t="s">
        <v>89</v>
      </c>
      <c r="M232" s="37" t="str">
        <f t="shared" si="52"/>
        <v>west</v>
      </c>
      <c r="N232" s="37" t="s">
        <v>206</v>
      </c>
      <c r="O232" s="41" t="str">
        <f t="shared" si="53"/>
        <v>Yes</v>
      </c>
      <c r="P232" s="41">
        <v>22.1</v>
      </c>
      <c r="Q232" s="41" t="s">
        <v>1239</v>
      </c>
      <c r="R232" s="42">
        <f t="shared" si="54"/>
        <v>54.4796380090498</v>
      </c>
      <c r="S232" s="37">
        <v>4</v>
      </c>
      <c r="T232" s="37" t="s">
        <v>1240</v>
      </c>
      <c r="U232" s="43" t="str">
        <f t="shared" si="55"/>
        <v>19-apr-2024</v>
      </c>
      <c r="V232" s="43">
        <f t="shared" si="56"/>
        <v>45401</v>
      </c>
      <c r="W232" s="44">
        <f t="array" ref="W232">_xlfn.IFS(TRIM(C232)="","",TRIM(V232)="","",TRUE,V232-C232)</f>
        <v>9</v>
      </c>
      <c r="X232" s="37">
        <f t="shared" si="57"/>
        <v>5</v>
      </c>
      <c r="Y232" s="37" t="s">
        <v>72</v>
      </c>
      <c r="Z232" s="37" t="str">
        <f t="shared" si="58"/>
        <v>delayed</v>
      </c>
      <c r="AA232" s="37" t="str">
        <f t="shared" si="59"/>
        <v>Late</v>
      </c>
      <c r="AB232" s="37" t="str">
        <f t="shared" si="62"/>
        <v>1</v>
      </c>
      <c r="AC232" s="37">
        <f t="shared" si="63"/>
        <v>1</v>
      </c>
      <c r="AD232" s="45">
        <f t="shared" si="61"/>
        <v>0.505891016200295</v>
      </c>
      <c r="AE232" s="37">
        <v>3</v>
      </c>
      <c r="AF232" s="37" t="s">
        <v>286</v>
      </c>
      <c r="AG232" s="37" t="str">
        <f t="shared" si="60"/>
        <v>yes</v>
      </c>
      <c r="AH232" s="37" t="str">
        <f t="array" ref="AH232">_xlfn.IFS(LOWER(AG232)="n","no",LOWER(AG232)="y","yes",TRUE,LOWER(AG232))</f>
        <v>yes</v>
      </c>
      <c r="AI232" s="37" t="s">
        <v>4692</v>
      </c>
    </row>
    <row r="233" spans="1:35">
      <c r="A233" s="46" t="s">
        <v>1241</v>
      </c>
      <c r="B233" s="47">
        <v>45366</v>
      </c>
      <c r="C233" s="39">
        <f t="shared" si="48"/>
        <v>45366</v>
      </c>
      <c r="D233" s="48" t="s">
        <v>300</v>
      </c>
      <c r="E233" s="37" t="str" cm="1">
        <f t="array" ref="E233">_xlfn.IFS(D233="delhi","north",D233="mumbai","west",D233="bengaluru","south",D233="chennai","south",D233="kolkata","east",TRUE,"west")</f>
        <v>west</v>
      </c>
      <c r="F233" s="46" t="s">
        <v>223</v>
      </c>
      <c r="G233" s="37" t="str">
        <f t="shared" si="49"/>
        <v>xpressbees</v>
      </c>
      <c r="H233" s="46" t="s">
        <v>195</v>
      </c>
      <c r="I233" s="37" t="str">
        <f t="shared" si="50"/>
        <v>road</v>
      </c>
      <c r="J233" s="46" t="s">
        <v>283</v>
      </c>
      <c r="K233" s="37" t="str">
        <f t="shared" si="51"/>
        <v>pharma</v>
      </c>
      <c r="L233" s="46" t="s">
        <v>418</v>
      </c>
      <c r="M233" s="37" t="str">
        <f t="shared" si="52"/>
        <v>south</v>
      </c>
      <c r="N233" s="46" t="s">
        <v>90</v>
      </c>
      <c r="O233" s="41" t="str">
        <f t="shared" si="53"/>
        <v>Yes</v>
      </c>
      <c r="P233" s="49">
        <v>3.6</v>
      </c>
      <c r="Q233" s="49">
        <v>88</v>
      </c>
      <c r="R233" s="42">
        <f t="shared" si="54"/>
        <v>24.4444444444444</v>
      </c>
      <c r="S233" s="46">
        <v>6</v>
      </c>
      <c r="T233" s="46" t="s">
        <v>1243</v>
      </c>
      <c r="U233" s="43" t="str">
        <f t="shared" si="55"/>
        <v>21-mar-2024</v>
      </c>
      <c r="V233" s="43">
        <f t="shared" si="56"/>
        <v>45372</v>
      </c>
      <c r="W233" s="44">
        <f t="array" ref="W233">_xlfn.IFS(TRIM(C233)="","",TRIM(V233)="","",TRUE,V233-C233)</f>
        <v>6</v>
      </c>
      <c r="X233" s="37">
        <f t="shared" si="57"/>
        <v>0</v>
      </c>
      <c r="Y233" s="46" t="s">
        <v>219</v>
      </c>
      <c r="Z233" s="37" t="str">
        <f t="shared" si="58"/>
        <v>delivered</v>
      </c>
      <c r="AA233" s="37" t="str">
        <f t="shared" si="59"/>
        <v>On Time</v>
      </c>
      <c r="AB233" s="37" t="str">
        <f t="shared" si="62"/>
        <v>0</v>
      </c>
      <c r="AC233" s="37">
        <f t="shared" si="63"/>
        <v>0</v>
      </c>
      <c r="AD233" s="45">
        <f t="shared" si="61"/>
        <v>0.505526897568165</v>
      </c>
      <c r="AE233" s="46">
        <v>5</v>
      </c>
      <c r="AF233" s="46" t="s">
        <v>152</v>
      </c>
      <c r="AG233" s="37" t="str">
        <f t="shared" si="60"/>
        <v>no</v>
      </c>
      <c r="AH233" s="37" t="str">
        <f t="array" ref="AH233">_xlfn.IFS(LOWER(AG233)="n","no",LOWER(AG233)="y","yes",TRUE,LOWER(AG233))</f>
        <v>no</v>
      </c>
      <c r="AI233" s="46" t="s">
        <v>4692</v>
      </c>
    </row>
    <row r="234" spans="1:35">
      <c r="A234" s="37" t="s">
        <v>1244</v>
      </c>
      <c r="B234" s="38">
        <v>45388</v>
      </c>
      <c r="C234" s="39">
        <f t="shared" si="48"/>
        <v>45388</v>
      </c>
      <c r="D234" s="40" t="s">
        <v>633</v>
      </c>
      <c r="E234" s="37" t="str" cm="1">
        <f t="array" ref="E234">_xlfn.IFS(D234="delhi","north",D234="mumbai","west",D234="bengaluru","south",D234="chennai","south",D234="kolkata","east",TRUE,"west")</f>
        <v>south</v>
      </c>
      <c r="F234" s="37" t="s">
        <v>122</v>
      </c>
      <c r="G234" s="37" t="str">
        <f t="shared" si="49"/>
        <v>delhivery</v>
      </c>
      <c r="H234" s="37" t="s">
        <v>123</v>
      </c>
      <c r="I234" s="37" t="str">
        <f t="shared" si="50"/>
        <v>air</v>
      </c>
      <c r="J234" s="37" t="s">
        <v>237</v>
      </c>
      <c r="K234" s="37" t="str">
        <f t="shared" si="51"/>
        <v>automotiveparts</v>
      </c>
      <c r="L234" s="37" t="s">
        <v>159</v>
      </c>
      <c r="M234" s="37" t="str">
        <f t="shared" si="52"/>
        <v>south</v>
      </c>
      <c r="N234" s="37" t="s">
        <v>93</v>
      </c>
      <c r="O234" s="41" t="str">
        <f t="shared" si="53"/>
        <v>Yes</v>
      </c>
      <c r="P234" s="41">
        <v>18.2</v>
      </c>
      <c r="Q234" s="41">
        <v>830</v>
      </c>
      <c r="R234" s="42">
        <f t="shared" si="54"/>
        <v>45.6043956043956</v>
      </c>
      <c r="S234" s="37">
        <v>2</v>
      </c>
      <c r="T234" s="37" t="s">
        <v>623</v>
      </c>
      <c r="U234" s="43" t="str">
        <f t="shared" si="55"/>
        <v>13/04/2024</v>
      </c>
      <c r="V234" s="43">
        <f t="shared" si="56"/>
        <v>45395</v>
      </c>
      <c r="W234" s="44">
        <f t="array" ref="W234">_xlfn.IFS(TRIM(C234)="","",TRIM(V234)="","",TRUE,V234-C234)</f>
        <v>7</v>
      </c>
      <c r="X234" s="37">
        <f t="shared" si="57"/>
        <v>5</v>
      </c>
      <c r="Y234" s="37" t="s">
        <v>72</v>
      </c>
      <c r="Z234" s="37" t="str">
        <f t="shared" si="58"/>
        <v>delayed</v>
      </c>
      <c r="AA234" s="37" t="str">
        <f t="shared" si="59"/>
        <v>Late</v>
      </c>
      <c r="AB234" s="37" t="str">
        <f t="shared" si="62"/>
        <v>1</v>
      </c>
      <c r="AC234" s="37">
        <f t="shared" si="63"/>
        <v>1</v>
      </c>
      <c r="AD234" s="45">
        <f t="shared" si="61"/>
        <v>0.505899705014749</v>
      </c>
      <c r="AE234" s="37">
        <v>3</v>
      </c>
      <c r="AF234" s="37" t="s">
        <v>286</v>
      </c>
      <c r="AG234" s="37" t="str">
        <f t="shared" si="60"/>
        <v>yes</v>
      </c>
      <c r="AH234" s="37" t="str">
        <f t="array" ref="AH234">_xlfn.IFS(LOWER(AG234)="n","no",LOWER(AG234)="y","yes",TRUE,LOWER(AG234))</f>
        <v>yes</v>
      </c>
      <c r="AI234" s="37" t="s">
        <v>4692</v>
      </c>
    </row>
    <row r="235" spans="1:35">
      <c r="A235" s="46" t="s">
        <v>1247</v>
      </c>
      <c r="B235" s="47">
        <v>45401</v>
      </c>
      <c r="C235" s="39">
        <f t="shared" si="48"/>
        <v>45401</v>
      </c>
      <c r="D235" s="48" t="s">
        <v>4712</v>
      </c>
      <c r="E235" s="37" t="str" cm="1">
        <f t="array" ref="E235">_xlfn.IFS(D235="delhi","north",D235="mumbai","west",D235="bengaluru","south",D235="chennai","south",D235="kolkata","east",TRUE,"west")</f>
        <v>west</v>
      </c>
      <c r="F235" s="46" t="s">
        <v>136</v>
      </c>
      <c r="G235" s="37" t="str">
        <f t="shared" si="49"/>
        <v>bluedart</v>
      </c>
      <c r="H235" s="46" t="s">
        <v>157</v>
      </c>
      <c r="I235" s="37" t="str">
        <f t="shared" si="50"/>
        <v>surface</v>
      </c>
      <c r="J235" s="46" t="s">
        <v>231</v>
      </c>
      <c r="K235" s="37" t="str">
        <f t="shared" si="51"/>
        <v>furniture</v>
      </c>
      <c r="L235" s="46" t="s">
        <v>168</v>
      </c>
      <c r="M235" s="37" t="str">
        <f t="shared" si="52"/>
        <v>west</v>
      </c>
      <c r="N235" s="46" t="s">
        <v>278</v>
      </c>
      <c r="O235" s="41" t="str">
        <f t="shared" si="53"/>
        <v>Yes</v>
      </c>
      <c r="P235" s="49">
        <v>53.3</v>
      </c>
      <c r="Q235" s="51">
        <v>1349</v>
      </c>
      <c r="R235" s="42">
        <f t="shared" si="54"/>
        <v>25.3095684803002</v>
      </c>
      <c r="S235" s="46">
        <v>6</v>
      </c>
      <c r="T235" s="46" t="s">
        <v>712</v>
      </c>
      <c r="U235" s="43" t="str">
        <f t="shared" si="55"/>
        <v>26-apr-2024</v>
      </c>
      <c r="V235" s="43">
        <f t="shared" si="56"/>
        <v>45408</v>
      </c>
      <c r="W235" s="44">
        <f t="array" ref="W235">_xlfn.IFS(TRIM(C235)="","",TRIM(V235)="","",TRUE,V235-C235)</f>
        <v>7</v>
      </c>
      <c r="X235" s="37">
        <f t="shared" si="57"/>
        <v>1</v>
      </c>
      <c r="Y235" s="46" t="s">
        <v>337</v>
      </c>
      <c r="Z235" s="37" t="str">
        <f t="shared" si="58"/>
        <v>damaged</v>
      </c>
      <c r="AA235" s="37" t="str">
        <f t="shared" si="59"/>
        <v>Late</v>
      </c>
      <c r="AB235" s="37" t="str">
        <f t="shared" si="62"/>
        <v>1</v>
      </c>
      <c r="AC235" s="37">
        <f t="shared" si="63"/>
        <v>1</v>
      </c>
      <c r="AD235" s="45">
        <f t="shared" si="61"/>
        <v>0.505535055350554</v>
      </c>
      <c r="AE235" s="46"/>
      <c r="AF235" s="46" t="s">
        <v>191</v>
      </c>
      <c r="AG235" s="37" t="str">
        <f t="shared" si="60"/>
        <v>no</v>
      </c>
      <c r="AH235" s="37" t="str">
        <f t="array" ref="AH235">_xlfn.IFS(LOWER(AG235)="n","no",LOWER(AG235)="y","yes",TRUE,LOWER(AG235))</f>
        <v>no</v>
      </c>
      <c r="AI235" s="46" t="s">
        <v>132</v>
      </c>
    </row>
    <row r="236" spans="1:35">
      <c r="A236" s="37" t="s">
        <v>1251</v>
      </c>
      <c r="B236" s="38">
        <v>45420</v>
      </c>
      <c r="C236" s="39">
        <f t="shared" si="48"/>
        <v>45420</v>
      </c>
      <c r="D236" s="40" t="s">
        <v>4712</v>
      </c>
      <c r="E236" s="37" t="str" cm="1">
        <f t="array" ref="E236">_xlfn.IFS(D236="delhi","north",D236="mumbai","west",D236="bengaluru","south",D236="chennai","south",D236="kolkata","east",TRUE,"west")</f>
        <v>west</v>
      </c>
      <c r="F236" s="37" t="s">
        <v>37</v>
      </c>
      <c r="G236" s="37" t="str">
        <f t="shared" si="49"/>
        <v>bluedart</v>
      </c>
      <c r="H236" s="37" t="s">
        <v>137</v>
      </c>
      <c r="I236" s="37" t="str">
        <f t="shared" si="50"/>
        <v>road</v>
      </c>
      <c r="J236" s="37" t="s">
        <v>237</v>
      </c>
      <c r="K236" s="37" t="str">
        <f t="shared" si="51"/>
        <v>automotiveparts</v>
      </c>
      <c r="L236" s="37" t="s">
        <v>197</v>
      </c>
      <c r="M236" s="37" t="str">
        <f t="shared" si="52"/>
        <v>south</v>
      </c>
      <c r="N236" s="37" t="s">
        <v>93</v>
      </c>
      <c r="O236" s="41" t="str">
        <f t="shared" si="53"/>
        <v>Yes</v>
      </c>
      <c r="P236" s="41">
        <v>8.1</v>
      </c>
      <c r="Q236" s="41">
        <v>146</v>
      </c>
      <c r="R236" s="42">
        <f t="shared" si="54"/>
        <v>18.0246913580247</v>
      </c>
      <c r="S236" s="37">
        <v>6</v>
      </c>
      <c r="T236" s="37" t="s">
        <v>280</v>
      </c>
      <c r="U236" s="43" t="str">
        <f t="shared" si="55"/>
        <v>15/05/2024</v>
      </c>
      <c r="V236" s="43">
        <f t="shared" si="56"/>
        <v>45427</v>
      </c>
      <c r="W236" s="44">
        <f t="array" ref="W236">_xlfn.IFS(TRIM(C236)="","",TRIM(V236)="","",TRUE,V236-C236)</f>
        <v>7</v>
      </c>
      <c r="X236" s="37">
        <f t="shared" si="57"/>
        <v>1</v>
      </c>
      <c r="Y236" s="37" t="s">
        <v>143</v>
      </c>
      <c r="Z236" s="37" t="str">
        <f t="shared" si="58"/>
        <v>delayed</v>
      </c>
      <c r="AA236" s="37" t="str">
        <f t="shared" si="59"/>
        <v>Late</v>
      </c>
      <c r="AB236" s="37" t="str">
        <f t="shared" si="62"/>
        <v>1</v>
      </c>
      <c r="AC236" s="37">
        <f t="shared" si="63"/>
        <v>1</v>
      </c>
      <c r="AD236" s="45">
        <f t="shared" si="61"/>
        <v>0.505169867060561</v>
      </c>
      <c r="AE236" s="37">
        <v>3</v>
      </c>
      <c r="AF236" s="37" t="s">
        <v>191</v>
      </c>
      <c r="AG236" s="37" t="str">
        <f t="shared" si="60"/>
        <v>no</v>
      </c>
      <c r="AH236" s="37" t="str">
        <f t="array" ref="AH236">_xlfn.IFS(LOWER(AG236)="n","no",LOWER(AG236)="y","yes",TRUE,LOWER(AG236))</f>
        <v>no</v>
      </c>
      <c r="AI236" s="37" t="s">
        <v>4692</v>
      </c>
    </row>
    <row r="237" spans="1:35">
      <c r="A237" s="46" t="s">
        <v>1255</v>
      </c>
      <c r="B237" s="47" t="s">
        <v>4748</v>
      </c>
      <c r="C237" s="39">
        <f t="shared" si="48"/>
        <v>45373</v>
      </c>
      <c r="D237" s="48" t="s">
        <v>4695</v>
      </c>
      <c r="E237" s="37" t="str" cm="1">
        <f t="array" ref="E237">_xlfn.IFS(D237="delhi","north",D237="mumbai","west",D237="bengaluru","south",D237="chennai","south",D237="kolkata","east",TRUE,"west")</f>
        <v>west</v>
      </c>
      <c r="F237" s="46" t="s">
        <v>312</v>
      </c>
      <c r="G237" s="37" t="str">
        <f t="shared" si="49"/>
        <v>bluedart</v>
      </c>
      <c r="H237" s="46" t="s">
        <v>244</v>
      </c>
      <c r="I237" s="37" t="str">
        <f t="shared" si="50"/>
        <v>air</v>
      </c>
      <c r="J237" s="46" t="s">
        <v>582</v>
      </c>
      <c r="K237" s="37" t="str">
        <f t="shared" si="51"/>
        <v>grocery&amp;fmcg</v>
      </c>
      <c r="L237" s="46" t="s">
        <v>197</v>
      </c>
      <c r="M237" s="37" t="str">
        <f t="shared" si="52"/>
        <v>south</v>
      </c>
      <c r="N237" s="46" t="s">
        <v>93</v>
      </c>
      <c r="O237" s="41" t="str">
        <f t="shared" si="53"/>
        <v>Yes</v>
      </c>
      <c r="P237" s="49">
        <v>13.9</v>
      </c>
      <c r="Q237" s="49">
        <v>752</v>
      </c>
      <c r="R237" s="42">
        <f t="shared" si="54"/>
        <v>54.1007194244604</v>
      </c>
      <c r="S237" s="46">
        <v>4</v>
      </c>
      <c r="T237" s="46" t="s">
        <v>1259</v>
      </c>
      <c r="U237" s="43" t="str">
        <f t="shared" si="55"/>
        <v>2024-03-25</v>
      </c>
      <c r="V237" s="43">
        <f t="shared" si="56"/>
        <v>45376</v>
      </c>
      <c r="W237" s="44">
        <f t="array" ref="W237">_xlfn.IFS(TRIM(C237)="","",TRIM(V237)="","",TRUE,V237-C237)</f>
        <v>3</v>
      </c>
      <c r="X237" s="37">
        <f t="shared" si="57"/>
        <v>-1</v>
      </c>
      <c r="Y237" s="46" t="s">
        <v>163</v>
      </c>
      <c r="Z237" s="37" t="str">
        <f t="shared" si="58"/>
        <v>delivered</v>
      </c>
      <c r="AA237" s="37" t="str">
        <f t="shared" si="59"/>
        <v>On Time</v>
      </c>
      <c r="AB237" s="37" t="str">
        <f t="shared" si="62"/>
        <v>0</v>
      </c>
      <c r="AC237" s="37">
        <f t="shared" si="63"/>
        <v>0</v>
      </c>
      <c r="AD237" s="45">
        <f t="shared" si="61"/>
        <v>0.50480413895048</v>
      </c>
      <c r="AE237" s="46">
        <v>5</v>
      </c>
      <c r="AF237" s="46" t="s">
        <v>79</v>
      </c>
      <c r="AG237" s="37" t="str">
        <f t="shared" si="60"/>
        <v>yes</v>
      </c>
      <c r="AH237" s="37" t="str">
        <f t="array" ref="AH237">_xlfn.IFS(LOWER(AG237)="n","no",LOWER(AG237)="y","yes",TRUE,LOWER(AG237))</f>
        <v>yes</v>
      </c>
      <c r="AI237" s="46" t="s">
        <v>4692</v>
      </c>
    </row>
    <row r="238" spans="1:35">
      <c r="A238" s="37" t="s">
        <v>1260</v>
      </c>
      <c r="B238" s="38" t="s">
        <v>4749</v>
      </c>
      <c r="C238" s="39">
        <f t="shared" si="48"/>
        <v>45376</v>
      </c>
      <c r="D238" s="40" t="s">
        <v>340</v>
      </c>
      <c r="E238" s="37" t="str" cm="1">
        <f t="array" ref="E238">_xlfn.IFS(D238="delhi","north",D238="mumbai","west",D238="bengaluru","south",D238="chennai","south",D238="kolkata","east",TRUE,"west")</f>
        <v>north</v>
      </c>
      <c r="F238" s="37" t="s">
        <v>37</v>
      </c>
      <c r="G238" s="37" t="str">
        <f t="shared" si="49"/>
        <v>bluedart</v>
      </c>
      <c r="H238" s="37" t="s">
        <v>195</v>
      </c>
      <c r="I238" s="37" t="str">
        <f t="shared" si="50"/>
        <v>road</v>
      </c>
      <c r="J238" s="37" t="s">
        <v>301</v>
      </c>
      <c r="K238" s="37" t="str">
        <f t="shared" si="51"/>
        <v>furniture</v>
      </c>
      <c r="L238" s="37" t="s">
        <v>470</v>
      </c>
      <c r="M238" s="37" t="str">
        <f t="shared" si="52"/>
        <v>east</v>
      </c>
      <c r="N238" s="37" t="s">
        <v>294</v>
      </c>
      <c r="O238" s="41" t="str">
        <f t="shared" si="53"/>
        <v>Yes</v>
      </c>
      <c r="P238" s="41">
        <v>25.7</v>
      </c>
      <c r="Q238" s="41">
        <v>566</v>
      </c>
      <c r="R238" s="42">
        <f t="shared" si="54"/>
        <v>22.0233463035019</v>
      </c>
      <c r="S238" s="37">
        <v>8</v>
      </c>
      <c r="T238" s="37" t="s">
        <v>1264</v>
      </c>
      <c r="U238" s="43" t="str">
        <f t="shared" si="55"/>
        <v>02-apr-2024</v>
      </c>
      <c r="V238" s="43">
        <f t="shared" si="56"/>
        <v>45384</v>
      </c>
      <c r="W238" s="44">
        <f t="array" ref="W238">_xlfn.IFS(TRIM(C238)="","",TRIM(V238)="","",TRUE,V238-C238)</f>
        <v>8</v>
      </c>
      <c r="X238" s="37">
        <f t="shared" si="57"/>
        <v>0</v>
      </c>
      <c r="Y238" s="37" t="s">
        <v>117</v>
      </c>
      <c r="Z238" s="37" t="str">
        <f t="shared" si="58"/>
        <v>delivered</v>
      </c>
      <c r="AA238" s="37" t="str">
        <f t="shared" si="59"/>
        <v>On Time</v>
      </c>
      <c r="AB238" s="37" t="str">
        <f t="shared" si="62"/>
        <v>0</v>
      </c>
      <c r="AC238" s="37">
        <f t="shared" si="63"/>
        <v>0</v>
      </c>
      <c r="AD238" s="45">
        <f t="shared" si="61"/>
        <v>0.505177514792899</v>
      </c>
      <c r="AE238" s="37">
        <v>3</v>
      </c>
      <c r="AF238" s="37" t="s">
        <v>131</v>
      </c>
      <c r="AG238" s="37" t="str">
        <f t="shared" si="60"/>
        <v>n</v>
      </c>
      <c r="AH238" s="37" t="str">
        <f t="array" ref="AH238">_xlfn.IFS(LOWER(AG238)="n","no",LOWER(AG238)="y","yes",TRUE,LOWER(AG238))</f>
        <v>no</v>
      </c>
      <c r="AI238" s="37" t="s">
        <v>4692</v>
      </c>
    </row>
    <row r="239" spans="1:35">
      <c r="A239" s="46" t="s">
        <v>1265</v>
      </c>
      <c r="B239" s="47">
        <v>45352</v>
      </c>
      <c r="C239" s="39">
        <f t="shared" si="48"/>
        <v>45352</v>
      </c>
      <c r="D239" s="48" t="s">
        <v>4694</v>
      </c>
      <c r="E239" s="37" t="str" cm="1">
        <f t="array" ref="E239">_xlfn.IFS(D239="delhi","north",D239="mumbai","west",D239="bengaluru","south",D239="chennai","south",D239="kolkata","east",TRUE,"west")</f>
        <v>west</v>
      </c>
      <c r="F239" s="46" t="s">
        <v>175</v>
      </c>
      <c r="G239" s="37" t="str">
        <f t="shared" si="49"/>
        <v>ecomexpress</v>
      </c>
      <c r="H239" s="46" t="s">
        <v>123</v>
      </c>
      <c r="I239" s="37" t="str">
        <f t="shared" si="50"/>
        <v>air</v>
      </c>
      <c r="J239" s="46" t="s">
        <v>111</v>
      </c>
      <c r="K239" s="37" t="str">
        <f t="shared" si="51"/>
        <v>grocery&amp;fmcg</v>
      </c>
      <c r="L239" s="46" t="s">
        <v>89</v>
      </c>
      <c r="M239" s="37" t="str">
        <f t="shared" si="52"/>
        <v>west</v>
      </c>
      <c r="N239" s="46" t="s">
        <v>88</v>
      </c>
      <c r="O239" s="41" t="str">
        <f t="shared" si="53"/>
        <v>Yes</v>
      </c>
      <c r="P239" s="49">
        <v>17.5</v>
      </c>
      <c r="Q239" s="49">
        <v>995</v>
      </c>
      <c r="R239" s="42">
        <f t="shared" si="54"/>
        <v>56.8571428571429</v>
      </c>
      <c r="S239" s="46">
        <v>4</v>
      </c>
      <c r="T239" s="46" t="s">
        <v>560</v>
      </c>
      <c r="U239" s="43" t="str">
        <f t="shared" si="55"/>
        <v>05/03/2024</v>
      </c>
      <c r="V239" s="43">
        <f t="shared" si="56"/>
        <v>45356</v>
      </c>
      <c r="W239" s="44">
        <f t="array" ref="W239">_xlfn.IFS(TRIM(C239)="","",TRIM(V239)="","",TRUE,V239-C239)</f>
        <v>4</v>
      </c>
      <c r="X239" s="37">
        <f t="shared" si="57"/>
        <v>0</v>
      </c>
      <c r="Y239" s="46" t="s">
        <v>219</v>
      </c>
      <c r="Z239" s="37" t="str">
        <f t="shared" si="58"/>
        <v>delivered</v>
      </c>
      <c r="AA239" s="37" t="str">
        <f t="shared" si="59"/>
        <v>On Time</v>
      </c>
      <c r="AB239" s="37" t="str">
        <f t="shared" si="62"/>
        <v>0</v>
      </c>
      <c r="AC239" s="37">
        <f t="shared" si="63"/>
        <v>0</v>
      </c>
      <c r="AD239" s="45">
        <f t="shared" si="61"/>
        <v>0.505551443375278</v>
      </c>
      <c r="AE239" s="46">
        <v>4</v>
      </c>
      <c r="AF239" s="46" t="s">
        <v>286</v>
      </c>
      <c r="AG239" s="37" t="str">
        <f t="shared" si="60"/>
        <v>yes</v>
      </c>
      <c r="AH239" s="37" t="str">
        <f t="array" ref="AH239">_xlfn.IFS(LOWER(AG239)="n","no",LOWER(AG239)="y","yes",TRUE,LOWER(AG239))</f>
        <v>yes</v>
      </c>
      <c r="AI239" s="46" t="s">
        <v>4692</v>
      </c>
    </row>
    <row r="240" spans="1:35">
      <c r="A240" s="37" t="s">
        <v>1268</v>
      </c>
      <c r="B240" s="38" t="s">
        <v>4750</v>
      </c>
      <c r="C240" s="39">
        <f t="shared" si="48"/>
        <v>45394</v>
      </c>
      <c r="D240" s="40" t="s">
        <v>340</v>
      </c>
      <c r="E240" s="37" t="str" cm="1">
        <f t="array" ref="E240">_xlfn.IFS(D240="delhi","north",D240="mumbai","west",D240="bengaluru","south",D240="chennai","south",D240="kolkata","east",TRUE,"west")</f>
        <v>north</v>
      </c>
      <c r="F240" s="37" t="s">
        <v>204</v>
      </c>
      <c r="G240" s="37" t="str">
        <f t="shared" si="49"/>
        <v>delhivery</v>
      </c>
      <c r="H240" s="37" t="s">
        <v>176</v>
      </c>
      <c r="I240" s="37" t="str">
        <f t="shared" si="50"/>
        <v>road</v>
      </c>
      <c r="J240" s="37" t="s">
        <v>360</v>
      </c>
      <c r="K240" s="37" t="str">
        <f t="shared" si="51"/>
        <v>furniture</v>
      </c>
      <c r="L240" s="37" t="s">
        <v>89</v>
      </c>
      <c r="M240" s="37" t="str">
        <f t="shared" si="52"/>
        <v>west</v>
      </c>
      <c r="N240" s="37" t="s">
        <v>206</v>
      </c>
      <c r="O240" s="41" t="str">
        <f t="shared" si="53"/>
        <v>Yes</v>
      </c>
      <c r="P240" s="41">
        <v>38.5</v>
      </c>
      <c r="Q240" s="41" t="s">
        <v>1271</v>
      </c>
      <c r="R240" s="42">
        <f t="shared" si="54"/>
        <v>18.8571428571429</v>
      </c>
      <c r="S240" s="37">
        <v>8</v>
      </c>
      <c r="T240" s="37" t="s">
        <v>1248</v>
      </c>
      <c r="U240" s="43" t="str">
        <f t="shared" si="55"/>
        <v>19/04/2024</v>
      </c>
      <c r="V240" s="43">
        <f t="shared" si="56"/>
        <v>45401</v>
      </c>
      <c r="W240" s="44">
        <f t="array" ref="W240">_xlfn.IFS(TRIM(C240)="","",TRIM(V240)="","",TRUE,V240-C240)</f>
        <v>7</v>
      </c>
      <c r="X240" s="37">
        <f t="shared" si="57"/>
        <v>-1</v>
      </c>
      <c r="Y240" s="37" t="s">
        <v>163</v>
      </c>
      <c r="Z240" s="37" t="str">
        <f t="shared" si="58"/>
        <v>delivered</v>
      </c>
      <c r="AA240" s="37" t="str">
        <f t="shared" si="59"/>
        <v>On Time</v>
      </c>
      <c r="AB240" s="37" t="str">
        <f t="shared" si="62"/>
        <v>0</v>
      </c>
      <c r="AC240" s="37">
        <f t="shared" si="63"/>
        <v>0</v>
      </c>
      <c r="AD240" s="45">
        <f t="shared" si="61"/>
        <v>0.505925925925926</v>
      </c>
      <c r="AE240" s="37">
        <v>4</v>
      </c>
      <c r="AF240" s="37" t="s">
        <v>191</v>
      </c>
      <c r="AG240" s="37" t="str">
        <f t="shared" si="60"/>
        <v>no</v>
      </c>
      <c r="AH240" s="37" t="str">
        <f t="array" ref="AH240">_xlfn.IFS(LOWER(AG240)="n","no",LOWER(AG240)="y","yes",TRUE,LOWER(AG240))</f>
        <v>no</v>
      </c>
      <c r="AI240" s="37" t="s">
        <v>4692</v>
      </c>
    </row>
    <row r="241" spans="1:35">
      <c r="A241" s="46" t="s">
        <v>1272</v>
      </c>
      <c r="B241" s="47">
        <v>45460</v>
      </c>
      <c r="C241" s="39">
        <f t="shared" si="48"/>
        <v>45460</v>
      </c>
      <c r="D241" s="48" t="s">
        <v>340</v>
      </c>
      <c r="E241" s="37" t="str" cm="1">
        <f t="array" ref="E241">_xlfn.IFS(D241="delhi","north",D241="mumbai","west",D241="bengaluru","south",D241="chennai","south",D241="kolkata","east",TRUE,"west")</f>
        <v>north</v>
      </c>
      <c r="F241" s="46" t="s">
        <v>367</v>
      </c>
      <c r="G241" s="37" t="str">
        <f t="shared" si="49"/>
        <v>dtdc</v>
      </c>
      <c r="H241" s="46" t="s">
        <v>195</v>
      </c>
      <c r="I241" s="37" t="str">
        <f t="shared" si="50"/>
        <v>road</v>
      </c>
      <c r="J241" s="46" t="s">
        <v>167</v>
      </c>
      <c r="K241" s="37" t="str">
        <f t="shared" si="51"/>
        <v>pharma</v>
      </c>
      <c r="L241" s="46" t="s">
        <v>380</v>
      </c>
      <c r="M241" s="37" t="str">
        <f t="shared" si="52"/>
        <v>east</v>
      </c>
      <c r="N241" s="46" t="s">
        <v>91</v>
      </c>
      <c r="O241" s="41" t="str">
        <f t="shared" si="53"/>
        <v>Yes</v>
      </c>
      <c r="P241" s="49">
        <v>5</v>
      </c>
      <c r="Q241" s="49" t="s">
        <v>1273</v>
      </c>
      <c r="R241" s="42">
        <f t="shared" si="54"/>
        <v>54.8</v>
      </c>
      <c r="S241" s="46">
        <v>8</v>
      </c>
      <c r="T241" s="46" t="s">
        <v>490</v>
      </c>
      <c r="U241" s="43" t="str">
        <f t="shared" si="55"/>
        <v>2024-06-29</v>
      </c>
      <c r="V241" s="43">
        <f t="shared" si="56"/>
        <v>45472</v>
      </c>
      <c r="W241" s="44">
        <f t="array" ref="W241">_xlfn.IFS(TRIM(C241)="","",TRIM(V241)="","",TRUE,V241-C241)</f>
        <v>12</v>
      </c>
      <c r="X241" s="37">
        <f t="shared" si="57"/>
        <v>4</v>
      </c>
      <c r="Y241" s="46" t="s">
        <v>143</v>
      </c>
      <c r="Z241" s="37" t="str">
        <f t="shared" si="58"/>
        <v>delayed</v>
      </c>
      <c r="AA241" s="37" t="str">
        <f t="shared" si="59"/>
        <v>Late</v>
      </c>
      <c r="AB241" s="37" t="str">
        <f t="shared" si="62"/>
        <v>1</v>
      </c>
      <c r="AC241" s="37">
        <f t="shared" si="63"/>
        <v>1</v>
      </c>
      <c r="AD241" s="45">
        <f t="shared" si="61"/>
        <v>0.506300963676798</v>
      </c>
      <c r="AE241" s="46">
        <v>1</v>
      </c>
      <c r="AF241" s="46" t="s">
        <v>118</v>
      </c>
      <c r="AG241" s="37" t="str">
        <f t="shared" si="60"/>
        <v>no</v>
      </c>
      <c r="AH241" s="37" t="str">
        <f t="array" ref="AH241">_xlfn.IFS(LOWER(AG241)="n","no",LOWER(AG241)="y","yes",TRUE,LOWER(AG241))</f>
        <v>no</v>
      </c>
      <c r="AI241" s="46" t="s">
        <v>4692</v>
      </c>
    </row>
    <row r="242" spans="1:35">
      <c r="A242" s="37" t="s">
        <v>1274</v>
      </c>
      <c r="B242" s="38" t="s">
        <v>4751</v>
      </c>
      <c r="C242" s="39">
        <f t="shared" si="48"/>
        <v>45400</v>
      </c>
      <c r="D242" s="40" t="s">
        <v>424</v>
      </c>
      <c r="E242" s="37" t="str" cm="1">
        <f t="array" ref="E242">_xlfn.IFS(D242="delhi","north",D242="mumbai","west",D242="bengaluru","south",D242="chennai","south",D242="kolkata","east",TRUE,"west")</f>
        <v>south</v>
      </c>
      <c r="F242" s="37" t="s">
        <v>184</v>
      </c>
      <c r="G242" s="37" t="str">
        <f t="shared" si="49"/>
        <v>ecomexpress</v>
      </c>
      <c r="H242" s="37" t="s">
        <v>195</v>
      </c>
      <c r="I242" s="37" t="str">
        <f t="shared" si="50"/>
        <v>road</v>
      </c>
      <c r="J242" s="37" t="s">
        <v>582</v>
      </c>
      <c r="K242" s="37" t="str">
        <f t="shared" si="51"/>
        <v>grocery&amp;fmcg</v>
      </c>
      <c r="L242" s="37" t="s">
        <v>470</v>
      </c>
      <c r="M242" s="37" t="str">
        <f t="shared" si="52"/>
        <v>east</v>
      </c>
      <c r="N242" s="37" t="s">
        <v>294</v>
      </c>
      <c r="O242" s="41" t="str">
        <f t="shared" si="53"/>
        <v>Yes</v>
      </c>
      <c r="P242" s="41">
        <v>13.6</v>
      </c>
      <c r="Q242" s="41" t="s">
        <v>1277</v>
      </c>
      <c r="R242" s="42">
        <f t="shared" si="54"/>
        <v>26.9852941176471</v>
      </c>
      <c r="S242" s="37">
        <v>8</v>
      </c>
      <c r="T242" s="37" t="s">
        <v>928</v>
      </c>
      <c r="U242" s="43" t="str">
        <f t="shared" si="55"/>
        <v>27-apr-2024</v>
      </c>
      <c r="V242" s="43">
        <f t="shared" si="56"/>
        <v>45409</v>
      </c>
      <c r="W242" s="44">
        <f t="array" ref="W242">_xlfn.IFS(TRIM(C242)="","",TRIM(V242)="","",TRUE,V242-C242)</f>
        <v>9</v>
      </c>
      <c r="X242" s="37">
        <f t="shared" si="57"/>
        <v>1</v>
      </c>
      <c r="Y242" s="37" t="s">
        <v>200</v>
      </c>
      <c r="Z242" s="37" t="str">
        <f t="shared" si="58"/>
        <v>delayed</v>
      </c>
      <c r="AA242" s="37" t="str">
        <f t="shared" si="59"/>
        <v>Late</v>
      </c>
      <c r="AB242" s="37" t="str">
        <f t="shared" si="62"/>
        <v>1</v>
      </c>
      <c r="AC242" s="37">
        <f t="shared" si="63"/>
        <v>1</v>
      </c>
      <c r="AD242" s="45">
        <f t="shared" si="61"/>
        <v>0.50593471810089</v>
      </c>
      <c r="AE242" s="37">
        <v>1</v>
      </c>
      <c r="AF242" s="37" t="s">
        <v>286</v>
      </c>
      <c r="AG242" s="37" t="str">
        <f t="shared" si="60"/>
        <v>yes</v>
      </c>
      <c r="AH242" s="37" t="str">
        <f t="array" ref="AH242">_xlfn.IFS(LOWER(AG242)="n","no",LOWER(AG242)="y","yes",TRUE,LOWER(AG242))</f>
        <v>yes</v>
      </c>
      <c r="AI242" s="37" t="s">
        <v>4692</v>
      </c>
    </row>
    <row r="243" spans="1:35">
      <c r="A243" s="46" t="s">
        <v>1278</v>
      </c>
      <c r="B243" s="47">
        <v>45385</v>
      </c>
      <c r="C243" s="39">
        <f t="shared" si="48"/>
        <v>45385</v>
      </c>
      <c r="D243" s="48" t="s">
        <v>212</v>
      </c>
      <c r="E243" s="37" t="str" cm="1">
        <f t="array" ref="E243">_xlfn.IFS(D243="delhi","north",D243="mumbai","west",D243="bengaluru","south",D243="chennai","south",D243="kolkata","east",TRUE,"west")</f>
        <v>west</v>
      </c>
      <c r="F243" s="46" t="s">
        <v>98</v>
      </c>
      <c r="G243" s="37" t="str">
        <f t="shared" si="49"/>
        <v>dtdc</v>
      </c>
      <c r="H243" s="46" t="s">
        <v>440</v>
      </c>
      <c r="I243" s="37" t="str">
        <f t="shared" si="50"/>
        <v>road</v>
      </c>
      <c r="J243" s="46" t="s">
        <v>385</v>
      </c>
      <c r="K243" s="37" t="str">
        <f t="shared" si="51"/>
        <v>furniture</v>
      </c>
      <c r="L243" s="46" t="s">
        <v>159</v>
      </c>
      <c r="M243" s="37" t="str">
        <f t="shared" si="52"/>
        <v>south</v>
      </c>
      <c r="N243" s="46" t="s">
        <v>54</v>
      </c>
      <c r="O243" s="41" t="str">
        <f t="shared" si="53"/>
        <v>Yes</v>
      </c>
      <c r="P243" s="49" t="s">
        <v>1279</v>
      </c>
      <c r="Q243" s="49" t="s">
        <v>1280</v>
      </c>
      <c r="R243" s="42">
        <f t="shared" si="54"/>
        <v>17.7777777777778</v>
      </c>
      <c r="S243" s="46">
        <v>8</v>
      </c>
      <c r="T243" s="46" t="s">
        <v>316</v>
      </c>
      <c r="U243" s="43" t="str">
        <f t="shared" si="55"/>
        <v>10/04/2024</v>
      </c>
      <c r="V243" s="43">
        <f t="shared" si="56"/>
        <v>45392</v>
      </c>
      <c r="W243" s="44">
        <f t="array" ref="W243">_xlfn.IFS(TRIM(C243)="","",TRIM(V243)="","",TRUE,V243-C243)</f>
        <v>7</v>
      </c>
      <c r="X243" s="37">
        <f t="shared" si="57"/>
        <v>-1</v>
      </c>
      <c r="Y243" s="46" t="s">
        <v>117</v>
      </c>
      <c r="Z243" s="37" t="str">
        <f t="shared" si="58"/>
        <v>delivered</v>
      </c>
      <c r="AA243" s="37" t="str">
        <f t="shared" si="59"/>
        <v>On Time</v>
      </c>
      <c r="AB243" s="37" t="str">
        <f t="shared" si="62"/>
        <v>0</v>
      </c>
      <c r="AC243" s="37">
        <f t="shared" si="63"/>
        <v>0</v>
      </c>
      <c r="AD243" s="45">
        <f t="shared" si="61"/>
        <v>0.505567928730512</v>
      </c>
      <c r="AE243" s="46">
        <v>5</v>
      </c>
      <c r="AF243" s="46" t="s">
        <v>286</v>
      </c>
      <c r="AG243" s="37" t="str">
        <f t="shared" si="60"/>
        <v>yes</v>
      </c>
      <c r="AH243" s="37" t="str">
        <f t="array" ref="AH243">_xlfn.IFS(LOWER(AG243)="n","no",LOWER(AG243)="y","yes",TRUE,LOWER(AG243))</f>
        <v>yes</v>
      </c>
      <c r="AI243" s="46" t="s">
        <v>4692</v>
      </c>
    </row>
    <row r="244" spans="1:35">
      <c r="A244" s="37" t="s">
        <v>1281</v>
      </c>
      <c r="B244" s="38">
        <v>45399</v>
      </c>
      <c r="C244" s="39">
        <f t="shared" si="48"/>
        <v>45399</v>
      </c>
      <c r="D244" s="40" t="s">
        <v>424</v>
      </c>
      <c r="E244" s="37" t="str" cm="1">
        <f t="array" ref="E244">_xlfn.IFS(D244="delhi","north",D244="mumbai","west",D244="bengaluru","south",D244="chennai","south",D244="kolkata","east",TRUE,"west")</f>
        <v>south</v>
      </c>
      <c r="F244" s="37" t="s">
        <v>194</v>
      </c>
      <c r="G244" s="37" t="str">
        <f t="shared" si="49"/>
        <v>xpressbees</v>
      </c>
      <c r="H244" s="37" t="s">
        <v>110</v>
      </c>
      <c r="I244" s="37" t="str">
        <f t="shared" si="50"/>
        <v>surface</v>
      </c>
      <c r="J244" s="37" t="s">
        <v>271</v>
      </c>
      <c r="K244" s="37" t="str">
        <f t="shared" si="51"/>
        <v>electronics</v>
      </c>
      <c r="L244" s="37" t="s">
        <v>197</v>
      </c>
      <c r="M244" s="37" t="str">
        <f t="shared" si="52"/>
        <v>south</v>
      </c>
      <c r="N244" s="37" t="s">
        <v>90</v>
      </c>
      <c r="O244" s="41" t="str">
        <f t="shared" si="53"/>
        <v>Yes</v>
      </c>
      <c r="P244" s="41" t="s">
        <v>1283</v>
      </c>
      <c r="Q244" s="41">
        <v>269</v>
      </c>
      <c r="R244" s="42">
        <f t="shared" si="54"/>
        <v>22.4166666666667</v>
      </c>
      <c r="S244" s="37">
        <v>4</v>
      </c>
      <c r="T244" s="37" t="s">
        <v>1285</v>
      </c>
      <c r="U244" s="43" t="str">
        <f t="shared" si="55"/>
        <v>21-apr-2024</v>
      </c>
      <c r="V244" s="43">
        <f t="shared" si="56"/>
        <v>45403</v>
      </c>
      <c r="W244" s="44">
        <f t="array" ref="W244">_xlfn.IFS(TRIM(C244)="","",TRIM(V244)="","",TRUE,V244-C244)</f>
        <v>4</v>
      </c>
      <c r="X244" s="37">
        <f t="shared" si="57"/>
        <v>0</v>
      </c>
      <c r="Y244" s="37" t="s">
        <v>117</v>
      </c>
      <c r="Z244" s="37" t="str">
        <f t="shared" si="58"/>
        <v>delivered</v>
      </c>
      <c r="AA244" s="37" t="str">
        <f t="shared" si="59"/>
        <v>On Time</v>
      </c>
      <c r="AB244" s="37" t="str">
        <f t="shared" si="62"/>
        <v>0</v>
      </c>
      <c r="AC244" s="37">
        <f t="shared" si="63"/>
        <v>0</v>
      </c>
      <c r="AD244" s="45">
        <f t="shared" si="61"/>
        <v>0.50594353640416</v>
      </c>
      <c r="AE244" s="37">
        <v>5</v>
      </c>
      <c r="AF244" s="37" t="s">
        <v>118</v>
      </c>
      <c r="AG244" s="37" t="str">
        <f t="shared" si="60"/>
        <v>no</v>
      </c>
      <c r="AH244" s="37" t="str">
        <f t="array" ref="AH244">_xlfn.IFS(LOWER(AG244)="n","no",LOWER(AG244)="y","yes",TRUE,LOWER(AG244))</f>
        <v>no</v>
      </c>
      <c r="AI244" s="37" t="s">
        <v>4692</v>
      </c>
    </row>
    <row r="245" spans="1:35">
      <c r="A245" s="46" t="s">
        <v>1286</v>
      </c>
      <c r="B245" s="47">
        <v>45361</v>
      </c>
      <c r="C245" s="39">
        <f t="shared" si="48"/>
        <v>45361</v>
      </c>
      <c r="D245" s="48" t="s">
        <v>109</v>
      </c>
      <c r="E245" s="37" t="str" cm="1">
        <f t="array" ref="E245">_xlfn.IFS(D245="delhi","north",D245="mumbai","west",D245="bengaluru","south",D245="chennai","south",D245="kolkata","east",TRUE,"west")</f>
        <v>west</v>
      </c>
      <c r="F245" s="46" t="s">
        <v>156</v>
      </c>
      <c r="G245" s="37" t="str">
        <f t="shared" si="49"/>
        <v>xpressbees</v>
      </c>
      <c r="H245" s="46" t="s">
        <v>42</v>
      </c>
      <c r="I245" s="37" t="str">
        <f t="shared" si="50"/>
        <v>surface</v>
      </c>
      <c r="J245" s="46" t="s">
        <v>498</v>
      </c>
      <c r="K245" s="37" t="str">
        <f t="shared" si="51"/>
        <v>apparel</v>
      </c>
      <c r="L245" s="46" t="s">
        <v>125</v>
      </c>
      <c r="M245" s="37" t="str">
        <f t="shared" si="52"/>
        <v>east</v>
      </c>
      <c r="N245" s="46" t="s">
        <v>126</v>
      </c>
      <c r="O245" s="41" t="str">
        <f t="shared" si="53"/>
        <v>Yes</v>
      </c>
      <c r="P245" s="49" t="s">
        <v>1288</v>
      </c>
      <c r="Q245" s="49">
        <v>348</v>
      </c>
      <c r="R245" s="42">
        <f t="shared" si="54"/>
        <v>44.0506329113924</v>
      </c>
      <c r="S245" s="46">
        <v>6</v>
      </c>
      <c r="T245" s="46" t="s">
        <v>1289</v>
      </c>
      <c r="U245" s="43" t="str">
        <f t="shared" si="55"/>
        <v>18/03/2024</v>
      </c>
      <c r="V245" s="43">
        <f t="shared" si="56"/>
        <v>45369</v>
      </c>
      <c r="W245" s="44">
        <f t="array" ref="W245">_xlfn.IFS(TRIM(C245)="","",TRIM(V245)="","",TRUE,V245-C245)</f>
        <v>8</v>
      </c>
      <c r="X245" s="37">
        <f t="shared" si="57"/>
        <v>2</v>
      </c>
      <c r="Y245" s="46" t="s">
        <v>172</v>
      </c>
      <c r="Z245" s="37" t="str">
        <f t="shared" si="58"/>
        <v>delayed</v>
      </c>
      <c r="AA245" s="37" t="str">
        <f t="shared" si="59"/>
        <v>Late</v>
      </c>
      <c r="AB245" s="37" t="str">
        <f t="shared" si="62"/>
        <v>1</v>
      </c>
      <c r="AC245" s="37">
        <f t="shared" si="63"/>
        <v>1</v>
      </c>
      <c r="AD245" s="45">
        <f t="shared" si="61"/>
        <v>0.50631970260223</v>
      </c>
      <c r="AE245" s="46">
        <v>3</v>
      </c>
      <c r="AF245" s="46" t="s">
        <v>286</v>
      </c>
      <c r="AG245" s="37" t="str">
        <f t="shared" si="60"/>
        <v>yes</v>
      </c>
      <c r="AH245" s="37" t="str">
        <f t="array" ref="AH245">_xlfn.IFS(LOWER(AG245)="n","no",LOWER(AG245)="y","yes",TRUE,LOWER(AG245))</f>
        <v>yes</v>
      </c>
      <c r="AI245" s="46" t="s">
        <v>4692</v>
      </c>
    </row>
    <row r="246" spans="1:35">
      <c r="A246" s="37" t="s">
        <v>1290</v>
      </c>
      <c r="B246" s="38" t="s">
        <v>4730</v>
      </c>
      <c r="C246" s="39">
        <f t="shared" si="48"/>
        <v>45314</v>
      </c>
      <c r="D246" s="40" t="s">
        <v>424</v>
      </c>
      <c r="E246" s="37" t="str" cm="1">
        <f t="array" ref="E246">_xlfn.IFS(D246="delhi","north",D246="mumbai","west",D246="bengaluru","south",D246="chennai","south",D246="kolkata","east",TRUE,"west")</f>
        <v>south</v>
      </c>
      <c r="F246" s="37" t="s">
        <v>37</v>
      </c>
      <c r="G246" s="37" t="str">
        <f t="shared" si="49"/>
        <v>bluedart</v>
      </c>
      <c r="H246" s="37" t="s">
        <v>147</v>
      </c>
      <c r="I246" s="37" t="str">
        <f t="shared" si="50"/>
        <v>road</v>
      </c>
      <c r="J246" s="37" t="s">
        <v>592</v>
      </c>
      <c r="K246" s="37" t="str">
        <f t="shared" si="51"/>
        <v>grocery&amp;fmcg</v>
      </c>
      <c r="L246" s="37" t="s">
        <v>401</v>
      </c>
      <c r="M246" s="37" t="str">
        <f t="shared" si="52"/>
        <v>south</v>
      </c>
      <c r="N246" s="37" t="s">
        <v>93</v>
      </c>
      <c r="O246" s="41" t="str">
        <f t="shared" si="53"/>
        <v>Yes</v>
      </c>
      <c r="P246" s="41">
        <v>2.8</v>
      </c>
      <c r="Q246" s="41" t="s">
        <v>432</v>
      </c>
      <c r="R246" s="42">
        <f t="shared" si="54"/>
        <v>28.5714285714286</v>
      </c>
      <c r="S246" s="37">
        <v>6</v>
      </c>
      <c r="T246" s="37" t="s">
        <v>1292</v>
      </c>
      <c r="U246" s="43" t="str">
        <f t="shared" si="55"/>
        <v>2024-01-28</v>
      </c>
      <c r="V246" s="43">
        <f t="shared" si="56"/>
        <v>45319</v>
      </c>
      <c r="W246" s="44">
        <f t="array" ref="W246">_xlfn.IFS(TRIM(C246)="","",TRIM(V246)="","",TRUE,V246-C246)</f>
        <v>5</v>
      </c>
      <c r="X246" s="37">
        <f t="shared" si="57"/>
        <v>-1</v>
      </c>
      <c r="Y246" s="37" t="s">
        <v>163</v>
      </c>
      <c r="Z246" s="37" t="str">
        <f t="shared" si="58"/>
        <v>delivered</v>
      </c>
      <c r="AA246" s="37" t="str">
        <f t="shared" si="59"/>
        <v>On Time</v>
      </c>
      <c r="AB246" s="37" t="str">
        <f t="shared" si="62"/>
        <v>0</v>
      </c>
      <c r="AC246" s="37">
        <f t="shared" si="63"/>
        <v>0</v>
      </c>
      <c r="AD246" s="45">
        <f t="shared" si="61"/>
        <v>0.505952380952381</v>
      </c>
      <c r="AE246" s="37">
        <v>2</v>
      </c>
      <c r="AF246" s="37" t="s">
        <v>118</v>
      </c>
      <c r="AG246" s="37" t="str">
        <f t="shared" si="60"/>
        <v>no</v>
      </c>
      <c r="AH246" s="37" t="str">
        <f t="array" ref="AH246">_xlfn.IFS(LOWER(AG246)="n","no",LOWER(AG246)="y","yes",TRUE,LOWER(AG246))</f>
        <v>no</v>
      </c>
      <c r="AI246" s="37" t="s">
        <v>4692</v>
      </c>
    </row>
    <row r="247" spans="1:35">
      <c r="A247" s="46" t="s">
        <v>1293</v>
      </c>
      <c r="B247" s="47" t="s">
        <v>4752</v>
      </c>
      <c r="C247" s="39">
        <f t="shared" si="48"/>
        <v>45360</v>
      </c>
      <c r="D247" s="48" t="s">
        <v>109</v>
      </c>
      <c r="E247" s="37" t="str" cm="1">
        <f t="array" ref="E247">_xlfn.IFS(D247="delhi","north",D247="mumbai","west",D247="bengaluru","south",D247="chennai","south",D247="kolkata","east",TRUE,"west")</f>
        <v>west</v>
      </c>
      <c r="F247" s="46" t="s">
        <v>194</v>
      </c>
      <c r="G247" s="37" t="str">
        <f t="shared" si="49"/>
        <v>xpressbees</v>
      </c>
      <c r="H247" s="46" t="s">
        <v>123</v>
      </c>
      <c r="I247" s="37" t="str">
        <f t="shared" si="50"/>
        <v>air</v>
      </c>
      <c r="J247" s="46" t="s">
        <v>263</v>
      </c>
      <c r="K247" s="37" t="str">
        <f t="shared" si="51"/>
        <v>apparel</v>
      </c>
      <c r="L247" s="46" t="s">
        <v>159</v>
      </c>
      <c r="M247" s="37" t="str">
        <f t="shared" si="52"/>
        <v>south</v>
      </c>
      <c r="N247" s="46" t="s">
        <v>93</v>
      </c>
      <c r="O247" s="41" t="str">
        <f t="shared" si="53"/>
        <v>Yes</v>
      </c>
      <c r="P247" s="49">
        <v>3.2</v>
      </c>
      <c r="Q247" s="49">
        <v>282</v>
      </c>
      <c r="R247" s="42">
        <f t="shared" si="54"/>
        <v>88.125</v>
      </c>
      <c r="S247" s="46">
        <v>4</v>
      </c>
      <c r="T247" s="46" t="s">
        <v>165</v>
      </c>
      <c r="U247" s="43" t="str">
        <f t="shared" si="55"/>
        <v>14-mar-2024</v>
      </c>
      <c r="V247" s="43">
        <f t="shared" si="56"/>
        <v>45365</v>
      </c>
      <c r="W247" s="44">
        <f t="array" ref="W247">_xlfn.IFS(TRIM(C247)="","",TRIM(V247)="","",TRUE,V247-C247)</f>
        <v>5</v>
      </c>
      <c r="X247" s="37">
        <f t="shared" si="57"/>
        <v>1</v>
      </c>
      <c r="Y247" s="46" t="s">
        <v>624</v>
      </c>
      <c r="Z247" s="37" t="str">
        <f t="shared" si="58"/>
        <v>returned</v>
      </c>
      <c r="AA247" s="37" t="str">
        <f t="shared" si="59"/>
        <v>Late</v>
      </c>
      <c r="AB247" s="37" t="str">
        <f t="shared" si="62"/>
        <v>1</v>
      </c>
      <c r="AC247" s="37">
        <f t="shared" si="63"/>
        <v>1</v>
      </c>
      <c r="AD247" s="45">
        <f t="shared" si="61"/>
        <v>0.506329113924051</v>
      </c>
      <c r="AE247" s="46"/>
      <c r="AF247" s="46" t="s">
        <v>286</v>
      </c>
      <c r="AG247" s="37" t="str">
        <f t="shared" si="60"/>
        <v>yes</v>
      </c>
      <c r="AH247" s="37" t="str">
        <f t="array" ref="AH247">_xlfn.IFS(LOWER(AG247)="n","no",LOWER(AG247)="y","yes",TRUE,LOWER(AG247))</f>
        <v>yes</v>
      </c>
      <c r="AI247" s="46" t="s">
        <v>625</v>
      </c>
    </row>
    <row r="248" spans="1:35">
      <c r="A248" s="37" t="s">
        <v>1296</v>
      </c>
      <c r="B248" s="38">
        <v>45418</v>
      </c>
      <c r="C248" s="39">
        <f t="shared" si="48"/>
        <v>45418</v>
      </c>
      <c r="D248" s="40" t="s">
        <v>366</v>
      </c>
      <c r="E248" s="37" t="str" cm="1">
        <f t="array" ref="E248">_xlfn.IFS(D248="delhi","north",D248="mumbai","west",D248="bengaluru","south",D248="chennai","south",D248="kolkata","east",TRUE,"west")</f>
        <v>east</v>
      </c>
      <c r="F248" s="37" t="s">
        <v>146</v>
      </c>
      <c r="G248" s="37" t="str">
        <f t="shared" si="49"/>
        <v>ecomexpress</v>
      </c>
      <c r="H248" s="37" t="s">
        <v>99</v>
      </c>
      <c r="I248" s="37" t="str">
        <f t="shared" si="50"/>
        <v>air</v>
      </c>
      <c r="J248" s="37" t="s">
        <v>430</v>
      </c>
      <c r="K248" s="37" t="str">
        <f t="shared" si="51"/>
        <v>pharma</v>
      </c>
      <c r="L248" s="37" t="s">
        <v>264</v>
      </c>
      <c r="M248" s="37" t="str">
        <f t="shared" si="52"/>
        <v>west</v>
      </c>
      <c r="N248" s="37" t="s">
        <v>88</v>
      </c>
      <c r="O248" s="41" t="str">
        <f t="shared" si="53"/>
        <v>Yes</v>
      </c>
      <c r="P248" s="41">
        <v>0.7</v>
      </c>
      <c r="Q248" s="41" t="s">
        <v>1299</v>
      </c>
      <c r="R248" s="42">
        <f t="shared" si="54"/>
        <v>227.142857142857</v>
      </c>
      <c r="S248" s="37">
        <v>4</v>
      </c>
      <c r="T248" s="37" t="s">
        <v>931</v>
      </c>
      <c r="U248" s="43" t="str">
        <f t="shared" si="55"/>
        <v>09/05/2024</v>
      </c>
      <c r="V248" s="43">
        <f t="shared" si="56"/>
        <v>45421</v>
      </c>
      <c r="W248" s="44">
        <f t="array" ref="W248">_xlfn.IFS(TRIM(C248)="","",TRIM(V248)="","",TRUE,V248-C248)</f>
        <v>3</v>
      </c>
      <c r="X248" s="37">
        <f t="shared" si="57"/>
        <v>-1</v>
      </c>
      <c r="Y248" s="37" t="s">
        <v>117</v>
      </c>
      <c r="Z248" s="37" t="str">
        <f t="shared" si="58"/>
        <v>delivered</v>
      </c>
      <c r="AA248" s="37" t="str">
        <f t="shared" si="59"/>
        <v>On Time</v>
      </c>
      <c r="AB248" s="37" t="str">
        <f t="shared" si="62"/>
        <v>0</v>
      </c>
      <c r="AC248" s="37">
        <f t="shared" si="63"/>
        <v>0</v>
      </c>
      <c r="AD248" s="45">
        <f t="shared" si="61"/>
        <v>0.505961251862891</v>
      </c>
      <c r="AE248" s="37">
        <v>4</v>
      </c>
      <c r="AF248" s="37" t="s">
        <v>118</v>
      </c>
      <c r="AG248" s="37" t="str">
        <f t="shared" si="60"/>
        <v>no</v>
      </c>
      <c r="AH248" s="37" t="str">
        <f t="array" ref="AH248">_xlfn.IFS(LOWER(AG248)="n","no",LOWER(AG248)="y","yes",TRUE,LOWER(AG248))</f>
        <v>no</v>
      </c>
      <c r="AI248" s="37" t="s">
        <v>4692</v>
      </c>
    </row>
    <row r="249" spans="1:35">
      <c r="A249" s="46" t="s">
        <v>1300</v>
      </c>
      <c r="B249" s="47" t="s">
        <v>4753</v>
      </c>
      <c r="C249" s="39">
        <f t="shared" si="48"/>
        <v>45397</v>
      </c>
      <c r="D249" s="48" t="s">
        <v>166</v>
      </c>
      <c r="E249" s="37" t="str" cm="1">
        <f t="array" ref="E249">_xlfn.IFS(D249="delhi","north",D249="mumbai","west",D249="bengaluru","south",D249="chennai","south",D249="kolkata","east",TRUE,"west")</f>
        <v>west</v>
      </c>
      <c r="F249" s="46" t="s">
        <v>184</v>
      </c>
      <c r="G249" s="37" t="str">
        <f t="shared" si="49"/>
        <v>ecomexpress</v>
      </c>
      <c r="H249" s="46" t="s">
        <v>440</v>
      </c>
      <c r="I249" s="37" t="str">
        <f t="shared" si="50"/>
        <v>road</v>
      </c>
      <c r="J249" s="46" t="s">
        <v>237</v>
      </c>
      <c r="K249" s="37" t="str">
        <f t="shared" si="51"/>
        <v>automotiveparts</v>
      </c>
      <c r="L249" s="46" t="s">
        <v>112</v>
      </c>
      <c r="M249" s="37" t="str">
        <f t="shared" si="52"/>
        <v>north</v>
      </c>
      <c r="N249" s="46" t="s">
        <v>113</v>
      </c>
      <c r="O249" s="41" t="str">
        <f t="shared" si="53"/>
        <v>Yes</v>
      </c>
      <c r="P249" s="49">
        <v>13.6</v>
      </c>
      <c r="Q249" s="49" t="s">
        <v>1303</v>
      </c>
      <c r="R249" s="42">
        <f t="shared" si="54"/>
        <v>24.4117647058824</v>
      </c>
      <c r="S249" s="46">
        <v>8</v>
      </c>
      <c r="T249" s="46" t="s">
        <v>1304</v>
      </c>
      <c r="U249" s="43" t="str">
        <f t="shared" si="55"/>
        <v>22/04/2024</v>
      </c>
      <c r="V249" s="43">
        <f t="shared" si="56"/>
        <v>45404</v>
      </c>
      <c r="W249" s="44">
        <f t="array" ref="W249">_xlfn.IFS(TRIM(C249)="","",TRIM(V249)="","",TRUE,V249-C249)</f>
        <v>7</v>
      </c>
      <c r="X249" s="37">
        <f t="shared" si="57"/>
        <v>-1</v>
      </c>
      <c r="Y249" s="46" t="s">
        <v>163</v>
      </c>
      <c r="Z249" s="37" t="str">
        <f t="shared" si="58"/>
        <v>delivered</v>
      </c>
      <c r="AA249" s="37" t="str">
        <f t="shared" si="59"/>
        <v>On Time</v>
      </c>
      <c r="AB249" s="37" t="str">
        <f t="shared" si="62"/>
        <v>0</v>
      </c>
      <c r="AC249" s="37">
        <f t="shared" si="63"/>
        <v>0</v>
      </c>
      <c r="AD249" s="45">
        <f t="shared" si="61"/>
        <v>0.506338553318419</v>
      </c>
      <c r="AE249" s="46">
        <v>4</v>
      </c>
      <c r="AF249" s="46" t="s">
        <v>106</v>
      </c>
      <c r="AG249" s="37" t="str">
        <f t="shared" si="60"/>
        <v>yes</v>
      </c>
      <c r="AH249" s="37" t="str">
        <f t="array" ref="AH249">_xlfn.IFS(LOWER(AG249)="n","no",LOWER(AG249)="y","yes",TRUE,LOWER(AG249))</f>
        <v>yes</v>
      </c>
      <c r="AI249" s="46" t="s">
        <v>4692</v>
      </c>
    </row>
    <row r="250" spans="1:35">
      <c r="A250" s="37" t="s">
        <v>1305</v>
      </c>
      <c r="B250" s="38">
        <v>45326</v>
      </c>
      <c r="C250" s="39">
        <f t="shared" si="48"/>
        <v>45326</v>
      </c>
      <c r="D250" s="40" t="s">
        <v>212</v>
      </c>
      <c r="E250" s="37" t="str" cm="1">
        <f t="array" ref="E250">_xlfn.IFS(D250="delhi","north",D250="mumbai","west",D250="bengaluru","south",D250="chennai","south",D250="kolkata","east",TRUE,"west")</f>
        <v>west</v>
      </c>
      <c r="F250" s="37" t="s">
        <v>204</v>
      </c>
      <c r="G250" s="37" t="str">
        <f t="shared" si="49"/>
        <v>delhivery</v>
      </c>
      <c r="H250" s="37" t="s">
        <v>224</v>
      </c>
      <c r="I250" s="37" t="str">
        <f t="shared" si="50"/>
        <v>air</v>
      </c>
      <c r="J250" s="37" t="s">
        <v>353</v>
      </c>
      <c r="K250" s="37" t="str">
        <f t="shared" si="51"/>
        <v>automotiveparts</v>
      </c>
      <c r="L250" s="37" t="s">
        <v>401</v>
      </c>
      <c r="M250" s="37" t="str">
        <f t="shared" si="52"/>
        <v>south</v>
      </c>
      <c r="N250" s="37" t="s">
        <v>90</v>
      </c>
      <c r="O250" s="41" t="str">
        <f t="shared" si="53"/>
        <v>Yes</v>
      </c>
      <c r="P250" s="41">
        <v>30.6</v>
      </c>
      <c r="Q250" s="41">
        <v>1548</v>
      </c>
      <c r="R250" s="42">
        <f t="shared" si="54"/>
        <v>50.5882352941176</v>
      </c>
      <c r="S250" s="37">
        <v>4</v>
      </c>
      <c r="T250" s="37" t="s">
        <v>1309</v>
      </c>
      <c r="U250" s="43" t="str">
        <f t="shared" si="55"/>
        <v>08-feb-2024</v>
      </c>
      <c r="V250" s="43">
        <f t="shared" si="56"/>
        <v>45330</v>
      </c>
      <c r="W250" s="44">
        <f t="array" ref="W250">_xlfn.IFS(TRIM(C250)="","",TRIM(V250)="","",TRUE,V250-C250)</f>
        <v>4</v>
      </c>
      <c r="X250" s="37">
        <f t="shared" si="57"/>
        <v>0</v>
      </c>
      <c r="Y250" s="37" t="s">
        <v>105</v>
      </c>
      <c r="Z250" s="37" t="str">
        <f t="shared" si="58"/>
        <v>delivered</v>
      </c>
      <c r="AA250" s="37" t="str">
        <f t="shared" si="59"/>
        <v>On Time</v>
      </c>
      <c r="AB250" s="37" t="str">
        <f t="shared" si="62"/>
        <v>0</v>
      </c>
      <c r="AC250" s="37">
        <f t="shared" si="63"/>
        <v>0</v>
      </c>
      <c r="AD250" s="45">
        <f t="shared" si="61"/>
        <v>0.506716417910448</v>
      </c>
      <c r="AE250" s="37">
        <v>4</v>
      </c>
      <c r="AF250" s="37" t="s">
        <v>118</v>
      </c>
      <c r="AG250" s="37" t="str">
        <f t="shared" si="60"/>
        <v>no</v>
      </c>
      <c r="AH250" s="37" t="str">
        <f t="array" ref="AH250">_xlfn.IFS(LOWER(AG250)="n","no",LOWER(AG250)="y","yes",TRUE,LOWER(AG250))</f>
        <v>no</v>
      </c>
      <c r="AI250" s="37" t="s">
        <v>4692</v>
      </c>
    </row>
    <row r="251" spans="1:35">
      <c r="A251" s="46" t="s">
        <v>1310</v>
      </c>
      <c r="B251" s="47">
        <v>45342</v>
      </c>
      <c r="C251" s="39">
        <f t="shared" si="48"/>
        <v>45342</v>
      </c>
      <c r="D251" s="48" t="s">
        <v>212</v>
      </c>
      <c r="E251" s="37" t="str" cm="1">
        <f t="array" ref="E251">_xlfn.IFS(D251="delhi","north",D251="mumbai","west",D251="bengaluru","south",D251="chennai","south",D251="kolkata","east",TRUE,"west")</f>
        <v>west</v>
      </c>
      <c r="F251" s="46" t="s">
        <v>544</v>
      </c>
      <c r="G251" s="37" t="str">
        <f t="shared" si="49"/>
        <v>bluedart</v>
      </c>
      <c r="H251" s="46" t="s">
        <v>123</v>
      </c>
      <c r="I251" s="37" t="str">
        <f t="shared" si="50"/>
        <v>air</v>
      </c>
      <c r="J251" s="46" t="s">
        <v>148</v>
      </c>
      <c r="K251" s="37" t="str">
        <f t="shared" si="51"/>
        <v>electronics</v>
      </c>
      <c r="L251" s="46" t="s">
        <v>401</v>
      </c>
      <c r="M251" s="37" t="str">
        <f t="shared" si="52"/>
        <v>south</v>
      </c>
      <c r="N251" s="46" t="s">
        <v>54</v>
      </c>
      <c r="O251" s="41" t="str">
        <f t="shared" si="53"/>
        <v>Yes</v>
      </c>
      <c r="P251" s="49" t="s">
        <v>1312</v>
      </c>
      <c r="Q251" s="49">
        <v>253</v>
      </c>
      <c r="R251" s="42">
        <f t="shared" si="54"/>
        <v>87.2413793103448</v>
      </c>
      <c r="S251" s="46">
        <v>4</v>
      </c>
      <c r="T251" s="46" t="s">
        <v>947</v>
      </c>
      <c r="U251" s="43" t="str">
        <f t="shared" si="55"/>
        <v>2024-02-23</v>
      </c>
      <c r="V251" s="43">
        <f t="shared" si="56"/>
        <v>45345</v>
      </c>
      <c r="W251" s="44">
        <f t="array" ref="W251">_xlfn.IFS(TRIM(C251)="","",TRIM(V251)="","",TRUE,V251-C251)</f>
        <v>3</v>
      </c>
      <c r="X251" s="37">
        <f t="shared" si="57"/>
        <v>-1</v>
      </c>
      <c r="Y251" s="46" t="s">
        <v>163</v>
      </c>
      <c r="Z251" s="37" t="str">
        <f t="shared" si="58"/>
        <v>delivered</v>
      </c>
      <c r="AA251" s="37" t="str">
        <f t="shared" si="59"/>
        <v>On Time</v>
      </c>
      <c r="AB251" s="37" t="str">
        <f t="shared" si="62"/>
        <v>0</v>
      </c>
      <c r="AC251" s="37">
        <f t="shared" si="63"/>
        <v>0</v>
      </c>
      <c r="AD251" s="45">
        <f t="shared" si="61"/>
        <v>0.507094846900672</v>
      </c>
      <c r="AE251" s="46">
        <v>5</v>
      </c>
      <c r="AF251" s="46" t="s">
        <v>106</v>
      </c>
      <c r="AG251" s="37" t="str">
        <f t="shared" si="60"/>
        <v>yes</v>
      </c>
      <c r="AH251" s="37" t="str">
        <f t="array" ref="AH251">_xlfn.IFS(LOWER(AG251)="n","no",LOWER(AG251)="y","yes",TRUE,LOWER(AG251))</f>
        <v>yes</v>
      </c>
      <c r="AI251" s="46" t="s">
        <v>4692</v>
      </c>
    </row>
    <row r="252" spans="1:35">
      <c r="A252" s="37" t="s">
        <v>1314</v>
      </c>
      <c r="B252" s="38" t="s">
        <v>4693</v>
      </c>
      <c r="C252" s="39">
        <f t="shared" si="48"/>
        <v>45453</v>
      </c>
      <c r="D252" s="40" t="s">
        <v>4694</v>
      </c>
      <c r="E252" s="37" t="str" cm="1">
        <f t="array" ref="E252">_xlfn.IFS(D252="delhi","north",D252="mumbai","west",D252="bengaluru","south",D252="chennai","south",D252="kolkata","east",TRUE,"west")</f>
        <v>west</v>
      </c>
      <c r="F252" s="37" t="s">
        <v>333</v>
      </c>
      <c r="G252" s="37" t="str">
        <f t="shared" si="49"/>
        <v>delhivery</v>
      </c>
      <c r="H252" s="37" t="s">
        <v>185</v>
      </c>
      <c r="I252" s="37" t="str">
        <f t="shared" si="50"/>
        <v>surface</v>
      </c>
      <c r="J252" s="37" t="s">
        <v>167</v>
      </c>
      <c r="K252" s="37" t="str">
        <f t="shared" si="51"/>
        <v>pharma</v>
      </c>
      <c r="L252" s="37" t="s">
        <v>101</v>
      </c>
      <c r="M252" s="37" t="str">
        <f t="shared" si="52"/>
        <v>west</v>
      </c>
      <c r="N252" s="37" t="s">
        <v>187</v>
      </c>
      <c r="O252" s="41" t="str">
        <f t="shared" si="53"/>
        <v>Yes</v>
      </c>
      <c r="P252" s="41">
        <v>2.4</v>
      </c>
      <c r="Q252" s="41">
        <v>222</v>
      </c>
      <c r="R252" s="42">
        <f t="shared" si="54"/>
        <v>92.5</v>
      </c>
      <c r="S252" s="37">
        <v>6</v>
      </c>
      <c r="T252" s="37" t="s">
        <v>433</v>
      </c>
      <c r="U252" s="43" t="str">
        <f t="shared" si="55"/>
        <v>2024-06-15</v>
      </c>
      <c r="V252" s="43">
        <f t="shared" si="56"/>
        <v>45458</v>
      </c>
      <c r="W252" s="44">
        <f t="array" ref="W252">_xlfn.IFS(TRIM(C252)="","",TRIM(V252)="","",TRUE,V252-C252)</f>
        <v>5</v>
      </c>
      <c r="X252" s="37">
        <f t="shared" si="57"/>
        <v>-1</v>
      </c>
      <c r="Y252" s="37" t="s">
        <v>117</v>
      </c>
      <c r="Z252" s="37" t="str">
        <f t="shared" si="58"/>
        <v>delivered</v>
      </c>
      <c r="AA252" s="37" t="str">
        <f t="shared" si="59"/>
        <v>On Time</v>
      </c>
      <c r="AB252" s="37" t="str">
        <f t="shared" si="62"/>
        <v>0</v>
      </c>
      <c r="AC252" s="37">
        <f t="shared" si="63"/>
        <v>0</v>
      </c>
      <c r="AD252" s="45">
        <f t="shared" si="61"/>
        <v>0.507473841554559</v>
      </c>
      <c r="AE252" s="37">
        <v>4</v>
      </c>
      <c r="AF252" s="37" t="s">
        <v>152</v>
      </c>
      <c r="AG252" s="37" t="str">
        <f t="shared" si="60"/>
        <v>no</v>
      </c>
      <c r="AH252" s="37" t="str">
        <f t="array" ref="AH252">_xlfn.IFS(LOWER(AG252)="n","no",LOWER(AG252)="y","yes",TRUE,LOWER(AG252))</f>
        <v>no</v>
      </c>
      <c r="AI252" s="37" t="s">
        <v>4692</v>
      </c>
    </row>
    <row r="253" spans="1:35">
      <c r="A253" s="46" t="s">
        <v>1316</v>
      </c>
      <c r="B253" s="47" t="s">
        <v>4754</v>
      </c>
      <c r="C253" s="39">
        <f t="shared" si="48"/>
        <v>45316</v>
      </c>
      <c r="D253" s="48" t="s">
        <v>300</v>
      </c>
      <c r="E253" s="37" t="str" cm="1">
        <f t="array" ref="E253">_xlfn.IFS(D253="delhi","north",D253="mumbai","west",D253="bengaluru","south",D253="chennai","south",D253="kolkata","east",TRUE,"west")</f>
        <v>west</v>
      </c>
      <c r="F253" s="46" t="s">
        <v>544</v>
      </c>
      <c r="G253" s="37" t="str">
        <f t="shared" si="49"/>
        <v>bluedart</v>
      </c>
      <c r="H253" s="46" t="s">
        <v>99</v>
      </c>
      <c r="I253" s="37" t="str">
        <f t="shared" si="50"/>
        <v>air</v>
      </c>
      <c r="J253" s="46" t="s">
        <v>205</v>
      </c>
      <c r="K253" s="37" t="str">
        <f t="shared" si="51"/>
        <v>furniture</v>
      </c>
      <c r="L253" s="46" t="s">
        <v>87</v>
      </c>
      <c r="M253" s="37" t="str">
        <f t="shared" si="52"/>
        <v>north</v>
      </c>
      <c r="N253" s="46" t="s">
        <v>113</v>
      </c>
      <c r="O253" s="41" t="str">
        <f t="shared" si="53"/>
        <v>Yes</v>
      </c>
      <c r="P253" s="49" t="s">
        <v>1318</v>
      </c>
      <c r="Q253" s="51">
        <v>1629</v>
      </c>
      <c r="R253" s="42">
        <f t="shared" si="54"/>
        <v>49.3636363636364</v>
      </c>
      <c r="S253" s="46">
        <v>4</v>
      </c>
      <c r="T253" s="46" t="s">
        <v>1320</v>
      </c>
      <c r="U253" s="43" t="str">
        <f t="shared" si="55"/>
        <v>29-jan-2024</v>
      </c>
      <c r="V253" s="43">
        <f t="shared" si="56"/>
        <v>45320</v>
      </c>
      <c r="W253" s="44">
        <f t="array" ref="W253">_xlfn.IFS(TRIM(C253)="","",TRIM(V253)="","",TRUE,V253-C253)</f>
        <v>4</v>
      </c>
      <c r="X253" s="37">
        <f t="shared" si="57"/>
        <v>0</v>
      </c>
      <c r="Y253" s="46" t="s">
        <v>117</v>
      </c>
      <c r="Z253" s="37" t="str">
        <f t="shared" si="58"/>
        <v>delivered</v>
      </c>
      <c r="AA253" s="37" t="str">
        <f t="shared" si="59"/>
        <v>On Time</v>
      </c>
      <c r="AB253" s="37" t="str">
        <f t="shared" si="62"/>
        <v>0</v>
      </c>
      <c r="AC253" s="37">
        <f t="shared" si="63"/>
        <v>0</v>
      </c>
      <c r="AD253" s="45">
        <f t="shared" si="61"/>
        <v>0.507853403141361</v>
      </c>
      <c r="AE253" s="46">
        <v>4</v>
      </c>
      <c r="AF253" s="46" t="s">
        <v>191</v>
      </c>
      <c r="AG253" s="37" t="str">
        <f t="shared" si="60"/>
        <v>no</v>
      </c>
      <c r="AH253" s="37" t="str">
        <f t="array" ref="AH253">_xlfn.IFS(LOWER(AG253)="n","no",LOWER(AG253)="y","yes",TRUE,LOWER(AG253))</f>
        <v>no</v>
      </c>
      <c r="AI253" s="46" t="s">
        <v>4692</v>
      </c>
    </row>
    <row r="254" spans="1:35">
      <c r="A254" s="37" t="s">
        <v>1321</v>
      </c>
      <c r="B254" s="38">
        <v>45354</v>
      </c>
      <c r="C254" s="39">
        <f t="shared" si="48"/>
        <v>45354</v>
      </c>
      <c r="D254" s="40" t="s">
        <v>300</v>
      </c>
      <c r="E254" s="37" t="str" cm="1">
        <f t="array" ref="E254">_xlfn.IFS(D254="delhi","north",D254="mumbai","west",D254="bengaluru","south",D254="chennai","south",D254="kolkata","east",TRUE,"west")</f>
        <v>west</v>
      </c>
      <c r="F254" s="37" t="s">
        <v>204</v>
      </c>
      <c r="G254" s="37" t="str">
        <f t="shared" si="49"/>
        <v>delhivery</v>
      </c>
      <c r="H254" s="37" t="s">
        <v>110</v>
      </c>
      <c r="I254" s="37" t="str">
        <f t="shared" si="50"/>
        <v>surface</v>
      </c>
      <c r="J254" s="37" t="s">
        <v>277</v>
      </c>
      <c r="K254" s="37" t="str">
        <f t="shared" si="51"/>
        <v>apparel</v>
      </c>
      <c r="L254" s="37" t="s">
        <v>101</v>
      </c>
      <c r="M254" s="37" t="str">
        <f t="shared" si="52"/>
        <v>west</v>
      </c>
      <c r="N254" s="37" t="s">
        <v>206</v>
      </c>
      <c r="O254" s="41" t="str">
        <f t="shared" si="53"/>
        <v>Yes</v>
      </c>
      <c r="P254" s="41">
        <v>2.3</v>
      </c>
      <c r="Q254" s="41" t="s">
        <v>1323</v>
      </c>
      <c r="R254" s="42">
        <f t="shared" si="54"/>
        <v>97.3913043478261</v>
      </c>
      <c r="S254" s="37">
        <v>6</v>
      </c>
      <c r="T254" s="37" t="s">
        <v>1287</v>
      </c>
      <c r="U254" s="43" t="str">
        <f t="shared" si="55"/>
        <v>2024-03-10</v>
      </c>
      <c r="V254" s="43">
        <f t="shared" si="56"/>
        <v>45361</v>
      </c>
      <c r="W254" s="44">
        <f t="array" ref="W254">_xlfn.IFS(TRIM(C254)="","",TRIM(V254)="","",TRUE,V254-C254)</f>
        <v>7</v>
      </c>
      <c r="X254" s="37">
        <f t="shared" si="57"/>
        <v>1</v>
      </c>
      <c r="Y254" s="37" t="s">
        <v>72</v>
      </c>
      <c r="Z254" s="37" t="str">
        <f t="shared" si="58"/>
        <v>delayed</v>
      </c>
      <c r="AA254" s="37" t="str">
        <f t="shared" si="59"/>
        <v>Late</v>
      </c>
      <c r="AB254" s="37" t="str">
        <f t="shared" si="62"/>
        <v>1</v>
      </c>
      <c r="AC254" s="37">
        <f t="shared" si="63"/>
        <v>1</v>
      </c>
      <c r="AD254" s="45">
        <f t="shared" si="61"/>
        <v>0.508233532934132</v>
      </c>
      <c r="AE254" s="37">
        <v>3</v>
      </c>
      <c r="AF254" s="37" t="s">
        <v>118</v>
      </c>
      <c r="AG254" s="37" t="str">
        <f t="shared" si="60"/>
        <v>no</v>
      </c>
      <c r="AH254" s="37" t="str">
        <f t="array" ref="AH254">_xlfn.IFS(LOWER(AG254)="n","no",LOWER(AG254)="y","yes",TRUE,LOWER(AG254))</f>
        <v>no</v>
      </c>
      <c r="AI254" s="37" t="s">
        <v>4692</v>
      </c>
    </row>
    <row r="255" spans="1:35">
      <c r="A255" s="37" t="s">
        <v>1324</v>
      </c>
      <c r="B255" s="38" t="s">
        <v>4755</v>
      </c>
      <c r="C255" s="39">
        <f t="shared" si="48"/>
        <v>45440</v>
      </c>
      <c r="D255" s="40" t="s">
        <v>366</v>
      </c>
      <c r="E255" s="37" t="str" cm="1">
        <f t="array" ref="E255">_xlfn.IFS(D255="delhi","north",D255="mumbai","west",D255="bengaluru","south",D255="chennai","south",D255="kolkata","east",TRUE,"west")</f>
        <v>east</v>
      </c>
      <c r="F255" s="37" t="s">
        <v>544</v>
      </c>
      <c r="G255" s="37" t="str">
        <f t="shared" si="49"/>
        <v>bluedart</v>
      </c>
      <c r="H255" s="37" t="s">
        <v>176</v>
      </c>
      <c r="I255" s="37" t="str">
        <f t="shared" si="50"/>
        <v>road</v>
      </c>
      <c r="J255" s="37" t="s">
        <v>100</v>
      </c>
      <c r="K255" s="37" t="str">
        <f t="shared" si="51"/>
        <v>electronics</v>
      </c>
      <c r="L255" s="37" t="s">
        <v>87</v>
      </c>
      <c r="M255" s="37" t="str">
        <f t="shared" si="52"/>
        <v>north</v>
      </c>
      <c r="N255" s="37" t="s">
        <v>354</v>
      </c>
      <c r="O255" s="41" t="str">
        <f t="shared" si="53"/>
        <v>Yes</v>
      </c>
      <c r="P255" s="41" t="s">
        <v>1326</v>
      </c>
      <c r="Q255" s="41">
        <v>220</v>
      </c>
      <c r="R255" s="42">
        <f t="shared" si="54"/>
        <v>100</v>
      </c>
      <c r="S255" s="37">
        <v>8</v>
      </c>
      <c r="T255" s="37" t="s">
        <v>1328</v>
      </c>
      <c r="U255" s="43" t="str">
        <f t="shared" si="55"/>
        <v>2024-06-05</v>
      </c>
      <c r="V255" s="43">
        <f t="shared" si="56"/>
        <v>45448</v>
      </c>
      <c r="W255" s="44">
        <f t="array" ref="W255">_xlfn.IFS(TRIM(C255)="","",TRIM(V255)="","",TRUE,V255-C255)</f>
        <v>8</v>
      </c>
      <c r="X255" s="37">
        <f t="shared" si="57"/>
        <v>0</v>
      </c>
      <c r="Y255" s="37" t="s">
        <v>105</v>
      </c>
      <c r="Z255" s="37" t="str">
        <f t="shared" si="58"/>
        <v>delivered</v>
      </c>
      <c r="AA255" s="37" t="str">
        <f t="shared" si="59"/>
        <v>On Time</v>
      </c>
      <c r="AB255" s="37" t="str">
        <f t="shared" si="62"/>
        <v>0</v>
      </c>
      <c r="AC255" s="37">
        <f t="shared" si="63"/>
        <v>0</v>
      </c>
      <c r="AD255" s="45">
        <f t="shared" si="61"/>
        <v>0.507865168539326</v>
      </c>
      <c r="AE255" s="37">
        <v>3</v>
      </c>
      <c r="AF255" s="37" t="s">
        <v>181</v>
      </c>
      <c r="AG255" s="37" t="str">
        <f t="shared" si="60"/>
        <v>y</v>
      </c>
      <c r="AH255" s="37" t="str">
        <f t="array" ref="AH255">_xlfn.IFS(LOWER(AG255)="n","no",LOWER(AG255)="y","yes",TRUE,LOWER(AG255))</f>
        <v>yes</v>
      </c>
      <c r="AI255" s="37" t="s">
        <v>4692</v>
      </c>
    </row>
    <row r="256" spans="1:35">
      <c r="A256" s="46" t="s">
        <v>1329</v>
      </c>
      <c r="B256" s="47">
        <v>45370</v>
      </c>
      <c r="C256" s="39">
        <f t="shared" si="48"/>
        <v>45370</v>
      </c>
      <c r="D256" s="48" t="s">
        <v>340</v>
      </c>
      <c r="E256" s="37" t="str" cm="1">
        <f t="array" ref="E256">_xlfn.IFS(D256="delhi","north",D256="mumbai","west",D256="bengaluru","south",D256="chennai","south",D256="kolkata","east",TRUE,"west")</f>
        <v>north</v>
      </c>
      <c r="F256" s="46" t="s">
        <v>184</v>
      </c>
      <c r="G256" s="37" t="str">
        <f t="shared" si="49"/>
        <v>ecomexpress</v>
      </c>
      <c r="H256" s="46" t="s">
        <v>244</v>
      </c>
      <c r="I256" s="37" t="str">
        <f t="shared" si="50"/>
        <v>air</v>
      </c>
      <c r="J256" s="46" t="s">
        <v>353</v>
      </c>
      <c r="K256" s="37" t="str">
        <f t="shared" si="51"/>
        <v>automotiveparts</v>
      </c>
      <c r="L256" s="46" t="s">
        <v>125</v>
      </c>
      <c r="M256" s="37" t="str">
        <f t="shared" si="52"/>
        <v>east</v>
      </c>
      <c r="N256" s="46" t="s">
        <v>294</v>
      </c>
      <c r="O256" s="41" t="str">
        <f t="shared" si="53"/>
        <v>Yes</v>
      </c>
      <c r="P256" s="49">
        <v>36.5</v>
      </c>
      <c r="Q256" s="49" t="s">
        <v>1331</v>
      </c>
      <c r="R256" s="42">
        <f t="shared" si="54"/>
        <v>50</v>
      </c>
      <c r="S256" s="46">
        <v>4</v>
      </c>
      <c r="T256" s="46" t="s">
        <v>862</v>
      </c>
      <c r="U256" s="43" t="str">
        <f t="shared" si="55"/>
        <v>2024-03-24</v>
      </c>
      <c r="V256" s="43">
        <f t="shared" si="56"/>
        <v>45375</v>
      </c>
      <c r="W256" s="44">
        <f t="array" ref="W256">_xlfn.IFS(TRIM(C256)="","",TRIM(V256)="","",TRUE,V256-C256)</f>
        <v>5</v>
      </c>
      <c r="X256" s="37">
        <f t="shared" si="57"/>
        <v>1</v>
      </c>
      <c r="Y256" s="46" t="s">
        <v>143</v>
      </c>
      <c r="Z256" s="37" t="str">
        <f t="shared" si="58"/>
        <v>delayed</v>
      </c>
      <c r="AA256" s="37" t="str">
        <f t="shared" si="59"/>
        <v>Late</v>
      </c>
      <c r="AB256" s="37" t="str">
        <f t="shared" si="62"/>
        <v>1</v>
      </c>
      <c r="AC256" s="37">
        <f t="shared" si="63"/>
        <v>1</v>
      </c>
      <c r="AD256" s="45">
        <f t="shared" si="61"/>
        <v>0.508245877061469</v>
      </c>
      <c r="AE256" s="46">
        <v>3</v>
      </c>
      <c r="AF256" s="46" t="s">
        <v>118</v>
      </c>
      <c r="AG256" s="37" t="str">
        <f t="shared" si="60"/>
        <v>no</v>
      </c>
      <c r="AH256" s="37" t="str">
        <f t="array" ref="AH256">_xlfn.IFS(LOWER(AG256)="n","no",LOWER(AG256)="y","yes",TRUE,LOWER(AG256))</f>
        <v>no</v>
      </c>
      <c r="AI256" s="46" t="s">
        <v>4692</v>
      </c>
    </row>
    <row r="257" spans="1:35">
      <c r="A257" s="37" t="s">
        <v>1332</v>
      </c>
      <c r="B257" s="38">
        <v>45373</v>
      </c>
      <c r="C257" s="39">
        <f t="shared" si="48"/>
        <v>45373</v>
      </c>
      <c r="D257" s="40" t="s">
        <v>109</v>
      </c>
      <c r="E257" s="37" t="str" cm="1">
        <f t="array" ref="E257">_xlfn.IFS(D257="delhi","north",D257="mumbai","west",D257="bengaluru","south",D257="chennai","south",D257="kolkata","east",TRUE,"west")</f>
        <v>west</v>
      </c>
      <c r="F257" s="37" t="s">
        <v>213</v>
      </c>
      <c r="G257" s="37" t="str">
        <f t="shared" si="49"/>
        <v>dtdc</v>
      </c>
      <c r="H257" s="37" t="s">
        <v>195</v>
      </c>
      <c r="I257" s="37" t="str">
        <f t="shared" si="50"/>
        <v>road</v>
      </c>
      <c r="J257" s="37" t="s">
        <v>186</v>
      </c>
      <c r="K257" s="37" t="str">
        <f t="shared" si="51"/>
        <v>automotiveparts</v>
      </c>
      <c r="L257" s="37" t="s">
        <v>418</v>
      </c>
      <c r="M257" s="37" t="str">
        <f t="shared" si="52"/>
        <v>south</v>
      </c>
      <c r="N257" s="37" t="s">
        <v>327</v>
      </c>
      <c r="O257" s="41" t="str">
        <f t="shared" si="53"/>
        <v>Yes</v>
      </c>
      <c r="P257" s="41">
        <v>26.5</v>
      </c>
      <c r="Q257" s="41">
        <v>516</v>
      </c>
      <c r="R257" s="42">
        <f t="shared" si="54"/>
        <v>19.4716981132075</v>
      </c>
      <c r="S257" s="37">
        <v>8</v>
      </c>
      <c r="T257" s="37" t="s">
        <v>1335</v>
      </c>
      <c r="U257" s="43" t="str">
        <f t="shared" si="55"/>
        <v>07/04/2024</v>
      </c>
      <c r="V257" s="43">
        <f t="shared" si="56"/>
        <v>45389</v>
      </c>
      <c r="W257" s="44">
        <f t="array" ref="W257">_xlfn.IFS(TRIM(C257)="","",TRIM(V257)="","",TRUE,V257-C257)</f>
        <v>16</v>
      </c>
      <c r="X257" s="37">
        <f t="shared" si="57"/>
        <v>8</v>
      </c>
      <c r="Y257" s="37" t="s">
        <v>172</v>
      </c>
      <c r="Z257" s="37" t="str">
        <f t="shared" si="58"/>
        <v>delayed</v>
      </c>
      <c r="AA257" s="37" t="str">
        <f t="shared" si="59"/>
        <v>Late</v>
      </c>
      <c r="AB257" s="37" t="str">
        <f t="shared" si="62"/>
        <v>1</v>
      </c>
      <c r="AC257" s="37">
        <f t="shared" si="63"/>
        <v>1</v>
      </c>
      <c r="AD257" s="45">
        <f t="shared" si="61"/>
        <v>0.507876969242311</v>
      </c>
      <c r="AE257" s="37">
        <v>1</v>
      </c>
      <c r="AF257" s="37" t="s">
        <v>79</v>
      </c>
      <c r="AG257" s="37" t="str">
        <f t="shared" si="60"/>
        <v>yes</v>
      </c>
      <c r="AH257" s="37" t="str">
        <f t="array" ref="AH257">_xlfn.IFS(LOWER(AG257)="n","no",LOWER(AG257)="y","yes",TRUE,LOWER(AG257))</f>
        <v>yes</v>
      </c>
      <c r="AI257" s="37" t="s">
        <v>4692</v>
      </c>
    </row>
    <row r="258" spans="1:35">
      <c r="A258" s="46" t="s">
        <v>1336</v>
      </c>
      <c r="B258" s="47">
        <v>45353</v>
      </c>
      <c r="C258" s="39">
        <f t="shared" ref="C258:C321" si="64">IF(ISNUMBER(B258),B258,DATE(RIGHT(TRIM(B258),4),MID(TRIM(B258),4,2),LEFT(TRIM(B258),2)))</f>
        <v>45353</v>
      </c>
      <c r="D258" s="48" t="s">
        <v>366</v>
      </c>
      <c r="E258" s="37" t="str" cm="1">
        <f t="array" ref="E258">_xlfn.IFS(D258="delhi","north",D258="mumbai","west",D258="bengaluru","south",D258="chennai","south",D258="kolkata","east",TRUE,"west")</f>
        <v>east</v>
      </c>
      <c r="F258" s="46" t="s">
        <v>136</v>
      </c>
      <c r="G258" s="37" t="str">
        <f t="shared" ref="G258:G321" si="65">SUBSTITUTE(LOWER(F258)," ","")</f>
        <v>bluedart</v>
      </c>
      <c r="H258" s="46" t="s">
        <v>185</v>
      </c>
      <c r="I258" s="37" t="str">
        <f t="shared" ref="I258:I321" si="66">SUBSTITUTE(LOWER(H258)," ","")</f>
        <v>surface</v>
      </c>
      <c r="J258" s="46" t="s">
        <v>245</v>
      </c>
      <c r="K258" s="37" t="str">
        <f t="shared" ref="K258:K321" si="67">SUBSTITUTE(LOWER(J258)," ","")</f>
        <v>electronics</v>
      </c>
      <c r="L258" s="46" t="s">
        <v>125</v>
      </c>
      <c r="M258" s="37" t="str">
        <f t="shared" ref="M258:M321" si="68">SUBSTITUTE(LOWER(L258)," ","")</f>
        <v>east</v>
      </c>
      <c r="N258" s="46" t="s">
        <v>294</v>
      </c>
      <c r="O258" s="41" t="str">
        <f t="shared" ref="O258:O321" si="69">IF(OR(D258="",M258=""),"",IF(D258=M258,"No","Yes"))</f>
        <v>Yes</v>
      </c>
      <c r="P258" s="49">
        <v>1.2</v>
      </c>
      <c r="Q258" s="49" t="s">
        <v>432</v>
      </c>
      <c r="R258" s="42">
        <f t="shared" ref="R258:R321" si="70">IF(OR(Q258="",P258="",P258=0),"",Q258/P258)</f>
        <v>66.6666666666667</v>
      </c>
      <c r="S258" s="46">
        <v>4</v>
      </c>
      <c r="T258" s="46" t="s">
        <v>1339</v>
      </c>
      <c r="U258" s="43" t="str">
        <f t="shared" ref="U258:U321" si="71">SUBSTITUTE(LOWER(T258)," ","")</f>
        <v>06/03/2024</v>
      </c>
      <c r="V258" s="43">
        <f t="shared" ref="V258:V321" si="72">DATEVALUE(TEXT(U258,"yyyy-mm-dd"))</f>
        <v>45357</v>
      </c>
      <c r="W258" s="44">
        <f t="array" ref="W258">_xlfn.IFS(TRIM(C258)="","",TRIM(V258)="","",TRUE,V258-C258)</f>
        <v>4</v>
      </c>
      <c r="X258" s="37">
        <f t="shared" ref="X258:X321" si="73">IF(OR(W258="",S258=""),"",W258-S258)</f>
        <v>0</v>
      </c>
      <c r="Y258" s="46" t="s">
        <v>117</v>
      </c>
      <c r="Z258" s="37" t="str">
        <f t="shared" ref="Z258:Z321" si="74">SUBSTITUTE(LOWER(Y258)," ","")</f>
        <v>delivered</v>
      </c>
      <c r="AA258" s="37" t="str">
        <f t="shared" ref="AA258:AA321" si="75">IF(Z258="In-Transit","N/A",IF(X258="","",IF(X258&gt;0,"Late","On Time")))</f>
        <v>On Time</v>
      </c>
      <c r="AB258" s="37" t="str">
        <f t="shared" si="62"/>
        <v>0</v>
      </c>
      <c r="AC258" s="37">
        <f t="shared" si="63"/>
        <v>0</v>
      </c>
      <c r="AD258" s="45">
        <f t="shared" si="61"/>
        <v>0.507507507507508</v>
      </c>
      <c r="AE258" s="46">
        <v>5</v>
      </c>
      <c r="AF258" s="46" t="s">
        <v>131</v>
      </c>
      <c r="AG258" s="37" t="str">
        <f t="shared" ref="AG258:AG321" si="76">SUBSTITUTE(LOWER(AF258)," ","")</f>
        <v>n</v>
      </c>
      <c r="AH258" s="37" t="str">
        <f t="array" ref="AH258">_xlfn.IFS(LOWER(AG258)="n","no",LOWER(AG258)="y","yes",TRUE,LOWER(AG258))</f>
        <v>no</v>
      </c>
      <c r="AI258" s="46" t="s">
        <v>4692</v>
      </c>
    </row>
    <row r="259" spans="1:35">
      <c r="A259" s="37" t="s">
        <v>1340</v>
      </c>
      <c r="B259" s="38">
        <v>45440</v>
      </c>
      <c r="C259" s="39">
        <f t="shared" si="64"/>
        <v>45440</v>
      </c>
      <c r="D259" s="40" t="s">
        <v>212</v>
      </c>
      <c r="E259" s="37" t="str" cm="1">
        <f t="array" ref="E259">_xlfn.IFS(D259="delhi","north",D259="mumbai","west",D259="bengaluru","south",D259="chennai","south",D259="kolkata","east",TRUE,"west")</f>
        <v>west</v>
      </c>
      <c r="F259" s="37" t="s">
        <v>175</v>
      </c>
      <c r="G259" s="37" t="str">
        <f t="shared" si="65"/>
        <v>ecomexpress</v>
      </c>
      <c r="H259" s="37" t="s">
        <v>185</v>
      </c>
      <c r="I259" s="37" t="str">
        <f t="shared" si="66"/>
        <v>surface</v>
      </c>
      <c r="J259" s="37" t="s">
        <v>186</v>
      </c>
      <c r="K259" s="37" t="str">
        <f t="shared" si="67"/>
        <v>automotiveparts</v>
      </c>
      <c r="L259" s="37" t="s">
        <v>112</v>
      </c>
      <c r="M259" s="37" t="str">
        <f t="shared" si="68"/>
        <v>north</v>
      </c>
      <c r="N259" s="37" t="s">
        <v>354</v>
      </c>
      <c r="O259" s="41" t="str">
        <f t="shared" si="69"/>
        <v>Yes</v>
      </c>
      <c r="P259" s="41">
        <v>9.3</v>
      </c>
      <c r="Q259" s="41">
        <v>336</v>
      </c>
      <c r="R259" s="42">
        <f t="shared" si="70"/>
        <v>36.1290322580645</v>
      </c>
      <c r="S259" s="37">
        <v>6</v>
      </c>
      <c r="T259" s="37" t="s">
        <v>1343</v>
      </c>
      <c r="U259" s="43" t="str">
        <f t="shared" si="71"/>
        <v>04-jun-2024</v>
      </c>
      <c r="V259" s="43">
        <f t="shared" si="72"/>
        <v>45447</v>
      </c>
      <c r="W259" s="44">
        <f t="array" ref="W259">_xlfn.IFS(TRIM(C259)="","",TRIM(V259)="","",TRUE,V259-C259)</f>
        <v>7</v>
      </c>
      <c r="X259" s="37">
        <f t="shared" si="73"/>
        <v>1</v>
      </c>
      <c r="Y259" s="37" t="s">
        <v>200</v>
      </c>
      <c r="Z259" s="37" t="str">
        <f t="shared" si="74"/>
        <v>delayed</v>
      </c>
      <c r="AA259" s="37" t="str">
        <f t="shared" si="75"/>
        <v>Late</v>
      </c>
      <c r="AB259" s="37" t="str">
        <f t="shared" si="62"/>
        <v>1</v>
      </c>
      <c r="AC259" s="37">
        <f t="shared" si="63"/>
        <v>1</v>
      </c>
      <c r="AD259" s="45">
        <f t="shared" ref="AD259:AD322" si="77">COUNTIF(AC259:AC1858,1)/COUNT(AC259:AC1858)</f>
        <v>0.507888805409467</v>
      </c>
      <c r="AE259" s="37">
        <v>3</v>
      </c>
      <c r="AF259" s="37" t="s">
        <v>181</v>
      </c>
      <c r="AG259" s="37" t="str">
        <f t="shared" si="76"/>
        <v>y</v>
      </c>
      <c r="AH259" s="37" t="str">
        <f t="array" ref="AH259">_xlfn.IFS(LOWER(AG259)="n","no",LOWER(AG259)="y","yes",TRUE,LOWER(AG259))</f>
        <v>yes</v>
      </c>
      <c r="AI259" s="37" t="s">
        <v>4692</v>
      </c>
    </row>
    <row r="260" spans="1:35">
      <c r="A260" s="46" t="s">
        <v>1344</v>
      </c>
      <c r="B260" s="47">
        <v>45436</v>
      </c>
      <c r="C260" s="39">
        <f t="shared" si="64"/>
        <v>45436</v>
      </c>
      <c r="D260" s="48" t="s">
        <v>109</v>
      </c>
      <c r="E260" s="37" t="str" cm="1">
        <f t="array" ref="E260">_xlfn.IFS(D260="delhi","north",D260="mumbai","west",D260="bengaluru","south",D260="chennai","south",D260="kolkata","east",TRUE,"west")</f>
        <v>west</v>
      </c>
      <c r="F260" s="46" t="s">
        <v>136</v>
      </c>
      <c r="G260" s="37" t="str">
        <f t="shared" si="65"/>
        <v>bluedart</v>
      </c>
      <c r="H260" s="46" t="s">
        <v>195</v>
      </c>
      <c r="I260" s="37" t="str">
        <f t="shared" si="66"/>
        <v>road</v>
      </c>
      <c r="J260" s="46" t="s">
        <v>167</v>
      </c>
      <c r="K260" s="37" t="str">
        <f t="shared" si="67"/>
        <v>pharma</v>
      </c>
      <c r="L260" s="46" t="s">
        <v>51</v>
      </c>
      <c r="M260" s="37" t="str">
        <f t="shared" si="68"/>
        <v>south</v>
      </c>
      <c r="N260" s="46" t="s">
        <v>327</v>
      </c>
      <c r="O260" s="41" t="str">
        <f t="shared" si="69"/>
        <v>Yes</v>
      </c>
      <c r="P260" s="49">
        <v>3.7</v>
      </c>
      <c r="Q260" s="49" t="s">
        <v>1346</v>
      </c>
      <c r="R260" s="42">
        <f t="shared" si="70"/>
        <v>65.9459459459459</v>
      </c>
      <c r="S260" s="46">
        <v>8</v>
      </c>
      <c r="T260" s="46" t="s">
        <v>1347</v>
      </c>
      <c r="U260" s="43" t="str">
        <f t="shared" si="71"/>
        <v>01-jun-2024</v>
      </c>
      <c r="V260" s="43">
        <f t="shared" si="72"/>
        <v>45444</v>
      </c>
      <c r="W260" s="44">
        <f t="array" ref="W260">_xlfn.IFS(TRIM(C260)="","",TRIM(V260)="","",TRUE,V260-C260)</f>
        <v>8</v>
      </c>
      <c r="X260" s="37">
        <f t="shared" si="73"/>
        <v>0</v>
      </c>
      <c r="Y260" s="46" t="s">
        <v>117</v>
      </c>
      <c r="Z260" s="37" t="str">
        <f t="shared" si="74"/>
        <v>delivered</v>
      </c>
      <c r="AA260" s="37" t="str">
        <f t="shared" si="75"/>
        <v>On Time</v>
      </c>
      <c r="AB260" s="37" t="str">
        <f t="shared" si="62"/>
        <v>0</v>
      </c>
      <c r="AC260" s="37">
        <f t="shared" si="63"/>
        <v>0</v>
      </c>
      <c r="AD260" s="45">
        <f t="shared" si="77"/>
        <v>0.507518796992481</v>
      </c>
      <c r="AE260" s="46">
        <v>4</v>
      </c>
      <c r="AF260" s="46" t="s">
        <v>191</v>
      </c>
      <c r="AG260" s="37" t="str">
        <f t="shared" si="76"/>
        <v>no</v>
      </c>
      <c r="AH260" s="37" t="str">
        <f t="array" ref="AH260">_xlfn.IFS(LOWER(AG260)="n","no",LOWER(AG260)="y","yes",TRUE,LOWER(AG260))</f>
        <v>no</v>
      </c>
      <c r="AI260" s="46" t="s">
        <v>4692</v>
      </c>
    </row>
    <row r="261" spans="1:35">
      <c r="A261" s="37" t="s">
        <v>1348</v>
      </c>
      <c r="B261" s="38">
        <v>45354</v>
      </c>
      <c r="C261" s="39">
        <f t="shared" si="64"/>
        <v>45354</v>
      </c>
      <c r="D261" s="40" t="s">
        <v>366</v>
      </c>
      <c r="E261" s="37" t="str" cm="1">
        <f t="array" ref="E261">_xlfn.IFS(D261="delhi","north",D261="mumbai","west",D261="bengaluru","south",D261="chennai","south",D261="kolkata","east",TRUE,"west")</f>
        <v>east</v>
      </c>
      <c r="F261" s="37" t="s">
        <v>919</v>
      </c>
      <c r="G261" s="37" t="str">
        <f t="shared" si="65"/>
        <v>xpressbees</v>
      </c>
      <c r="H261" s="37" t="s">
        <v>137</v>
      </c>
      <c r="I261" s="37" t="str">
        <f t="shared" si="66"/>
        <v>road</v>
      </c>
      <c r="J261" s="37" t="s">
        <v>100</v>
      </c>
      <c r="K261" s="37" t="str">
        <f t="shared" si="67"/>
        <v>electronics</v>
      </c>
      <c r="L261" s="37" t="s">
        <v>92</v>
      </c>
      <c r="M261" s="37" t="str">
        <f t="shared" si="68"/>
        <v>east</v>
      </c>
      <c r="N261" s="37" t="s">
        <v>396</v>
      </c>
      <c r="O261" s="41" t="str">
        <f t="shared" si="69"/>
        <v>Yes</v>
      </c>
      <c r="P261" s="41">
        <v>14.9</v>
      </c>
      <c r="Q261" s="41">
        <v>211</v>
      </c>
      <c r="R261" s="42">
        <f t="shared" si="70"/>
        <v>14.1610738255034</v>
      </c>
      <c r="S261" s="37">
        <v>6</v>
      </c>
      <c r="T261" s="37" t="s">
        <v>1351</v>
      </c>
      <c r="U261" s="43" t="str">
        <f t="shared" si="71"/>
        <v>2024-03-08</v>
      </c>
      <c r="V261" s="43">
        <f t="shared" si="72"/>
        <v>45359</v>
      </c>
      <c r="W261" s="44">
        <f t="array" ref="W261">_xlfn.IFS(TRIM(C261)="","",TRIM(V261)="","",TRUE,V261-C261)</f>
        <v>5</v>
      </c>
      <c r="X261" s="37">
        <f t="shared" si="73"/>
        <v>-1</v>
      </c>
      <c r="Y261" s="37" t="s">
        <v>105</v>
      </c>
      <c r="Z261" s="37" t="str">
        <f t="shared" si="74"/>
        <v>delivered</v>
      </c>
      <c r="AA261" s="37" t="str">
        <f t="shared" si="75"/>
        <v>On Time</v>
      </c>
      <c r="AB261" s="37" t="str">
        <f t="shared" si="62"/>
        <v>0</v>
      </c>
      <c r="AC261" s="37">
        <f t="shared" si="63"/>
        <v>0</v>
      </c>
      <c r="AD261" s="45">
        <f t="shared" si="77"/>
        <v>0.507900677200903</v>
      </c>
      <c r="AE261" s="37">
        <v>4</v>
      </c>
      <c r="AF261" s="37" t="s">
        <v>181</v>
      </c>
      <c r="AG261" s="37" t="str">
        <f t="shared" si="76"/>
        <v>y</v>
      </c>
      <c r="AH261" s="37" t="str">
        <f t="array" ref="AH261">_xlfn.IFS(LOWER(AG261)="n","no",LOWER(AG261)="y","yes",TRUE,LOWER(AG261))</f>
        <v>yes</v>
      </c>
      <c r="AI261" s="37" t="s">
        <v>4692</v>
      </c>
    </row>
    <row r="262" spans="1:35">
      <c r="A262" s="46" t="s">
        <v>1352</v>
      </c>
      <c r="B262" s="47">
        <v>45339</v>
      </c>
      <c r="C262" s="39">
        <f t="shared" si="64"/>
        <v>45339</v>
      </c>
      <c r="D262" s="48" t="s">
        <v>366</v>
      </c>
      <c r="E262" s="37" t="str" cm="1">
        <f t="array" ref="E262">_xlfn.IFS(D262="delhi","north",D262="mumbai","west",D262="bengaluru","south",D262="chennai","south",D262="kolkata","east",TRUE,"west")</f>
        <v>east</v>
      </c>
      <c r="F262" s="46" t="s">
        <v>175</v>
      </c>
      <c r="G262" s="37" t="str">
        <f t="shared" si="65"/>
        <v>ecomexpress</v>
      </c>
      <c r="H262" s="46" t="s">
        <v>325</v>
      </c>
      <c r="I262" s="37" t="str">
        <f t="shared" si="66"/>
        <v>air</v>
      </c>
      <c r="J262" s="46" t="s">
        <v>263</v>
      </c>
      <c r="K262" s="37" t="str">
        <f t="shared" si="67"/>
        <v>apparel</v>
      </c>
      <c r="L262" s="46" t="s">
        <v>89</v>
      </c>
      <c r="M262" s="37" t="str">
        <f t="shared" si="68"/>
        <v>west</v>
      </c>
      <c r="N262" s="46" t="s">
        <v>278</v>
      </c>
      <c r="O262" s="41" t="str">
        <f t="shared" si="69"/>
        <v>Yes</v>
      </c>
      <c r="P262" s="49">
        <v>6.3</v>
      </c>
      <c r="Q262" s="49">
        <v>438</v>
      </c>
      <c r="R262" s="42">
        <f t="shared" si="70"/>
        <v>69.5238095238095</v>
      </c>
      <c r="S262" s="46">
        <v>4</v>
      </c>
      <c r="T262" s="46" t="s">
        <v>828</v>
      </c>
      <c r="U262" s="43" t="str">
        <f t="shared" si="71"/>
        <v>22/02/2024</v>
      </c>
      <c r="V262" s="43">
        <f t="shared" si="72"/>
        <v>45344</v>
      </c>
      <c r="W262" s="44">
        <f t="array" ref="W262">_xlfn.IFS(TRIM(C262)="","",TRIM(V262)="","",TRUE,V262-C262)</f>
        <v>5</v>
      </c>
      <c r="X262" s="37">
        <f t="shared" si="73"/>
        <v>1</v>
      </c>
      <c r="Y262" s="46" t="s">
        <v>172</v>
      </c>
      <c r="Z262" s="37" t="str">
        <f t="shared" si="74"/>
        <v>delayed</v>
      </c>
      <c r="AA262" s="37" t="str">
        <f t="shared" si="75"/>
        <v>Late</v>
      </c>
      <c r="AB262" s="37" t="str">
        <f t="shared" ref="AB262:AB325" si="78">IF(Z262="In-Transit","N/A",IF(X262="","",IF(X262&gt;0,"1","0")))</f>
        <v>1</v>
      </c>
      <c r="AC262" s="37">
        <f t="shared" si="63"/>
        <v>1</v>
      </c>
      <c r="AD262" s="45">
        <f t="shared" si="77"/>
        <v>0.50828313253012</v>
      </c>
      <c r="AE262" s="46">
        <v>2</v>
      </c>
      <c r="AF262" s="46" t="s">
        <v>286</v>
      </c>
      <c r="AG262" s="37" t="str">
        <f t="shared" si="76"/>
        <v>yes</v>
      </c>
      <c r="AH262" s="37" t="str">
        <f t="array" ref="AH262">_xlfn.IFS(LOWER(AG262)="n","no",LOWER(AG262)="y","yes",TRUE,LOWER(AG262))</f>
        <v>yes</v>
      </c>
      <c r="AI262" s="46" t="s">
        <v>4692</v>
      </c>
    </row>
    <row r="263" spans="1:35">
      <c r="A263" s="37" t="s">
        <v>1356</v>
      </c>
      <c r="B263" s="38" t="s">
        <v>4746</v>
      </c>
      <c r="C263" s="39">
        <f t="shared" si="64"/>
        <v>45406</v>
      </c>
      <c r="D263" s="40" t="s">
        <v>633</v>
      </c>
      <c r="E263" s="37" t="str" cm="1">
        <f t="array" ref="E263">_xlfn.IFS(D263="delhi","north",D263="mumbai","west",D263="bengaluru","south",D263="chennai","south",D263="kolkata","east",TRUE,"west")</f>
        <v>south</v>
      </c>
      <c r="F263" s="37" t="s">
        <v>919</v>
      </c>
      <c r="G263" s="37" t="str">
        <f t="shared" si="65"/>
        <v>xpressbees</v>
      </c>
      <c r="H263" s="37" t="s">
        <v>147</v>
      </c>
      <c r="I263" s="37" t="str">
        <f t="shared" si="66"/>
        <v>road</v>
      </c>
      <c r="J263" s="37" t="s">
        <v>319</v>
      </c>
      <c r="K263" s="37" t="str">
        <f t="shared" si="67"/>
        <v>electronics</v>
      </c>
      <c r="L263" s="37" t="s">
        <v>112</v>
      </c>
      <c r="M263" s="37" t="str">
        <f t="shared" si="68"/>
        <v>north</v>
      </c>
      <c r="N263" s="37" t="s">
        <v>354</v>
      </c>
      <c r="O263" s="41" t="str">
        <f t="shared" si="69"/>
        <v>Yes</v>
      </c>
      <c r="P263" s="41" t="s">
        <v>1357</v>
      </c>
      <c r="Q263" s="41" t="s">
        <v>594</v>
      </c>
      <c r="R263" s="42">
        <f t="shared" si="70"/>
        <v>22.8467153284672</v>
      </c>
      <c r="S263" s="37">
        <v>8</v>
      </c>
      <c r="T263" s="37" t="s">
        <v>1358</v>
      </c>
      <c r="U263" s="43" t="str">
        <f t="shared" si="71"/>
        <v>02-may-2024</v>
      </c>
      <c r="V263" s="43">
        <f t="shared" si="72"/>
        <v>45414</v>
      </c>
      <c r="W263" s="44">
        <f t="array" ref="W263">_xlfn.IFS(TRIM(C263)="","",TRIM(V263)="","",TRUE,V263-C263)</f>
        <v>8</v>
      </c>
      <c r="X263" s="37">
        <f t="shared" si="73"/>
        <v>0</v>
      </c>
      <c r="Y263" s="37" t="s">
        <v>105</v>
      </c>
      <c r="Z263" s="37" t="str">
        <f t="shared" si="74"/>
        <v>delivered</v>
      </c>
      <c r="AA263" s="37" t="str">
        <f t="shared" si="75"/>
        <v>On Time</v>
      </c>
      <c r="AB263" s="37" t="str">
        <f t="shared" si="78"/>
        <v>0</v>
      </c>
      <c r="AC263" s="37">
        <f t="shared" ref="AC263:AC326" si="79">IF(TRIM(AB263&amp;"")="","",VALUE(TRIM(AB263&amp;"")))</f>
        <v>0</v>
      </c>
      <c r="AD263" s="45">
        <f t="shared" si="77"/>
        <v>0.507912584777694</v>
      </c>
      <c r="AE263" s="37">
        <v>5</v>
      </c>
      <c r="AF263" s="37" t="s">
        <v>286</v>
      </c>
      <c r="AG263" s="37" t="str">
        <f t="shared" si="76"/>
        <v>yes</v>
      </c>
      <c r="AH263" s="37" t="str">
        <f t="array" ref="AH263">_xlfn.IFS(LOWER(AG263)="n","no",LOWER(AG263)="y","yes",TRUE,LOWER(AG263))</f>
        <v>yes</v>
      </c>
      <c r="AI263" s="37" t="s">
        <v>4692</v>
      </c>
    </row>
    <row r="264" spans="1:35">
      <c r="A264" s="46" t="s">
        <v>1359</v>
      </c>
      <c r="B264" s="47" t="s">
        <v>4742</v>
      </c>
      <c r="C264" s="39">
        <f t="shared" si="64"/>
        <v>45434</v>
      </c>
      <c r="D264" s="48" t="s">
        <v>4694</v>
      </c>
      <c r="E264" s="37" t="str" cm="1">
        <f t="array" ref="E264">_xlfn.IFS(D264="delhi","north",D264="mumbai","west",D264="bengaluru","south",D264="chennai","south",D264="kolkata","east",TRUE,"west")</f>
        <v>west</v>
      </c>
      <c r="F264" s="46" t="s">
        <v>184</v>
      </c>
      <c r="G264" s="37" t="str">
        <f t="shared" si="65"/>
        <v>ecomexpress</v>
      </c>
      <c r="H264" s="46" t="s">
        <v>185</v>
      </c>
      <c r="I264" s="37" t="str">
        <f t="shared" si="66"/>
        <v>surface</v>
      </c>
      <c r="J264" s="46" t="s">
        <v>430</v>
      </c>
      <c r="K264" s="37" t="str">
        <f t="shared" si="67"/>
        <v>pharma</v>
      </c>
      <c r="L264" s="46" t="s">
        <v>346</v>
      </c>
      <c r="M264" s="37" t="str">
        <f t="shared" si="68"/>
        <v>north</v>
      </c>
      <c r="N264" s="46" t="s">
        <v>113</v>
      </c>
      <c r="O264" s="41" t="str">
        <f t="shared" si="69"/>
        <v>Yes</v>
      </c>
      <c r="P264" s="49">
        <v>3.2</v>
      </c>
      <c r="Q264" s="49">
        <v>216</v>
      </c>
      <c r="R264" s="42">
        <f t="shared" si="70"/>
        <v>67.5</v>
      </c>
      <c r="S264" s="46">
        <v>6</v>
      </c>
      <c r="T264" s="46" t="s">
        <v>1361</v>
      </c>
      <c r="U264" s="43" t="str">
        <f t="shared" si="71"/>
        <v>27/05/2024</v>
      </c>
      <c r="V264" s="43">
        <f t="shared" si="72"/>
        <v>45439</v>
      </c>
      <c r="W264" s="44">
        <f t="array" ref="W264">_xlfn.IFS(TRIM(C264)="","",TRIM(V264)="","",TRUE,V264-C264)</f>
        <v>5</v>
      </c>
      <c r="X264" s="37">
        <f t="shared" si="73"/>
        <v>-1</v>
      </c>
      <c r="Y264" s="46" t="s">
        <v>163</v>
      </c>
      <c r="Z264" s="37" t="str">
        <f t="shared" si="74"/>
        <v>delivered</v>
      </c>
      <c r="AA264" s="37" t="str">
        <f t="shared" si="75"/>
        <v>On Time</v>
      </c>
      <c r="AB264" s="37" t="str">
        <f t="shared" si="78"/>
        <v>0</v>
      </c>
      <c r="AC264" s="37">
        <f t="shared" si="79"/>
        <v>0</v>
      </c>
      <c r="AD264" s="45">
        <f t="shared" si="77"/>
        <v>0.508295625942685</v>
      </c>
      <c r="AE264" s="46">
        <v>5</v>
      </c>
      <c r="AF264" s="46" t="s">
        <v>152</v>
      </c>
      <c r="AG264" s="37" t="str">
        <f t="shared" si="76"/>
        <v>no</v>
      </c>
      <c r="AH264" s="37" t="str">
        <f t="array" ref="AH264">_xlfn.IFS(LOWER(AG264)="n","no",LOWER(AG264)="y","yes",TRUE,LOWER(AG264))</f>
        <v>no</v>
      </c>
      <c r="AI264" s="46" t="s">
        <v>4692</v>
      </c>
    </row>
    <row r="265" spans="1:35">
      <c r="A265" s="37" t="s">
        <v>1362</v>
      </c>
      <c r="B265" s="38">
        <v>45373</v>
      </c>
      <c r="C265" s="39">
        <f t="shared" si="64"/>
        <v>45373</v>
      </c>
      <c r="D265" s="40" t="s">
        <v>633</v>
      </c>
      <c r="E265" s="37" t="str" cm="1">
        <f t="array" ref="E265">_xlfn.IFS(D265="delhi","north",D265="mumbai","west",D265="bengaluru","south",D265="chennai","south",D265="kolkata","east",TRUE,"west")</f>
        <v>south</v>
      </c>
      <c r="F265" s="37" t="s">
        <v>223</v>
      </c>
      <c r="G265" s="37" t="str">
        <f t="shared" si="65"/>
        <v>xpressbees</v>
      </c>
      <c r="H265" s="37" t="s">
        <v>244</v>
      </c>
      <c r="I265" s="37" t="str">
        <f t="shared" si="66"/>
        <v>air</v>
      </c>
      <c r="J265" s="37" t="s">
        <v>582</v>
      </c>
      <c r="K265" s="37" t="str">
        <f t="shared" si="67"/>
        <v>grocery&amp;fmcg</v>
      </c>
      <c r="L265" s="37" t="s">
        <v>380</v>
      </c>
      <c r="M265" s="37" t="str">
        <f t="shared" si="68"/>
        <v>east</v>
      </c>
      <c r="N265" s="37" t="s">
        <v>126</v>
      </c>
      <c r="O265" s="41" t="str">
        <f t="shared" si="69"/>
        <v>Yes</v>
      </c>
      <c r="P265" s="41">
        <v>15.5</v>
      </c>
      <c r="Q265" s="41">
        <v>864</v>
      </c>
      <c r="R265" s="42">
        <f t="shared" si="70"/>
        <v>55.741935483871</v>
      </c>
      <c r="S265" s="37">
        <v>4</v>
      </c>
      <c r="T265" s="37" t="s">
        <v>468</v>
      </c>
      <c r="U265" s="43" t="str">
        <f t="shared" si="71"/>
        <v>01/04/2024</v>
      </c>
      <c r="V265" s="43">
        <f t="shared" si="72"/>
        <v>45383</v>
      </c>
      <c r="W265" s="44">
        <f t="array" ref="W265">_xlfn.IFS(TRIM(C265)="","",TRIM(V265)="","",TRUE,V265-C265)</f>
        <v>10</v>
      </c>
      <c r="X265" s="37">
        <f t="shared" si="73"/>
        <v>6</v>
      </c>
      <c r="Y265" s="37" t="s">
        <v>143</v>
      </c>
      <c r="Z265" s="37" t="str">
        <f t="shared" si="74"/>
        <v>delayed</v>
      </c>
      <c r="AA265" s="37" t="str">
        <f t="shared" si="75"/>
        <v>Late</v>
      </c>
      <c r="AB265" s="37" t="str">
        <f t="shared" si="78"/>
        <v>1</v>
      </c>
      <c r="AC265" s="37">
        <f t="shared" si="79"/>
        <v>1</v>
      </c>
      <c r="AD265" s="45">
        <f t="shared" si="77"/>
        <v>0.508679245283019</v>
      </c>
      <c r="AE265" s="37">
        <v>2</v>
      </c>
      <c r="AF265" s="37" t="s">
        <v>181</v>
      </c>
      <c r="AG265" s="37" t="str">
        <f t="shared" si="76"/>
        <v>y</v>
      </c>
      <c r="AH265" s="37" t="str">
        <f t="array" ref="AH265">_xlfn.IFS(LOWER(AG265)="n","no",LOWER(AG265)="y","yes",TRUE,LOWER(AG265))</f>
        <v>yes</v>
      </c>
      <c r="AI265" s="37" t="s">
        <v>4692</v>
      </c>
    </row>
    <row r="266" spans="1:35">
      <c r="A266" s="46" t="s">
        <v>1365</v>
      </c>
      <c r="B266" s="47" t="s">
        <v>4756</v>
      </c>
      <c r="C266" s="39">
        <f t="shared" si="64"/>
        <v>45346</v>
      </c>
      <c r="D266" s="48" t="s">
        <v>4699</v>
      </c>
      <c r="E266" s="37" t="str" cm="1">
        <f t="array" ref="E266">_xlfn.IFS(D266="delhi","north",D266="mumbai","west",D266="bengaluru","south",D266="chennai","south",D266="kolkata","east",TRUE,"west")</f>
        <v>west</v>
      </c>
      <c r="F266" s="46" t="s">
        <v>213</v>
      </c>
      <c r="G266" s="37" t="str">
        <f t="shared" si="65"/>
        <v>dtdc</v>
      </c>
      <c r="H266" s="46" t="s">
        <v>147</v>
      </c>
      <c r="I266" s="37" t="str">
        <f t="shared" si="66"/>
        <v>road</v>
      </c>
      <c r="J266" s="46" t="s">
        <v>148</v>
      </c>
      <c r="K266" s="37" t="str">
        <f t="shared" si="67"/>
        <v>electronics</v>
      </c>
      <c r="L266" s="46" t="s">
        <v>101</v>
      </c>
      <c r="M266" s="37" t="str">
        <f t="shared" si="68"/>
        <v>west</v>
      </c>
      <c r="N266" s="46" t="s">
        <v>187</v>
      </c>
      <c r="O266" s="41" t="str">
        <f t="shared" si="69"/>
        <v>Yes</v>
      </c>
      <c r="P266" s="49">
        <v>11.6</v>
      </c>
      <c r="Q266" s="49">
        <v>157</v>
      </c>
      <c r="R266" s="42">
        <f t="shared" si="70"/>
        <v>13.5344827586207</v>
      </c>
      <c r="S266" s="46">
        <v>6</v>
      </c>
      <c r="T266" s="46" t="s">
        <v>297</v>
      </c>
      <c r="U266" s="43" t="str">
        <f t="shared" si="71"/>
        <v>29-feb-2024</v>
      </c>
      <c r="V266" s="43">
        <f t="shared" si="72"/>
        <v>45351</v>
      </c>
      <c r="W266" s="44">
        <f t="array" ref="W266">_xlfn.IFS(TRIM(C266)="","",TRIM(V266)="","",TRUE,V266-C266)</f>
        <v>5</v>
      </c>
      <c r="X266" s="37">
        <f t="shared" si="73"/>
        <v>-1</v>
      </c>
      <c r="Y266" s="46" t="s">
        <v>105</v>
      </c>
      <c r="Z266" s="37" t="str">
        <f t="shared" si="74"/>
        <v>delivered</v>
      </c>
      <c r="AA266" s="37" t="str">
        <f t="shared" si="75"/>
        <v>On Time</v>
      </c>
      <c r="AB266" s="37" t="str">
        <f t="shared" si="78"/>
        <v>0</v>
      </c>
      <c r="AC266" s="37">
        <f t="shared" si="79"/>
        <v>0</v>
      </c>
      <c r="AD266" s="45">
        <f t="shared" si="77"/>
        <v>0.508308157099698</v>
      </c>
      <c r="AE266" s="46">
        <v>4</v>
      </c>
      <c r="AF266" s="46" t="s">
        <v>79</v>
      </c>
      <c r="AG266" s="37" t="str">
        <f t="shared" si="76"/>
        <v>yes</v>
      </c>
      <c r="AH266" s="37" t="str">
        <f t="array" ref="AH266">_xlfn.IFS(LOWER(AG266)="n","no",LOWER(AG266)="y","yes",TRUE,LOWER(AG266))</f>
        <v>yes</v>
      </c>
      <c r="AI266" s="46" t="s">
        <v>4692</v>
      </c>
    </row>
    <row r="267" spans="1:35">
      <c r="A267" s="37" t="s">
        <v>1369</v>
      </c>
      <c r="B267" s="38">
        <v>45325</v>
      </c>
      <c r="C267" s="39">
        <f t="shared" si="64"/>
        <v>45325</v>
      </c>
      <c r="D267" s="40" t="s">
        <v>366</v>
      </c>
      <c r="E267" s="37" t="str" cm="1">
        <f t="array" ref="E267">_xlfn.IFS(D267="delhi","north",D267="mumbai","west",D267="bengaluru","south",D267="chennai","south",D267="kolkata","east",TRUE,"west")</f>
        <v>east</v>
      </c>
      <c r="F267" s="37" t="s">
        <v>204</v>
      </c>
      <c r="G267" s="37" t="str">
        <f t="shared" si="65"/>
        <v>delhivery</v>
      </c>
      <c r="H267" s="37" t="s">
        <v>110</v>
      </c>
      <c r="I267" s="37" t="str">
        <f t="shared" si="66"/>
        <v>surface</v>
      </c>
      <c r="J267" s="37" t="s">
        <v>177</v>
      </c>
      <c r="K267" s="37" t="str">
        <f t="shared" si="67"/>
        <v>pharma</v>
      </c>
      <c r="L267" s="37" t="s">
        <v>334</v>
      </c>
      <c r="M267" s="37" t="str">
        <f t="shared" si="68"/>
        <v>north</v>
      </c>
      <c r="N267" s="37" t="s">
        <v>215</v>
      </c>
      <c r="O267" s="41" t="str">
        <f t="shared" si="69"/>
        <v>Yes</v>
      </c>
      <c r="P267" s="41" t="s">
        <v>700</v>
      </c>
      <c r="Q267" s="41">
        <v>158</v>
      </c>
      <c r="R267" s="42">
        <f t="shared" si="70"/>
        <v>225.714285714286</v>
      </c>
      <c r="S267" s="37">
        <v>6</v>
      </c>
      <c r="T267" s="37" t="s">
        <v>1372</v>
      </c>
      <c r="U267" s="43" t="str">
        <f t="shared" si="71"/>
        <v>09-feb-2024</v>
      </c>
      <c r="V267" s="43">
        <f t="shared" si="72"/>
        <v>45331</v>
      </c>
      <c r="W267" s="44">
        <f t="array" ref="W267">_xlfn.IFS(TRIM(C267)="","",TRIM(V267)="","",TRUE,V267-C267)</f>
        <v>6</v>
      </c>
      <c r="X267" s="37">
        <f t="shared" si="73"/>
        <v>0</v>
      </c>
      <c r="Y267" s="37" t="s">
        <v>163</v>
      </c>
      <c r="Z267" s="37" t="str">
        <f t="shared" si="74"/>
        <v>delivered</v>
      </c>
      <c r="AA267" s="37" t="str">
        <f t="shared" si="75"/>
        <v>On Time</v>
      </c>
      <c r="AB267" s="37" t="str">
        <f t="shared" si="78"/>
        <v>0</v>
      </c>
      <c r="AC267" s="37">
        <f t="shared" si="79"/>
        <v>0</v>
      </c>
      <c r="AD267" s="45">
        <f t="shared" si="77"/>
        <v>0.508692365835223</v>
      </c>
      <c r="AE267" s="37">
        <v>5</v>
      </c>
      <c r="AF267" s="37" t="s">
        <v>191</v>
      </c>
      <c r="AG267" s="37" t="str">
        <f t="shared" si="76"/>
        <v>no</v>
      </c>
      <c r="AH267" s="37" t="str">
        <f t="array" ref="AH267">_xlfn.IFS(LOWER(AG267)="n","no",LOWER(AG267)="y","yes",TRUE,LOWER(AG267))</f>
        <v>no</v>
      </c>
      <c r="AI267" s="37" t="s">
        <v>4692</v>
      </c>
    </row>
    <row r="268" spans="1:35">
      <c r="A268" s="46" t="s">
        <v>1373</v>
      </c>
      <c r="B268" s="47">
        <v>45362</v>
      </c>
      <c r="C268" s="39">
        <f t="shared" si="64"/>
        <v>45362</v>
      </c>
      <c r="D268" s="48" t="s">
        <v>4695</v>
      </c>
      <c r="E268" s="37" t="str" cm="1">
        <f t="array" ref="E268">_xlfn.IFS(D268="delhi","north",D268="mumbai","west",D268="bengaluru","south",D268="chennai","south",D268="kolkata","east",TRUE,"west")</f>
        <v>west</v>
      </c>
      <c r="F268" s="46" t="s">
        <v>270</v>
      </c>
      <c r="G268" s="37" t="str">
        <f t="shared" si="65"/>
        <v>ecomexpress</v>
      </c>
      <c r="H268" s="46" t="s">
        <v>244</v>
      </c>
      <c r="I268" s="37" t="str">
        <f t="shared" si="66"/>
        <v>air</v>
      </c>
      <c r="J268" s="46" t="s">
        <v>186</v>
      </c>
      <c r="K268" s="37" t="str">
        <f t="shared" si="67"/>
        <v>automotiveparts</v>
      </c>
      <c r="L268" s="46" t="s">
        <v>51</v>
      </c>
      <c r="M268" s="37" t="str">
        <f t="shared" si="68"/>
        <v>south</v>
      </c>
      <c r="N268" s="46" t="s">
        <v>327</v>
      </c>
      <c r="O268" s="41" t="str">
        <f t="shared" si="69"/>
        <v>Yes</v>
      </c>
      <c r="P268" s="49">
        <v>5.9</v>
      </c>
      <c r="Q268" s="49">
        <v>398</v>
      </c>
      <c r="R268" s="42">
        <f t="shared" si="70"/>
        <v>67.4576271186441</v>
      </c>
      <c r="S268" s="46">
        <v>4</v>
      </c>
      <c r="T268" s="46" t="s">
        <v>808</v>
      </c>
      <c r="U268" s="43" t="str">
        <f t="shared" si="71"/>
        <v>2024-03-22</v>
      </c>
      <c r="V268" s="43">
        <f t="shared" si="72"/>
        <v>45373</v>
      </c>
      <c r="W268" s="44">
        <f t="array" ref="W268">_xlfn.IFS(TRIM(C268)="","",TRIM(V268)="","",TRUE,V268-C268)</f>
        <v>11</v>
      </c>
      <c r="X268" s="37">
        <f t="shared" si="73"/>
        <v>7</v>
      </c>
      <c r="Y268" s="46" t="s">
        <v>337</v>
      </c>
      <c r="Z268" s="37" t="str">
        <f t="shared" si="74"/>
        <v>damaged</v>
      </c>
      <c r="AA268" s="37" t="str">
        <f t="shared" si="75"/>
        <v>Late</v>
      </c>
      <c r="AB268" s="37" t="str">
        <f t="shared" si="78"/>
        <v>1</v>
      </c>
      <c r="AC268" s="37">
        <f t="shared" si="79"/>
        <v>1</v>
      </c>
      <c r="AD268" s="45">
        <f t="shared" si="77"/>
        <v>0.509077155824508</v>
      </c>
      <c r="AE268" s="46"/>
      <c r="AF268" s="46" t="s">
        <v>191</v>
      </c>
      <c r="AG268" s="37" t="str">
        <f t="shared" si="76"/>
        <v>no</v>
      </c>
      <c r="AH268" s="37" t="str">
        <f t="array" ref="AH268">_xlfn.IFS(LOWER(AG268)="n","no",LOWER(AG268)="y","yes",TRUE,LOWER(AG268))</f>
        <v>no</v>
      </c>
      <c r="AI268" s="46" t="s">
        <v>132</v>
      </c>
    </row>
    <row r="269" spans="1:35">
      <c r="A269" s="37" t="s">
        <v>1376</v>
      </c>
      <c r="B269" s="38">
        <v>45363</v>
      </c>
      <c r="C269" s="39">
        <f t="shared" si="64"/>
        <v>45363</v>
      </c>
      <c r="D269" s="40" t="s">
        <v>340</v>
      </c>
      <c r="E269" s="37" t="str" cm="1">
        <f t="array" ref="E269">_xlfn.IFS(D269="delhi","north",D269="mumbai","west",D269="bengaluru","south",D269="chennai","south",D269="kolkata","east",TRUE,"west")</f>
        <v>north</v>
      </c>
      <c r="F269" s="37" t="s">
        <v>156</v>
      </c>
      <c r="G269" s="37" t="str">
        <f t="shared" si="65"/>
        <v>xpressbees</v>
      </c>
      <c r="H269" s="37" t="s">
        <v>244</v>
      </c>
      <c r="I269" s="37" t="str">
        <f t="shared" si="66"/>
        <v>air</v>
      </c>
      <c r="J269" s="37" t="s">
        <v>196</v>
      </c>
      <c r="K269" s="37" t="str">
        <f t="shared" si="67"/>
        <v>apparel</v>
      </c>
      <c r="L269" s="37" t="s">
        <v>89</v>
      </c>
      <c r="M269" s="37" t="str">
        <f t="shared" si="68"/>
        <v>west</v>
      </c>
      <c r="N269" s="37" t="s">
        <v>206</v>
      </c>
      <c r="O269" s="41" t="str">
        <f t="shared" si="69"/>
        <v>Yes</v>
      </c>
      <c r="P269" s="41">
        <v>5.4</v>
      </c>
      <c r="Q269" s="41" t="s">
        <v>1379</v>
      </c>
      <c r="R269" s="42">
        <f t="shared" si="70"/>
        <v>77.4074074074074</v>
      </c>
      <c r="S269" s="37">
        <v>4</v>
      </c>
      <c r="T269" s="37" t="s">
        <v>1380</v>
      </c>
      <c r="U269" s="43" t="str">
        <f t="shared" si="71"/>
        <v>16/03/2024</v>
      </c>
      <c r="V269" s="43">
        <f t="shared" si="72"/>
        <v>45367</v>
      </c>
      <c r="W269" s="44">
        <f t="array" ref="W269">_xlfn.IFS(TRIM(C269)="","",TRIM(V269)="","",TRUE,V269-C269)</f>
        <v>4</v>
      </c>
      <c r="X269" s="37">
        <f t="shared" si="73"/>
        <v>0</v>
      </c>
      <c r="Y269" s="37" t="s">
        <v>219</v>
      </c>
      <c r="Z269" s="37" t="str">
        <f t="shared" si="74"/>
        <v>delivered</v>
      </c>
      <c r="AA269" s="37" t="str">
        <f t="shared" si="75"/>
        <v>On Time</v>
      </c>
      <c r="AB269" s="37" t="str">
        <f t="shared" si="78"/>
        <v>0</v>
      </c>
      <c r="AC269" s="37">
        <f t="shared" si="79"/>
        <v>0</v>
      </c>
      <c r="AD269" s="45">
        <f t="shared" si="77"/>
        <v>0.508705526116578</v>
      </c>
      <c r="AE269" s="37">
        <v>5</v>
      </c>
      <c r="AF269" s="37" t="s">
        <v>181</v>
      </c>
      <c r="AG269" s="37" t="str">
        <f t="shared" si="76"/>
        <v>y</v>
      </c>
      <c r="AH269" s="37" t="str">
        <f t="array" ref="AH269">_xlfn.IFS(LOWER(AG269)="n","no",LOWER(AG269)="y","yes",TRUE,LOWER(AG269))</f>
        <v>yes</v>
      </c>
      <c r="AI269" s="37" t="s">
        <v>4692</v>
      </c>
    </row>
    <row r="270" spans="1:35">
      <c r="A270" s="46" t="s">
        <v>1381</v>
      </c>
      <c r="B270" s="47">
        <v>45459</v>
      </c>
      <c r="C270" s="39">
        <f t="shared" si="64"/>
        <v>45459</v>
      </c>
      <c r="D270" s="48" t="s">
        <v>4704</v>
      </c>
      <c r="E270" s="37" t="str" cm="1">
        <f t="array" ref="E270">_xlfn.IFS(D270="delhi","north",D270="mumbai","west",D270="bengaluru","south",D270="chennai","south",D270="kolkata","east",TRUE,"west")</f>
        <v>west</v>
      </c>
      <c r="F270" s="46" t="s">
        <v>37</v>
      </c>
      <c r="G270" s="37" t="str">
        <f t="shared" si="65"/>
        <v>bluedart</v>
      </c>
      <c r="H270" s="46" t="s">
        <v>137</v>
      </c>
      <c r="I270" s="37" t="str">
        <f t="shared" si="66"/>
        <v>road</v>
      </c>
      <c r="J270" s="46" t="s">
        <v>271</v>
      </c>
      <c r="K270" s="37" t="str">
        <f t="shared" si="67"/>
        <v>electronics</v>
      </c>
      <c r="L270" s="46" t="s">
        <v>470</v>
      </c>
      <c r="M270" s="37" t="str">
        <f t="shared" si="68"/>
        <v>east</v>
      </c>
      <c r="N270" s="46" t="s">
        <v>126</v>
      </c>
      <c r="O270" s="41" t="str">
        <f t="shared" si="69"/>
        <v>Yes</v>
      </c>
      <c r="P270" s="49" t="s">
        <v>1382</v>
      </c>
      <c r="Q270" s="49">
        <v>124</v>
      </c>
      <c r="R270" s="42">
        <f t="shared" si="70"/>
        <v>18.7878787878788</v>
      </c>
      <c r="S270" s="46">
        <v>6</v>
      </c>
      <c r="T270" s="46" t="s">
        <v>487</v>
      </c>
      <c r="U270" s="43" t="str">
        <f t="shared" si="71"/>
        <v>21/06/2024</v>
      </c>
      <c r="V270" s="43">
        <f t="shared" si="72"/>
        <v>45464</v>
      </c>
      <c r="W270" s="44">
        <f t="array" ref="W270">_xlfn.IFS(TRIM(C270)="","",TRIM(V270)="","",TRUE,V270-C270)</f>
        <v>5</v>
      </c>
      <c r="X270" s="37">
        <f t="shared" si="73"/>
        <v>-1</v>
      </c>
      <c r="Y270" s="46" t="s">
        <v>163</v>
      </c>
      <c r="Z270" s="37" t="str">
        <f t="shared" si="74"/>
        <v>delivered</v>
      </c>
      <c r="AA270" s="37" t="str">
        <f t="shared" si="75"/>
        <v>On Time</v>
      </c>
      <c r="AB270" s="37" t="str">
        <f t="shared" si="78"/>
        <v>0</v>
      </c>
      <c r="AC270" s="37">
        <f t="shared" si="79"/>
        <v>0</v>
      </c>
      <c r="AD270" s="45">
        <f t="shared" si="77"/>
        <v>0.509090909090909</v>
      </c>
      <c r="AE270" s="46">
        <v>4</v>
      </c>
      <c r="AF270" s="46" t="s">
        <v>118</v>
      </c>
      <c r="AG270" s="37" t="str">
        <f t="shared" si="76"/>
        <v>no</v>
      </c>
      <c r="AH270" s="37" t="str">
        <f t="array" ref="AH270">_xlfn.IFS(LOWER(AG270)="n","no",LOWER(AG270)="y","yes",TRUE,LOWER(AG270))</f>
        <v>no</v>
      </c>
      <c r="AI270" s="46" t="s">
        <v>4692</v>
      </c>
    </row>
    <row r="271" spans="1:35">
      <c r="A271" s="37" t="s">
        <v>1383</v>
      </c>
      <c r="B271" s="38" t="s">
        <v>4757</v>
      </c>
      <c r="C271" s="39">
        <f t="shared" si="64"/>
        <v>45317</v>
      </c>
      <c r="D271" s="40" t="s">
        <v>222</v>
      </c>
      <c r="E271" s="37" t="str" cm="1">
        <f t="array" ref="E271">_xlfn.IFS(D271="delhi","north",D271="mumbai","west",D271="bengaluru","south",D271="chennai","south",D271="kolkata","east",TRUE,"west")</f>
        <v>west</v>
      </c>
      <c r="F271" s="37" t="s">
        <v>204</v>
      </c>
      <c r="G271" s="37" t="str">
        <f t="shared" si="65"/>
        <v>delhivery</v>
      </c>
      <c r="H271" s="37" t="s">
        <v>42</v>
      </c>
      <c r="I271" s="37" t="str">
        <f t="shared" si="66"/>
        <v>surface</v>
      </c>
      <c r="J271" s="37" t="s">
        <v>1112</v>
      </c>
      <c r="K271" s="37" t="str">
        <f t="shared" si="67"/>
        <v>automotiveparts</v>
      </c>
      <c r="L271" s="37" t="s">
        <v>197</v>
      </c>
      <c r="M271" s="37" t="str">
        <f t="shared" si="68"/>
        <v>south</v>
      </c>
      <c r="N271" s="37" t="s">
        <v>90</v>
      </c>
      <c r="O271" s="41" t="str">
        <f t="shared" si="69"/>
        <v>Yes</v>
      </c>
      <c r="P271" s="41">
        <v>15.8</v>
      </c>
      <c r="Q271" s="41">
        <v>555</v>
      </c>
      <c r="R271" s="42">
        <f t="shared" si="70"/>
        <v>35.126582278481</v>
      </c>
      <c r="S271" s="37">
        <v>6</v>
      </c>
      <c r="T271" s="37" t="s">
        <v>1386</v>
      </c>
      <c r="U271" s="43" t="str">
        <f t="shared" si="71"/>
        <v>2024-02-01</v>
      </c>
      <c r="V271" s="43">
        <f t="shared" si="72"/>
        <v>45323</v>
      </c>
      <c r="W271" s="44">
        <f t="array" ref="W271">_xlfn.IFS(TRIM(C271)="","",TRIM(V271)="","",TRUE,V271-C271)</f>
        <v>6</v>
      </c>
      <c r="X271" s="37">
        <f t="shared" si="73"/>
        <v>0</v>
      </c>
      <c r="Y271" s="37" t="s">
        <v>117</v>
      </c>
      <c r="Z271" s="37" t="str">
        <f t="shared" si="74"/>
        <v>delivered</v>
      </c>
      <c r="AA271" s="37" t="str">
        <f t="shared" si="75"/>
        <v>On Time</v>
      </c>
      <c r="AB271" s="37" t="str">
        <f t="shared" si="78"/>
        <v>0</v>
      </c>
      <c r="AC271" s="37">
        <f t="shared" si="79"/>
        <v>0</v>
      </c>
      <c r="AD271" s="45">
        <f t="shared" si="77"/>
        <v>0.509476876421531</v>
      </c>
      <c r="AE271" s="37">
        <v>5</v>
      </c>
      <c r="AF271" s="37" t="s">
        <v>152</v>
      </c>
      <c r="AG271" s="37" t="str">
        <f t="shared" si="76"/>
        <v>no</v>
      </c>
      <c r="AH271" s="37" t="str">
        <f t="array" ref="AH271">_xlfn.IFS(LOWER(AG271)="n","no",LOWER(AG271)="y","yes",TRUE,LOWER(AG271))</f>
        <v>no</v>
      </c>
      <c r="AI271" s="37" t="s">
        <v>4692</v>
      </c>
    </row>
    <row r="272" spans="1:35">
      <c r="A272" s="46" t="s">
        <v>1387</v>
      </c>
      <c r="B272" s="47">
        <v>45404</v>
      </c>
      <c r="C272" s="39">
        <f t="shared" si="64"/>
        <v>45404</v>
      </c>
      <c r="D272" s="48" t="s">
        <v>633</v>
      </c>
      <c r="E272" s="37" t="str" cm="1">
        <f t="array" ref="E272">_xlfn.IFS(D272="delhi","north",D272="mumbai","west",D272="bengaluru","south",D272="chennai","south",D272="kolkata","east",TRUE,"west")</f>
        <v>south</v>
      </c>
      <c r="F272" s="46" t="s">
        <v>136</v>
      </c>
      <c r="G272" s="37" t="str">
        <f t="shared" si="65"/>
        <v>bluedart</v>
      </c>
      <c r="H272" s="46" t="s">
        <v>99</v>
      </c>
      <c r="I272" s="37" t="str">
        <f t="shared" si="66"/>
        <v>air</v>
      </c>
      <c r="J272" s="46" t="s">
        <v>452</v>
      </c>
      <c r="K272" s="37" t="str">
        <f t="shared" si="67"/>
        <v>apparel</v>
      </c>
      <c r="L272" s="46" t="s">
        <v>125</v>
      </c>
      <c r="M272" s="37" t="str">
        <f t="shared" si="68"/>
        <v>east</v>
      </c>
      <c r="N272" s="46" t="s">
        <v>396</v>
      </c>
      <c r="O272" s="41" t="str">
        <f t="shared" si="69"/>
        <v>Yes</v>
      </c>
      <c r="P272" s="49">
        <v>3.6</v>
      </c>
      <c r="Q272" s="49" t="s">
        <v>1388</v>
      </c>
      <c r="R272" s="42">
        <f t="shared" si="70"/>
        <v>85.5555555555556</v>
      </c>
      <c r="S272" s="46">
        <v>4</v>
      </c>
      <c r="T272" s="46" t="s">
        <v>1389</v>
      </c>
      <c r="U272" s="43" t="str">
        <f t="shared" si="71"/>
        <v>2024-04-26</v>
      </c>
      <c r="V272" s="43">
        <f t="shared" si="72"/>
        <v>45408</v>
      </c>
      <c r="W272" s="44">
        <f t="array" ref="W272">_xlfn.IFS(TRIM(C272)="","",TRIM(V272)="","",TRUE,V272-C272)</f>
        <v>4</v>
      </c>
      <c r="X272" s="37">
        <f t="shared" si="73"/>
        <v>0</v>
      </c>
      <c r="Y272" s="46" t="s">
        <v>117</v>
      </c>
      <c r="Z272" s="37" t="str">
        <f t="shared" si="74"/>
        <v>delivered</v>
      </c>
      <c r="AA272" s="37" t="str">
        <f t="shared" si="75"/>
        <v>On Time</v>
      </c>
      <c r="AB272" s="37" t="str">
        <f t="shared" si="78"/>
        <v>0</v>
      </c>
      <c r="AC272" s="37">
        <f t="shared" si="79"/>
        <v>0</v>
      </c>
      <c r="AD272" s="45">
        <f t="shared" si="77"/>
        <v>0.509863429438543</v>
      </c>
      <c r="AE272" s="46">
        <v>4</v>
      </c>
      <c r="AF272" s="46" t="s">
        <v>152</v>
      </c>
      <c r="AG272" s="37" t="str">
        <f t="shared" si="76"/>
        <v>no</v>
      </c>
      <c r="AH272" s="37" t="str">
        <f t="array" ref="AH272">_xlfn.IFS(LOWER(AG272)="n","no",LOWER(AG272)="y","yes",TRUE,LOWER(AG272))</f>
        <v>no</v>
      </c>
      <c r="AI272" s="46" t="s">
        <v>4692</v>
      </c>
    </row>
    <row r="273" spans="1:35">
      <c r="A273" s="37" t="s">
        <v>1390</v>
      </c>
      <c r="B273" s="38">
        <v>45469</v>
      </c>
      <c r="C273" s="39">
        <f t="shared" si="64"/>
        <v>45469</v>
      </c>
      <c r="D273" s="40" t="s">
        <v>212</v>
      </c>
      <c r="E273" s="37" t="str" cm="1">
        <f t="array" ref="E273">_xlfn.IFS(D273="delhi","north",D273="mumbai","west",D273="bengaluru","south",D273="chennai","south",D273="kolkata","east",TRUE,"west")</f>
        <v>west</v>
      </c>
      <c r="F273" s="37" t="s">
        <v>312</v>
      </c>
      <c r="G273" s="37" t="str">
        <f t="shared" si="65"/>
        <v>bluedart</v>
      </c>
      <c r="H273" s="37" t="s">
        <v>185</v>
      </c>
      <c r="I273" s="37" t="str">
        <f t="shared" si="66"/>
        <v>surface</v>
      </c>
      <c r="J273" s="37" t="s">
        <v>277</v>
      </c>
      <c r="K273" s="37" t="str">
        <f t="shared" si="67"/>
        <v>apparel</v>
      </c>
      <c r="L273" s="37" t="s">
        <v>264</v>
      </c>
      <c r="M273" s="37" t="str">
        <f t="shared" si="68"/>
        <v>west</v>
      </c>
      <c r="N273" s="37" t="s">
        <v>187</v>
      </c>
      <c r="O273" s="41" t="str">
        <f t="shared" si="69"/>
        <v>Yes</v>
      </c>
      <c r="P273" s="41">
        <v>0.8</v>
      </c>
      <c r="Q273" s="41">
        <v>80</v>
      </c>
      <c r="R273" s="42">
        <f t="shared" si="70"/>
        <v>100</v>
      </c>
      <c r="S273" s="37">
        <v>4</v>
      </c>
      <c r="T273" s="37" t="s">
        <v>585</v>
      </c>
      <c r="U273" s="43" t="str">
        <f t="shared" si="71"/>
        <v>30/06/2024</v>
      </c>
      <c r="V273" s="43">
        <f t="shared" si="72"/>
        <v>45473</v>
      </c>
      <c r="W273" s="44">
        <f t="array" ref="W273">_xlfn.IFS(TRIM(C273)="","",TRIM(V273)="","",TRUE,V273-C273)</f>
        <v>4</v>
      </c>
      <c r="X273" s="37">
        <f t="shared" si="73"/>
        <v>0</v>
      </c>
      <c r="Y273" s="37" t="s">
        <v>105</v>
      </c>
      <c r="Z273" s="37" t="str">
        <f t="shared" si="74"/>
        <v>delivered</v>
      </c>
      <c r="AA273" s="37" t="str">
        <f t="shared" si="75"/>
        <v>On Time</v>
      </c>
      <c r="AB273" s="37" t="str">
        <f t="shared" si="78"/>
        <v>0</v>
      </c>
      <c r="AC273" s="37">
        <f t="shared" si="79"/>
        <v>0</v>
      </c>
      <c r="AD273" s="45">
        <f t="shared" si="77"/>
        <v>0.510250569476082</v>
      </c>
      <c r="AE273" s="37">
        <v>4</v>
      </c>
      <c r="AF273" s="37" t="s">
        <v>191</v>
      </c>
      <c r="AG273" s="37" t="str">
        <f t="shared" si="76"/>
        <v>no</v>
      </c>
      <c r="AH273" s="37" t="str">
        <f t="array" ref="AH273">_xlfn.IFS(LOWER(AG273)="n","no",LOWER(AG273)="y","yes",TRUE,LOWER(AG273))</f>
        <v>no</v>
      </c>
      <c r="AI273" s="37" t="s">
        <v>4692</v>
      </c>
    </row>
    <row r="274" spans="1:35">
      <c r="A274" s="46" t="s">
        <v>1393</v>
      </c>
      <c r="B274" s="47">
        <v>45302</v>
      </c>
      <c r="C274" s="39">
        <f t="shared" si="64"/>
        <v>45302</v>
      </c>
      <c r="D274" s="48" t="s">
        <v>4712</v>
      </c>
      <c r="E274" s="37" t="str" cm="1">
        <f t="array" ref="E274">_xlfn.IFS(D274="delhi","north",D274="mumbai","west",D274="bengaluru","south",D274="chennai","south",D274="kolkata","east",TRUE,"west")</f>
        <v>west</v>
      </c>
      <c r="F274" s="46" t="s">
        <v>270</v>
      </c>
      <c r="G274" s="37" t="str">
        <f t="shared" si="65"/>
        <v>ecomexpress</v>
      </c>
      <c r="H274" s="46" t="s">
        <v>224</v>
      </c>
      <c r="I274" s="37" t="str">
        <f t="shared" si="66"/>
        <v>air</v>
      </c>
      <c r="J274" s="46" t="s">
        <v>186</v>
      </c>
      <c r="K274" s="37" t="str">
        <f t="shared" si="67"/>
        <v>automotiveparts</v>
      </c>
      <c r="L274" s="46" t="s">
        <v>257</v>
      </c>
      <c r="M274" s="37" t="str">
        <f t="shared" si="68"/>
        <v>west</v>
      </c>
      <c r="N274" s="46" t="s">
        <v>88</v>
      </c>
      <c r="O274" s="41" t="str">
        <f t="shared" si="69"/>
        <v>Yes</v>
      </c>
      <c r="P274" s="49" t="s">
        <v>1394</v>
      </c>
      <c r="Q274" s="51">
        <v>1299</v>
      </c>
      <c r="R274" s="42">
        <f t="shared" si="70"/>
        <v>51.5476190476191</v>
      </c>
      <c r="S274" s="46">
        <v>4</v>
      </c>
      <c r="T274" s="46" t="s">
        <v>503</v>
      </c>
      <c r="U274" s="43" t="str">
        <f t="shared" si="71"/>
        <v>2024-01-14</v>
      </c>
      <c r="V274" s="43">
        <f t="shared" si="72"/>
        <v>45305</v>
      </c>
      <c r="W274" s="44">
        <f t="array" ref="W274">_xlfn.IFS(TRIM(C274)="","",TRIM(V274)="","",TRUE,V274-C274)</f>
        <v>3</v>
      </c>
      <c r="X274" s="37">
        <f t="shared" si="73"/>
        <v>-1</v>
      </c>
      <c r="Y274" s="46" t="s">
        <v>105</v>
      </c>
      <c r="Z274" s="37" t="str">
        <f t="shared" si="74"/>
        <v>delivered</v>
      </c>
      <c r="AA274" s="37" t="str">
        <f t="shared" si="75"/>
        <v>On Time</v>
      </c>
      <c r="AB274" s="37" t="str">
        <f t="shared" si="78"/>
        <v>0</v>
      </c>
      <c r="AC274" s="37">
        <f t="shared" si="79"/>
        <v>0</v>
      </c>
      <c r="AD274" s="45">
        <f t="shared" si="77"/>
        <v>0.51063829787234</v>
      </c>
      <c r="AE274" s="46">
        <v>4</v>
      </c>
      <c r="AF274" s="46" t="s">
        <v>286</v>
      </c>
      <c r="AG274" s="37" t="str">
        <f t="shared" si="76"/>
        <v>yes</v>
      </c>
      <c r="AH274" s="37" t="str">
        <f t="array" ref="AH274">_xlfn.IFS(LOWER(AG274)="n","no",LOWER(AG274)="y","yes",TRUE,LOWER(AG274))</f>
        <v>yes</v>
      </c>
      <c r="AI274" s="46" t="s">
        <v>4692</v>
      </c>
    </row>
    <row r="275" spans="1:35">
      <c r="A275" s="37" t="s">
        <v>1396</v>
      </c>
      <c r="B275" s="38">
        <v>45437</v>
      </c>
      <c r="C275" s="39">
        <f t="shared" si="64"/>
        <v>45437</v>
      </c>
      <c r="D275" s="40" t="s">
        <v>424</v>
      </c>
      <c r="E275" s="37" t="str" cm="1">
        <f t="array" ref="E275">_xlfn.IFS(D275="delhi","north",D275="mumbai","west",D275="bengaluru","south",D275="chennai","south",D275="kolkata","east",TRUE,"west")</f>
        <v>south</v>
      </c>
      <c r="F275" s="37" t="s">
        <v>230</v>
      </c>
      <c r="G275" s="37" t="str">
        <f t="shared" si="65"/>
        <v>dtdc</v>
      </c>
      <c r="H275" s="37" t="s">
        <v>99</v>
      </c>
      <c r="I275" s="37" t="str">
        <f t="shared" si="66"/>
        <v>air</v>
      </c>
      <c r="J275" s="37" t="s">
        <v>214</v>
      </c>
      <c r="K275" s="37" t="str">
        <f t="shared" si="67"/>
        <v>grocery&amp;fmcg</v>
      </c>
      <c r="L275" s="37" t="s">
        <v>197</v>
      </c>
      <c r="M275" s="37" t="str">
        <f t="shared" si="68"/>
        <v>south</v>
      </c>
      <c r="N275" s="37" t="s">
        <v>54</v>
      </c>
      <c r="O275" s="41" t="str">
        <f t="shared" si="69"/>
        <v>Yes</v>
      </c>
      <c r="P275" s="41">
        <v>8.4</v>
      </c>
      <c r="Q275" s="41" t="s">
        <v>1399</v>
      </c>
      <c r="R275" s="42">
        <f t="shared" si="70"/>
        <v>51.6666666666667</v>
      </c>
      <c r="S275" s="37">
        <v>2</v>
      </c>
      <c r="T275" s="37" t="s">
        <v>796</v>
      </c>
      <c r="U275" s="43" t="str">
        <f t="shared" si="71"/>
        <v>2024-05-26</v>
      </c>
      <c r="V275" s="43">
        <f t="shared" si="72"/>
        <v>45438</v>
      </c>
      <c r="W275" s="44">
        <f t="array" ref="W275">_xlfn.IFS(TRIM(C275)="","",TRIM(V275)="","",TRUE,V275-C275)</f>
        <v>1</v>
      </c>
      <c r="X275" s="37">
        <f t="shared" si="73"/>
        <v>-1</v>
      </c>
      <c r="Y275" s="37" t="s">
        <v>219</v>
      </c>
      <c r="Z275" s="37" t="str">
        <f t="shared" si="74"/>
        <v>delivered</v>
      </c>
      <c r="AA275" s="37" t="str">
        <f t="shared" si="75"/>
        <v>On Time</v>
      </c>
      <c r="AB275" s="37" t="str">
        <f t="shared" si="78"/>
        <v>0</v>
      </c>
      <c r="AC275" s="37">
        <f t="shared" si="79"/>
        <v>0</v>
      </c>
      <c r="AD275" s="45">
        <f t="shared" si="77"/>
        <v>0.511026615969582</v>
      </c>
      <c r="AE275" s="37">
        <v>3</v>
      </c>
      <c r="AF275" s="37" t="s">
        <v>131</v>
      </c>
      <c r="AG275" s="37" t="str">
        <f t="shared" si="76"/>
        <v>n</v>
      </c>
      <c r="AH275" s="37" t="str">
        <f t="array" ref="AH275">_xlfn.IFS(LOWER(AG275)="n","no",LOWER(AG275)="y","yes",TRUE,LOWER(AG275))</f>
        <v>no</v>
      </c>
      <c r="AI275" s="37" t="s">
        <v>4692</v>
      </c>
    </row>
    <row r="276" spans="1:35">
      <c r="A276" s="46" t="s">
        <v>1400</v>
      </c>
      <c r="B276" s="47" t="s">
        <v>4758</v>
      </c>
      <c r="C276" s="39">
        <f t="shared" si="64"/>
        <v>45303</v>
      </c>
      <c r="D276" s="48" t="s">
        <v>212</v>
      </c>
      <c r="E276" s="37" t="str" cm="1">
        <f t="array" ref="E276">_xlfn.IFS(D276="delhi","north",D276="mumbai","west",D276="bengaluru","south",D276="chennai","south",D276="kolkata","east",TRUE,"west")</f>
        <v>west</v>
      </c>
      <c r="F276" s="46" t="s">
        <v>156</v>
      </c>
      <c r="G276" s="37" t="str">
        <f t="shared" si="65"/>
        <v>xpressbees</v>
      </c>
      <c r="H276" s="46" t="s">
        <v>325</v>
      </c>
      <c r="I276" s="37" t="str">
        <f t="shared" si="66"/>
        <v>air</v>
      </c>
      <c r="J276" s="46" t="s">
        <v>148</v>
      </c>
      <c r="K276" s="37" t="str">
        <f t="shared" si="67"/>
        <v>electronics</v>
      </c>
      <c r="L276" s="46" t="s">
        <v>302</v>
      </c>
      <c r="M276" s="37" t="str">
        <f t="shared" si="68"/>
        <v>east</v>
      </c>
      <c r="N276" s="46" t="s">
        <v>396</v>
      </c>
      <c r="O276" s="41" t="str">
        <f t="shared" si="69"/>
        <v>Yes</v>
      </c>
      <c r="P276" s="49">
        <v>9.7</v>
      </c>
      <c r="Q276" s="49" t="s">
        <v>1403</v>
      </c>
      <c r="R276" s="42">
        <f t="shared" si="70"/>
        <v>63.8144329896907</v>
      </c>
      <c r="S276" s="46">
        <v>4</v>
      </c>
      <c r="T276" s="46" t="s">
        <v>415</v>
      </c>
      <c r="U276" s="43" t="str">
        <f t="shared" si="71"/>
        <v>15/01/2024</v>
      </c>
      <c r="V276" s="43">
        <f t="shared" si="72"/>
        <v>45306</v>
      </c>
      <c r="W276" s="44">
        <f t="array" ref="W276">_xlfn.IFS(TRIM(C276)="","",TRIM(V276)="","",TRUE,V276-C276)</f>
        <v>3</v>
      </c>
      <c r="X276" s="37">
        <f t="shared" si="73"/>
        <v>-1</v>
      </c>
      <c r="Y276" s="46" t="s">
        <v>117</v>
      </c>
      <c r="Z276" s="37" t="str">
        <f t="shared" si="74"/>
        <v>delivered</v>
      </c>
      <c r="AA276" s="37" t="str">
        <f t="shared" si="75"/>
        <v>On Time</v>
      </c>
      <c r="AB276" s="37" t="str">
        <f t="shared" si="78"/>
        <v>0</v>
      </c>
      <c r="AC276" s="37">
        <f t="shared" si="79"/>
        <v>0</v>
      </c>
      <c r="AD276" s="45">
        <f t="shared" si="77"/>
        <v>0.511415525114155</v>
      </c>
      <c r="AE276" s="46">
        <v>4</v>
      </c>
      <c r="AF276" s="46" t="s">
        <v>118</v>
      </c>
      <c r="AG276" s="37" t="str">
        <f t="shared" si="76"/>
        <v>no</v>
      </c>
      <c r="AH276" s="37" t="str">
        <f t="array" ref="AH276">_xlfn.IFS(LOWER(AG276)="n","no",LOWER(AG276)="y","yes",TRUE,LOWER(AG276))</f>
        <v>no</v>
      </c>
      <c r="AI276" s="46" t="s">
        <v>4692</v>
      </c>
    </row>
    <row r="277" spans="1:35">
      <c r="A277" s="37" t="s">
        <v>1404</v>
      </c>
      <c r="B277" s="38">
        <v>45307</v>
      </c>
      <c r="C277" s="39">
        <f t="shared" si="64"/>
        <v>45307</v>
      </c>
      <c r="D277" s="40" t="s">
        <v>340</v>
      </c>
      <c r="E277" s="37" t="str" cm="1">
        <f t="array" ref="E277">_xlfn.IFS(D277="delhi","north",D277="mumbai","west",D277="bengaluru","south",D277="chennai","south",D277="kolkata","east",TRUE,"west")</f>
        <v>north</v>
      </c>
      <c r="F277" s="37" t="s">
        <v>175</v>
      </c>
      <c r="G277" s="37" t="str">
        <f t="shared" si="65"/>
        <v>ecomexpress</v>
      </c>
      <c r="H277" s="37" t="s">
        <v>42</v>
      </c>
      <c r="I277" s="37" t="str">
        <f t="shared" si="66"/>
        <v>surface</v>
      </c>
      <c r="J277" s="37" t="s">
        <v>368</v>
      </c>
      <c r="K277" s="37" t="str">
        <f t="shared" si="67"/>
        <v>furniture</v>
      </c>
      <c r="L277" s="37" t="s">
        <v>159</v>
      </c>
      <c r="M277" s="37" t="str">
        <f t="shared" si="68"/>
        <v>south</v>
      </c>
      <c r="N277" s="37" t="s">
        <v>93</v>
      </c>
      <c r="O277" s="41" t="str">
        <f t="shared" si="69"/>
        <v>Yes</v>
      </c>
      <c r="P277" s="41">
        <v>43.6</v>
      </c>
      <c r="Q277" s="41">
        <v>1091</v>
      </c>
      <c r="R277" s="42">
        <f t="shared" si="70"/>
        <v>25.0229357798165</v>
      </c>
      <c r="S277" s="37">
        <v>6</v>
      </c>
      <c r="T277" s="37" t="s">
        <v>791</v>
      </c>
      <c r="U277" s="43" t="str">
        <f t="shared" si="71"/>
        <v>24/01/2024</v>
      </c>
      <c r="V277" s="43">
        <f t="shared" si="72"/>
        <v>45315</v>
      </c>
      <c r="W277" s="44">
        <f t="array" ref="W277">_xlfn.IFS(TRIM(C277)="","",TRIM(V277)="","",TRUE,V277-C277)</f>
        <v>8</v>
      </c>
      <c r="X277" s="37">
        <f t="shared" si="73"/>
        <v>2</v>
      </c>
      <c r="Y277" s="37" t="s">
        <v>200</v>
      </c>
      <c r="Z277" s="37" t="str">
        <f t="shared" si="74"/>
        <v>delayed</v>
      </c>
      <c r="AA277" s="37" t="str">
        <f t="shared" si="75"/>
        <v>Late</v>
      </c>
      <c r="AB277" s="37" t="str">
        <f t="shared" si="78"/>
        <v>1</v>
      </c>
      <c r="AC277" s="37">
        <f t="shared" si="79"/>
        <v>1</v>
      </c>
      <c r="AD277" s="45">
        <f t="shared" si="77"/>
        <v>0.511805026656512</v>
      </c>
      <c r="AE277" s="37">
        <v>5</v>
      </c>
      <c r="AF277" s="37" t="s">
        <v>191</v>
      </c>
      <c r="AG277" s="37" t="str">
        <f t="shared" si="76"/>
        <v>no</v>
      </c>
      <c r="AH277" s="37" t="str">
        <f t="array" ref="AH277">_xlfn.IFS(LOWER(AG277)="n","no",LOWER(AG277)="y","yes",TRUE,LOWER(AG277))</f>
        <v>no</v>
      </c>
      <c r="AI277" s="37" t="s">
        <v>4692</v>
      </c>
    </row>
    <row r="278" spans="1:35">
      <c r="A278" s="46" t="s">
        <v>1408</v>
      </c>
      <c r="B278" s="47" t="s">
        <v>4759</v>
      </c>
      <c r="C278" s="39">
        <f t="shared" si="64"/>
        <v>45458</v>
      </c>
      <c r="D278" s="48" t="s">
        <v>633</v>
      </c>
      <c r="E278" s="37" t="str" cm="1">
        <f t="array" ref="E278">_xlfn.IFS(D278="delhi","north",D278="mumbai","west",D278="bengaluru","south",D278="chennai","south",D278="kolkata","east",TRUE,"west")</f>
        <v>south</v>
      </c>
      <c r="F278" s="46" t="s">
        <v>333</v>
      </c>
      <c r="G278" s="37" t="str">
        <f t="shared" si="65"/>
        <v>delhivery</v>
      </c>
      <c r="H278" s="46" t="s">
        <v>110</v>
      </c>
      <c r="I278" s="37" t="str">
        <f t="shared" si="66"/>
        <v>surface</v>
      </c>
      <c r="J278" s="46" t="s">
        <v>277</v>
      </c>
      <c r="K278" s="37" t="str">
        <f t="shared" si="67"/>
        <v>apparel</v>
      </c>
      <c r="L278" s="46" t="s">
        <v>346</v>
      </c>
      <c r="M278" s="37" t="str">
        <f t="shared" si="68"/>
        <v>north</v>
      </c>
      <c r="N278" s="46" t="s">
        <v>113</v>
      </c>
      <c r="O278" s="41" t="str">
        <f t="shared" si="69"/>
        <v>Yes</v>
      </c>
      <c r="P278" s="49">
        <v>6.4</v>
      </c>
      <c r="Q278" s="49">
        <v>316</v>
      </c>
      <c r="R278" s="42">
        <f t="shared" si="70"/>
        <v>49.375</v>
      </c>
      <c r="S278" s="46">
        <v>6</v>
      </c>
      <c r="T278" s="46" t="s">
        <v>202</v>
      </c>
      <c r="U278" s="43" t="str">
        <f t="shared" si="71"/>
        <v>20/06/2024</v>
      </c>
      <c r="V278" s="43">
        <f t="shared" si="72"/>
        <v>45463</v>
      </c>
      <c r="W278" s="44">
        <f t="array" ref="W278">_xlfn.IFS(TRIM(C278)="","",TRIM(V278)="","",TRUE,V278-C278)</f>
        <v>5</v>
      </c>
      <c r="X278" s="37">
        <f t="shared" si="73"/>
        <v>-1</v>
      </c>
      <c r="Y278" s="46" t="s">
        <v>163</v>
      </c>
      <c r="Z278" s="37" t="str">
        <f t="shared" si="74"/>
        <v>delivered</v>
      </c>
      <c r="AA278" s="37" t="str">
        <f t="shared" si="75"/>
        <v>On Time</v>
      </c>
      <c r="AB278" s="37" t="str">
        <f t="shared" si="78"/>
        <v>0</v>
      </c>
      <c r="AC278" s="37">
        <f t="shared" si="79"/>
        <v>0</v>
      </c>
      <c r="AD278" s="45">
        <f t="shared" si="77"/>
        <v>0.511432926829268</v>
      </c>
      <c r="AE278" s="46">
        <v>5</v>
      </c>
      <c r="AF278" s="46" t="s">
        <v>118</v>
      </c>
      <c r="AG278" s="37" t="str">
        <f t="shared" si="76"/>
        <v>no</v>
      </c>
      <c r="AH278" s="37" t="str">
        <f t="array" ref="AH278">_xlfn.IFS(LOWER(AG278)="n","no",LOWER(AG278)="y","yes",TRUE,LOWER(AG278))</f>
        <v>no</v>
      </c>
      <c r="AI278" s="46" t="s">
        <v>4692</v>
      </c>
    </row>
    <row r="279" spans="1:35">
      <c r="A279" s="37" t="s">
        <v>1412</v>
      </c>
      <c r="B279" s="38">
        <v>45318</v>
      </c>
      <c r="C279" s="39">
        <f t="shared" si="64"/>
        <v>45318</v>
      </c>
      <c r="D279" s="40" t="s">
        <v>135</v>
      </c>
      <c r="E279" s="37" t="str" cm="1">
        <f t="array" ref="E279">_xlfn.IFS(D279="delhi","north",D279="mumbai","west",D279="bengaluru","south",D279="chennai","south",D279="kolkata","east",TRUE,"west")</f>
        <v>west</v>
      </c>
      <c r="F279" s="37" t="s">
        <v>204</v>
      </c>
      <c r="G279" s="37" t="str">
        <f t="shared" si="65"/>
        <v>delhivery</v>
      </c>
      <c r="H279" s="37" t="s">
        <v>345</v>
      </c>
      <c r="I279" s="37" t="str">
        <f t="shared" si="66"/>
        <v>surface</v>
      </c>
      <c r="J279" s="37" t="s">
        <v>47</v>
      </c>
      <c r="K279" s="37" t="str">
        <f t="shared" si="67"/>
        <v>electronics</v>
      </c>
      <c r="L279" s="37" t="s">
        <v>302</v>
      </c>
      <c r="M279" s="37" t="str">
        <f t="shared" si="68"/>
        <v>east</v>
      </c>
      <c r="N279" s="37" t="s">
        <v>126</v>
      </c>
      <c r="O279" s="41" t="str">
        <f t="shared" si="69"/>
        <v>Yes</v>
      </c>
      <c r="P279" s="41">
        <v>11.8</v>
      </c>
      <c r="Q279" s="41">
        <v>440</v>
      </c>
      <c r="R279" s="42">
        <f t="shared" si="70"/>
        <v>37.2881355932203</v>
      </c>
      <c r="S279" s="37">
        <v>6</v>
      </c>
      <c r="T279" s="37" t="s">
        <v>1415</v>
      </c>
      <c r="U279" s="43" t="str">
        <f t="shared" si="71"/>
        <v>02/02/2024</v>
      </c>
      <c r="V279" s="43">
        <f t="shared" si="72"/>
        <v>45324</v>
      </c>
      <c r="W279" s="44">
        <f t="array" ref="W279">_xlfn.IFS(TRIM(C279)="","",TRIM(V279)="","",TRUE,V279-C279)</f>
        <v>6</v>
      </c>
      <c r="X279" s="37">
        <f t="shared" si="73"/>
        <v>0</v>
      </c>
      <c r="Y279" s="37" t="s">
        <v>105</v>
      </c>
      <c r="Z279" s="37" t="str">
        <f t="shared" si="74"/>
        <v>delivered</v>
      </c>
      <c r="AA279" s="37" t="str">
        <f t="shared" si="75"/>
        <v>On Time</v>
      </c>
      <c r="AB279" s="37" t="str">
        <f t="shared" si="78"/>
        <v>0</v>
      </c>
      <c r="AC279" s="37">
        <f t="shared" si="79"/>
        <v>0</v>
      </c>
      <c r="AD279" s="45">
        <f t="shared" si="77"/>
        <v>0.511823035850496</v>
      </c>
      <c r="AE279" s="37">
        <v>5</v>
      </c>
      <c r="AF279" s="37" t="s">
        <v>118</v>
      </c>
      <c r="AG279" s="37" t="str">
        <f t="shared" si="76"/>
        <v>no</v>
      </c>
      <c r="AH279" s="37" t="str">
        <f t="array" ref="AH279">_xlfn.IFS(LOWER(AG279)="n","no",LOWER(AG279)="y","yes",TRUE,LOWER(AG279))</f>
        <v>no</v>
      </c>
      <c r="AI279" s="37" t="s">
        <v>4692</v>
      </c>
    </row>
    <row r="280" spans="1:35">
      <c r="A280" s="46" t="s">
        <v>1416</v>
      </c>
      <c r="B280" s="47" t="s">
        <v>4760</v>
      </c>
      <c r="C280" s="39">
        <f t="shared" si="64"/>
        <v>45428</v>
      </c>
      <c r="D280" s="48" t="s">
        <v>424</v>
      </c>
      <c r="E280" s="37" t="str" cm="1">
        <f t="array" ref="E280">_xlfn.IFS(D280="delhi","north",D280="mumbai","west",D280="bengaluru","south",D280="chennai","south",D280="kolkata","east",TRUE,"west")</f>
        <v>south</v>
      </c>
      <c r="F280" s="46" t="s">
        <v>312</v>
      </c>
      <c r="G280" s="37" t="str">
        <f t="shared" si="65"/>
        <v>bluedart</v>
      </c>
      <c r="H280" s="46" t="s">
        <v>176</v>
      </c>
      <c r="I280" s="37" t="str">
        <f t="shared" si="66"/>
        <v>road</v>
      </c>
      <c r="J280" s="46" t="s">
        <v>148</v>
      </c>
      <c r="K280" s="37" t="str">
        <f t="shared" si="67"/>
        <v>electronics</v>
      </c>
      <c r="L280" s="46" t="s">
        <v>168</v>
      </c>
      <c r="M280" s="37" t="str">
        <f t="shared" si="68"/>
        <v>west</v>
      </c>
      <c r="N280" s="46" t="s">
        <v>187</v>
      </c>
      <c r="O280" s="41" t="str">
        <f t="shared" si="69"/>
        <v>Yes</v>
      </c>
      <c r="P280" s="49">
        <v>3.2</v>
      </c>
      <c r="Q280" s="49" t="s">
        <v>1418</v>
      </c>
      <c r="R280" s="42">
        <f t="shared" si="70"/>
        <v>78.125</v>
      </c>
      <c r="S280" s="46">
        <v>8</v>
      </c>
      <c r="T280" s="46" t="s">
        <v>1105</v>
      </c>
      <c r="U280" s="43" t="str">
        <f t="shared" si="71"/>
        <v>25-may-2024</v>
      </c>
      <c r="V280" s="43">
        <f t="shared" si="72"/>
        <v>45437</v>
      </c>
      <c r="W280" s="44">
        <f t="array" ref="W280">_xlfn.IFS(TRIM(C280)="","",TRIM(V280)="","",TRUE,V280-C280)</f>
        <v>9</v>
      </c>
      <c r="X280" s="37">
        <f t="shared" si="73"/>
        <v>1</v>
      </c>
      <c r="Y280" s="46" t="s">
        <v>143</v>
      </c>
      <c r="Z280" s="37" t="str">
        <f t="shared" si="74"/>
        <v>delayed</v>
      </c>
      <c r="AA280" s="37" t="str">
        <f t="shared" si="75"/>
        <v>Late</v>
      </c>
      <c r="AB280" s="37" t="str">
        <f t="shared" si="78"/>
        <v>1</v>
      </c>
      <c r="AC280" s="37">
        <f t="shared" si="79"/>
        <v>1</v>
      </c>
      <c r="AD280" s="45">
        <f t="shared" si="77"/>
        <v>0.512213740458015</v>
      </c>
      <c r="AE280" s="46">
        <v>2</v>
      </c>
      <c r="AF280" s="46" t="s">
        <v>152</v>
      </c>
      <c r="AG280" s="37" t="str">
        <f t="shared" si="76"/>
        <v>no</v>
      </c>
      <c r="AH280" s="37" t="str">
        <f t="array" ref="AH280">_xlfn.IFS(LOWER(AG280)="n","no",LOWER(AG280)="y","yes",TRUE,LOWER(AG280))</f>
        <v>no</v>
      </c>
      <c r="AI280" s="46" t="s">
        <v>4692</v>
      </c>
    </row>
    <row r="281" spans="1:35">
      <c r="A281" s="37" t="s">
        <v>1419</v>
      </c>
      <c r="B281" s="38">
        <v>45310</v>
      </c>
      <c r="C281" s="39">
        <f t="shared" si="64"/>
        <v>45310</v>
      </c>
      <c r="D281" s="40" t="s">
        <v>212</v>
      </c>
      <c r="E281" s="37" t="str" cm="1">
        <f t="array" ref="E281">_xlfn.IFS(D281="delhi","north",D281="mumbai","west",D281="bengaluru","south",D281="chennai","south",D281="kolkata","east",TRUE,"west")</f>
        <v>west</v>
      </c>
      <c r="F281" s="37" t="s">
        <v>919</v>
      </c>
      <c r="G281" s="37" t="str">
        <f t="shared" si="65"/>
        <v>xpressbees</v>
      </c>
      <c r="H281" s="37" t="s">
        <v>440</v>
      </c>
      <c r="I281" s="37" t="str">
        <f t="shared" si="66"/>
        <v>road</v>
      </c>
      <c r="J281" s="37" t="s">
        <v>498</v>
      </c>
      <c r="K281" s="37" t="str">
        <f t="shared" si="67"/>
        <v>apparel</v>
      </c>
      <c r="L281" s="37" t="s">
        <v>401</v>
      </c>
      <c r="M281" s="37" t="str">
        <f t="shared" si="68"/>
        <v>south</v>
      </c>
      <c r="N281" s="37" t="s">
        <v>54</v>
      </c>
      <c r="O281" s="41" t="str">
        <f t="shared" si="69"/>
        <v>Yes</v>
      </c>
      <c r="P281" s="41">
        <v>5.4</v>
      </c>
      <c r="Q281" s="41" t="s">
        <v>1023</v>
      </c>
      <c r="R281" s="42">
        <f t="shared" si="70"/>
        <v>41.2962962962963</v>
      </c>
      <c r="S281" s="37">
        <v>8</v>
      </c>
      <c r="T281" s="37" t="s">
        <v>285</v>
      </c>
      <c r="U281" s="43" t="str">
        <f t="shared" si="71"/>
        <v>27/01/2024</v>
      </c>
      <c r="V281" s="43">
        <f t="shared" si="72"/>
        <v>45318</v>
      </c>
      <c r="W281" s="44">
        <f t="array" ref="W281">_xlfn.IFS(TRIM(C281)="","",TRIM(V281)="","",TRUE,V281-C281)</f>
        <v>8</v>
      </c>
      <c r="X281" s="37">
        <f t="shared" si="73"/>
        <v>0</v>
      </c>
      <c r="Y281" s="37" t="s">
        <v>105</v>
      </c>
      <c r="Z281" s="37" t="str">
        <f t="shared" si="74"/>
        <v>delivered</v>
      </c>
      <c r="AA281" s="37" t="str">
        <f t="shared" si="75"/>
        <v>On Time</v>
      </c>
      <c r="AB281" s="37" t="str">
        <f t="shared" si="78"/>
        <v>0</v>
      </c>
      <c r="AC281" s="37">
        <f t="shared" si="79"/>
        <v>0</v>
      </c>
      <c r="AD281" s="45">
        <f t="shared" si="77"/>
        <v>0.511841100076394</v>
      </c>
      <c r="AE281" s="37">
        <v>5</v>
      </c>
      <c r="AF281" s="37" t="s">
        <v>152</v>
      </c>
      <c r="AG281" s="37" t="str">
        <f t="shared" si="76"/>
        <v>no</v>
      </c>
      <c r="AH281" s="37" t="str">
        <f t="array" ref="AH281">_xlfn.IFS(LOWER(AG281)="n","no",LOWER(AG281)="y","yes",TRUE,LOWER(AG281))</f>
        <v>no</v>
      </c>
      <c r="AI281" s="37" t="s">
        <v>4692</v>
      </c>
    </row>
    <row r="282" spans="1:35">
      <c r="A282" s="46" t="s">
        <v>1421</v>
      </c>
      <c r="B282" s="47" t="s">
        <v>4761</v>
      </c>
      <c r="C282" s="39">
        <f t="shared" si="64"/>
        <v>45368</v>
      </c>
      <c r="D282" s="48" t="s">
        <v>121</v>
      </c>
      <c r="E282" s="37" t="str" cm="1">
        <f t="array" ref="E282">_xlfn.IFS(D282="delhi","north",D282="mumbai","west",D282="bengaluru","south",D282="chennai","south",D282="kolkata","east",TRUE,"west")</f>
        <v>west</v>
      </c>
      <c r="F282" s="46" t="s">
        <v>156</v>
      </c>
      <c r="G282" s="37" t="str">
        <f t="shared" si="65"/>
        <v>xpressbees</v>
      </c>
      <c r="H282" s="46" t="s">
        <v>110</v>
      </c>
      <c r="I282" s="37" t="str">
        <f t="shared" si="66"/>
        <v>surface</v>
      </c>
      <c r="J282" s="46" t="s">
        <v>214</v>
      </c>
      <c r="K282" s="37" t="str">
        <f t="shared" si="67"/>
        <v>grocery&amp;fmcg</v>
      </c>
      <c r="L282" s="46" t="s">
        <v>401</v>
      </c>
      <c r="M282" s="37" t="str">
        <f t="shared" si="68"/>
        <v>south</v>
      </c>
      <c r="N282" s="46" t="s">
        <v>327</v>
      </c>
      <c r="O282" s="41" t="str">
        <f t="shared" si="69"/>
        <v>Yes</v>
      </c>
      <c r="P282" s="49">
        <v>2.4</v>
      </c>
      <c r="Q282" s="49">
        <v>215</v>
      </c>
      <c r="R282" s="42">
        <f t="shared" si="70"/>
        <v>89.5833333333333</v>
      </c>
      <c r="S282" s="46">
        <v>6</v>
      </c>
      <c r="T282" s="46" t="s">
        <v>1424</v>
      </c>
      <c r="U282" s="43" t="str">
        <f t="shared" si="71"/>
        <v>24-mar-2024</v>
      </c>
      <c r="V282" s="43">
        <f t="shared" si="72"/>
        <v>45375</v>
      </c>
      <c r="W282" s="44">
        <f t="array" ref="W282">_xlfn.IFS(TRIM(C282)="","",TRIM(V282)="","",TRUE,V282-C282)</f>
        <v>7</v>
      </c>
      <c r="X282" s="37">
        <f t="shared" si="73"/>
        <v>1</v>
      </c>
      <c r="Y282" s="46" t="s">
        <v>72</v>
      </c>
      <c r="Z282" s="37" t="str">
        <f t="shared" si="74"/>
        <v>delayed</v>
      </c>
      <c r="AA282" s="37" t="str">
        <f t="shared" si="75"/>
        <v>Late</v>
      </c>
      <c r="AB282" s="37" t="str">
        <f t="shared" si="78"/>
        <v>1</v>
      </c>
      <c r="AC282" s="37">
        <f t="shared" si="79"/>
        <v>1</v>
      </c>
      <c r="AD282" s="45">
        <f t="shared" si="77"/>
        <v>0.512232415902141</v>
      </c>
      <c r="AE282" s="46">
        <v>2</v>
      </c>
      <c r="AF282" s="46" t="s">
        <v>131</v>
      </c>
      <c r="AG282" s="37" t="str">
        <f t="shared" si="76"/>
        <v>n</v>
      </c>
      <c r="AH282" s="37" t="str">
        <f t="array" ref="AH282">_xlfn.IFS(LOWER(AG282)="n","no",LOWER(AG282)="y","yes",TRUE,LOWER(AG282))</f>
        <v>no</v>
      </c>
      <c r="AI282" s="46" t="s">
        <v>4692</v>
      </c>
    </row>
    <row r="283" spans="1:35">
      <c r="A283" s="37" t="s">
        <v>1425</v>
      </c>
      <c r="B283" s="38">
        <v>45460</v>
      </c>
      <c r="C283" s="39">
        <f t="shared" si="64"/>
        <v>45460</v>
      </c>
      <c r="D283" s="40" t="s">
        <v>340</v>
      </c>
      <c r="E283" s="37" t="str" cm="1">
        <f t="array" ref="E283">_xlfn.IFS(D283="delhi","north",D283="mumbai","west",D283="bengaluru","south",D283="chennai","south",D283="kolkata","east",TRUE,"west")</f>
        <v>north</v>
      </c>
      <c r="F283" s="37" t="s">
        <v>230</v>
      </c>
      <c r="G283" s="37" t="str">
        <f t="shared" si="65"/>
        <v>dtdc</v>
      </c>
      <c r="H283" s="37" t="s">
        <v>244</v>
      </c>
      <c r="I283" s="37" t="str">
        <f t="shared" si="66"/>
        <v>air</v>
      </c>
      <c r="J283" s="37" t="s">
        <v>385</v>
      </c>
      <c r="K283" s="37" t="str">
        <f t="shared" si="67"/>
        <v>furniture</v>
      </c>
      <c r="L283" s="37" t="s">
        <v>334</v>
      </c>
      <c r="M283" s="37" t="str">
        <f t="shared" si="68"/>
        <v>north</v>
      </c>
      <c r="N283" s="37" t="s">
        <v>354</v>
      </c>
      <c r="O283" s="41" t="str">
        <f t="shared" si="69"/>
        <v>Yes</v>
      </c>
      <c r="P283" s="41">
        <v>76.5</v>
      </c>
      <c r="Q283" s="41">
        <v>3437</v>
      </c>
      <c r="R283" s="42">
        <f t="shared" si="70"/>
        <v>44.9281045751634</v>
      </c>
      <c r="S283" s="37">
        <v>2</v>
      </c>
      <c r="T283" s="37" t="s">
        <v>779</v>
      </c>
      <c r="U283" s="43" t="str">
        <f t="shared" si="71"/>
        <v>2024-06-26</v>
      </c>
      <c r="V283" s="43">
        <f t="shared" si="72"/>
        <v>45469</v>
      </c>
      <c r="W283" s="44">
        <f t="array" ref="W283">_xlfn.IFS(TRIM(C283)="","",TRIM(V283)="","",TRUE,V283-C283)</f>
        <v>9</v>
      </c>
      <c r="X283" s="37">
        <f t="shared" si="73"/>
        <v>7</v>
      </c>
      <c r="Y283" s="37" t="s">
        <v>130</v>
      </c>
      <c r="Z283" s="37" t="str">
        <f t="shared" si="74"/>
        <v>damaged</v>
      </c>
      <c r="AA283" s="37" t="str">
        <f t="shared" si="75"/>
        <v>Late</v>
      </c>
      <c r="AB283" s="37" t="str">
        <f t="shared" si="78"/>
        <v>1</v>
      </c>
      <c r="AC283" s="37">
        <f t="shared" si="79"/>
        <v>1</v>
      </c>
      <c r="AD283" s="45">
        <f t="shared" si="77"/>
        <v>0.51185921958684</v>
      </c>
      <c r="AE283" s="37"/>
      <c r="AF283" s="37" t="s">
        <v>286</v>
      </c>
      <c r="AG283" s="37" t="str">
        <f t="shared" si="76"/>
        <v>yes</v>
      </c>
      <c r="AH283" s="37" t="str">
        <f t="array" ref="AH283">_xlfn.IFS(LOWER(AG283)="n","no",LOWER(AG283)="y","yes",TRUE,LOWER(AG283))</f>
        <v>yes</v>
      </c>
      <c r="AI283" s="37" t="s">
        <v>759</v>
      </c>
    </row>
    <row r="284" spans="1:35">
      <c r="A284" s="46" t="s">
        <v>1428</v>
      </c>
      <c r="B284" s="47" t="s">
        <v>4751</v>
      </c>
      <c r="C284" s="39">
        <f t="shared" si="64"/>
        <v>45400</v>
      </c>
      <c r="D284" s="48" t="s">
        <v>633</v>
      </c>
      <c r="E284" s="37" t="str" cm="1">
        <f t="array" ref="E284">_xlfn.IFS(D284="delhi","north",D284="mumbai","west",D284="bengaluru","south",D284="chennai","south",D284="kolkata","east",TRUE,"west")</f>
        <v>south</v>
      </c>
      <c r="F284" s="46" t="s">
        <v>919</v>
      </c>
      <c r="G284" s="37" t="str">
        <f t="shared" si="65"/>
        <v>xpressbees</v>
      </c>
      <c r="H284" s="46" t="s">
        <v>99</v>
      </c>
      <c r="I284" s="37" t="str">
        <f t="shared" si="66"/>
        <v>air</v>
      </c>
      <c r="J284" s="46" t="s">
        <v>368</v>
      </c>
      <c r="K284" s="37" t="str">
        <f t="shared" si="67"/>
        <v>furniture</v>
      </c>
      <c r="L284" s="46" t="s">
        <v>168</v>
      </c>
      <c r="M284" s="37" t="str">
        <f t="shared" si="68"/>
        <v>west</v>
      </c>
      <c r="N284" s="46" t="s">
        <v>187</v>
      </c>
      <c r="O284" s="41" t="str">
        <f t="shared" si="69"/>
        <v>Yes</v>
      </c>
      <c r="P284" s="49" t="s">
        <v>1429</v>
      </c>
      <c r="Q284" s="51">
        <v>2804</v>
      </c>
      <c r="R284" s="42">
        <f t="shared" si="70"/>
        <v>47.1260504201681</v>
      </c>
      <c r="S284" s="46">
        <v>4</v>
      </c>
      <c r="T284" s="46" t="s">
        <v>752</v>
      </c>
      <c r="U284" s="43" t="str">
        <f t="shared" si="71"/>
        <v>23/04/2024</v>
      </c>
      <c r="V284" s="43">
        <f t="shared" si="72"/>
        <v>45405</v>
      </c>
      <c r="W284" s="44">
        <f t="array" ref="W284">_xlfn.IFS(TRIM(C284)="","",TRIM(V284)="","",TRUE,V284-C284)</f>
        <v>5</v>
      </c>
      <c r="X284" s="37">
        <f t="shared" si="73"/>
        <v>1</v>
      </c>
      <c r="Y284" s="46" t="s">
        <v>172</v>
      </c>
      <c r="Z284" s="37" t="str">
        <f t="shared" si="74"/>
        <v>delayed</v>
      </c>
      <c r="AA284" s="37" t="str">
        <f t="shared" si="75"/>
        <v>Late</v>
      </c>
      <c r="AB284" s="37" t="str">
        <f t="shared" si="78"/>
        <v>1</v>
      </c>
      <c r="AC284" s="37">
        <f t="shared" si="79"/>
        <v>1</v>
      </c>
      <c r="AD284" s="45">
        <f t="shared" si="77"/>
        <v>0.511485451761103</v>
      </c>
      <c r="AE284" s="46">
        <v>2</v>
      </c>
      <c r="AF284" s="46" t="s">
        <v>106</v>
      </c>
      <c r="AG284" s="37" t="str">
        <f t="shared" si="76"/>
        <v>yes</v>
      </c>
      <c r="AH284" s="37" t="str">
        <f t="array" ref="AH284">_xlfn.IFS(LOWER(AG284)="n","no",LOWER(AG284)="y","yes",TRUE,LOWER(AG284))</f>
        <v>yes</v>
      </c>
      <c r="AI284" s="46" t="s">
        <v>4692</v>
      </c>
    </row>
    <row r="285" spans="1:35">
      <c r="A285" s="37" t="s">
        <v>1431</v>
      </c>
      <c r="B285" s="38" t="s">
        <v>4762</v>
      </c>
      <c r="C285" s="39">
        <f t="shared" si="64"/>
        <v>45421</v>
      </c>
      <c r="D285" s="40" t="s">
        <v>222</v>
      </c>
      <c r="E285" s="37" t="str" cm="1">
        <f t="array" ref="E285">_xlfn.IFS(D285="delhi","north",D285="mumbai","west",D285="bengaluru","south",D285="chennai","south",D285="kolkata","east",TRUE,"west")</f>
        <v>west</v>
      </c>
      <c r="F285" s="37" t="s">
        <v>544</v>
      </c>
      <c r="G285" s="37" t="str">
        <f t="shared" si="65"/>
        <v>bluedart</v>
      </c>
      <c r="H285" s="37" t="s">
        <v>157</v>
      </c>
      <c r="I285" s="37" t="str">
        <f t="shared" si="66"/>
        <v>surface</v>
      </c>
      <c r="J285" s="37" t="s">
        <v>205</v>
      </c>
      <c r="K285" s="37" t="str">
        <f t="shared" si="67"/>
        <v>furniture</v>
      </c>
      <c r="L285" s="37" t="s">
        <v>418</v>
      </c>
      <c r="M285" s="37" t="str">
        <f t="shared" si="68"/>
        <v>south</v>
      </c>
      <c r="N285" s="37" t="s">
        <v>54</v>
      </c>
      <c r="O285" s="41" t="str">
        <f t="shared" si="69"/>
        <v>Yes</v>
      </c>
      <c r="P285" s="41">
        <v>35.1</v>
      </c>
      <c r="Q285" s="41">
        <v>981</v>
      </c>
      <c r="R285" s="42">
        <f t="shared" si="70"/>
        <v>27.9487179487179</v>
      </c>
      <c r="S285" s="37">
        <v>6</v>
      </c>
      <c r="T285" s="37" t="s">
        <v>1434</v>
      </c>
      <c r="U285" s="43" t="str">
        <f t="shared" si="71"/>
        <v>15-may-2024</v>
      </c>
      <c r="V285" s="43">
        <f t="shared" si="72"/>
        <v>45427</v>
      </c>
      <c r="W285" s="44">
        <f t="array" ref="W285">_xlfn.IFS(TRIM(C285)="","",TRIM(V285)="","",TRUE,V285-C285)</f>
        <v>6</v>
      </c>
      <c r="X285" s="37">
        <f t="shared" si="73"/>
        <v>0</v>
      </c>
      <c r="Y285" s="37" t="s">
        <v>105</v>
      </c>
      <c r="Z285" s="37" t="str">
        <f t="shared" si="74"/>
        <v>delivered</v>
      </c>
      <c r="AA285" s="37" t="str">
        <f t="shared" si="75"/>
        <v>On Time</v>
      </c>
      <c r="AB285" s="37" t="str">
        <f t="shared" si="78"/>
        <v>0</v>
      </c>
      <c r="AC285" s="37">
        <f t="shared" si="79"/>
        <v>0</v>
      </c>
      <c r="AD285" s="45">
        <f t="shared" si="77"/>
        <v>0.511111111111111</v>
      </c>
      <c r="AE285" s="37">
        <v>3</v>
      </c>
      <c r="AF285" s="37" t="s">
        <v>131</v>
      </c>
      <c r="AG285" s="37" t="str">
        <f t="shared" si="76"/>
        <v>n</v>
      </c>
      <c r="AH285" s="37" t="str">
        <f t="array" ref="AH285">_xlfn.IFS(LOWER(AG285)="n","no",LOWER(AG285)="y","yes",TRUE,LOWER(AG285))</f>
        <v>no</v>
      </c>
      <c r="AI285" s="37" t="s">
        <v>4692</v>
      </c>
    </row>
    <row r="286" spans="1:35">
      <c r="A286" s="46" t="s">
        <v>1435</v>
      </c>
      <c r="B286" s="47" t="s">
        <v>4720</v>
      </c>
      <c r="C286" s="39">
        <f t="shared" si="64"/>
        <v>45377</v>
      </c>
      <c r="D286" s="48" t="s">
        <v>4704</v>
      </c>
      <c r="E286" s="37" t="str" cm="1">
        <f t="array" ref="E286">_xlfn.IFS(D286="delhi","north",D286="mumbai","west",D286="bengaluru","south",D286="chennai","south",D286="kolkata","east",TRUE,"west")</f>
        <v>west</v>
      </c>
      <c r="F286" s="46" t="s">
        <v>223</v>
      </c>
      <c r="G286" s="37" t="str">
        <f t="shared" si="65"/>
        <v>xpressbees</v>
      </c>
      <c r="H286" s="46" t="s">
        <v>99</v>
      </c>
      <c r="I286" s="37" t="str">
        <f t="shared" si="66"/>
        <v>air</v>
      </c>
      <c r="J286" s="46" t="s">
        <v>313</v>
      </c>
      <c r="K286" s="37" t="str">
        <f t="shared" si="67"/>
        <v>automotiveparts</v>
      </c>
      <c r="L286" s="46" t="s">
        <v>125</v>
      </c>
      <c r="M286" s="37" t="str">
        <f t="shared" si="68"/>
        <v>east</v>
      </c>
      <c r="N286" s="46" t="s">
        <v>91</v>
      </c>
      <c r="O286" s="41" t="str">
        <f t="shared" si="69"/>
        <v>Yes</v>
      </c>
      <c r="P286" s="49">
        <v>11.6</v>
      </c>
      <c r="Q286" s="49" t="s">
        <v>1437</v>
      </c>
      <c r="R286" s="42">
        <f t="shared" si="70"/>
        <v>45.7758620689655</v>
      </c>
      <c r="S286" s="46">
        <v>2</v>
      </c>
      <c r="T286" s="46" t="s">
        <v>1100</v>
      </c>
      <c r="U286" s="43" t="str">
        <f t="shared" si="71"/>
        <v>29-mar-2024</v>
      </c>
      <c r="V286" s="43">
        <f t="shared" si="72"/>
        <v>45380</v>
      </c>
      <c r="W286" s="44">
        <f t="array" ref="W286">_xlfn.IFS(TRIM(C286)="","",TRIM(V286)="","",TRUE,V286-C286)</f>
        <v>3</v>
      </c>
      <c r="X286" s="37">
        <f t="shared" si="73"/>
        <v>1</v>
      </c>
      <c r="Y286" s="46" t="s">
        <v>72</v>
      </c>
      <c r="Z286" s="37" t="str">
        <f t="shared" si="74"/>
        <v>delayed</v>
      </c>
      <c r="AA286" s="37" t="str">
        <f t="shared" si="75"/>
        <v>Late</v>
      </c>
      <c r="AB286" s="37" t="str">
        <f t="shared" si="78"/>
        <v>1</v>
      </c>
      <c r="AC286" s="37">
        <f t="shared" si="79"/>
        <v>1</v>
      </c>
      <c r="AD286" s="45">
        <f t="shared" si="77"/>
        <v>0.511503067484663</v>
      </c>
      <c r="AE286" s="46">
        <v>5</v>
      </c>
      <c r="AF286" s="46" t="s">
        <v>286</v>
      </c>
      <c r="AG286" s="37" t="str">
        <f t="shared" si="76"/>
        <v>yes</v>
      </c>
      <c r="AH286" s="37" t="str">
        <f t="array" ref="AH286">_xlfn.IFS(LOWER(AG286)="n","no",LOWER(AG286)="y","yes",TRUE,LOWER(AG286))</f>
        <v>yes</v>
      </c>
      <c r="AI286" s="46" t="s">
        <v>4692</v>
      </c>
    </row>
    <row r="287" spans="1:35">
      <c r="A287" s="37" t="s">
        <v>1438</v>
      </c>
      <c r="B287" s="38">
        <v>45470</v>
      </c>
      <c r="C287" s="39">
        <f t="shared" si="64"/>
        <v>45470</v>
      </c>
      <c r="D287" s="40" t="s">
        <v>366</v>
      </c>
      <c r="E287" s="37" t="str" cm="1">
        <f t="array" ref="E287">_xlfn.IFS(D287="delhi","north",D287="mumbai","west",D287="bengaluru","south",D287="chennai","south",D287="kolkata","east",TRUE,"west")</f>
        <v>east</v>
      </c>
      <c r="F287" s="37" t="s">
        <v>270</v>
      </c>
      <c r="G287" s="37" t="str">
        <f t="shared" si="65"/>
        <v>ecomexpress</v>
      </c>
      <c r="H287" s="37" t="s">
        <v>440</v>
      </c>
      <c r="I287" s="37" t="str">
        <f t="shared" si="66"/>
        <v>road</v>
      </c>
      <c r="J287" s="37" t="s">
        <v>214</v>
      </c>
      <c r="K287" s="37" t="str">
        <f t="shared" si="67"/>
        <v>grocery&amp;fmcg</v>
      </c>
      <c r="L287" s="37" t="s">
        <v>125</v>
      </c>
      <c r="M287" s="37" t="str">
        <f t="shared" si="68"/>
        <v>east</v>
      </c>
      <c r="N287" s="37" t="s">
        <v>396</v>
      </c>
      <c r="O287" s="41" t="str">
        <f t="shared" si="69"/>
        <v>Yes</v>
      </c>
      <c r="P287" s="41">
        <v>6.9</v>
      </c>
      <c r="Q287" s="41">
        <v>80</v>
      </c>
      <c r="R287" s="42">
        <f t="shared" si="70"/>
        <v>11.5942028985507</v>
      </c>
      <c r="S287" s="37">
        <v>6</v>
      </c>
      <c r="T287" s="37"/>
      <c r="U287" s="43" t="str">
        <f t="shared" si="71"/>
        <v/>
      </c>
      <c r="V287" s="43" t="e">
        <f t="shared" si="72"/>
        <v>#VALUE!</v>
      </c>
      <c r="W287" s="44" t="e">
        <f t="array" ref="W287">_xlfn.IFS(TRIM(C287)="","",TRIM(V287)="","",TRUE,V287-C287)</f>
        <v>#VALUE!</v>
      </c>
      <c r="X287" s="37" t="e">
        <f t="shared" si="73"/>
        <v>#VALUE!</v>
      </c>
      <c r="Y287" s="37" t="s">
        <v>1439</v>
      </c>
      <c r="Z287" s="37" t="str">
        <f t="shared" si="74"/>
        <v>in-transit</v>
      </c>
      <c r="AA287" s="37" t="str">
        <f t="shared" si="75"/>
        <v>N/A</v>
      </c>
      <c r="AB287" s="37" t="str">
        <f t="shared" si="78"/>
        <v>N/A</v>
      </c>
      <c r="AC287" s="37" t="e">
        <f t="shared" si="79"/>
        <v>#VALUE!</v>
      </c>
      <c r="AD287" s="45">
        <f t="shared" si="77"/>
        <v>0.511128165771297</v>
      </c>
      <c r="AE287" s="37"/>
      <c r="AF287" s="37" t="s">
        <v>131</v>
      </c>
      <c r="AG287" s="37" t="str">
        <f t="shared" si="76"/>
        <v>n</v>
      </c>
      <c r="AH287" s="37" t="str">
        <f t="array" ref="AH287">_xlfn.IFS(LOWER(AG287)="n","no",LOWER(AG287)="y","yes",TRUE,LOWER(AG287))</f>
        <v>no</v>
      </c>
      <c r="AI287" s="37" t="s">
        <v>4692</v>
      </c>
    </row>
    <row r="288" spans="1:35">
      <c r="A288" s="46" t="s">
        <v>1440</v>
      </c>
      <c r="B288" s="47">
        <v>45364</v>
      </c>
      <c r="C288" s="39">
        <f t="shared" si="64"/>
        <v>45364</v>
      </c>
      <c r="D288" s="48" t="s">
        <v>121</v>
      </c>
      <c r="E288" s="37" t="str" cm="1">
        <f t="array" ref="E288">_xlfn.IFS(D288="delhi","north",D288="mumbai","west",D288="bengaluru","south",D288="chennai","south",D288="kolkata","east",TRUE,"west")</f>
        <v>west</v>
      </c>
      <c r="F288" s="46" t="s">
        <v>204</v>
      </c>
      <c r="G288" s="37" t="str">
        <f t="shared" si="65"/>
        <v>delhivery</v>
      </c>
      <c r="H288" s="46" t="s">
        <v>176</v>
      </c>
      <c r="I288" s="37" t="str">
        <f t="shared" si="66"/>
        <v>road</v>
      </c>
      <c r="J288" s="46" t="s">
        <v>283</v>
      </c>
      <c r="K288" s="37" t="str">
        <f t="shared" si="67"/>
        <v>pharma</v>
      </c>
      <c r="L288" s="46" t="s">
        <v>418</v>
      </c>
      <c r="M288" s="37" t="str">
        <f t="shared" si="68"/>
        <v>south</v>
      </c>
      <c r="N288" s="46" t="s">
        <v>327</v>
      </c>
      <c r="O288" s="41" t="str">
        <f t="shared" si="69"/>
        <v>Yes</v>
      </c>
      <c r="P288" s="49" t="s">
        <v>1441</v>
      </c>
      <c r="Q288" s="49" t="s">
        <v>1442</v>
      </c>
      <c r="R288" s="42">
        <f t="shared" si="70"/>
        <v>121.428571428571</v>
      </c>
      <c r="S288" s="46">
        <v>8</v>
      </c>
      <c r="T288" s="46" t="s">
        <v>1443</v>
      </c>
      <c r="U288" s="43" t="str">
        <f t="shared" si="71"/>
        <v>22-mar-2024</v>
      </c>
      <c r="V288" s="43">
        <f t="shared" si="72"/>
        <v>45373</v>
      </c>
      <c r="W288" s="44">
        <f t="array" ref="W288">_xlfn.IFS(TRIM(C288)="","",TRIM(V288)="","",TRUE,V288-C288)</f>
        <v>9</v>
      </c>
      <c r="X288" s="37">
        <f t="shared" si="73"/>
        <v>1</v>
      </c>
      <c r="Y288" s="46" t="s">
        <v>200</v>
      </c>
      <c r="Z288" s="37" t="str">
        <f t="shared" si="74"/>
        <v>delayed</v>
      </c>
      <c r="AA288" s="37" t="str">
        <f t="shared" si="75"/>
        <v>Late</v>
      </c>
      <c r="AB288" s="37" t="str">
        <f t="shared" si="78"/>
        <v>1</v>
      </c>
      <c r="AC288" s="37">
        <f t="shared" si="79"/>
        <v>1</v>
      </c>
      <c r="AD288" s="45">
        <f t="shared" si="77"/>
        <v>0.511128165771297</v>
      </c>
      <c r="AE288" s="46">
        <v>4</v>
      </c>
      <c r="AF288" s="46" t="s">
        <v>79</v>
      </c>
      <c r="AG288" s="37" t="str">
        <f t="shared" si="76"/>
        <v>yes</v>
      </c>
      <c r="AH288" s="37" t="str">
        <f t="array" ref="AH288">_xlfn.IFS(LOWER(AG288)="n","no",LOWER(AG288)="y","yes",TRUE,LOWER(AG288))</f>
        <v>yes</v>
      </c>
      <c r="AI288" s="46" t="s">
        <v>4692</v>
      </c>
    </row>
    <row r="289" spans="1:35">
      <c r="A289" s="37" t="s">
        <v>1444</v>
      </c>
      <c r="B289" s="38" t="s">
        <v>4697</v>
      </c>
      <c r="C289" s="39">
        <f t="shared" si="64"/>
        <v>45414</v>
      </c>
      <c r="D289" s="40" t="s">
        <v>109</v>
      </c>
      <c r="E289" s="37" t="str" cm="1">
        <f t="array" ref="E289">_xlfn.IFS(D289="delhi","north",D289="mumbai","west",D289="bengaluru","south",D289="chennai","south",D289="kolkata","east",TRUE,"west")</f>
        <v>west</v>
      </c>
      <c r="F289" s="37" t="s">
        <v>270</v>
      </c>
      <c r="G289" s="37" t="str">
        <f t="shared" si="65"/>
        <v>ecomexpress</v>
      </c>
      <c r="H289" s="37" t="s">
        <v>147</v>
      </c>
      <c r="I289" s="37" t="str">
        <f t="shared" si="66"/>
        <v>road</v>
      </c>
      <c r="J289" s="37" t="s">
        <v>231</v>
      </c>
      <c r="K289" s="37" t="str">
        <f t="shared" si="67"/>
        <v>furniture</v>
      </c>
      <c r="L289" s="37" t="s">
        <v>92</v>
      </c>
      <c r="M289" s="37" t="str">
        <f t="shared" si="68"/>
        <v>east</v>
      </c>
      <c r="N289" s="37" t="s">
        <v>126</v>
      </c>
      <c r="O289" s="41" t="str">
        <f t="shared" si="69"/>
        <v>Yes</v>
      </c>
      <c r="P289" s="41" t="s">
        <v>1445</v>
      </c>
      <c r="Q289" s="41" t="s">
        <v>1446</v>
      </c>
      <c r="R289" s="42">
        <f t="shared" si="70"/>
        <v>16.154949784792</v>
      </c>
      <c r="S289" s="37">
        <v>8</v>
      </c>
      <c r="T289" s="37" t="s">
        <v>280</v>
      </c>
      <c r="U289" s="43" t="str">
        <f t="shared" si="71"/>
        <v>15/05/2024</v>
      </c>
      <c r="V289" s="43">
        <f t="shared" si="72"/>
        <v>45427</v>
      </c>
      <c r="W289" s="44">
        <f t="array" ref="W289">_xlfn.IFS(TRIM(C289)="","",TRIM(V289)="","",TRUE,V289-C289)</f>
        <v>13</v>
      </c>
      <c r="X289" s="37">
        <f t="shared" si="73"/>
        <v>5</v>
      </c>
      <c r="Y289" s="37" t="s">
        <v>337</v>
      </c>
      <c r="Z289" s="37" t="str">
        <f t="shared" si="74"/>
        <v>damaged</v>
      </c>
      <c r="AA289" s="37" t="str">
        <f t="shared" si="75"/>
        <v>Late</v>
      </c>
      <c r="AB289" s="37" t="str">
        <f t="shared" si="78"/>
        <v>1</v>
      </c>
      <c r="AC289" s="37">
        <f t="shared" si="79"/>
        <v>1</v>
      </c>
      <c r="AD289" s="45">
        <f t="shared" si="77"/>
        <v>0.510752688172043</v>
      </c>
      <c r="AE289" s="37"/>
      <c r="AF289" s="37" t="s">
        <v>191</v>
      </c>
      <c r="AG289" s="37" t="str">
        <f t="shared" si="76"/>
        <v>no</v>
      </c>
      <c r="AH289" s="37" t="str">
        <f t="array" ref="AH289">_xlfn.IFS(LOWER(AG289)="n","no",LOWER(AG289)="y","yes",TRUE,LOWER(AG289))</f>
        <v>no</v>
      </c>
      <c r="AI289" s="37" t="s">
        <v>132</v>
      </c>
    </row>
    <row r="290" spans="1:35">
      <c r="A290" s="46" t="s">
        <v>1447</v>
      </c>
      <c r="B290" s="47" t="s">
        <v>4732</v>
      </c>
      <c r="C290" s="39">
        <f t="shared" si="64"/>
        <v>45462</v>
      </c>
      <c r="D290" s="48" t="s">
        <v>4695</v>
      </c>
      <c r="E290" s="37" t="str" cm="1">
        <f t="array" ref="E290">_xlfn.IFS(D290="delhi","north",D290="mumbai","west",D290="bengaluru","south",D290="chennai","south",D290="kolkata","east",TRUE,"west")</f>
        <v>west</v>
      </c>
      <c r="F290" s="46" t="s">
        <v>312</v>
      </c>
      <c r="G290" s="37" t="str">
        <f t="shared" si="65"/>
        <v>bluedart</v>
      </c>
      <c r="H290" s="46" t="s">
        <v>440</v>
      </c>
      <c r="I290" s="37" t="str">
        <f t="shared" si="66"/>
        <v>road</v>
      </c>
      <c r="J290" s="46" t="s">
        <v>100</v>
      </c>
      <c r="K290" s="37" t="str">
        <f t="shared" si="67"/>
        <v>electronics</v>
      </c>
      <c r="L290" s="46" t="s">
        <v>87</v>
      </c>
      <c r="M290" s="37" t="str">
        <f t="shared" si="68"/>
        <v>north</v>
      </c>
      <c r="N290" s="46" t="s">
        <v>32</v>
      </c>
      <c r="O290" s="41" t="str">
        <f t="shared" si="69"/>
        <v>Yes</v>
      </c>
      <c r="P290" s="49">
        <v>13.1</v>
      </c>
      <c r="Q290" s="49">
        <v>327</v>
      </c>
      <c r="R290" s="42">
        <f t="shared" si="70"/>
        <v>24.9618320610687</v>
      </c>
      <c r="S290" s="46">
        <v>8</v>
      </c>
      <c r="T290" s="46" t="s">
        <v>1450</v>
      </c>
      <c r="U290" s="43" t="str">
        <f t="shared" si="71"/>
        <v>2024-06-28</v>
      </c>
      <c r="V290" s="43">
        <f t="shared" si="72"/>
        <v>45471</v>
      </c>
      <c r="W290" s="44">
        <f t="array" ref="W290">_xlfn.IFS(TRIM(C290)="","",TRIM(V290)="","",TRUE,V290-C290)</f>
        <v>9</v>
      </c>
      <c r="X290" s="37">
        <f t="shared" si="73"/>
        <v>1</v>
      </c>
      <c r="Y290" s="46" t="s">
        <v>200</v>
      </c>
      <c r="Z290" s="37" t="str">
        <f t="shared" si="74"/>
        <v>delayed</v>
      </c>
      <c r="AA290" s="37" t="str">
        <f t="shared" si="75"/>
        <v>Late</v>
      </c>
      <c r="AB290" s="37" t="str">
        <f t="shared" si="78"/>
        <v>1</v>
      </c>
      <c r="AC290" s="37">
        <f t="shared" si="79"/>
        <v>1</v>
      </c>
      <c r="AD290" s="45">
        <f t="shared" si="77"/>
        <v>0.510376633358955</v>
      </c>
      <c r="AE290" s="46">
        <v>3</v>
      </c>
      <c r="AF290" s="46" t="s">
        <v>286</v>
      </c>
      <c r="AG290" s="37" t="str">
        <f t="shared" si="76"/>
        <v>yes</v>
      </c>
      <c r="AH290" s="37" t="str">
        <f t="array" ref="AH290">_xlfn.IFS(LOWER(AG290)="n","no",LOWER(AG290)="y","yes",TRUE,LOWER(AG290))</f>
        <v>yes</v>
      </c>
      <c r="AI290" s="46" t="s">
        <v>4692</v>
      </c>
    </row>
    <row r="291" spans="1:35">
      <c r="A291" s="37" t="s">
        <v>1451</v>
      </c>
      <c r="B291" s="38" t="s">
        <v>4753</v>
      </c>
      <c r="C291" s="39">
        <f t="shared" si="64"/>
        <v>45397</v>
      </c>
      <c r="D291" s="40" t="s">
        <v>121</v>
      </c>
      <c r="E291" s="37" t="str" cm="1">
        <f t="array" ref="E291">_xlfn.IFS(D291="delhi","north",D291="mumbai","west",D291="bengaluru","south",D291="chennai","south",D291="kolkata","east",TRUE,"west")</f>
        <v>west</v>
      </c>
      <c r="F291" s="37" t="s">
        <v>194</v>
      </c>
      <c r="G291" s="37" t="str">
        <f t="shared" si="65"/>
        <v>xpressbees</v>
      </c>
      <c r="H291" s="37" t="s">
        <v>110</v>
      </c>
      <c r="I291" s="37" t="str">
        <f t="shared" si="66"/>
        <v>surface</v>
      </c>
      <c r="J291" s="37" t="s">
        <v>319</v>
      </c>
      <c r="K291" s="37" t="str">
        <f t="shared" si="67"/>
        <v>electronics</v>
      </c>
      <c r="L291" s="37" t="s">
        <v>264</v>
      </c>
      <c r="M291" s="37" t="str">
        <f t="shared" si="68"/>
        <v>west</v>
      </c>
      <c r="N291" s="37" t="s">
        <v>278</v>
      </c>
      <c r="O291" s="41" t="str">
        <f t="shared" si="69"/>
        <v>Yes</v>
      </c>
      <c r="P291" s="41">
        <v>14.1</v>
      </c>
      <c r="Q291" s="41">
        <v>454</v>
      </c>
      <c r="R291" s="42">
        <f t="shared" si="70"/>
        <v>32.1985815602837</v>
      </c>
      <c r="S291" s="37">
        <v>6</v>
      </c>
      <c r="T291" s="37" t="s">
        <v>1454</v>
      </c>
      <c r="U291" s="43" t="str">
        <f t="shared" si="71"/>
        <v>2024-04-20</v>
      </c>
      <c r="V291" s="43">
        <f t="shared" si="72"/>
        <v>45402</v>
      </c>
      <c r="W291" s="44">
        <f t="array" ref="W291">_xlfn.IFS(TRIM(C291)="","",TRIM(V291)="","",TRUE,V291-C291)</f>
        <v>5</v>
      </c>
      <c r="X291" s="37">
        <f t="shared" si="73"/>
        <v>-1</v>
      </c>
      <c r="Y291" s="37" t="s">
        <v>105</v>
      </c>
      <c r="Z291" s="37" t="str">
        <f t="shared" si="74"/>
        <v>delivered</v>
      </c>
      <c r="AA291" s="37" t="str">
        <f t="shared" si="75"/>
        <v>On Time</v>
      </c>
      <c r="AB291" s="37" t="str">
        <f t="shared" si="78"/>
        <v>0</v>
      </c>
      <c r="AC291" s="37">
        <f t="shared" si="79"/>
        <v>0</v>
      </c>
      <c r="AD291" s="45">
        <f t="shared" si="77"/>
        <v>0.51</v>
      </c>
      <c r="AE291" s="37">
        <v>5</v>
      </c>
      <c r="AF291" s="37" t="s">
        <v>131</v>
      </c>
      <c r="AG291" s="37" t="str">
        <f t="shared" si="76"/>
        <v>n</v>
      </c>
      <c r="AH291" s="37" t="str">
        <f t="array" ref="AH291">_xlfn.IFS(LOWER(AG291)="n","no",LOWER(AG291)="y","yes",TRUE,LOWER(AG291))</f>
        <v>no</v>
      </c>
      <c r="AI291" s="37" t="s">
        <v>4692</v>
      </c>
    </row>
    <row r="292" spans="1:35">
      <c r="A292" s="46" t="s">
        <v>1455</v>
      </c>
      <c r="B292" s="47">
        <v>45390</v>
      </c>
      <c r="C292" s="39">
        <f t="shared" si="64"/>
        <v>45390</v>
      </c>
      <c r="D292" s="48" t="s">
        <v>340</v>
      </c>
      <c r="E292" s="37" t="str" cm="1">
        <f t="array" ref="E292">_xlfn.IFS(D292="delhi","north",D292="mumbai","west",D292="bengaluru","south",D292="chennai","south",D292="kolkata","east",TRUE,"west")</f>
        <v>north</v>
      </c>
      <c r="F292" s="46" t="s">
        <v>184</v>
      </c>
      <c r="G292" s="37" t="str">
        <f t="shared" si="65"/>
        <v>ecomexpress</v>
      </c>
      <c r="H292" s="46" t="s">
        <v>176</v>
      </c>
      <c r="I292" s="37" t="str">
        <f t="shared" si="66"/>
        <v>road</v>
      </c>
      <c r="J292" s="46" t="s">
        <v>301</v>
      </c>
      <c r="K292" s="37" t="str">
        <f t="shared" si="67"/>
        <v>furniture</v>
      </c>
      <c r="L292" s="46" t="s">
        <v>334</v>
      </c>
      <c r="M292" s="37" t="str">
        <f t="shared" si="68"/>
        <v>north</v>
      </c>
      <c r="N292" s="46" t="s">
        <v>113</v>
      </c>
      <c r="O292" s="41" t="str">
        <f t="shared" si="69"/>
        <v>Yes</v>
      </c>
      <c r="P292" s="49">
        <v>50</v>
      </c>
      <c r="Q292" s="49" t="s">
        <v>1458</v>
      </c>
      <c r="R292" s="42">
        <f t="shared" si="70"/>
        <v>14.04</v>
      </c>
      <c r="S292" s="46">
        <v>6</v>
      </c>
      <c r="T292" s="46" t="s">
        <v>1459</v>
      </c>
      <c r="U292" s="43" t="str">
        <f t="shared" si="71"/>
        <v>15/04/2024</v>
      </c>
      <c r="V292" s="43">
        <f t="shared" si="72"/>
        <v>45397</v>
      </c>
      <c r="W292" s="44">
        <f t="array" ref="W292">_xlfn.IFS(TRIM(C292)="","",TRIM(V292)="","",TRUE,V292-C292)</f>
        <v>7</v>
      </c>
      <c r="X292" s="37">
        <f t="shared" si="73"/>
        <v>1</v>
      </c>
      <c r="Y292" s="46" t="s">
        <v>172</v>
      </c>
      <c r="Z292" s="37" t="str">
        <f t="shared" si="74"/>
        <v>delayed</v>
      </c>
      <c r="AA292" s="37" t="str">
        <f t="shared" si="75"/>
        <v>Late</v>
      </c>
      <c r="AB292" s="37" t="str">
        <f t="shared" si="78"/>
        <v>1</v>
      </c>
      <c r="AC292" s="37">
        <f t="shared" si="79"/>
        <v>1</v>
      </c>
      <c r="AD292" s="45">
        <f t="shared" si="77"/>
        <v>0.510392609699769</v>
      </c>
      <c r="AE292" s="46">
        <v>5</v>
      </c>
      <c r="AF292" s="46" t="s">
        <v>191</v>
      </c>
      <c r="AG292" s="37" t="str">
        <f t="shared" si="76"/>
        <v>no</v>
      </c>
      <c r="AH292" s="37" t="str">
        <f t="array" ref="AH292">_xlfn.IFS(LOWER(AG292)="n","no",LOWER(AG292)="y","yes",TRUE,LOWER(AG292))</f>
        <v>no</v>
      </c>
      <c r="AI292" s="46" t="s">
        <v>4692</v>
      </c>
    </row>
    <row r="293" spans="1:35">
      <c r="A293" s="37" t="s">
        <v>1460</v>
      </c>
      <c r="B293" s="38">
        <v>45296</v>
      </c>
      <c r="C293" s="39">
        <f t="shared" si="64"/>
        <v>45296</v>
      </c>
      <c r="D293" s="40" t="s">
        <v>109</v>
      </c>
      <c r="E293" s="37" t="str" cm="1">
        <f t="array" ref="E293">_xlfn.IFS(D293="delhi","north",D293="mumbai","west",D293="bengaluru","south",D293="chennai","south",D293="kolkata","east",TRUE,"west")</f>
        <v>west</v>
      </c>
      <c r="F293" s="37" t="s">
        <v>352</v>
      </c>
      <c r="G293" s="37" t="str">
        <f t="shared" si="65"/>
        <v>delhivery</v>
      </c>
      <c r="H293" s="37" t="s">
        <v>176</v>
      </c>
      <c r="I293" s="37" t="str">
        <f t="shared" si="66"/>
        <v>road</v>
      </c>
      <c r="J293" s="37" t="s">
        <v>313</v>
      </c>
      <c r="K293" s="37" t="str">
        <f t="shared" si="67"/>
        <v>automotiveparts</v>
      </c>
      <c r="L293" s="37" t="s">
        <v>125</v>
      </c>
      <c r="M293" s="37" t="str">
        <f t="shared" si="68"/>
        <v>east</v>
      </c>
      <c r="N293" s="37" t="s">
        <v>396</v>
      </c>
      <c r="O293" s="41" t="str">
        <f t="shared" si="69"/>
        <v>Yes</v>
      </c>
      <c r="P293" s="41">
        <v>39.5</v>
      </c>
      <c r="Q293" s="41">
        <v>758</v>
      </c>
      <c r="R293" s="42">
        <f t="shared" si="70"/>
        <v>19.1898734177215</v>
      </c>
      <c r="S293" s="37">
        <v>8</v>
      </c>
      <c r="T293" s="37" t="s">
        <v>579</v>
      </c>
      <c r="U293" s="43" t="str">
        <f t="shared" si="71"/>
        <v>13-jan-2024</v>
      </c>
      <c r="V293" s="43">
        <f t="shared" si="72"/>
        <v>45304</v>
      </c>
      <c r="W293" s="44">
        <f t="array" ref="W293">_xlfn.IFS(TRIM(C293)="","",TRIM(V293)="","",TRUE,V293-C293)</f>
        <v>8</v>
      </c>
      <c r="X293" s="37">
        <f t="shared" si="73"/>
        <v>0</v>
      </c>
      <c r="Y293" s="37" t="s">
        <v>817</v>
      </c>
      <c r="Z293" s="37" t="str">
        <f t="shared" si="74"/>
        <v>returned</v>
      </c>
      <c r="AA293" s="37" t="str">
        <f t="shared" si="75"/>
        <v>On Time</v>
      </c>
      <c r="AB293" s="37" t="str">
        <f t="shared" si="78"/>
        <v>0</v>
      </c>
      <c r="AC293" s="37">
        <f t="shared" si="79"/>
        <v>0</v>
      </c>
      <c r="AD293" s="45">
        <f t="shared" si="77"/>
        <v>0.510015408320493</v>
      </c>
      <c r="AE293" s="37"/>
      <c r="AF293" s="37" t="s">
        <v>181</v>
      </c>
      <c r="AG293" s="37" t="str">
        <f t="shared" si="76"/>
        <v>y</v>
      </c>
      <c r="AH293" s="37" t="str">
        <f t="array" ref="AH293">_xlfn.IFS(LOWER(AG293)="n","no",LOWER(AG293)="y","yes",TRUE,LOWER(AG293))</f>
        <v>yes</v>
      </c>
      <c r="AI293" s="37" t="s">
        <v>83</v>
      </c>
    </row>
    <row r="294" spans="1:35">
      <c r="A294" s="46" t="s">
        <v>1463</v>
      </c>
      <c r="B294" s="47">
        <v>45460</v>
      </c>
      <c r="C294" s="39">
        <f t="shared" si="64"/>
        <v>45460</v>
      </c>
      <c r="D294" s="48" t="s">
        <v>4699</v>
      </c>
      <c r="E294" s="37" t="str" cm="1">
        <f t="array" ref="E294">_xlfn.IFS(D294="delhi","north",D294="mumbai","west",D294="bengaluru","south",D294="chennai","south",D294="kolkata","east",TRUE,"west")</f>
        <v>west</v>
      </c>
      <c r="F294" s="46" t="s">
        <v>204</v>
      </c>
      <c r="G294" s="37" t="str">
        <f t="shared" si="65"/>
        <v>delhivery</v>
      </c>
      <c r="H294" s="46" t="s">
        <v>157</v>
      </c>
      <c r="I294" s="37" t="str">
        <f t="shared" si="66"/>
        <v>surface</v>
      </c>
      <c r="J294" s="46" t="s">
        <v>186</v>
      </c>
      <c r="K294" s="37" t="str">
        <f t="shared" si="67"/>
        <v>automotiveparts</v>
      </c>
      <c r="L294" s="46" t="s">
        <v>302</v>
      </c>
      <c r="M294" s="37" t="str">
        <f t="shared" si="68"/>
        <v>east</v>
      </c>
      <c r="N294" s="46" t="s">
        <v>91</v>
      </c>
      <c r="O294" s="41" t="str">
        <f t="shared" si="69"/>
        <v>Yes</v>
      </c>
      <c r="P294" s="49" t="s">
        <v>426</v>
      </c>
      <c r="Q294" s="49">
        <v>836</v>
      </c>
      <c r="R294" s="42">
        <f t="shared" si="70"/>
        <v>27.7740863787375</v>
      </c>
      <c r="S294" s="46">
        <v>6</v>
      </c>
      <c r="T294" s="46" t="s">
        <v>1117</v>
      </c>
      <c r="U294" s="43" t="str">
        <f t="shared" si="71"/>
        <v>22-jun-2024</v>
      </c>
      <c r="V294" s="43">
        <f t="shared" si="72"/>
        <v>45465</v>
      </c>
      <c r="W294" s="44">
        <f t="array" ref="W294">_xlfn.IFS(TRIM(C294)="","",TRIM(V294)="","",TRUE,V294-C294)</f>
        <v>5</v>
      </c>
      <c r="X294" s="37">
        <f t="shared" si="73"/>
        <v>-1</v>
      </c>
      <c r="Y294" s="46" t="s">
        <v>105</v>
      </c>
      <c r="Z294" s="37" t="str">
        <f t="shared" si="74"/>
        <v>delivered</v>
      </c>
      <c r="AA294" s="37" t="str">
        <f t="shared" si="75"/>
        <v>On Time</v>
      </c>
      <c r="AB294" s="37" t="str">
        <f t="shared" si="78"/>
        <v>0</v>
      </c>
      <c r="AC294" s="37">
        <f t="shared" si="79"/>
        <v>0</v>
      </c>
      <c r="AD294" s="45">
        <f t="shared" si="77"/>
        <v>0.510408635312259</v>
      </c>
      <c r="AE294" s="46">
        <v>4</v>
      </c>
      <c r="AF294" s="46" t="s">
        <v>131</v>
      </c>
      <c r="AG294" s="37" t="str">
        <f t="shared" si="76"/>
        <v>n</v>
      </c>
      <c r="AH294" s="37" t="str">
        <f t="array" ref="AH294">_xlfn.IFS(LOWER(AG294)="n","no",LOWER(AG294)="y","yes",TRUE,LOWER(AG294))</f>
        <v>no</v>
      </c>
      <c r="AI294" s="46" t="s">
        <v>4692</v>
      </c>
    </row>
    <row r="295" spans="1:35">
      <c r="A295" s="37" t="s">
        <v>1465</v>
      </c>
      <c r="B295" s="38">
        <v>45434</v>
      </c>
      <c r="C295" s="39">
        <f t="shared" si="64"/>
        <v>45434</v>
      </c>
      <c r="D295" s="40" t="s">
        <v>340</v>
      </c>
      <c r="E295" s="37" t="str" cm="1">
        <f t="array" ref="E295">_xlfn.IFS(D295="delhi","north",D295="mumbai","west",D295="bengaluru","south",D295="chennai","south",D295="kolkata","east",TRUE,"west")</f>
        <v>north</v>
      </c>
      <c r="F295" s="37" t="s">
        <v>919</v>
      </c>
      <c r="G295" s="37" t="str">
        <f t="shared" si="65"/>
        <v>xpressbees</v>
      </c>
      <c r="H295" s="37" t="s">
        <v>147</v>
      </c>
      <c r="I295" s="37" t="str">
        <f t="shared" si="66"/>
        <v>road</v>
      </c>
      <c r="J295" s="37" t="s">
        <v>231</v>
      </c>
      <c r="K295" s="37" t="str">
        <f t="shared" si="67"/>
        <v>furniture</v>
      </c>
      <c r="L295" s="37" t="s">
        <v>334</v>
      </c>
      <c r="M295" s="37" t="str">
        <f t="shared" si="68"/>
        <v>north</v>
      </c>
      <c r="N295" s="37" t="s">
        <v>32</v>
      </c>
      <c r="O295" s="41" t="str">
        <f t="shared" si="69"/>
        <v>Yes</v>
      </c>
      <c r="P295" s="41">
        <v>34.4</v>
      </c>
      <c r="Q295" s="41">
        <v>523</v>
      </c>
      <c r="R295" s="42">
        <f t="shared" si="70"/>
        <v>15.203488372093</v>
      </c>
      <c r="S295" s="37">
        <v>6</v>
      </c>
      <c r="T295" s="37" t="s">
        <v>1468</v>
      </c>
      <c r="U295" s="43" t="str">
        <f t="shared" si="71"/>
        <v>29/05/2024</v>
      </c>
      <c r="V295" s="43">
        <f t="shared" si="72"/>
        <v>45441</v>
      </c>
      <c r="W295" s="44">
        <f t="array" ref="W295">_xlfn.IFS(TRIM(C295)="","",TRIM(V295)="","",TRUE,V295-C295)</f>
        <v>7</v>
      </c>
      <c r="X295" s="37">
        <f t="shared" si="73"/>
        <v>1</v>
      </c>
      <c r="Y295" s="37" t="s">
        <v>200</v>
      </c>
      <c r="Z295" s="37" t="str">
        <f t="shared" si="74"/>
        <v>delayed</v>
      </c>
      <c r="AA295" s="37" t="str">
        <f t="shared" si="75"/>
        <v>Late</v>
      </c>
      <c r="AB295" s="37" t="str">
        <f t="shared" si="78"/>
        <v>1</v>
      </c>
      <c r="AC295" s="37">
        <f t="shared" si="79"/>
        <v>1</v>
      </c>
      <c r="AD295" s="45">
        <f t="shared" si="77"/>
        <v>0.510802469135803</v>
      </c>
      <c r="AE295" s="37">
        <v>2</v>
      </c>
      <c r="AF295" s="37" t="s">
        <v>191</v>
      </c>
      <c r="AG295" s="37" t="str">
        <f t="shared" si="76"/>
        <v>no</v>
      </c>
      <c r="AH295" s="37" t="str">
        <f t="array" ref="AH295">_xlfn.IFS(LOWER(AG295)="n","no",LOWER(AG295)="y","yes",TRUE,LOWER(AG295))</f>
        <v>no</v>
      </c>
      <c r="AI295" s="37" t="s">
        <v>4692</v>
      </c>
    </row>
    <row r="296" spans="1:35">
      <c r="A296" s="46" t="s">
        <v>1469</v>
      </c>
      <c r="B296" s="47">
        <v>45407</v>
      </c>
      <c r="C296" s="39">
        <f t="shared" si="64"/>
        <v>45407</v>
      </c>
      <c r="D296" s="48" t="s">
        <v>4699</v>
      </c>
      <c r="E296" s="37" t="str" cm="1">
        <f t="array" ref="E296">_xlfn.IFS(D296="delhi","north",D296="mumbai","west",D296="bengaluru","south",D296="chennai","south",D296="kolkata","east",TRUE,"west")</f>
        <v>west</v>
      </c>
      <c r="F296" s="46" t="s">
        <v>175</v>
      </c>
      <c r="G296" s="37" t="str">
        <f t="shared" si="65"/>
        <v>ecomexpress</v>
      </c>
      <c r="H296" s="46" t="s">
        <v>185</v>
      </c>
      <c r="I296" s="37" t="str">
        <f t="shared" si="66"/>
        <v>surface</v>
      </c>
      <c r="J296" s="46" t="s">
        <v>319</v>
      </c>
      <c r="K296" s="37" t="str">
        <f t="shared" si="67"/>
        <v>electronics</v>
      </c>
      <c r="L296" s="46" t="s">
        <v>346</v>
      </c>
      <c r="M296" s="37" t="str">
        <f t="shared" si="68"/>
        <v>north</v>
      </c>
      <c r="N296" s="46" t="s">
        <v>113</v>
      </c>
      <c r="O296" s="41" t="str">
        <f t="shared" si="69"/>
        <v>Yes</v>
      </c>
      <c r="P296" s="49">
        <v>6.2</v>
      </c>
      <c r="Q296" s="49">
        <v>283</v>
      </c>
      <c r="R296" s="42">
        <f t="shared" si="70"/>
        <v>45.6451612903226</v>
      </c>
      <c r="S296" s="46">
        <v>6</v>
      </c>
      <c r="T296" s="46" t="s">
        <v>461</v>
      </c>
      <c r="U296" s="43" t="str">
        <f t="shared" si="71"/>
        <v>30/04/2024</v>
      </c>
      <c r="V296" s="43">
        <f t="shared" si="72"/>
        <v>45412</v>
      </c>
      <c r="W296" s="44">
        <f t="array" ref="W296">_xlfn.IFS(TRIM(C296)="","",TRIM(V296)="","",TRUE,V296-C296)</f>
        <v>5</v>
      </c>
      <c r="X296" s="37">
        <f t="shared" si="73"/>
        <v>-1</v>
      </c>
      <c r="Y296" s="46" t="s">
        <v>105</v>
      </c>
      <c r="Z296" s="37" t="str">
        <f t="shared" si="74"/>
        <v>delivered</v>
      </c>
      <c r="AA296" s="37" t="str">
        <f t="shared" si="75"/>
        <v>On Time</v>
      </c>
      <c r="AB296" s="37" t="str">
        <f t="shared" si="78"/>
        <v>0</v>
      </c>
      <c r="AC296" s="37">
        <f t="shared" si="79"/>
        <v>0</v>
      </c>
      <c r="AD296" s="45">
        <f t="shared" si="77"/>
        <v>0.51042471042471</v>
      </c>
      <c r="AE296" s="46">
        <v>5</v>
      </c>
      <c r="AF296" s="46" t="s">
        <v>118</v>
      </c>
      <c r="AG296" s="37" t="str">
        <f t="shared" si="76"/>
        <v>no</v>
      </c>
      <c r="AH296" s="37" t="str">
        <f t="array" ref="AH296">_xlfn.IFS(LOWER(AG296)="n","no",LOWER(AG296)="y","yes",TRUE,LOWER(AG296))</f>
        <v>no</v>
      </c>
      <c r="AI296" s="46" t="s">
        <v>4692</v>
      </c>
    </row>
    <row r="297" spans="1:35">
      <c r="A297" s="37" t="s">
        <v>1471</v>
      </c>
      <c r="B297" s="38">
        <v>45293</v>
      </c>
      <c r="C297" s="39">
        <f t="shared" si="64"/>
        <v>45293</v>
      </c>
      <c r="D297" s="40" t="s">
        <v>633</v>
      </c>
      <c r="E297" s="37" t="str" cm="1">
        <f t="array" ref="E297">_xlfn.IFS(D297="delhi","north",D297="mumbai","west",D297="bengaluru","south",D297="chennai","south",D297="kolkata","east",TRUE,"west")</f>
        <v>south</v>
      </c>
      <c r="F297" s="37" t="s">
        <v>146</v>
      </c>
      <c r="G297" s="37" t="str">
        <f t="shared" si="65"/>
        <v>ecomexpress</v>
      </c>
      <c r="H297" s="37" t="s">
        <v>325</v>
      </c>
      <c r="I297" s="37" t="str">
        <f t="shared" si="66"/>
        <v>air</v>
      </c>
      <c r="J297" s="37" t="s">
        <v>612</v>
      </c>
      <c r="K297" s="37" t="str">
        <f t="shared" si="67"/>
        <v>grocery&amp;fmcg</v>
      </c>
      <c r="L297" s="37" t="s">
        <v>418</v>
      </c>
      <c r="M297" s="37" t="str">
        <f t="shared" si="68"/>
        <v>south</v>
      </c>
      <c r="N297" s="37" t="s">
        <v>327</v>
      </c>
      <c r="O297" s="41" t="str">
        <f t="shared" si="69"/>
        <v>Yes</v>
      </c>
      <c r="P297" s="41">
        <v>3.9</v>
      </c>
      <c r="Q297" s="41">
        <v>185</v>
      </c>
      <c r="R297" s="42">
        <f t="shared" si="70"/>
        <v>47.4358974358974</v>
      </c>
      <c r="S297" s="37">
        <v>2</v>
      </c>
      <c r="T297" s="37" t="s">
        <v>848</v>
      </c>
      <c r="U297" s="43" t="str">
        <f t="shared" si="71"/>
        <v>05-jan-2024</v>
      </c>
      <c r="V297" s="43">
        <f t="shared" si="72"/>
        <v>45296</v>
      </c>
      <c r="W297" s="44">
        <f t="array" ref="W297">_xlfn.IFS(TRIM(C297)="","",TRIM(V297)="","",TRUE,V297-C297)</f>
        <v>3</v>
      </c>
      <c r="X297" s="37">
        <f t="shared" si="73"/>
        <v>1</v>
      </c>
      <c r="Y297" s="37" t="s">
        <v>72</v>
      </c>
      <c r="Z297" s="37" t="str">
        <f t="shared" si="74"/>
        <v>delayed</v>
      </c>
      <c r="AA297" s="37" t="str">
        <f t="shared" si="75"/>
        <v>Late</v>
      </c>
      <c r="AB297" s="37" t="str">
        <f t="shared" si="78"/>
        <v>1</v>
      </c>
      <c r="AC297" s="37">
        <f t="shared" si="79"/>
        <v>1</v>
      </c>
      <c r="AD297" s="45">
        <f t="shared" si="77"/>
        <v>0.510819165378671</v>
      </c>
      <c r="AE297" s="37">
        <v>1</v>
      </c>
      <c r="AF297" s="37" t="s">
        <v>79</v>
      </c>
      <c r="AG297" s="37" t="str">
        <f t="shared" si="76"/>
        <v>yes</v>
      </c>
      <c r="AH297" s="37" t="str">
        <f t="array" ref="AH297">_xlfn.IFS(LOWER(AG297)="n","no",LOWER(AG297)="y","yes",TRUE,LOWER(AG297))</f>
        <v>yes</v>
      </c>
      <c r="AI297" s="37" t="s">
        <v>4692</v>
      </c>
    </row>
    <row r="298" spans="1:35">
      <c r="A298" s="46" t="s">
        <v>1474</v>
      </c>
      <c r="B298" s="47" t="s">
        <v>4763</v>
      </c>
      <c r="C298" s="39">
        <f t="shared" si="64"/>
        <v>45299</v>
      </c>
      <c r="D298" s="48" t="s">
        <v>424</v>
      </c>
      <c r="E298" s="37" t="str" cm="1">
        <f t="array" ref="E298">_xlfn.IFS(D298="delhi","north",D298="mumbai","west",D298="bengaluru","south",D298="chennai","south",D298="kolkata","east",TRUE,"west")</f>
        <v>south</v>
      </c>
      <c r="F298" s="46" t="s">
        <v>352</v>
      </c>
      <c r="G298" s="37" t="str">
        <f t="shared" si="65"/>
        <v>delhivery</v>
      </c>
      <c r="H298" s="46" t="s">
        <v>440</v>
      </c>
      <c r="I298" s="37" t="str">
        <f t="shared" si="66"/>
        <v>road</v>
      </c>
      <c r="J298" s="46" t="s">
        <v>47</v>
      </c>
      <c r="K298" s="37" t="str">
        <f t="shared" si="67"/>
        <v>electronics</v>
      </c>
      <c r="L298" s="46" t="s">
        <v>257</v>
      </c>
      <c r="M298" s="37" t="str">
        <f t="shared" si="68"/>
        <v>west</v>
      </c>
      <c r="N298" s="46" t="s">
        <v>187</v>
      </c>
      <c r="O298" s="41" t="str">
        <f t="shared" si="69"/>
        <v>Yes</v>
      </c>
      <c r="P298" s="49" t="s">
        <v>1476</v>
      </c>
      <c r="Q298" s="49">
        <v>339</v>
      </c>
      <c r="R298" s="42">
        <f t="shared" si="70"/>
        <v>33.9</v>
      </c>
      <c r="S298" s="46">
        <v>8</v>
      </c>
      <c r="T298" s="46" t="s">
        <v>415</v>
      </c>
      <c r="U298" s="43" t="str">
        <f t="shared" si="71"/>
        <v>15/01/2024</v>
      </c>
      <c r="V298" s="43">
        <f t="shared" si="72"/>
        <v>45306</v>
      </c>
      <c r="W298" s="44">
        <f t="array" ref="W298">_xlfn.IFS(TRIM(C298)="","",TRIM(V298)="","",TRUE,V298-C298)</f>
        <v>7</v>
      </c>
      <c r="X298" s="37">
        <f t="shared" si="73"/>
        <v>-1</v>
      </c>
      <c r="Y298" s="46" t="s">
        <v>624</v>
      </c>
      <c r="Z298" s="37" t="str">
        <f t="shared" si="74"/>
        <v>returned</v>
      </c>
      <c r="AA298" s="37" t="str">
        <f t="shared" si="75"/>
        <v>On Time</v>
      </c>
      <c r="AB298" s="37" t="str">
        <f t="shared" si="78"/>
        <v>0</v>
      </c>
      <c r="AC298" s="37">
        <f t="shared" si="79"/>
        <v>0</v>
      </c>
      <c r="AD298" s="45">
        <f t="shared" si="77"/>
        <v>0.510440835266821</v>
      </c>
      <c r="AE298" s="46"/>
      <c r="AF298" s="46" t="s">
        <v>286</v>
      </c>
      <c r="AG298" s="37" t="str">
        <f t="shared" si="76"/>
        <v>yes</v>
      </c>
      <c r="AH298" s="37" t="str">
        <f t="array" ref="AH298">_xlfn.IFS(LOWER(AG298)="n","no",LOWER(AG298)="y","yes",TRUE,LOWER(AG298))</f>
        <v>yes</v>
      </c>
      <c r="AI298" s="46" t="s">
        <v>1478</v>
      </c>
    </row>
    <row r="299" spans="1:35">
      <c r="A299" s="37" t="s">
        <v>1479</v>
      </c>
      <c r="B299" s="38" t="s">
        <v>4764</v>
      </c>
      <c r="C299" s="39">
        <f t="shared" si="64"/>
        <v>45390</v>
      </c>
      <c r="D299" s="40" t="s">
        <v>212</v>
      </c>
      <c r="E299" s="37" t="str" cm="1">
        <f t="array" ref="E299">_xlfn.IFS(D299="delhi","north",D299="mumbai","west",D299="bengaluru","south",D299="chennai","south",D299="kolkata","east",TRUE,"west")</f>
        <v>west</v>
      </c>
      <c r="F299" s="37" t="s">
        <v>146</v>
      </c>
      <c r="G299" s="37" t="str">
        <f t="shared" si="65"/>
        <v>ecomexpress</v>
      </c>
      <c r="H299" s="37" t="s">
        <v>147</v>
      </c>
      <c r="I299" s="37" t="str">
        <f t="shared" si="66"/>
        <v>road</v>
      </c>
      <c r="J299" s="37" t="s">
        <v>47</v>
      </c>
      <c r="K299" s="37" t="str">
        <f t="shared" si="67"/>
        <v>electronics</v>
      </c>
      <c r="L299" s="37" t="s">
        <v>139</v>
      </c>
      <c r="M299" s="37" t="str">
        <f t="shared" si="68"/>
        <v>north</v>
      </c>
      <c r="N299" s="37" t="s">
        <v>32</v>
      </c>
      <c r="O299" s="41" t="str">
        <f t="shared" si="69"/>
        <v>Yes</v>
      </c>
      <c r="P299" s="41">
        <v>7.4</v>
      </c>
      <c r="Q299" s="41">
        <v>270</v>
      </c>
      <c r="R299" s="42">
        <f t="shared" si="70"/>
        <v>36.4864864864865</v>
      </c>
      <c r="S299" s="37">
        <v>8</v>
      </c>
      <c r="T299" s="37" t="s">
        <v>1481</v>
      </c>
      <c r="U299" s="43" t="str">
        <f t="shared" si="71"/>
        <v>2024-04-21</v>
      </c>
      <c r="V299" s="43">
        <f t="shared" si="72"/>
        <v>45403</v>
      </c>
      <c r="W299" s="44">
        <f t="array" ref="W299">_xlfn.IFS(TRIM(C299)="","",TRIM(V299)="","",TRUE,V299-C299)</f>
        <v>13</v>
      </c>
      <c r="X299" s="37">
        <f t="shared" si="73"/>
        <v>5</v>
      </c>
      <c r="Y299" s="37" t="s">
        <v>200</v>
      </c>
      <c r="Z299" s="37" t="str">
        <f t="shared" si="74"/>
        <v>delayed</v>
      </c>
      <c r="AA299" s="37" t="str">
        <f t="shared" si="75"/>
        <v>Late</v>
      </c>
      <c r="AB299" s="37" t="str">
        <f t="shared" si="78"/>
        <v>1</v>
      </c>
      <c r="AC299" s="37">
        <f t="shared" si="79"/>
        <v>1</v>
      </c>
      <c r="AD299" s="45">
        <f t="shared" si="77"/>
        <v>0.510835913312694</v>
      </c>
      <c r="AE299" s="37">
        <v>4</v>
      </c>
      <c r="AF299" s="37" t="s">
        <v>191</v>
      </c>
      <c r="AG299" s="37" t="str">
        <f t="shared" si="76"/>
        <v>no</v>
      </c>
      <c r="AH299" s="37" t="str">
        <f t="array" ref="AH299">_xlfn.IFS(LOWER(AG299)="n","no",LOWER(AG299)="y","yes",TRUE,LOWER(AG299))</f>
        <v>no</v>
      </c>
      <c r="AI299" s="37" t="s">
        <v>4692</v>
      </c>
    </row>
    <row r="300" spans="1:35">
      <c r="A300" s="46" t="s">
        <v>1482</v>
      </c>
      <c r="B300" s="47" t="s">
        <v>4765</v>
      </c>
      <c r="C300" s="39">
        <f t="shared" si="64"/>
        <v>45456</v>
      </c>
      <c r="D300" s="48" t="s">
        <v>212</v>
      </c>
      <c r="E300" s="37" t="str" cm="1">
        <f t="array" ref="E300">_xlfn.IFS(D300="delhi","north",D300="mumbai","west",D300="bengaluru","south",D300="chennai","south",D300="kolkata","east",TRUE,"west")</f>
        <v>west</v>
      </c>
      <c r="F300" s="46" t="s">
        <v>213</v>
      </c>
      <c r="G300" s="37" t="str">
        <f t="shared" si="65"/>
        <v>dtdc</v>
      </c>
      <c r="H300" s="46" t="s">
        <v>176</v>
      </c>
      <c r="I300" s="37" t="str">
        <f t="shared" si="66"/>
        <v>road</v>
      </c>
      <c r="J300" s="46" t="s">
        <v>237</v>
      </c>
      <c r="K300" s="37" t="str">
        <f t="shared" si="67"/>
        <v>automotiveparts</v>
      </c>
      <c r="L300" s="46" t="s">
        <v>470</v>
      </c>
      <c r="M300" s="37" t="str">
        <f t="shared" si="68"/>
        <v>east</v>
      </c>
      <c r="N300" s="46" t="s">
        <v>126</v>
      </c>
      <c r="O300" s="41" t="str">
        <f t="shared" si="69"/>
        <v>Yes</v>
      </c>
      <c r="P300" s="49">
        <v>5.6</v>
      </c>
      <c r="Q300" s="49" t="s">
        <v>966</v>
      </c>
      <c r="R300" s="42">
        <f t="shared" si="70"/>
        <v>44.4642857142857</v>
      </c>
      <c r="S300" s="46">
        <v>8</v>
      </c>
      <c r="T300" s="46" t="s">
        <v>1485</v>
      </c>
      <c r="U300" s="43" t="str">
        <f t="shared" si="71"/>
        <v>26/06/2024</v>
      </c>
      <c r="V300" s="43">
        <f t="shared" si="72"/>
        <v>45469</v>
      </c>
      <c r="W300" s="44">
        <f t="array" ref="W300">_xlfn.IFS(TRIM(C300)="","",TRIM(V300)="","",TRUE,V300-C300)</f>
        <v>13</v>
      </c>
      <c r="X300" s="37">
        <f t="shared" si="73"/>
        <v>5</v>
      </c>
      <c r="Y300" s="46" t="s">
        <v>143</v>
      </c>
      <c r="Z300" s="37" t="str">
        <f t="shared" si="74"/>
        <v>delayed</v>
      </c>
      <c r="AA300" s="37" t="str">
        <f t="shared" si="75"/>
        <v>Late</v>
      </c>
      <c r="AB300" s="37" t="str">
        <f t="shared" si="78"/>
        <v>1</v>
      </c>
      <c r="AC300" s="37">
        <f t="shared" si="79"/>
        <v>1</v>
      </c>
      <c r="AD300" s="45">
        <f t="shared" si="77"/>
        <v>0.510457010069713</v>
      </c>
      <c r="AE300" s="46">
        <v>1</v>
      </c>
      <c r="AF300" s="46" t="s">
        <v>106</v>
      </c>
      <c r="AG300" s="37" t="str">
        <f t="shared" si="76"/>
        <v>yes</v>
      </c>
      <c r="AH300" s="37" t="str">
        <f t="array" ref="AH300">_xlfn.IFS(LOWER(AG300)="n","no",LOWER(AG300)="y","yes",TRUE,LOWER(AG300))</f>
        <v>yes</v>
      </c>
      <c r="AI300" s="46" t="s">
        <v>4692</v>
      </c>
    </row>
    <row r="301" spans="1:35">
      <c r="A301" s="37" t="s">
        <v>1486</v>
      </c>
      <c r="B301" s="38">
        <v>45325</v>
      </c>
      <c r="C301" s="39">
        <f t="shared" si="64"/>
        <v>45325</v>
      </c>
      <c r="D301" s="40" t="s">
        <v>424</v>
      </c>
      <c r="E301" s="37" t="str" cm="1">
        <f t="array" ref="E301">_xlfn.IFS(D301="delhi","north",D301="mumbai","west",D301="bengaluru","south",D301="chennai","south",D301="kolkata","east",TRUE,"west")</f>
        <v>south</v>
      </c>
      <c r="F301" s="37" t="s">
        <v>194</v>
      </c>
      <c r="G301" s="37" t="str">
        <f t="shared" si="65"/>
        <v>xpressbees</v>
      </c>
      <c r="H301" s="37" t="s">
        <v>244</v>
      </c>
      <c r="I301" s="37" t="str">
        <f t="shared" si="66"/>
        <v>air</v>
      </c>
      <c r="J301" s="37" t="s">
        <v>271</v>
      </c>
      <c r="K301" s="37" t="str">
        <f t="shared" si="67"/>
        <v>electronics</v>
      </c>
      <c r="L301" s="37" t="s">
        <v>264</v>
      </c>
      <c r="M301" s="37" t="str">
        <f t="shared" si="68"/>
        <v>west</v>
      </c>
      <c r="N301" s="37" t="s">
        <v>187</v>
      </c>
      <c r="O301" s="41" t="str">
        <f t="shared" si="69"/>
        <v>Yes</v>
      </c>
      <c r="P301" s="41">
        <v>1.9</v>
      </c>
      <c r="Q301" s="41" t="s">
        <v>1488</v>
      </c>
      <c r="R301" s="42">
        <f t="shared" si="70"/>
        <v>136.842105263158</v>
      </c>
      <c r="S301" s="37">
        <v>4</v>
      </c>
      <c r="T301" s="37" t="s">
        <v>1489</v>
      </c>
      <c r="U301" s="43" t="str">
        <f t="shared" si="71"/>
        <v>06/02/2024</v>
      </c>
      <c r="V301" s="43">
        <f t="shared" si="72"/>
        <v>45328</v>
      </c>
      <c r="W301" s="44">
        <f t="array" ref="W301">_xlfn.IFS(TRIM(C301)="","",TRIM(V301)="","",TRUE,V301-C301)</f>
        <v>3</v>
      </c>
      <c r="X301" s="37">
        <f t="shared" si="73"/>
        <v>-1</v>
      </c>
      <c r="Y301" s="37" t="s">
        <v>130</v>
      </c>
      <c r="Z301" s="37" t="str">
        <f t="shared" si="74"/>
        <v>damaged</v>
      </c>
      <c r="AA301" s="37" t="str">
        <f t="shared" si="75"/>
        <v>On Time</v>
      </c>
      <c r="AB301" s="37" t="str">
        <f t="shared" si="78"/>
        <v>0</v>
      </c>
      <c r="AC301" s="37">
        <f t="shared" si="79"/>
        <v>0</v>
      </c>
      <c r="AD301" s="45">
        <f t="shared" si="77"/>
        <v>0.510077519379845</v>
      </c>
      <c r="AE301" s="37"/>
      <c r="AF301" s="37" t="s">
        <v>191</v>
      </c>
      <c r="AG301" s="37" t="str">
        <f t="shared" si="76"/>
        <v>no</v>
      </c>
      <c r="AH301" s="37" t="str">
        <f t="array" ref="AH301">_xlfn.IFS(LOWER(AG301)="n","no",LOWER(AG301)="y","yes",TRUE,LOWER(AG301))</f>
        <v>no</v>
      </c>
      <c r="AI301" s="37" t="s">
        <v>759</v>
      </c>
    </row>
    <row r="302" spans="1:35">
      <c r="A302" s="46" t="s">
        <v>1490</v>
      </c>
      <c r="B302" s="47" t="s">
        <v>4766</v>
      </c>
      <c r="C302" s="39">
        <f t="shared" si="64"/>
        <v>45315</v>
      </c>
      <c r="D302" s="48" t="s">
        <v>633</v>
      </c>
      <c r="E302" s="37" t="str" cm="1">
        <f t="array" ref="E302">_xlfn.IFS(D302="delhi","north",D302="mumbai","west",D302="bengaluru","south",D302="chennai","south",D302="kolkata","east",TRUE,"west")</f>
        <v>south</v>
      </c>
      <c r="F302" s="46" t="s">
        <v>175</v>
      </c>
      <c r="G302" s="37" t="str">
        <f t="shared" si="65"/>
        <v>ecomexpress</v>
      </c>
      <c r="H302" s="46" t="s">
        <v>345</v>
      </c>
      <c r="I302" s="37" t="str">
        <f t="shared" si="66"/>
        <v>surface</v>
      </c>
      <c r="J302" s="46" t="s">
        <v>368</v>
      </c>
      <c r="K302" s="37" t="str">
        <f t="shared" si="67"/>
        <v>furniture</v>
      </c>
      <c r="L302" s="46" t="s">
        <v>380</v>
      </c>
      <c r="M302" s="37" t="str">
        <f t="shared" si="68"/>
        <v>east</v>
      </c>
      <c r="N302" s="46" t="s">
        <v>126</v>
      </c>
      <c r="O302" s="41" t="str">
        <f t="shared" si="69"/>
        <v>Yes</v>
      </c>
      <c r="P302" s="49" t="s">
        <v>1492</v>
      </c>
      <c r="Q302" s="49">
        <v>1144</v>
      </c>
      <c r="R302" s="42">
        <f t="shared" si="70"/>
        <v>26.8544600938967</v>
      </c>
      <c r="S302" s="46">
        <v>6</v>
      </c>
      <c r="T302" s="46" t="s">
        <v>679</v>
      </c>
      <c r="U302" s="43" t="str">
        <f t="shared" si="71"/>
        <v>29/01/2024</v>
      </c>
      <c r="V302" s="43">
        <f t="shared" si="72"/>
        <v>45320</v>
      </c>
      <c r="W302" s="44">
        <f t="array" ref="W302">_xlfn.IFS(TRIM(C302)="","",TRIM(V302)="","",TRUE,V302-C302)</f>
        <v>5</v>
      </c>
      <c r="X302" s="37">
        <f t="shared" si="73"/>
        <v>-1</v>
      </c>
      <c r="Y302" s="46" t="s">
        <v>105</v>
      </c>
      <c r="Z302" s="37" t="str">
        <f t="shared" si="74"/>
        <v>delivered</v>
      </c>
      <c r="AA302" s="37" t="str">
        <f t="shared" si="75"/>
        <v>On Time</v>
      </c>
      <c r="AB302" s="37" t="str">
        <f t="shared" si="78"/>
        <v>0</v>
      </c>
      <c r="AC302" s="37">
        <f t="shared" si="79"/>
        <v>0</v>
      </c>
      <c r="AD302" s="45">
        <f t="shared" si="77"/>
        <v>0.510473235065943</v>
      </c>
      <c r="AE302" s="46">
        <v>3</v>
      </c>
      <c r="AF302" s="46" t="s">
        <v>286</v>
      </c>
      <c r="AG302" s="37" t="str">
        <f t="shared" si="76"/>
        <v>yes</v>
      </c>
      <c r="AH302" s="37" t="str">
        <f t="array" ref="AH302">_xlfn.IFS(LOWER(AG302)="n","no",LOWER(AG302)="y","yes",TRUE,LOWER(AG302))</f>
        <v>yes</v>
      </c>
      <c r="AI302" s="46" t="s">
        <v>4692</v>
      </c>
    </row>
    <row r="303" spans="1:35">
      <c r="A303" s="37" t="s">
        <v>1494</v>
      </c>
      <c r="B303" s="38">
        <v>45298</v>
      </c>
      <c r="C303" s="39">
        <f t="shared" si="64"/>
        <v>45298</v>
      </c>
      <c r="D303" s="40" t="s">
        <v>300</v>
      </c>
      <c r="E303" s="37" t="str" cm="1">
        <f t="array" ref="E303">_xlfn.IFS(D303="delhi","north",D303="mumbai","west",D303="bengaluru","south",D303="chennai","south",D303="kolkata","east",TRUE,"west")</f>
        <v>west</v>
      </c>
      <c r="F303" s="37" t="s">
        <v>204</v>
      </c>
      <c r="G303" s="37" t="str">
        <f t="shared" si="65"/>
        <v>delhivery</v>
      </c>
      <c r="H303" s="37" t="s">
        <v>137</v>
      </c>
      <c r="I303" s="37" t="str">
        <f t="shared" si="66"/>
        <v>road</v>
      </c>
      <c r="J303" s="37" t="s">
        <v>138</v>
      </c>
      <c r="K303" s="37" t="str">
        <f t="shared" si="67"/>
        <v>apparel</v>
      </c>
      <c r="L303" s="37" t="s">
        <v>139</v>
      </c>
      <c r="M303" s="37" t="str">
        <f t="shared" si="68"/>
        <v>north</v>
      </c>
      <c r="N303" s="37" t="s">
        <v>32</v>
      </c>
      <c r="O303" s="41" t="str">
        <f t="shared" si="69"/>
        <v>Yes</v>
      </c>
      <c r="P303" s="41" t="s">
        <v>868</v>
      </c>
      <c r="Q303" s="41" t="s">
        <v>1495</v>
      </c>
      <c r="R303" s="42">
        <f t="shared" si="70"/>
        <v>33.4782608695652</v>
      </c>
      <c r="S303" s="37">
        <v>8</v>
      </c>
      <c r="T303" s="37" t="s">
        <v>1496</v>
      </c>
      <c r="U303" s="43" t="str">
        <f t="shared" si="71"/>
        <v>2024-01-15</v>
      </c>
      <c r="V303" s="43">
        <f t="shared" si="72"/>
        <v>45306</v>
      </c>
      <c r="W303" s="44">
        <f t="array" ref="W303">_xlfn.IFS(TRIM(C303)="","",TRIM(V303)="","",TRUE,V303-C303)</f>
        <v>8</v>
      </c>
      <c r="X303" s="37">
        <f t="shared" si="73"/>
        <v>0</v>
      </c>
      <c r="Y303" s="37" t="s">
        <v>624</v>
      </c>
      <c r="Z303" s="37" t="str">
        <f t="shared" si="74"/>
        <v>returned</v>
      </c>
      <c r="AA303" s="37" t="str">
        <f t="shared" si="75"/>
        <v>On Time</v>
      </c>
      <c r="AB303" s="37" t="str">
        <f t="shared" si="78"/>
        <v>0</v>
      </c>
      <c r="AC303" s="37">
        <f t="shared" si="79"/>
        <v>0</v>
      </c>
      <c r="AD303" s="45">
        <f t="shared" si="77"/>
        <v>0.510869565217391</v>
      </c>
      <c r="AE303" s="37"/>
      <c r="AF303" s="37" t="s">
        <v>79</v>
      </c>
      <c r="AG303" s="37" t="str">
        <f t="shared" si="76"/>
        <v>yes</v>
      </c>
      <c r="AH303" s="37" t="str">
        <f t="array" ref="AH303">_xlfn.IFS(LOWER(AG303)="n","no",LOWER(AG303)="y","yes",TRUE,LOWER(AG303))</f>
        <v>yes</v>
      </c>
      <c r="AI303" s="37" t="s">
        <v>83</v>
      </c>
    </row>
    <row r="304" spans="1:35">
      <c r="A304" s="46" t="s">
        <v>1497</v>
      </c>
      <c r="B304" s="47">
        <v>45370</v>
      </c>
      <c r="C304" s="39">
        <f t="shared" si="64"/>
        <v>45370</v>
      </c>
      <c r="D304" s="48" t="s">
        <v>135</v>
      </c>
      <c r="E304" s="37" t="str" cm="1">
        <f t="array" ref="E304">_xlfn.IFS(D304="delhi","north",D304="mumbai","west",D304="bengaluru","south",D304="chennai","south",D304="kolkata","east",TRUE,"west")</f>
        <v>west</v>
      </c>
      <c r="F304" s="46" t="s">
        <v>213</v>
      </c>
      <c r="G304" s="37" t="str">
        <f t="shared" si="65"/>
        <v>dtdc</v>
      </c>
      <c r="H304" s="46" t="s">
        <v>110</v>
      </c>
      <c r="I304" s="37" t="str">
        <f t="shared" si="66"/>
        <v>surface</v>
      </c>
      <c r="J304" s="46" t="s">
        <v>47</v>
      </c>
      <c r="K304" s="37" t="str">
        <f t="shared" si="67"/>
        <v>electronics</v>
      </c>
      <c r="L304" s="46" t="s">
        <v>197</v>
      </c>
      <c r="M304" s="37" t="str">
        <f t="shared" si="68"/>
        <v>south</v>
      </c>
      <c r="N304" s="46" t="s">
        <v>90</v>
      </c>
      <c r="O304" s="41" t="str">
        <f t="shared" si="69"/>
        <v>Yes</v>
      </c>
      <c r="P304" s="49">
        <v>5.5</v>
      </c>
      <c r="Q304" s="49">
        <v>287</v>
      </c>
      <c r="R304" s="42">
        <f t="shared" si="70"/>
        <v>52.1818181818182</v>
      </c>
      <c r="S304" s="46">
        <v>6</v>
      </c>
      <c r="T304" s="46" t="s">
        <v>483</v>
      </c>
      <c r="U304" s="43" t="str">
        <f t="shared" si="71"/>
        <v>25/03/2024</v>
      </c>
      <c r="V304" s="43">
        <f t="shared" si="72"/>
        <v>45376</v>
      </c>
      <c r="W304" s="44">
        <f t="array" ref="W304">_xlfn.IFS(TRIM(C304)="","",TRIM(V304)="","",TRUE,V304-C304)</f>
        <v>6</v>
      </c>
      <c r="X304" s="37">
        <f t="shared" si="73"/>
        <v>0</v>
      </c>
      <c r="Y304" s="46" t="s">
        <v>163</v>
      </c>
      <c r="Z304" s="37" t="str">
        <f t="shared" si="74"/>
        <v>delivered</v>
      </c>
      <c r="AA304" s="37" t="str">
        <f t="shared" si="75"/>
        <v>On Time</v>
      </c>
      <c r="AB304" s="37" t="str">
        <f t="shared" si="78"/>
        <v>0</v>
      </c>
      <c r="AC304" s="37">
        <f t="shared" si="79"/>
        <v>0</v>
      </c>
      <c r="AD304" s="45">
        <f t="shared" si="77"/>
        <v>0.511266511266511</v>
      </c>
      <c r="AE304" s="46">
        <v>5</v>
      </c>
      <c r="AF304" s="46" t="s">
        <v>106</v>
      </c>
      <c r="AG304" s="37" t="str">
        <f t="shared" si="76"/>
        <v>yes</v>
      </c>
      <c r="AH304" s="37" t="str">
        <f t="array" ref="AH304">_xlfn.IFS(LOWER(AG304)="n","no",LOWER(AG304)="y","yes",TRUE,LOWER(AG304))</f>
        <v>yes</v>
      </c>
      <c r="AI304" s="46" t="s">
        <v>4692</v>
      </c>
    </row>
    <row r="305" spans="1:35">
      <c r="A305" s="37" t="s">
        <v>1500</v>
      </c>
      <c r="B305" s="38">
        <v>45464</v>
      </c>
      <c r="C305" s="39">
        <f t="shared" si="64"/>
        <v>45464</v>
      </c>
      <c r="D305" s="40" t="s">
        <v>4704</v>
      </c>
      <c r="E305" s="37" t="str" cm="1">
        <f t="array" ref="E305">_xlfn.IFS(D305="delhi","north",D305="mumbai","west",D305="bengaluru","south",D305="chennai","south",D305="kolkata","east",TRUE,"west")</f>
        <v>west</v>
      </c>
      <c r="F305" s="37" t="s">
        <v>223</v>
      </c>
      <c r="G305" s="37" t="str">
        <f t="shared" si="65"/>
        <v>xpressbees</v>
      </c>
      <c r="H305" s="37" t="s">
        <v>244</v>
      </c>
      <c r="I305" s="37" t="str">
        <f t="shared" si="66"/>
        <v>air</v>
      </c>
      <c r="J305" s="37" t="s">
        <v>612</v>
      </c>
      <c r="K305" s="37" t="str">
        <f t="shared" si="67"/>
        <v>grocery&amp;fmcg</v>
      </c>
      <c r="L305" s="37" t="s">
        <v>401</v>
      </c>
      <c r="M305" s="37" t="str">
        <f t="shared" si="68"/>
        <v>south</v>
      </c>
      <c r="N305" s="37" t="s">
        <v>54</v>
      </c>
      <c r="O305" s="41" t="str">
        <f t="shared" si="69"/>
        <v>Yes</v>
      </c>
      <c r="P305" s="41" t="s">
        <v>1502</v>
      </c>
      <c r="Q305" s="50">
        <v>1026</v>
      </c>
      <c r="R305" s="42">
        <f t="shared" si="70"/>
        <v>51.8181818181818</v>
      </c>
      <c r="S305" s="37">
        <v>4</v>
      </c>
      <c r="T305" s="37" t="s">
        <v>1207</v>
      </c>
      <c r="U305" s="43" t="str">
        <f t="shared" si="71"/>
        <v>27-jun-2024</v>
      </c>
      <c r="V305" s="43">
        <f t="shared" si="72"/>
        <v>45470</v>
      </c>
      <c r="W305" s="44">
        <f t="array" ref="W305">_xlfn.IFS(TRIM(C305)="","",TRIM(V305)="","",TRUE,V305-C305)</f>
        <v>6</v>
      </c>
      <c r="X305" s="37">
        <f t="shared" si="73"/>
        <v>2</v>
      </c>
      <c r="Y305" s="37" t="s">
        <v>72</v>
      </c>
      <c r="Z305" s="37" t="str">
        <f t="shared" si="74"/>
        <v>delayed</v>
      </c>
      <c r="AA305" s="37" t="str">
        <f t="shared" si="75"/>
        <v>Late</v>
      </c>
      <c r="AB305" s="37" t="str">
        <f t="shared" si="78"/>
        <v>1</v>
      </c>
      <c r="AC305" s="37">
        <f t="shared" si="79"/>
        <v>1</v>
      </c>
      <c r="AD305" s="45">
        <f t="shared" si="77"/>
        <v>0.511664074650078</v>
      </c>
      <c r="AE305" s="37">
        <v>5</v>
      </c>
      <c r="AF305" s="37" t="s">
        <v>106</v>
      </c>
      <c r="AG305" s="37" t="str">
        <f t="shared" si="76"/>
        <v>yes</v>
      </c>
      <c r="AH305" s="37" t="str">
        <f t="array" ref="AH305">_xlfn.IFS(LOWER(AG305)="n","no",LOWER(AG305)="y","yes",TRUE,LOWER(AG305))</f>
        <v>yes</v>
      </c>
      <c r="AI305" s="37" t="s">
        <v>4692</v>
      </c>
    </row>
    <row r="306" spans="1:35">
      <c r="A306" s="46" t="s">
        <v>1504</v>
      </c>
      <c r="B306" s="47">
        <v>45437</v>
      </c>
      <c r="C306" s="39">
        <f t="shared" si="64"/>
        <v>45437</v>
      </c>
      <c r="D306" s="48" t="s">
        <v>4712</v>
      </c>
      <c r="E306" s="37" t="str" cm="1">
        <f t="array" ref="E306">_xlfn.IFS(D306="delhi","north",D306="mumbai","west",D306="bengaluru","south",D306="chennai","south",D306="kolkata","east",TRUE,"west")</f>
        <v>west</v>
      </c>
      <c r="F306" s="46" t="s">
        <v>230</v>
      </c>
      <c r="G306" s="37" t="str">
        <f t="shared" si="65"/>
        <v>dtdc</v>
      </c>
      <c r="H306" s="46" t="s">
        <v>176</v>
      </c>
      <c r="I306" s="37" t="str">
        <f t="shared" si="66"/>
        <v>road</v>
      </c>
      <c r="J306" s="46" t="s">
        <v>196</v>
      </c>
      <c r="K306" s="37" t="str">
        <f t="shared" si="67"/>
        <v>apparel</v>
      </c>
      <c r="L306" s="46" t="s">
        <v>418</v>
      </c>
      <c r="M306" s="37" t="str">
        <f t="shared" si="68"/>
        <v>south</v>
      </c>
      <c r="N306" s="46" t="s">
        <v>93</v>
      </c>
      <c r="O306" s="41" t="str">
        <f t="shared" si="69"/>
        <v>Yes</v>
      </c>
      <c r="P306" s="49" t="s">
        <v>534</v>
      </c>
      <c r="Q306" s="49">
        <v>80</v>
      </c>
      <c r="R306" s="42">
        <f t="shared" si="70"/>
        <v>20.5128205128205</v>
      </c>
      <c r="S306" s="46">
        <v>6</v>
      </c>
      <c r="T306" s="46" t="s">
        <v>528</v>
      </c>
      <c r="U306" s="43" t="str">
        <f t="shared" si="71"/>
        <v>01/06/2024</v>
      </c>
      <c r="V306" s="43">
        <f t="shared" si="72"/>
        <v>45444</v>
      </c>
      <c r="W306" s="44">
        <f t="array" ref="W306">_xlfn.IFS(TRIM(C306)="","",TRIM(V306)="","",TRUE,V306-C306)</f>
        <v>7</v>
      </c>
      <c r="X306" s="37">
        <f t="shared" si="73"/>
        <v>1</v>
      </c>
      <c r="Y306" s="46" t="s">
        <v>72</v>
      </c>
      <c r="Z306" s="37" t="str">
        <f t="shared" si="74"/>
        <v>delayed</v>
      </c>
      <c r="AA306" s="37" t="str">
        <f t="shared" si="75"/>
        <v>Late</v>
      </c>
      <c r="AB306" s="37" t="str">
        <f t="shared" si="78"/>
        <v>1</v>
      </c>
      <c r="AC306" s="37">
        <f t="shared" si="79"/>
        <v>1</v>
      </c>
      <c r="AD306" s="45">
        <f t="shared" si="77"/>
        <v>0.511284046692607</v>
      </c>
      <c r="AE306" s="46">
        <v>1</v>
      </c>
      <c r="AF306" s="46" t="s">
        <v>152</v>
      </c>
      <c r="AG306" s="37" t="str">
        <f t="shared" si="76"/>
        <v>no</v>
      </c>
      <c r="AH306" s="37" t="str">
        <f t="array" ref="AH306">_xlfn.IFS(LOWER(AG306)="n","no",LOWER(AG306)="y","yes",TRUE,LOWER(AG306))</f>
        <v>no</v>
      </c>
      <c r="AI306" s="46" t="s">
        <v>4692</v>
      </c>
    </row>
    <row r="307" spans="1:35">
      <c r="A307" s="37" t="s">
        <v>1505</v>
      </c>
      <c r="B307" s="38">
        <v>45466</v>
      </c>
      <c r="C307" s="39">
        <f t="shared" si="64"/>
        <v>45466</v>
      </c>
      <c r="D307" s="40" t="s">
        <v>121</v>
      </c>
      <c r="E307" s="37" t="str" cm="1">
        <f t="array" ref="E307">_xlfn.IFS(D307="delhi","north",D307="mumbai","west",D307="bengaluru","south",D307="chennai","south",D307="kolkata","east",TRUE,"west")</f>
        <v>west</v>
      </c>
      <c r="F307" s="37" t="s">
        <v>223</v>
      </c>
      <c r="G307" s="37" t="str">
        <f t="shared" si="65"/>
        <v>xpressbees</v>
      </c>
      <c r="H307" s="37" t="s">
        <v>244</v>
      </c>
      <c r="I307" s="37" t="str">
        <f t="shared" si="66"/>
        <v>air</v>
      </c>
      <c r="J307" s="37" t="s">
        <v>326</v>
      </c>
      <c r="K307" s="37" t="str">
        <f t="shared" si="67"/>
        <v>apparel</v>
      </c>
      <c r="L307" s="37" t="s">
        <v>257</v>
      </c>
      <c r="M307" s="37" t="str">
        <f t="shared" si="68"/>
        <v>west</v>
      </c>
      <c r="N307" s="37" t="s">
        <v>187</v>
      </c>
      <c r="O307" s="41" t="str">
        <f t="shared" si="69"/>
        <v>Yes</v>
      </c>
      <c r="P307" s="41">
        <v>5.2</v>
      </c>
      <c r="Q307" s="41">
        <v>385</v>
      </c>
      <c r="R307" s="42">
        <f t="shared" si="70"/>
        <v>74.0384615384615</v>
      </c>
      <c r="S307" s="37">
        <v>4</v>
      </c>
      <c r="T307" s="37" t="s">
        <v>1509</v>
      </c>
      <c r="U307" s="43" t="str">
        <f t="shared" si="71"/>
        <v>2024-06-30</v>
      </c>
      <c r="V307" s="43">
        <f t="shared" si="72"/>
        <v>45473</v>
      </c>
      <c r="W307" s="44">
        <f t="array" ref="W307">_xlfn.IFS(TRIM(C307)="","",TRIM(V307)="","",TRUE,V307-C307)</f>
        <v>7</v>
      </c>
      <c r="X307" s="37">
        <f t="shared" si="73"/>
        <v>3</v>
      </c>
      <c r="Y307" s="37" t="s">
        <v>72</v>
      </c>
      <c r="Z307" s="37" t="str">
        <f t="shared" si="74"/>
        <v>delayed</v>
      </c>
      <c r="AA307" s="37" t="str">
        <f t="shared" si="75"/>
        <v>Late</v>
      </c>
      <c r="AB307" s="37" t="str">
        <f t="shared" si="78"/>
        <v>1</v>
      </c>
      <c r="AC307" s="37">
        <f t="shared" si="79"/>
        <v>1</v>
      </c>
      <c r="AD307" s="45">
        <f t="shared" si="77"/>
        <v>0.510903426791277</v>
      </c>
      <c r="AE307" s="37">
        <v>3</v>
      </c>
      <c r="AF307" s="37" t="s">
        <v>131</v>
      </c>
      <c r="AG307" s="37" t="str">
        <f t="shared" si="76"/>
        <v>n</v>
      </c>
      <c r="AH307" s="37" t="str">
        <f t="array" ref="AH307">_xlfn.IFS(LOWER(AG307)="n","no",LOWER(AG307)="y","yes",TRUE,LOWER(AG307))</f>
        <v>no</v>
      </c>
      <c r="AI307" s="37" t="s">
        <v>4692</v>
      </c>
    </row>
    <row r="308" spans="1:35">
      <c r="A308" s="46" t="s">
        <v>1510</v>
      </c>
      <c r="B308" s="47" t="s">
        <v>4753</v>
      </c>
      <c r="C308" s="39">
        <f t="shared" si="64"/>
        <v>45397</v>
      </c>
      <c r="D308" s="48" t="s">
        <v>366</v>
      </c>
      <c r="E308" s="37" t="str" cm="1">
        <f t="array" ref="E308">_xlfn.IFS(D308="delhi","north",D308="mumbai","west",D308="bengaluru","south",D308="chennai","south",D308="kolkata","east",TRUE,"west")</f>
        <v>east</v>
      </c>
      <c r="F308" s="46" t="s">
        <v>146</v>
      </c>
      <c r="G308" s="37" t="str">
        <f t="shared" si="65"/>
        <v>ecomexpress</v>
      </c>
      <c r="H308" s="46" t="s">
        <v>244</v>
      </c>
      <c r="I308" s="37" t="str">
        <f t="shared" si="66"/>
        <v>air</v>
      </c>
      <c r="J308" s="46" t="s">
        <v>368</v>
      </c>
      <c r="K308" s="37" t="str">
        <f t="shared" si="67"/>
        <v>furniture</v>
      </c>
      <c r="L308" s="46" t="s">
        <v>264</v>
      </c>
      <c r="M308" s="37" t="str">
        <f t="shared" si="68"/>
        <v>west</v>
      </c>
      <c r="N308" s="46" t="s">
        <v>187</v>
      </c>
      <c r="O308" s="41" t="str">
        <f t="shared" si="69"/>
        <v>Yes</v>
      </c>
      <c r="P308" s="49">
        <v>56.7</v>
      </c>
      <c r="Q308" s="49" t="s">
        <v>1512</v>
      </c>
      <c r="R308" s="42">
        <f t="shared" si="70"/>
        <v>47.9365079365079</v>
      </c>
      <c r="S308" s="46">
        <v>4</v>
      </c>
      <c r="T308" s="46" t="s">
        <v>1275</v>
      </c>
      <c r="U308" s="43" t="str">
        <f t="shared" si="71"/>
        <v>18/04/2024</v>
      </c>
      <c r="V308" s="43">
        <f t="shared" si="72"/>
        <v>45400</v>
      </c>
      <c r="W308" s="44">
        <f t="array" ref="W308">_xlfn.IFS(TRIM(C308)="","",TRIM(V308)="","",TRUE,V308-C308)</f>
        <v>3</v>
      </c>
      <c r="X308" s="37">
        <f t="shared" si="73"/>
        <v>-1</v>
      </c>
      <c r="Y308" s="46" t="s">
        <v>1513</v>
      </c>
      <c r="Z308" s="37" t="str">
        <f t="shared" si="74"/>
        <v>damaged</v>
      </c>
      <c r="AA308" s="37" t="str">
        <f t="shared" si="75"/>
        <v>On Time</v>
      </c>
      <c r="AB308" s="37" t="str">
        <f t="shared" si="78"/>
        <v>0</v>
      </c>
      <c r="AC308" s="37">
        <f t="shared" si="79"/>
        <v>0</v>
      </c>
      <c r="AD308" s="45">
        <f t="shared" si="77"/>
        <v>0.510522213561964</v>
      </c>
      <c r="AE308" s="46"/>
      <c r="AF308" s="46" t="s">
        <v>152</v>
      </c>
      <c r="AG308" s="37" t="str">
        <f t="shared" si="76"/>
        <v>no</v>
      </c>
      <c r="AH308" s="37" t="str">
        <f t="array" ref="AH308">_xlfn.IFS(LOWER(AG308)="n","no",LOWER(AG308)="y","yes",TRUE,LOWER(AG308))</f>
        <v>no</v>
      </c>
      <c r="AI308" s="46" t="s">
        <v>759</v>
      </c>
    </row>
    <row r="309" spans="1:35">
      <c r="A309" s="37" t="s">
        <v>1514</v>
      </c>
      <c r="B309" s="38">
        <v>45390</v>
      </c>
      <c r="C309" s="39">
        <f t="shared" si="64"/>
        <v>45390</v>
      </c>
      <c r="D309" s="40" t="s">
        <v>366</v>
      </c>
      <c r="E309" s="37" t="str" cm="1">
        <f t="array" ref="E309">_xlfn.IFS(D309="delhi","north",D309="mumbai","west",D309="bengaluru","south",D309="chennai","south",D309="kolkata","east",TRUE,"west")</f>
        <v>east</v>
      </c>
      <c r="F309" s="37" t="s">
        <v>230</v>
      </c>
      <c r="G309" s="37" t="str">
        <f t="shared" si="65"/>
        <v>dtdc</v>
      </c>
      <c r="H309" s="37" t="s">
        <v>345</v>
      </c>
      <c r="I309" s="37" t="str">
        <f t="shared" si="66"/>
        <v>surface</v>
      </c>
      <c r="J309" s="37" t="s">
        <v>277</v>
      </c>
      <c r="K309" s="37" t="str">
        <f t="shared" si="67"/>
        <v>apparel</v>
      </c>
      <c r="L309" s="37" t="s">
        <v>89</v>
      </c>
      <c r="M309" s="37" t="str">
        <f t="shared" si="68"/>
        <v>west</v>
      </c>
      <c r="N309" s="37" t="s">
        <v>206</v>
      </c>
      <c r="O309" s="41" t="str">
        <f t="shared" si="69"/>
        <v>Yes</v>
      </c>
      <c r="P309" s="41">
        <v>3.8</v>
      </c>
      <c r="Q309" s="41">
        <v>247</v>
      </c>
      <c r="R309" s="42">
        <f t="shared" si="70"/>
        <v>65</v>
      </c>
      <c r="S309" s="37">
        <v>6</v>
      </c>
      <c r="T309" s="37" t="s">
        <v>371</v>
      </c>
      <c r="U309" s="43" t="str">
        <f t="shared" si="71"/>
        <v>14-apr-2024</v>
      </c>
      <c r="V309" s="43">
        <f t="shared" si="72"/>
        <v>45396</v>
      </c>
      <c r="W309" s="44">
        <f t="array" ref="W309">_xlfn.IFS(TRIM(C309)="","",TRIM(V309)="","",TRUE,V309-C309)</f>
        <v>6</v>
      </c>
      <c r="X309" s="37">
        <f t="shared" si="73"/>
        <v>0</v>
      </c>
      <c r="Y309" s="37" t="s">
        <v>163</v>
      </c>
      <c r="Z309" s="37" t="str">
        <f t="shared" si="74"/>
        <v>delivered</v>
      </c>
      <c r="AA309" s="37" t="str">
        <f t="shared" si="75"/>
        <v>On Time</v>
      </c>
      <c r="AB309" s="37" t="str">
        <f t="shared" si="78"/>
        <v>0</v>
      </c>
      <c r="AC309" s="37">
        <f t="shared" si="79"/>
        <v>0</v>
      </c>
      <c r="AD309" s="45">
        <f t="shared" si="77"/>
        <v>0.510920436817473</v>
      </c>
      <c r="AE309" s="37">
        <v>5</v>
      </c>
      <c r="AF309" s="37" t="s">
        <v>152</v>
      </c>
      <c r="AG309" s="37" t="str">
        <f t="shared" si="76"/>
        <v>no</v>
      </c>
      <c r="AH309" s="37" t="str">
        <f t="array" ref="AH309">_xlfn.IFS(LOWER(AG309)="n","no",LOWER(AG309)="y","yes",TRUE,LOWER(AG309))</f>
        <v>no</v>
      </c>
      <c r="AI309" s="37" t="s">
        <v>4692</v>
      </c>
    </row>
    <row r="310" spans="1:35">
      <c r="A310" s="46" t="s">
        <v>1516</v>
      </c>
      <c r="B310" s="47">
        <v>45387</v>
      </c>
      <c r="C310" s="39">
        <f t="shared" si="64"/>
        <v>45387</v>
      </c>
      <c r="D310" s="48" t="s">
        <v>340</v>
      </c>
      <c r="E310" s="37" t="str" cm="1">
        <f t="array" ref="E310">_xlfn.IFS(D310="delhi","north",D310="mumbai","west",D310="bengaluru","south",D310="chennai","south",D310="kolkata","east",TRUE,"west")</f>
        <v>north</v>
      </c>
      <c r="F310" s="46" t="s">
        <v>146</v>
      </c>
      <c r="G310" s="37" t="str">
        <f t="shared" si="65"/>
        <v>ecomexpress</v>
      </c>
      <c r="H310" s="46" t="s">
        <v>123</v>
      </c>
      <c r="I310" s="37" t="str">
        <f t="shared" si="66"/>
        <v>air</v>
      </c>
      <c r="J310" s="46" t="s">
        <v>177</v>
      </c>
      <c r="K310" s="37" t="str">
        <f t="shared" si="67"/>
        <v>pharma</v>
      </c>
      <c r="L310" s="46" t="s">
        <v>302</v>
      </c>
      <c r="M310" s="37" t="str">
        <f t="shared" si="68"/>
        <v>east</v>
      </c>
      <c r="N310" s="46" t="s">
        <v>294</v>
      </c>
      <c r="O310" s="41" t="str">
        <f t="shared" si="69"/>
        <v>Yes</v>
      </c>
      <c r="P310" s="49" t="s">
        <v>1518</v>
      </c>
      <c r="Q310" s="49">
        <v>278</v>
      </c>
      <c r="R310" s="42">
        <f t="shared" si="70"/>
        <v>99.2857142857143</v>
      </c>
      <c r="S310" s="46">
        <v>4</v>
      </c>
      <c r="T310" s="46" t="s">
        <v>316</v>
      </c>
      <c r="U310" s="43" t="str">
        <f t="shared" si="71"/>
        <v>10/04/2024</v>
      </c>
      <c r="V310" s="43">
        <f t="shared" si="72"/>
        <v>45392</v>
      </c>
      <c r="W310" s="44">
        <f t="array" ref="W310">_xlfn.IFS(TRIM(C310)="","",TRIM(V310)="","",TRUE,V310-C310)</f>
        <v>5</v>
      </c>
      <c r="X310" s="37">
        <f t="shared" si="73"/>
        <v>1</v>
      </c>
      <c r="Y310" s="46" t="s">
        <v>72</v>
      </c>
      <c r="Z310" s="37" t="str">
        <f t="shared" si="74"/>
        <v>delayed</v>
      </c>
      <c r="AA310" s="37" t="str">
        <f t="shared" si="75"/>
        <v>Late</v>
      </c>
      <c r="AB310" s="37" t="str">
        <f t="shared" si="78"/>
        <v>1</v>
      </c>
      <c r="AC310" s="37">
        <f t="shared" si="79"/>
        <v>1</v>
      </c>
      <c r="AD310" s="45">
        <f t="shared" si="77"/>
        <v>0.511319281811085</v>
      </c>
      <c r="AE310" s="46">
        <v>4</v>
      </c>
      <c r="AF310" s="46" t="s">
        <v>181</v>
      </c>
      <c r="AG310" s="37" t="str">
        <f t="shared" si="76"/>
        <v>y</v>
      </c>
      <c r="AH310" s="37" t="str">
        <f t="array" ref="AH310">_xlfn.IFS(LOWER(AG310)="n","no",LOWER(AG310)="y","yes",TRUE,LOWER(AG310))</f>
        <v>yes</v>
      </c>
      <c r="AI310" s="46" t="s">
        <v>4692</v>
      </c>
    </row>
    <row r="311" spans="1:35">
      <c r="A311" s="37" t="s">
        <v>1520</v>
      </c>
      <c r="B311" s="38">
        <v>45433</v>
      </c>
      <c r="C311" s="39">
        <f t="shared" si="64"/>
        <v>45433</v>
      </c>
      <c r="D311" s="40" t="s">
        <v>212</v>
      </c>
      <c r="E311" s="37" t="str" cm="1">
        <f t="array" ref="E311">_xlfn.IFS(D311="delhi","north",D311="mumbai","west",D311="bengaluru","south",D311="chennai","south",D311="kolkata","east",TRUE,"west")</f>
        <v>west</v>
      </c>
      <c r="F311" s="37" t="s">
        <v>352</v>
      </c>
      <c r="G311" s="37" t="str">
        <f t="shared" si="65"/>
        <v>delhivery</v>
      </c>
      <c r="H311" s="37" t="s">
        <v>195</v>
      </c>
      <c r="I311" s="37" t="str">
        <f t="shared" si="66"/>
        <v>road</v>
      </c>
      <c r="J311" s="37" t="s">
        <v>664</v>
      </c>
      <c r="K311" s="37" t="str">
        <f t="shared" si="67"/>
        <v>grocery&amp;fmcg</v>
      </c>
      <c r="L311" s="37" t="s">
        <v>197</v>
      </c>
      <c r="M311" s="37" t="str">
        <f t="shared" si="68"/>
        <v>south</v>
      </c>
      <c r="N311" s="37" t="s">
        <v>90</v>
      </c>
      <c r="O311" s="41" t="str">
        <f t="shared" si="69"/>
        <v>Yes</v>
      </c>
      <c r="P311" s="41" t="s">
        <v>1522</v>
      </c>
      <c r="Q311" s="41">
        <v>475</v>
      </c>
      <c r="R311" s="42">
        <f t="shared" si="70"/>
        <v>24.6113989637306</v>
      </c>
      <c r="S311" s="37">
        <v>8</v>
      </c>
      <c r="T311" s="37" t="s">
        <v>1468</v>
      </c>
      <c r="U311" s="43" t="str">
        <f t="shared" si="71"/>
        <v>29/05/2024</v>
      </c>
      <c r="V311" s="43">
        <f t="shared" si="72"/>
        <v>45441</v>
      </c>
      <c r="W311" s="44">
        <f t="array" ref="W311">_xlfn.IFS(TRIM(C311)="","",TRIM(V311)="","",TRUE,V311-C311)</f>
        <v>8</v>
      </c>
      <c r="X311" s="37">
        <f t="shared" si="73"/>
        <v>0</v>
      </c>
      <c r="Y311" s="37" t="s">
        <v>117</v>
      </c>
      <c r="Z311" s="37" t="str">
        <f t="shared" si="74"/>
        <v>delivered</v>
      </c>
      <c r="AA311" s="37" t="str">
        <f t="shared" si="75"/>
        <v>On Time</v>
      </c>
      <c r="AB311" s="37" t="str">
        <f t="shared" si="78"/>
        <v>0</v>
      </c>
      <c r="AC311" s="37">
        <f t="shared" si="79"/>
        <v>0</v>
      </c>
      <c r="AD311" s="45">
        <f t="shared" si="77"/>
        <v>0.5109375</v>
      </c>
      <c r="AE311" s="37">
        <v>3</v>
      </c>
      <c r="AF311" s="37" t="s">
        <v>191</v>
      </c>
      <c r="AG311" s="37" t="str">
        <f t="shared" si="76"/>
        <v>no</v>
      </c>
      <c r="AH311" s="37" t="str">
        <f t="array" ref="AH311">_xlfn.IFS(LOWER(AG311)="n","no",LOWER(AG311)="y","yes",TRUE,LOWER(AG311))</f>
        <v>no</v>
      </c>
      <c r="AI311" s="37" t="s">
        <v>4692</v>
      </c>
    </row>
    <row r="312" spans="1:35">
      <c r="A312" s="46" t="s">
        <v>1524</v>
      </c>
      <c r="B312" s="47">
        <v>45397</v>
      </c>
      <c r="C312" s="39">
        <f t="shared" si="64"/>
        <v>45397</v>
      </c>
      <c r="D312" s="48" t="s">
        <v>4694</v>
      </c>
      <c r="E312" s="37" t="str" cm="1">
        <f t="array" ref="E312">_xlfn.IFS(D312="delhi","north",D312="mumbai","west",D312="bengaluru","south",D312="chennai","south",D312="kolkata","east",TRUE,"west")</f>
        <v>west</v>
      </c>
      <c r="F312" s="46" t="s">
        <v>333</v>
      </c>
      <c r="G312" s="37" t="str">
        <f t="shared" si="65"/>
        <v>delhivery</v>
      </c>
      <c r="H312" s="46" t="s">
        <v>325</v>
      </c>
      <c r="I312" s="37" t="str">
        <f t="shared" si="66"/>
        <v>air</v>
      </c>
      <c r="J312" s="46"/>
      <c r="K312" s="37" t="str">
        <f t="shared" si="67"/>
        <v/>
      </c>
      <c r="L312" s="46" t="s">
        <v>380</v>
      </c>
      <c r="M312" s="37" t="str">
        <f t="shared" si="68"/>
        <v>east</v>
      </c>
      <c r="N312" s="46" t="s">
        <v>126</v>
      </c>
      <c r="O312" s="41" t="str">
        <f t="shared" si="69"/>
        <v>Yes</v>
      </c>
      <c r="P312" s="49">
        <v>50.1</v>
      </c>
      <c r="Q312" s="51">
        <v>2457</v>
      </c>
      <c r="R312" s="42">
        <f t="shared" si="70"/>
        <v>49.0419161676647</v>
      </c>
      <c r="S312" s="46">
        <v>4</v>
      </c>
      <c r="T312" s="46" t="s">
        <v>1528</v>
      </c>
      <c r="U312" s="43" t="str">
        <f t="shared" si="71"/>
        <v>20-apr-2024</v>
      </c>
      <c r="V312" s="43">
        <f t="shared" si="72"/>
        <v>45402</v>
      </c>
      <c r="W312" s="44">
        <f t="array" ref="W312">_xlfn.IFS(TRIM(C312)="","",TRIM(V312)="","",TRUE,V312-C312)</f>
        <v>5</v>
      </c>
      <c r="X312" s="37">
        <f t="shared" si="73"/>
        <v>1</v>
      </c>
      <c r="Y312" s="46" t="s">
        <v>143</v>
      </c>
      <c r="Z312" s="37" t="str">
        <f t="shared" si="74"/>
        <v>delayed</v>
      </c>
      <c r="AA312" s="37" t="str">
        <f t="shared" si="75"/>
        <v>Late</v>
      </c>
      <c r="AB312" s="37" t="str">
        <f t="shared" si="78"/>
        <v>1</v>
      </c>
      <c r="AC312" s="37">
        <f t="shared" si="79"/>
        <v>1</v>
      </c>
      <c r="AD312" s="45">
        <f t="shared" si="77"/>
        <v>0.511336982017201</v>
      </c>
      <c r="AE312" s="46">
        <v>1</v>
      </c>
      <c r="AF312" s="46" t="s">
        <v>79</v>
      </c>
      <c r="AG312" s="37" t="str">
        <f t="shared" si="76"/>
        <v>yes</v>
      </c>
      <c r="AH312" s="37" t="str">
        <f t="array" ref="AH312">_xlfn.IFS(LOWER(AG312)="n","no",LOWER(AG312)="y","yes",TRUE,LOWER(AG312))</f>
        <v>yes</v>
      </c>
      <c r="AI312" s="46" t="s">
        <v>4692</v>
      </c>
    </row>
    <row r="313" spans="1:35">
      <c r="A313" s="37" t="s">
        <v>1529</v>
      </c>
      <c r="B313" s="38" t="s">
        <v>4719</v>
      </c>
      <c r="C313" s="39">
        <f t="shared" si="64"/>
        <v>45430</v>
      </c>
      <c r="D313" s="40" t="s">
        <v>243</v>
      </c>
      <c r="E313" s="37" t="str" cm="1">
        <f t="array" ref="E313">_xlfn.IFS(D313="delhi","north",D313="mumbai","west",D313="bengaluru","south",D313="chennai","south",D313="kolkata","east",TRUE,"west")</f>
        <v>west</v>
      </c>
      <c r="F313" s="37" t="s">
        <v>919</v>
      </c>
      <c r="G313" s="37" t="str">
        <f t="shared" si="65"/>
        <v>xpressbees</v>
      </c>
      <c r="H313" s="37" t="s">
        <v>147</v>
      </c>
      <c r="I313" s="37" t="str">
        <f t="shared" si="66"/>
        <v>road</v>
      </c>
      <c r="J313" s="37" t="s">
        <v>498</v>
      </c>
      <c r="K313" s="37" t="str">
        <f t="shared" si="67"/>
        <v>apparel</v>
      </c>
      <c r="L313" s="37" t="s">
        <v>125</v>
      </c>
      <c r="M313" s="37" t="str">
        <f t="shared" si="68"/>
        <v>east</v>
      </c>
      <c r="N313" s="37" t="s">
        <v>396</v>
      </c>
      <c r="O313" s="41" t="str">
        <f t="shared" si="69"/>
        <v>Yes</v>
      </c>
      <c r="P313" s="41" t="s">
        <v>723</v>
      </c>
      <c r="Q313" s="41">
        <v>180</v>
      </c>
      <c r="R313" s="42">
        <f t="shared" si="70"/>
        <v>75</v>
      </c>
      <c r="S313" s="37">
        <v>8</v>
      </c>
      <c r="T313" s="37" t="s">
        <v>1325</v>
      </c>
      <c r="U313" s="43" t="str">
        <f t="shared" si="71"/>
        <v>28/05/2024</v>
      </c>
      <c r="V313" s="43">
        <f t="shared" si="72"/>
        <v>45440</v>
      </c>
      <c r="W313" s="44">
        <f t="array" ref="W313">_xlfn.IFS(TRIM(C313)="","",TRIM(V313)="","",TRUE,V313-C313)</f>
        <v>10</v>
      </c>
      <c r="X313" s="37">
        <f t="shared" si="73"/>
        <v>2</v>
      </c>
      <c r="Y313" s="37" t="s">
        <v>143</v>
      </c>
      <c r="Z313" s="37" t="str">
        <f t="shared" si="74"/>
        <v>delayed</v>
      </c>
      <c r="AA313" s="37" t="str">
        <f t="shared" si="75"/>
        <v>Late</v>
      </c>
      <c r="AB313" s="37" t="str">
        <f t="shared" si="78"/>
        <v>1</v>
      </c>
      <c r="AC313" s="37">
        <f t="shared" si="79"/>
        <v>1</v>
      </c>
      <c r="AD313" s="45">
        <f t="shared" si="77"/>
        <v>0.510954616588419</v>
      </c>
      <c r="AE313" s="37">
        <v>5</v>
      </c>
      <c r="AF313" s="37" t="s">
        <v>191</v>
      </c>
      <c r="AG313" s="37" t="str">
        <f t="shared" si="76"/>
        <v>no</v>
      </c>
      <c r="AH313" s="37" t="str">
        <f t="array" ref="AH313">_xlfn.IFS(LOWER(AG313)="n","no",LOWER(AG313)="y","yes",TRUE,LOWER(AG313))</f>
        <v>no</v>
      </c>
      <c r="AI313" s="37" t="s">
        <v>4692</v>
      </c>
    </row>
    <row r="314" spans="1:35">
      <c r="A314" s="46" t="s">
        <v>1531</v>
      </c>
      <c r="B314" s="47" t="s">
        <v>4708</v>
      </c>
      <c r="C314" s="39">
        <f t="shared" si="64"/>
        <v>45464</v>
      </c>
      <c r="D314" s="48" t="s">
        <v>633</v>
      </c>
      <c r="E314" s="37" t="str" cm="1">
        <f t="array" ref="E314">_xlfn.IFS(D314="delhi","north",D314="mumbai","west",D314="bengaluru","south",D314="chennai","south",D314="kolkata","east",TRUE,"west")</f>
        <v>south</v>
      </c>
      <c r="F314" s="46" t="s">
        <v>194</v>
      </c>
      <c r="G314" s="37" t="str">
        <f t="shared" si="65"/>
        <v>xpressbees</v>
      </c>
      <c r="H314" s="46" t="s">
        <v>185</v>
      </c>
      <c r="I314" s="37" t="str">
        <f t="shared" si="66"/>
        <v>surface</v>
      </c>
      <c r="J314" s="46" t="s">
        <v>138</v>
      </c>
      <c r="K314" s="37" t="str">
        <f t="shared" si="67"/>
        <v>apparel</v>
      </c>
      <c r="L314" s="46" t="s">
        <v>264</v>
      </c>
      <c r="M314" s="37" t="str">
        <f t="shared" si="68"/>
        <v>west</v>
      </c>
      <c r="N314" s="46" t="s">
        <v>88</v>
      </c>
      <c r="O314" s="41" t="str">
        <f t="shared" si="69"/>
        <v>Yes</v>
      </c>
      <c r="P314" s="49">
        <v>7.5</v>
      </c>
      <c r="Q314" s="49">
        <v>314</v>
      </c>
      <c r="R314" s="42">
        <f t="shared" si="70"/>
        <v>41.8666666666667</v>
      </c>
      <c r="S314" s="46">
        <v>6</v>
      </c>
      <c r="T314" s="46" t="s">
        <v>769</v>
      </c>
      <c r="U314" s="43" t="str">
        <f t="shared" si="71"/>
        <v>27/06/2024</v>
      </c>
      <c r="V314" s="43">
        <f t="shared" si="72"/>
        <v>45470</v>
      </c>
      <c r="W314" s="44">
        <f t="array" ref="W314">_xlfn.IFS(TRIM(C314)="","",TRIM(V314)="","",TRUE,V314-C314)</f>
        <v>6</v>
      </c>
      <c r="X314" s="37">
        <f t="shared" si="73"/>
        <v>0</v>
      </c>
      <c r="Y314" s="46" t="s">
        <v>117</v>
      </c>
      <c r="Z314" s="37" t="str">
        <f t="shared" si="74"/>
        <v>delivered</v>
      </c>
      <c r="AA314" s="37" t="str">
        <f t="shared" si="75"/>
        <v>On Time</v>
      </c>
      <c r="AB314" s="37" t="str">
        <f t="shared" si="78"/>
        <v>0</v>
      </c>
      <c r="AC314" s="37">
        <f t="shared" si="79"/>
        <v>0</v>
      </c>
      <c r="AD314" s="45">
        <f t="shared" si="77"/>
        <v>0.510571652310102</v>
      </c>
      <c r="AE314" s="46">
        <v>5</v>
      </c>
      <c r="AF314" s="46" t="s">
        <v>118</v>
      </c>
      <c r="AG314" s="37" t="str">
        <f t="shared" si="76"/>
        <v>no</v>
      </c>
      <c r="AH314" s="37" t="str">
        <f t="array" ref="AH314">_xlfn.IFS(LOWER(AG314)="n","no",LOWER(AG314)="y","yes",TRUE,LOWER(AG314))</f>
        <v>no</v>
      </c>
      <c r="AI314" s="46" t="s">
        <v>4692</v>
      </c>
    </row>
    <row r="315" spans="1:35">
      <c r="A315" s="37" t="s">
        <v>1533</v>
      </c>
      <c r="B315" s="38">
        <v>45333</v>
      </c>
      <c r="C315" s="39">
        <f t="shared" si="64"/>
        <v>45333</v>
      </c>
      <c r="D315" s="40" t="s">
        <v>340</v>
      </c>
      <c r="E315" s="37" t="str" cm="1">
        <f t="array" ref="E315">_xlfn.IFS(D315="delhi","north",D315="mumbai","west",D315="bengaluru","south",D315="chennai","south",D315="kolkata","east",TRUE,"west")</f>
        <v>north</v>
      </c>
      <c r="F315" s="37" t="s">
        <v>352</v>
      </c>
      <c r="G315" s="37" t="str">
        <f t="shared" si="65"/>
        <v>delhivery</v>
      </c>
      <c r="H315" s="37" t="s">
        <v>176</v>
      </c>
      <c r="I315" s="37" t="str">
        <f t="shared" si="66"/>
        <v>road</v>
      </c>
      <c r="J315" s="37" t="s">
        <v>100</v>
      </c>
      <c r="K315" s="37" t="str">
        <f t="shared" si="67"/>
        <v>electronics</v>
      </c>
      <c r="L315" s="37" t="s">
        <v>168</v>
      </c>
      <c r="M315" s="37" t="str">
        <f t="shared" si="68"/>
        <v>west</v>
      </c>
      <c r="N315" s="37" t="s">
        <v>278</v>
      </c>
      <c r="O315" s="41" t="str">
        <f t="shared" si="69"/>
        <v>Yes</v>
      </c>
      <c r="P315" s="41">
        <v>2.1</v>
      </c>
      <c r="Q315" s="41" t="s">
        <v>1534</v>
      </c>
      <c r="R315" s="42">
        <f t="shared" si="70"/>
        <v>80.4761904761905</v>
      </c>
      <c r="S315" s="37">
        <v>8</v>
      </c>
      <c r="T315" s="37" t="s">
        <v>604</v>
      </c>
      <c r="U315" s="43" t="str">
        <f t="shared" si="71"/>
        <v>19/02/2024</v>
      </c>
      <c r="V315" s="43">
        <f t="shared" si="72"/>
        <v>45341</v>
      </c>
      <c r="W315" s="44">
        <f t="array" ref="W315">_xlfn.IFS(TRIM(C315)="","",TRIM(V315)="","",TRUE,V315-C315)</f>
        <v>8</v>
      </c>
      <c r="X315" s="37">
        <f t="shared" si="73"/>
        <v>0</v>
      </c>
      <c r="Y315" s="37" t="s">
        <v>163</v>
      </c>
      <c r="Z315" s="37" t="str">
        <f t="shared" si="74"/>
        <v>delivered</v>
      </c>
      <c r="AA315" s="37" t="str">
        <f t="shared" si="75"/>
        <v>On Time</v>
      </c>
      <c r="AB315" s="37" t="str">
        <f t="shared" si="78"/>
        <v>0</v>
      </c>
      <c r="AC315" s="37">
        <f t="shared" si="79"/>
        <v>0</v>
      </c>
      <c r="AD315" s="45">
        <f t="shared" si="77"/>
        <v>0.510971786833856</v>
      </c>
      <c r="AE315" s="37">
        <v>4</v>
      </c>
      <c r="AF315" s="37" t="s">
        <v>152</v>
      </c>
      <c r="AG315" s="37" t="str">
        <f t="shared" si="76"/>
        <v>no</v>
      </c>
      <c r="AH315" s="37" t="str">
        <f t="array" ref="AH315">_xlfn.IFS(LOWER(AG315)="n","no",LOWER(AG315)="y","yes",TRUE,LOWER(AG315))</f>
        <v>no</v>
      </c>
      <c r="AI315" s="37" t="s">
        <v>4692</v>
      </c>
    </row>
    <row r="316" spans="1:35">
      <c r="A316" s="46" t="s">
        <v>1535</v>
      </c>
      <c r="B316" s="47">
        <v>45339</v>
      </c>
      <c r="C316" s="39">
        <f t="shared" si="64"/>
        <v>45339</v>
      </c>
      <c r="D316" s="48" t="s">
        <v>633</v>
      </c>
      <c r="E316" s="37" t="str" cm="1">
        <f t="array" ref="E316">_xlfn.IFS(D316="delhi","north",D316="mumbai","west",D316="bengaluru","south",D316="chennai","south",D316="kolkata","east",TRUE,"west")</f>
        <v>south</v>
      </c>
      <c r="F316" s="46" t="s">
        <v>122</v>
      </c>
      <c r="G316" s="37" t="str">
        <f t="shared" si="65"/>
        <v>delhivery</v>
      </c>
      <c r="H316" s="46" t="s">
        <v>110</v>
      </c>
      <c r="I316" s="37" t="str">
        <f t="shared" si="66"/>
        <v>surface</v>
      </c>
      <c r="J316" s="46" t="s">
        <v>843</v>
      </c>
      <c r="K316" s="37" t="str">
        <f t="shared" si="67"/>
        <v>automotiveparts</v>
      </c>
      <c r="L316" s="46" t="s">
        <v>380</v>
      </c>
      <c r="M316" s="37" t="str">
        <f t="shared" si="68"/>
        <v>east</v>
      </c>
      <c r="N316" s="46" t="s">
        <v>91</v>
      </c>
      <c r="O316" s="41" t="str">
        <f t="shared" si="69"/>
        <v>Yes</v>
      </c>
      <c r="P316" s="49">
        <v>12.7</v>
      </c>
      <c r="Q316" s="49" t="s">
        <v>1537</v>
      </c>
      <c r="R316" s="42">
        <f t="shared" si="70"/>
        <v>31.496062992126</v>
      </c>
      <c r="S316" s="46">
        <v>6</v>
      </c>
      <c r="T316" s="46" t="s">
        <v>1538</v>
      </c>
      <c r="U316" s="43" t="str">
        <f t="shared" si="71"/>
        <v>24/02/2024</v>
      </c>
      <c r="V316" s="43">
        <f t="shared" si="72"/>
        <v>45346</v>
      </c>
      <c r="W316" s="44">
        <f t="array" ref="W316">_xlfn.IFS(TRIM(C316)="","",TRIM(V316)="","",TRUE,V316-C316)</f>
        <v>7</v>
      </c>
      <c r="X316" s="37">
        <f t="shared" si="73"/>
        <v>1</v>
      </c>
      <c r="Y316" s="46" t="s">
        <v>200</v>
      </c>
      <c r="Z316" s="37" t="str">
        <f t="shared" si="74"/>
        <v>delayed</v>
      </c>
      <c r="AA316" s="37" t="str">
        <f t="shared" si="75"/>
        <v>Late</v>
      </c>
      <c r="AB316" s="37" t="str">
        <f t="shared" si="78"/>
        <v>1</v>
      </c>
      <c r="AC316" s="37">
        <f t="shared" si="79"/>
        <v>1</v>
      </c>
      <c r="AD316" s="45">
        <f t="shared" si="77"/>
        <v>0.511372549019608</v>
      </c>
      <c r="AE316" s="46">
        <v>4</v>
      </c>
      <c r="AF316" s="46" t="s">
        <v>152</v>
      </c>
      <c r="AG316" s="37" t="str">
        <f t="shared" si="76"/>
        <v>no</v>
      </c>
      <c r="AH316" s="37" t="str">
        <f t="array" ref="AH316">_xlfn.IFS(LOWER(AG316)="n","no",LOWER(AG316)="y","yes",TRUE,LOWER(AG316))</f>
        <v>no</v>
      </c>
      <c r="AI316" s="46" t="s">
        <v>4692</v>
      </c>
    </row>
    <row r="317" spans="1:35">
      <c r="A317" s="37" t="s">
        <v>1539</v>
      </c>
      <c r="B317" s="38">
        <v>45297</v>
      </c>
      <c r="C317" s="39">
        <f t="shared" si="64"/>
        <v>45297</v>
      </c>
      <c r="D317" s="40" t="s">
        <v>424</v>
      </c>
      <c r="E317" s="37" t="str" cm="1">
        <f t="array" ref="E317">_xlfn.IFS(D317="delhi","north",D317="mumbai","west",D317="bengaluru","south",D317="chennai","south",D317="kolkata","east",TRUE,"west")</f>
        <v>south</v>
      </c>
      <c r="F317" s="37" t="s">
        <v>204</v>
      </c>
      <c r="G317" s="37" t="str">
        <f t="shared" si="65"/>
        <v>delhivery</v>
      </c>
      <c r="H317" s="37" t="s">
        <v>195</v>
      </c>
      <c r="I317" s="37" t="str">
        <f t="shared" si="66"/>
        <v>road</v>
      </c>
      <c r="J317" s="37" t="s">
        <v>498</v>
      </c>
      <c r="K317" s="37" t="str">
        <f t="shared" si="67"/>
        <v>apparel</v>
      </c>
      <c r="L317" s="37" t="s">
        <v>89</v>
      </c>
      <c r="M317" s="37" t="str">
        <f t="shared" si="68"/>
        <v>west</v>
      </c>
      <c r="N317" s="37" t="s">
        <v>187</v>
      </c>
      <c r="O317" s="41" t="str">
        <f t="shared" si="69"/>
        <v>Yes</v>
      </c>
      <c r="P317" s="41">
        <v>5.7</v>
      </c>
      <c r="Q317" s="41">
        <v>217</v>
      </c>
      <c r="R317" s="42">
        <f t="shared" si="70"/>
        <v>38.0701754385965</v>
      </c>
      <c r="S317" s="37">
        <v>8</v>
      </c>
      <c r="T317" s="37" t="s">
        <v>984</v>
      </c>
      <c r="U317" s="43" t="str">
        <f t="shared" si="71"/>
        <v>2024-01-13</v>
      </c>
      <c r="V317" s="43">
        <f t="shared" si="72"/>
        <v>45304</v>
      </c>
      <c r="W317" s="44">
        <f t="array" ref="W317">_xlfn.IFS(TRIM(C317)="","",TRIM(V317)="","",TRUE,V317-C317)</f>
        <v>7</v>
      </c>
      <c r="X317" s="37">
        <f t="shared" si="73"/>
        <v>-1</v>
      </c>
      <c r="Y317" s="37" t="s">
        <v>117</v>
      </c>
      <c r="Z317" s="37" t="str">
        <f t="shared" si="74"/>
        <v>delivered</v>
      </c>
      <c r="AA317" s="37" t="str">
        <f t="shared" si="75"/>
        <v>On Time</v>
      </c>
      <c r="AB317" s="37" t="str">
        <f t="shared" si="78"/>
        <v>0</v>
      </c>
      <c r="AC317" s="37">
        <f t="shared" si="79"/>
        <v>0</v>
      </c>
      <c r="AD317" s="45">
        <f t="shared" si="77"/>
        <v>0.510989010989011</v>
      </c>
      <c r="AE317" s="37">
        <v>3</v>
      </c>
      <c r="AF317" s="37" t="s">
        <v>118</v>
      </c>
      <c r="AG317" s="37" t="str">
        <f t="shared" si="76"/>
        <v>no</v>
      </c>
      <c r="AH317" s="37" t="str">
        <f t="array" ref="AH317">_xlfn.IFS(LOWER(AG317)="n","no",LOWER(AG317)="y","yes",TRUE,LOWER(AG317))</f>
        <v>no</v>
      </c>
      <c r="AI317" s="37" t="s">
        <v>4692</v>
      </c>
    </row>
    <row r="318" spans="1:35">
      <c r="A318" s="46" t="s">
        <v>1543</v>
      </c>
      <c r="B318" s="47">
        <v>45360</v>
      </c>
      <c r="C318" s="39">
        <f t="shared" si="64"/>
        <v>45360</v>
      </c>
      <c r="D318" s="48" t="s">
        <v>366</v>
      </c>
      <c r="E318" s="37" t="str" cm="1">
        <f t="array" ref="E318">_xlfn.IFS(D318="delhi","north",D318="mumbai","west",D318="bengaluru","south",D318="chennai","south",D318="kolkata","east",TRUE,"west")</f>
        <v>east</v>
      </c>
      <c r="F318" s="46" t="s">
        <v>213</v>
      </c>
      <c r="G318" s="37" t="str">
        <f t="shared" si="65"/>
        <v>dtdc</v>
      </c>
      <c r="H318" s="46" t="s">
        <v>195</v>
      </c>
      <c r="I318" s="37" t="str">
        <f t="shared" si="66"/>
        <v>road</v>
      </c>
      <c r="J318" s="46" t="s">
        <v>231</v>
      </c>
      <c r="K318" s="37" t="str">
        <f t="shared" si="67"/>
        <v>furniture</v>
      </c>
      <c r="L318" s="46" t="s">
        <v>257</v>
      </c>
      <c r="M318" s="37" t="str">
        <f t="shared" si="68"/>
        <v>west</v>
      </c>
      <c r="N318" s="46" t="s">
        <v>187</v>
      </c>
      <c r="O318" s="41" t="str">
        <f t="shared" si="69"/>
        <v>Yes</v>
      </c>
      <c r="P318" s="49">
        <v>66</v>
      </c>
      <c r="Q318" s="49">
        <v>1080</v>
      </c>
      <c r="R318" s="42">
        <f t="shared" si="70"/>
        <v>16.3636363636364</v>
      </c>
      <c r="S318" s="46">
        <v>8</v>
      </c>
      <c r="T318" s="46" t="s">
        <v>1259</v>
      </c>
      <c r="U318" s="43" t="str">
        <f t="shared" si="71"/>
        <v>2024-03-25</v>
      </c>
      <c r="V318" s="43">
        <f t="shared" si="72"/>
        <v>45376</v>
      </c>
      <c r="W318" s="44">
        <f t="array" ref="W318">_xlfn.IFS(TRIM(C318)="","",TRIM(V318)="","",TRUE,V318-C318)</f>
        <v>16</v>
      </c>
      <c r="X318" s="37">
        <f t="shared" si="73"/>
        <v>8</v>
      </c>
      <c r="Y318" s="46" t="s">
        <v>72</v>
      </c>
      <c r="Z318" s="37" t="str">
        <f t="shared" si="74"/>
        <v>delayed</v>
      </c>
      <c r="AA318" s="37" t="str">
        <f t="shared" si="75"/>
        <v>Late</v>
      </c>
      <c r="AB318" s="37" t="str">
        <f t="shared" si="78"/>
        <v>1</v>
      </c>
      <c r="AC318" s="37">
        <f t="shared" si="79"/>
        <v>1</v>
      </c>
      <c r="AD318" s="45">
        <f t="shared" si="77"/>
        <v>0.511390416339356</v>
      </c>
      <c r="AE318" s="46">
        <v>3</v>
      </c>
      <c r="AF318" s="46" t="s">
        <v>191</v>
      </c>
      <c r="AG318" s="37" t="str">
        <f t="shared" si="76"/>
        <v>no</v>
      </c>
      <c r="AH318" s="37" t="str">
        <f t="array" ref="AH318">_xlfn.IFS(LOWER(AG318)="n","no",LOWER(AG318)="y","yes",TRUE,LOWER(AG318))</f>
        <v>no</v>
      </c>
      <c r="AI318" s="46" t="s">
        <v>4692</v>
      </c>
    </row>
    <row r="319" spans="1:35">
      <c r="A319" s="37" t="s">
        <v>1547</v>
      </c>
      <c r="B319" s="38">
        <v>45454</v>
      </c>
      <c r="C319" s="39">
        <f t="shared" si="64"/>
        <v>45454</v>
      </c>
      <c r="D319" s="40" t="s">
        <v>424</v>
      </c>
      <c r="E319" s="37" t="str" cm="1">
        <f t="array" ref="E319">_xlfn.IFS(D319="delhi","north",D319="mumbai","west",D319="bengaluru","south",D319="chennai","south",D319="kolkata","east",TRUE,"west")</f>
        <v>south</v>
      </c>
      <c r="F319" s="37" t="s">
        <v>367</v>
      </c>
      <c r="G319" s="37" t="str">
        <f t="shared" si="65"/>
        <v>dtdc</v>
      </c>
      <c r="H319" s="37" t="s">
        <v>195</v>
      </c>
      <c r="I319" s="37" t="str">
        <f t="shared" si="66"/>
        <v>road</v>
      </c>
      <c r="J319" s="37" t="s">
        <v>498</v>
      </c>
      <c r="K319" s="37" t="str">
        <f t="shared" si="67"/>
        <v>apparel</v>
      </c>
      <c r="L319" s="37" t="s">
        <v>101</v>
      </c>
      <c r="M319" s="37" t="str">
        <f t="shared" si="68"/>
        <v>west</v>
      </c>
      <c r="N319" s="37" t="s">
        <v>88</v>
      </c>
      <c r="O319" s="41" t="str">
        <f t="shared" si="69"/>
        <v>Yes</v>
      </c>
      <c r="P319" s="41" t="s">
        <v>1548</v>
      </c>
      <c r="Q319" s="41" t="s">
        <v>1549</v>
      </c>
      <c r="R319" s="42">
        <f t="shared" si="70"/>
        <v>76.1538461538461</v>
      </c>
      <c r="S319" s="37">
        <v>8</v>
      </c>
      <c r="T319" s="37" t="s">
        <v>1550</v>
      </c>
      <c r="U319" s="43" t="str">
        <f t="shared" si="71"/>
        <v>18-jun-2024</v>
      </c>
      <c r="V319" s="43">
        <f t="shared" si="72"/>
        <v>45461</v>
      </c>
      <c r="W319" s="44">
        <f t="array" ref="W319">_xlfn.IFS(TRIM(C319)="","",TRIM(V319)="","",TRUE,V319-C319)</f>
        <v>7</v>
      </c>
      <c r="X319" s="37">
        <f t="shared" si="73"/>
        <v>-1</v>
      </c>
      <c r="Y319" s="37" t="s">
        <v>163</v>
      </c>
      <c r="Z319" s="37" t="str">
        <f t="shared" si="74"/>
        <v>delivered</v>
      </c>
      <c r="AA319" s="37" t="str">
        <f t="shared" si="75"/>
        <v>On Time</v>
      </c>
      <c r="AB319" s="37" t="str">
        <f t="shared" si="78"/>
        <v>0</v>
      </c>
      <c r="AC319" s="37">
        <f t="shared" si="79"/>
        <v>0</v>
      </c>
      <c r="AD319" s="45">
        <f t="shared" si="77"/>
        <v>0.511006289308176</v>
      </c>
      <c r="AE319" s="37">
        <v>4</v>
      </c>
      <c r="AF319" s="37" t="s">
        <v>152</v>
      </c>
      <c r="AG319" s="37" t="str">
        <f t="shared" si="76"/>
        <v>no</v>
      </c>
      <c r="AH319" s="37" t="str">
        <f t="array" ref="AH319">_xlfn.IFS(LOWER(AG319)="n","no",LOWER(AG319)="y","yes",TRUE,LOWER(AG319))</f>
        <v>no</v>
      </c>
      <c r="AI319" s="37" t="s">
        <v>4692</v>
      </c>
    </row>
    <row r="320" spans="1:35">
      <c r="A320" s="46" t="s">
        <v>1551</v>
      </c>
      <c r="B320" s="47" t="s">
        <v>4767</v>
      </c>
      <c r="C320" s="39">
        <f t="shared" si="64"/>
        <v>45471</v>
      </c>
      <c r="D320" s="48" t="s">
        <v>424</v>
      </c>
      <c r="E320" s="37" t="str" cm="1">
        <f t="array" ref="E320">_xlfn.IFS(D320="delhi","north",D320="mumbai","west",D320="bengaluru","south",D320="chennai","south",D320="kolkata","east",TRUE,"west")</f>
        <v>south</v>
      </c>
      <c r="F320" s="46" t="s">
        <v>312</v>
      </c>
      <c r="G320" s="37" t="str">
        <f t="shared" si="65"/>
        <v>bluedart</v>
      </c>
      <c r="H320" s="46" t="s">
        <v>147</v>
      </c>
      <c r="I320" s="37" t="str">
        <f t="shared" si="66"/>
        <v>road</v>
      </c>
      <c r="J320" s="46" t="s">
        <v>385</v>
      </c>
      <c r="K320" s="37" t="str">
        <f t="shared" si="67"/>
        <v>furniture</v>
      </c>
      <c r="L320" s="46" t="s">
        <v>197</v>
      </c>
      <c r="M320" s="37" t="str">
        <f t="shared" si="68"/>
        <v>south</v>
      </c>
      <c r="N320" s="46" t="s">
        <v>327</v>
      </c>
      <c r="O320" s="41" t="str">
        <f t="shared" si="69"/>
        <v>Yes</v>
      </c>
      <c r="P320" s="49" t="s">
        <v>1553</v>
      </c>
      <c r="Q320" s="49">
        <v>670</v>
      </c>
      <c r="R320" s="42">
        <f t="shared" si="70"/>
        <v>13.6178861788618</v>
      </c>
      <c r="S320" s="46">
        <v>6</v>
      </c>
      <c r="T320" s="46"/>
      <c r="U320" s="43" t="str">
        <f t="shared" si="71"/>
        <v/>
      </c>
      <c r="V320" s="43" t="e">
        <f t="shared" si="72"/>
        <v>#VALUE!</v>
      </c>
      <c r="W320" s="44" t="e">
        <f t="array" ref="W320">_xlfn.IFS(TRIM(C320)="","",TRIM(V320)="","",TRUE,V320-C320)</f>
        <v>#VALUE!</v>
      </c>
      <c r="X320" s="37" t="e">
        <f t="shared" si="73"/>
        <v>#VALUE!</v>
      </c>
      <c r="Y320" s="46" t="s">
        <v>1555</v>
      </c>
      <c r="Z320" s="37" t="str">
        <f t="shared" si="74"/>
        <v>intransit</v>
      </c>
      <c r="AA320" s="37" t="e">
        <f t="shared" si="75"/>
        <v>#VALUE!</v>
      </c>
      <c r="AB320" s="37" t="e">
        <f t="shared" si="78"/>
        <v>#VALUE!</v>
      </c>
      <c r="AC320" s="37" t="e">
        <f t="shared" si="79"/>
        <v>#VALUE!</v>
      </c>
      <c r="AD320" s="45">
        <f t="shared" si="77"/>
        <v>0.51140833988985</v>
      </c>
      <c r="AE320" s="46"/>
      <c r="AF320" s="46" t="s">
        <v>191</v>
      </c>
      <c r="AG320" s="37" t="str">
        <f t="shared" si="76"/>
        <v>no</v>
      </c>
      <c r="AH320" s="37" t="str">
        <f t="array" ref="AH320">_xlfn.IFS(LOWER(AG320)="n","no",LOWER(AG320)="y","yes",TRUE,LOWER(AG320))</f>
        <v>no</v>
      </c>
      <c r="AI320" s="46" t="s">
        <v>4692</v>
      </c>
    </row>
    <row r="321" spans="1:35">
      <c r="A321" s="37" t="s">
        <v>1556</v>
      </c>
      <c r="B321" s="38">
        <v>45318</v>
      </c>
      <c r="C321" s="39">
        <f t="shared" si="64"/>
        <v>45318</v>
      </c>
      <c r="D321" s="40" t="s">
        <v>366</v>
      </c>
      <c r="E321" s="37" t="str" cm="1">
        <f t="array" ref="E321">_xlfn.IFS(D321="delhi","north",D321="mumbai","west",D321="bengaluru","south",D321="chennai","south",D321="kolkata","east",TRUE,"west")</f>
        <v>east</v>
      </c>
      <c r="F321" s="37" t="s">
        <v>312</v>
      </c>
      <c r="G321" s="37" t="str">
        <f t="shared" si="65"/>
        <v>bluedart</v>
      </c>
      <c r="H321" s="37" t="s">
        <v>99</v>
      </c>
      <c r="I321" s="37" t="str">
        <f t="shared" si="66"/>
        <v>air</v>
      </c>
      <c r="J321" s="37" t="s">
        <v>158</v>
      </c>
      <c r="K321" s="37" t="str">
        <f t="shared" si="67"/>
        <v>pharma</v>
      </c>
      <c r="L321" s="37" t="s">
        <v>112</v>
      </c>
      <c r="M321" s="37" t="str">
        <f t="shared" si="68"/>
        <v>north</v>
      </c>
      <c r="N321" s="37" t="s">
        <v>113</v>
      </c>
      <c r="O321" s="41" t="str">
        <f t="shared" si="69"/>
        <v>Yes</v>
      </c>
      <c r="P321" s="41">
        <v>3.4</v>
      </c>
      <c r="Q321" s="41" t="s">
        <v>1558</v>
      </c>
      <c r="R321" s="42">
        <f t="shared" si="70"/>
        <v>83.8235294117647</v>
      </c>
      <c r="S321" s="37">
        <v>4</v>
      </c>
      <c r="T321" s="37" t="s">
        <v>1559</v>
      </c>
      <c r="U321" s="43" t="str">
        <f t="shared" si="71"/>
        <v>31/01/2024</v>
      </c>
      <c r="V321" s="43">
        <f t="shared" si="72"/>
        <v>45322</v>
      </c>
      <c r="W321" s="44">
        <f t="array" ref="W321">_xlfn.IFS(TRIM(C321)="","",TRIM(V321)="","",TRUE,V321-C321)</f>
        <v>4</v>
      </c>
      <c r="X321" s="37">
        <f t="shared" si="73"/>
        <v>0</v>
      </c>
      <c r="Y321" s="37" t="s">
        <v>219</v>
      </c>
      <c r="Z321" s="37" t="str">
        <f t="shared" si="74"/>
        <v>delivered</v>
      </c>
      <c r="AA321" s="37" t="str">
        <f t="shared" si="75"/>
        <v>On Time</v>
      </c>
      <c r="AB321" s="37" t="str">
        <f t="shared" si="78"/>
        <v>0</v>
      </c>
      <c r="AC321" s="37">
        <f t="shared" si="79"/>
        <v>0</v>
      </c>
      <c r="AD321" s="45">
        <f t="shared" si="77"/>
        <v>0.51140833988985</v>
      </c>
      <c r="AE321" s="37">
        <v>5</v>
      </c>
      <c r="AF321" s="37" t="s">
        <v>191</v>
      </c>
      <c r="AG321" s="37" t="str">
        <f t="shared" si="76"/>
        <v>no</v>
      </c>
      <c r="AH321" s="37" t="str">
        <f t="array" ref="AH321">_xlfn.IFS(LOWER(AG321)="n","no",LOWER(AG321)="y","yes",TRUE,LOWER(AG321))</f>
        <v>no</v>
      </c>
      <c r="AI321" s="37" t="s">
        <v>4692</v>
      </c>
    </row>
    <row r="322" spans="1:35">
      <c r="A322" s="46" t="s">
        <v>1560</v>
      </c>
      <c r="B322" s="47">
        <v>45348</v>
      </c>
      <c r="C322" s="39">
        <f t="shared" ref="C322:C385" si="80">IF(ISNUMBER(B322),B322,DATE(RIGHT(TRIM(B322),4),MID(TRIM(B322),4,2),LEFT(TRIM(B322),2)))</f>
        <v>45348</v>
      </c>
      <c r="D322" s="48" t="s">
        <v>633</v>
      </c>
      <c r="E322" s="37" t="str" cm="1">
        <f t="array" ref="E322">_xlfn.IFS(D322="delhi","north",D322="mumbai","west",D322="bengaluru","south",D322="chennai","south",D322="kolkata","east",TRUE,"west")</f>
        <v>south</v>
      </c>
      <c r="F322" s="46" t="s">
        <v>37</v>
      </c>
      <c r="G322" s="37" t="str">
        <f t="shared" ref="G322:G385" si="81">SUBSTITUTE(LOWER(F322)," ","")</f>
        <v>bluedart</v>
      </c>
      <c r="H322" s="46" t="s">
        <v>147</v>
      </c>
      <c r="I322" s="37" t="str">
        <f t="shared" ref="I322:I385" si="82">SUBSTITUTE(LOWER(H322)," ","")</f>
        <v>road</v>
      </c>
      <c r="J322" s="46" t="s">
        <v>385</v>
      </c>
      <c r="K322" s="37" t="str">
        <f t="shared" ref="K322:K385" si="83">SUBSTITUTE(LOWER(J322)," ","")</f>
        <v>furniture</v>
      </c>
      <c r="L322" s="46" t="s">
        <v>139</v>
      </c>
      <c r="M322" s="37" t="str">
        <f t="shared" ref="M322:M385" si="84">SUBSTITUTE(LOWER(L322)," ","")</f>
        <v>north</v>
      </c>
      <c r="N322" s="46" t="s">
        <v>113</v>
      </c>
      <c r="O322" s="41" t="str">
        <f t="shared" ref="O322:O385" si="85">IF(OR(D322="",M322=""),"",IF(D322=M322,"No","Yes"))</f>
        <v>Yes</v>
      </c>
      <c r="P322" s="49">
        <v>49.7</v>
      </c>
      <c r="Q322" s="49">
        <v>887</v>
      </c>
      <c r="R322" s="42">
        <f t="shared" ref="R322:R385" si="86">IF(OR(Q322="",P322="",P322=0),"",Q322/P322)</f>
        <v>17.8470824949698</v>
      </c>
      <c r="S322" s="46">
        <v>8</v>
      </c>
      <c r="T322" s="46" t="s">
        <v>359</v>
      </c>
      <c r="U322" s="43" t="str">
        <f t="shared" ref="U322:U385" si="87">SUBSTITUTE(LOWER(T322)," ","")</f>
        <v>2024-03-05</v>
      </c>
      <c r="V322" s="43">
        <f t="shared" ref="V322:V385" si="88">DATEVALUE(TEXT(U322,"yyyy-mm-dd"))</f>
        <v>45356</v>
      </c>
      <c r="W322" s="44">
        <f t="array" ref="W322">_xlfn.IFS(TRIM(C322)="","",TRIM(V322)="","",TRUE,V322-C322)</f>
        <v>8</v>
      </c>
      <c r="X322" s="37">
        <f t="shared" ref="X322:X385" si="89">IF(OR(W322="",S322=""),"",W322-S322)</f>
        <v>0</v>
      </c>
      <c r="Y322" s="46" t="s">
        <v>219</v>
      </c>
      <c r="Z322" s="37" t="str">
        <f t="shared" ref="Z322:Z385" si="90">SUBSTITUTE(LOWER(Y322)," ","")</f>
        <v>delivered</v>
      </c>
      <c r="AA322" s="37" t="str">
        <f t="shared" ref="AA322:AA385" si="91">IF(Z322="In-Transit","N/A",IF(X322="","",IF(X322&gt;0,"Late","On Time")))</f>
        <v>On Time</v>
      </c>
      <c r="AB322" s="37" t="str">
        <f t="shared" si="78"/>
        <v>0</v>
      </c>
      <c r="AC322" s="37">
        <f t="shared" si="79"/>
        <v>0</v>
      </c>
      <c r="AD322" s="45">
        <f t="shared" si="77"/>
        <v>0.511811023622047</v>
      </c>
      <c r="AE322" s="46">
        <v>4</v>
      </c>
      <c r="AF322" s="46" t="s">
        <v>118</v>
      </c>
      <c r="AG322" s="37" t="str">
        <f t="shared" ref="AG322:AG385" si="92">SUBSTITUTE(LOWER(AF322)," ","")</f>
        <v>no</v>
      </c>
      <c r="AH322" s="37" t="str">
        <f t="array" ref="AH322">_xlfn.IFS(LOWER(AG322)="n","no",LOWER(AG322)="y","yes",TRUE,LOWER(AG322))</f>
        <v>no</v>
      </c>
      <c r="AI322" s="46" t="s">
        <v>4692</v>
      </c>
    </row>
    <row r="323" spans="1:35">
      <c r="A323" s="37" t="s">
        <v>1563</v>
      </c>
      <c r="B323" s="38">
        <v>45363</v>
      </c>
      <c r="C323" s="39">
        <f t="shared" si="80"/>
        <v>45363</v>
      </c>
      <c r="D323" s="40" t="s">
        <v>424</v>
      </c>
      <c r="E323" s="37" t="str" cm="1">
        <f t="array" ref="E323">_xlfn.IFS(D323="delhi","north",D323="mumbai","west",D323="bengaluru","south",D323="chennai","south",D323="kolkata","east",TRUE,"west")</f>
        <v>south</v>
      </c>
      <c r="F323" s="37" t="s">
        <v>270</v>
      </c>
      <c r="G323" s="37" t="str">
        <f t="shared" si="81"/>
        <v>ecomexpress</v>
      </c>
      <c r="H323" s="37" t="s">
        <v>99</v>
      </c>
      <c r="I323" s="37" t="str">
        <f t="shared" si="82"/>
        <v>air</v>
      </c>
      <c r="J323" s="37" t="s">
        <v>100</v>
      </c>
      <c r="K323" s="37" t="str">
        <f t="shared" si="83"/>
        <v>electronics</v>
      </c>
      <c r="L323" s="37" t="s">
        <v>380</v>
      </c>
      <c r="M323" s="37" t="str">
        <f t="shared" si="84"/>
        <v>east</v>
      </c>
      <c r="N323" s="37" t="s">
        <v>126</v>
      </c>
      <c r="O323" s="41" t="str">
        <f t="shared" si="85"/>
        <v>Yes</v>
      </c>
      <c r="P323" s="41">
        <v>9.5</v>
      </c>
      <c r="Q323" s="41" t="s">
        <v>1566</v>
      </c>
      <c r="R323" s="42">
        <f t="shared" si="86"/>
        <v>61.2631578947368</v>
      </c>
      <c r="S323" s="37">
        <v>4</v>
      </c>
      <c r="T323" s="37" t="s">
        <v>661</v>
      </c>
      <c r="U323" s="43" t="str">
        <f t="shared" si="87"/>
        <v>2024-03-21</v>
      </c>
      <c r="V323" s="43">
        <f t="shared" si="88"/>
        <v>45372</v>
      </c>
      <c r="W323" s="44">
        <f t="array" ref="W323">_xlfn.IFS(TRIM(C323)="","",TRIM(V323)="","",TRUE,V323-C323)</f>
        <v>9</v>
      </c>
      <c r="X323" s="37">
        <f t="shared" si="89"/>
        <v>5</v>
      </c>
      <c r="Y323" s="37" t="s">
        <v>172</v>
      </c>
      <c r="Z323" s="37" t="str">
        <f t="shared" si="90"/>
        <v>delayed</v>
      </c>
      <c r="AA323" s="37" t="str">
        <f t="shared" si="91"/>
        <v>Late</v>
      </c>
      <c r="AB323" s="37" t="str">
        <f t="shared" si="78"/>
        <v>1</v>
      </c>
      <c r="AC323" s="37">
        <f t="shared" si="79"/>
        <v>1</v>
      </c>
      <c r="AD323" s="45">
        <f t="shared" ref="AD323:AD386" si="93">COUNTIF(AC323:AC1922,1)/COUNT(AC323:AC1922)</f>
        <v>0.512214342001576</v>
      </c>
      <c r="AE323" s="37">
        <v>2</v>
      </c>
      <c r="AF323" s="37" t="s">
        <v>152</v>
      </c>
      <c r="AG323" s="37" t="str">
        <f t="shared" si="92"/>
        <v>no</v>
      </c>
      <c r="AH323" s="37" t="str">
        <f t="array" ref="AH323">_xlfn.IFS(LOWER(AG323)="n","no",LOWER(AG323)="y","yes",TRUE,LOWER(AG323))</f>
        <v>no</v>
      </c>
      <c r="AI323" s="37" t="s">
        <v>4692</v>
      </c>
    </row>
    <row r="324" spans="1:35">
      <c r="A324" s="46" t="s">
        <v>1567</v>
      </c>
      <c r="B324" s="47">
        <v>45422</v>
      </c>
      <c r="C324" s="39">
        <f t="shared" si="80"/>
        <v>45422</v>
      </c>
      <c r="D324" s="48" t="s">
        <v>109</v>
      </c>
      <c r="E324" s="37" t="str" cm="1">
        <f t="array" ref="E324">_xlfn.IFS(D324="delhi","north",D324="mumbai","west",D324="bengaluru","south",D324="chennai","south",D324="kolkata","east",TRUE,"west")</f>
        <v>west</v>
      </c>
      <c r="F324" s="46" t="s">
        <v>230</v>
      </c>
      <c r="G324" s="37" t="str">
        <f t="shared" si="81"/>
        <v>dtdc</v>
      </c>
      <c r="H324" s="46" t="s">
        <v>195</v>
      </c>
      <c r="I324" s="37" t="str">
        <f t="shared" si="82"/>
        <v>road</v>
      </c>
      <c r="J324" s="46" t="s">
        <v>47</v>
      </c>
      <c r="K324" s="37" t="str">
        <f t="shared" si="83"/>
        <v>electronics</v>
      </c>
      <c r="L324" s="46" t="s">
        <v>89</v>
      </c>
      <c r="M324" s="37" t="str">
        <f t="shared" si="84"/>
        <v>west</v>
      </c>
      <c r="N324" s="46" t="s">
        <v>88</v>
      </c>
      <c r="O324" s="41" t="str">
        <f t="shared" si="85"/>
        <v>Yes</v>
      </c>
      <c r="P324" s="49">
        <v>2</v>
      </c>
      <c r="Q324" s="49">
        <v>80</v>
      </c>
      <c r="R324" s="42">
        <f t="shared" si="86"/>
        <v>40</v>
      </c>
      <c r="S324" s="46">
        <v>6</v>
      </c>
      <c r="T324" s="46" t="s">
        <v>720</v>
      </c>
      <c r="U324" s="43" t="str">
        <f t="shared" si="87"/>
        <v>2024-05-21</v>
      </c>
      <c r="V324" s="43">
        <f t="shared" si="88"/>
        <v>45433</v>
      </c>
      <c r="W324" s="44">
        <f t="array" ref="W324">_xlfn.IFS(TRIM(C324)="","",TRIM(V324)="","",TRUE,V324-C324)</f>
        <v>11</v>
      </c>
      <c r="X324" s="37">
        <f t="shared" si="89"/>
        <v>5</v>
      </c>
      <c r="Y324" s="46" t="s">
        <v>1513</v>
      </c>
      <c r="Z324" s="37" t="str">
        <f t="shared" si="90"/>
        <v>damaged</v>
      </c>
      <c r="AA324" s="37" t="str">
        <f t="shared" si="91"/>
        <v>Late</v>
      </c>
      <c r="AB324" s="37" t="str">
        <f t="shared" si="78"/>
        <v>1</v>
      </c>
      <c r="AC324" s="37">
        <f t="shared" si="79"/>
        <v>1</v>
      </c>
      <c r="AD324" s="45">
        <f t="shared" si="93"/>
        <v>0.511829652996845</v>
      </c>
      <c r="AE324" s="46"/>
      <c r="AF324" s="46" t="s">
        <v>79</v>
      </c>
      <c r="AG324" s="37" t="str">
        <f t="shared" si="92"/>
        <v>yes</v>
      </c>
      <c r="AH324" s="37" t="str">
        <f t="array" ref="AH324">_xlfn.IFS(LOWER(AG324)="n","no",LOWER(AG324)="y","yes",TRUE,LOWER(AG324))</f>
        <v>yes</v>
      </c>
      <c r="AI324" s="46" t="s">
        <v>132</v>
      </c>
    </row>
    <row r="325" spans="1:35">
      <c r="A325" s="37" t="s">
        <v>1569</v>
      </c>
      <c r="B325" s="38">
        <v>45389</v>
      </c>
      <c r="C325" s="39">
        <f t="shared" si="80"/>
        <v>45389</v>
      </c>
      <c r="D325" s="40" t="s">
        <v>366</v>
      </c>
      <c r="E325" s="37" t="str" cm="1">
        <f t="array" ref="E325">_xlfn.IFS(D325="delhi","north",D325="mumbai","west",D325="bengaluru","south",D325="chennai","south",D325="kolkata","east",TRUE,"west")</f>
        <v>east</v>
      </c>
      <c r="F325" s="37" t="s">
        <v>544</v>
      </c>
      <c r="G325" s="37" t="str">
        <f t="shared" si="81"/>
        <v>bluedart</v>
      </c>
      <c r="H325" s="37" t="s">
        <v>110</v>
      </c>
      <c r="I325" s="37" t="str">
        <f t="shared" si="82"/>
        <v>surface</v>
      </c>
      <c r="J325" s="37" t="s">
        <v>430</v>
      </c>
      <c r="K325" s="37" t="str">
        <f t="shared" si="83"/>
        <v>pharma</v>
      </c>
      <c r="L325" s="37" t="s">
        <v>346</v>
      </c>
      <c r="M325" s="37" t="str">
        <f t="shared" si="84"/>
        <v>north</v>
      </c>
      <c r="N325" s="37" t="s">
        <v>32</v>
      </c>
      <c r="O325" s="41" t="str">
        <f t="shared" si="85"/>
        <v>Yes</v>
      </c>
      <c r="P325" s="41" t="s">
        <v>529</v>
      </c>
      <c r="Q325" s="41">
        <v>199</v>
      </c>
      <c r="R325" s="42">
        <f t="shared" si="86"/>
        <v>124.375</v>
      </c>
      <c r="S325" s="37">
        <v>6</v>
      </c>
      <c r="T325" s="37" t="s">
        <v>1571</v>
      </c>
      <c r="U325" s="43" t="str">
        <f t="shared" si="87"/>
        <v>22-apr-2024</v>
      </c>
      <c r="V325" s="43">
        <f t="shared" si="88"/>
        <v>45404</v>
      </c>
      <c r="W325" s="44">
        <f t="array" ref="W325">_xlfn.IFS(TRIM(C325)="","",TRIM(V325)="","",TRUE,V325-C325)</f>
        <v>15</v>
      </c>
      <c r="X325" s="37">
        <f t="shared" si="89"/>
        <v>9</v>
      </c>
      <c r="Y325" s="37" t="s">
        <v>72</v>
      </c>
      <c r="Z325" s="37" t="str">
        <f t="shared" si="90"/>
        <v>delayed</v>
      </c>
      <c r="AA325" s="37" t="str">
        <f t="shared" si="91"/>
        <v>Late</v>
      </c>
      <c r="AB325" s="37" t="str">
        <f t="shared" si="78"/>
        <v>1</v>
      </c>
      <c r="AC325" s="37">
        <f t="shared" si="79"/>
        <v>1</v>
      </c>
      <c r="AD325" s="45">
        <f t="shared" si="93"/>
        <v>0.511444356748224</v>
      </c>
      <c r="AE325" s="37">
        <v>1</v>
      </c>
      <c r="AF325" s="37" t="s">
        <v>152</v>
      </c>
      <c r="AG325" s="37" t="str">
        <f t="shared" si="92"/>
        <v>no</v>
      </c>
      <c r="AH325" s="37" t="str">
        <f t="array" ref="AH325">_xlfn.IFS(LOWER(AG325)="n","no",LOWER(AG325)="y","yes",TRUE,LOWER(AG325))</f>
        <v>no</v>
      </c>
      <c r="AI325" s="37" t="s">
        <v>4692</v>
      </c>
    </row>
    <row r="326" spans="1:35">
      <c r="A326" s="46" t="s">
        <v>1572</v>
      </c>
      <c r="B326" s="47" t="s">
        <v>4768</v>
      </c>
      <c r="C326" s="39">
        <f t="shared" si="80"/>
        <v>45294</v>
      </c>
      <c r="D326" s="48" t="s">
        <v>366</v>
      </c>
      <c r="E326" s="37" t="str" cm="1">
        <f t="array" ref="E326">_xlfn.IFS(D326="delhi","north",D326="mumbai","west",D326="bengaluru","south",D326="chennai","south",D326="kolkata","east",TRUE,"west")</f>
        <v>east</v>
      </c>
      <c r="F326" s="46" t="s">
        <v>312</v>
      </c>
      <c r="G326" s="37" t="str">
        <f t="shared" si="81"/>
        <v>bluedart</v>
      </c>
      <c r="H326" s="46" t="s">
        <v>440</v>
      </c>
      <c r="I326" s="37" t="str">
        <f t="shared" si="82"/>
        <v>road</v>
      </c>
      <c r="J326" s="46" t="s">
        <v>353</v>
      </c>
      <c r="K326" s="37" t="str">
        <f t="shared" si="83"/>
        <v>automotiveparts</v>
      </c>
      <c r="L326" s="46" t="s">
        <v>197</v>
      </c>
      <c r="M326" s="37" t="str">
        <f t="shared" si="84"/>
        <v>south</v>
      </c>
      <c r="N326" s="46" t="s">
        <v>93</v>
      </c>
      <c r="O326" s="41" t="str">
        <f t="shared" si="85"/>
        <v>Yes</v>
      </c>
      <c r="P326" s="49">
        <v>15.5</v>
      </c>
      <c r="Q326" s="49">
        <v>379</v>
      </c>
      <c r="R326" s="42">
        <f t="shared" si="86"/>
        <v>24.4516129032258</v>
      </c>
      <c r="S326" s="46">
        <v>8</v>
      </c>
      <c r="T326" s="46" t="s">
        <v>851</v>
      </c>
      <c r="U326" s="43" t="str">
        <f t="shared" si="87"/>
        <v>10/01/2024</v>
      </c>
      <c r="V326" s="43">
        <f t="shared" si="88"/>
        <v>45301</v>
      </c>
      <c r="W326" s="44">
        <f t="array" ref="W326">_xlfn.IFS(TRIM(C326)="","",TRIM(V326)="","",TRUE,V326-C326)</f>
        <v>7</v>
      </c>
      <c r="X326" s="37">
        <f t="shared" si="89"/>
        <v>-1</v>
      </c>
      <c r="Y326" s="46" t="s">
        <v>163</v>
      </c>
      <c r="Z326" s="37" t="str">
        <f t="shared" si="90"/>
        <v>delivered</v>
      </c>
      <c r="AA326" s="37" t="str">
        <f t="shared" si="91"/>
        <v>On Time</v>
      </c>
      <c r="AB326" s="37" t="str">
        <f t="shared" ref="AB326:AB389" si="94">IF(Z326="In-Transit","N/A",IF(X326="","",IF(X326&gt;0,"1","0")))</f>
        <v>0</v>
      </c>
      <c r="AC326" s="37">
        <f t="shared" si="79"/>
        <v>0</v>
      </c>
      <c r="AD326" s="45">
        <f t="shared" si="93"/>
        <v>0.511058451816746</v>
      </c>
      <c r="AE326" s="46">
        <v>5</v>
      </c>
      <c r="AF326" s="46" t="s">
        <v>131</v>
      </c>
      <c r="AG326" s="37" t="str">
        <f t="shared" si="92"/>
        <v>n</v>
      </c>
      <c r="AH326" s="37" t="str">
        <f t="array" ref="AH326">_xlfn.IFS(LOWER(AG326)="n","no",LOWER(AG326)="y","yes",TRUE,LOWER(AG326))</f>
        <v>no</v>
      </c>
      <c r="AI326" s="46" t="s">
        <v>4692</v>
      </c>
    </row>
    <row r="327" spans="1:35">
      <c r="A327" s="37" t="s">
        <v>1575</v>
      </c>
      <c r="B327" s="38">
        <v>45454</v>
      </c>
      <c r="C327" s="39">
        <f t="shared" si="80"/>
        <v>45454</v>
      </c>
      <c r="D327" s="40" t="s">
        <v>633</v>
      </c>
      <c r="E327" s="37" t="str" cm="1">
        <f t="array" ref="E327">_xlfn.IFS(D327="delhi","north",D327="mumbai","west",D327="bengaluru","south",D327="chennai","south",D327="kolkata","east",TRUE,"west")</f>
        <v>south</v>
      </c>
      <c r="F327" s="37" t="s">
        <v>156</v>
      </c>
      <c r="G327" s="37" t="str">
        <f t="shared" si="81"/>
        <v>xpressbees</v>
      </c>
      <c r="H327" s="37" t="s">
        <v>99</v>
      </c>
      <c r="I327" s="37" t="str">
        <f t="shared" si="82"/>
        <v>air</v>
      </c>
      <c r="J327" s="37" t="s">
        <v>313</v>
      </c>
      <c r="K327" s="37" t="str">
        <f t="shared" si="83"/>
        <v>automotiveparts</v>
      </c>
      <c r="L327" s="37" t="s">
        <v>380</v>
      </c>
      <c r="M327" s="37" t="str">
        <f t="shared" si="84"/>
        <v>east</v>
      </c>
      <c r="N327" s="37" t="s">
        <v>294</v>
      </c>
      <c r="O327" s="41" t="str">
        <f t="shared" si="85"/>
        <v>Yes</v>
      </c>
      <c r="P327" s="41">
        <v>18</v>
      </c>
      <c r="Q327" s="41">
        <v>990</v>
      </c>
      <c r="R327" s="42">
        <f t="shared" si="86"/>
        <v>55</v>
      </c>
      <c r="S327" s="37">
        <v>4</v>
      </c>
      <c r="T327" s="37" t="s">
        <v>116</v>
      </c>
      <c r="U327" s="43" t="str">
        <f t="shared" si="87"/>
        <v>2024-06-16</v>
      </c>
      <c r="V327" s="43">
        <f t="shared" si="88"/>
        <v>45459</v>
      </c>
      <c r="W327" s="44">
        <f t="array" ref="W327">_xlfn.IFS(TRIM(C327)="","",TRIM(V327)="","",TRUE,V327-C327)</f>
        <v>5</v>
      </c>
      <c r="X327" s="37">
        <f t="shared" si="89"/>
        <v>1</v>
      </c>
      <c r="Y327" s="37" t="s">
        <v>143</v>
      </c>
      <c r="Z327" s="37" t="str">
        <f t="shared" si="90"/>
        <v>delayed</v>
      </c>
      <c r="AA327" s="37" t="str">
        <f t="shared" si="91"/>
        <v>Late</v>
      </c>
      <c r="AB327" s="37" t="str">
        <f t="shared" si="94"/>
        <v>1</v>
      </c>
      <c r="AC327" s="37">
        <f t="shared" ref="AC327:AC390" si="95">IF(TRIM(AB327&amp;"")="","",VALUE(TRIM(AB327&amp;"")))</f>
        <v>1</v>
      </c>
      <c r="AD327" s="45">
        <f t="shared" si="93"/>
        <v>0.511462450592885</v>
      </c>
      <c r="AE327" s="37">
        <v>4</v>
      </c>
      <c r="AF327" s="37" t="s">
        <v>286</v>
      </c>
      <c r="AG327" s="37" t="str">
        <f t="shared" si="92"/>
        <v>yes</v>
      </c>
      <c r="AH327" s="37" t="str">
        <f t="array" ref="AH327">_xlfn.IFS(LOWER(AG327)="n","no",LOWER(AG327)="y","yes",TRUE,LOWER(AG327))</f>
        <v>yes</v>
      </c>
      <c r="AI327" s="37" t="s">
        <v>4692</v>
      </c>
    </row>
    <row r="328" spans="1:35">
      <c r="A328" s="46" t="s">
        <v>1578</v>
      </c>
      <c r="B328" s="47">
        <v>45341</v>
      </c>
      <c r="C328" s="39">
        <f t="shared" si="80"/>
        <v>45341</v>
      </c>
      <c r="D328" s="48" t="s">
        <v>109</v>
      </c>
      <c r="E328" s="37" t="str" cm="1">
        <f t="array" ref="E328">_xlfn.IFS(D328="delhi","north",D328="mumbai","west",D328="bengaluru","south",D328="chennai","south",D328="kolkata","east",TRUE,"west")</f>
        <v>west</v>
      </c>
      <c r="F328" s="46" t="s">
        <v>544</v>
      </c>
      <c r="G328" s="37" t="str">
        <f t="shared" si="81"/>
        <v>bluedart</v>
      </c>
      <c r="H328" s="46" t="s">
        <v>42</v>
      </c>
      <c r="I328" s="37" t="str">
        <f t="shared" si="82"/>
        <v>surface</v>
      </c>
      <c r="J328" s="46" t="s">
        <v>664</v>
      </c>
      <c r="K328" s="37" t="str">
        <f t="shared" si="83"/>
        <v>grocery&amp;fmcg</v>
      </c>
      <c r="L328" s="46" t="s">
        <v>346</v>
      </c>
      <c r="M328" s="37" t="str">
        <f t="shared" si="84"/>
        <v>north</v>
      </c>
      <c r="N328" s="46" t="s">
        <v>32</v>
      </c>
      <c r="O328" s="41" t="str">
        <f t="shared" si="85"/>
        <v>Yes</v>
      </c>
      <c r="P328" s="49">
        <v>2.1</v>
      </c>
      <c r="Q328" s="49" t="s">
        <v>1580</v>
      </c>
      <c r="R328" s="42">
        <f t="shared" si="86"/>
        <v>109.047619047619</v>
      </c>
      <c r="S328" s="46">
        <v>6</v>
      </c>
      <c r="T328" s="46" t="s">
        <v>831</v>
      </c>
      <c r="U328" s="43" t="str">
        <f t="shared" si="87"/>
        <v>25/02/2024</v>
      </c>
      <c r="V328" s="43">
        <f t="shared" si="88"/>
        <v>45347</v>
      </c>
      <c r="W328" s="44">
        <f t="array" ref="W328">_xlfn.IFS(TRIM(C328)="","",TRIM(V328)="","",TRUE,V328-C328)</f>
        <v>6</v>
      </c>
      <c r="X328" s="37">
        <f t="shared" si="89"/>
        <v>0</v>
      </c>
      <c r="Y328" s="46" t="s">
        <v>219</v>
      </c>
      <c r="Z328" s="37" t="str">
        <f t="shared" si="90"/>
        <v>delivered</v>
      </c>
      <c r="AA328" s="37" t="str">
        <f t="shared" si="91"/>
        <v>On Time</v>
      </c>
      <c r="AB328" s="37" t="str">
        <f t="shared" si="94"/>
        <v>0</v>
      </c>
      <c r="AC328" s="37">
        <f t="shared" si="95"/>
        <v>0</v>
      </c>
      <c r="AD328" s="45">
        <f t="shared" si="93"/>
        <v>0.511075949367089</v>
      </c>
      <c r="AE328" s="46">
        <v>5</v>
      </c>
      <c r="AF328" s="46" t="s">
        <v>118</v>
      </c>
      <c r="AG328" s="37" t="str">
        <f t="shared" si="92"/>
        <v>no</v>
      </c>
      <c r="AH328" s="37" t="str">
        <f t="array" ref="AH328">_xlfn.IFS(LOWER(AG328)="n","no",LOWER(AG328)="y","yes",TRUE,LOWER(AG328))</f>
        <v>no</v>
      </c>
      <c r="AI328" s="46" t="s">
        <v>4692</v>
      </c>
    </row>
    <row r="329" spans="1:35">
      <c r="A329" s="37" t="s">
        <v>1581</v>
      </c>
      <c r="B329" s="38">
        <v>45452</v>
      </c>
      <c r="C329" s="39">
        <f t="shared" si="80"/>
        <v>45452</v>
      </c>
      <c r="D329" s="40" t="s">
        <v>4699</v>
      </c>
      <c r="E329" s="37" t="str" cm="1">
        <f t="array" ref="E329">_xlfn.IFS(D329="delhi","north",D329="mumbai","west",D329="bengaluru","south",D329="chennai","south",D329="kolkata","east",TRUE,"west")</f>
        <v>west</v>
      </c>
      <c r="F329" s="37" t="s">
        <v>352</v>
      </c>
      <c r="G329" s="37" t="str">
        <f t="shared" si="81"/>
        <v>delhivery</v>
      </c>
      <c r="H329" s="37" t="s">
        <v>224</v>
      </c>
      <c r="I329" s="37" t="str">
        <f t="shared" si="82"/>
        <v>air</v>
      </c>
      <c r="J329" s="37" t="s">
        <v>313</v>
      </c>
      <c r="K329" s="37" t="str">
        <f t="shared" si="83"/>
        <v>automotiveparts</v>
      </c>
      <c r="L329" s="37" t="s">
        <v>257</v>
      </c>
      <c r="M329" s="37" t="str">
        <f t="shared" si="84"/>
        <v>west</v>
      </c>
      <c r="N329" s="37" t="s">
        <v>278</v>
      </c>
      <c r="O329" s="41" t="str">
        <f t="shared" si="85"/>
        <v>Yes</v>
      </c>
      <c r="P329" s="41">
        <v>16.3</v>
      </c>
      <c r="Q329" s="41">
        <v>745</v>
      </c>
      <c r="R329" s="42">
        <f t="shared" si="86"/>
        <v>45.7055214723926</v>
      </c>
      <c r="S329" s="37">
        <v>2</v>
      </c>
      <c r="T329" s="37" t="s">
        <v>1131</v>
      </c>
      <c r="U329" s="43" t="str">
        <f t="shared" si="87"/>
        <v>11-jun-2024</v>
      </c>
      <c r="V329" s="43">
        <f t="shared" si="88"/>
        <v>45454</v>
      </c>
      <c r="W329" s="44">
        <f t="array" ref="W329">_xlfn.IFS(TRIM(C329)="","",TRIM(V329)="","",TRUE,V329-C329)</f>
        <v>2</v>
      </c>
      <c r="X329" s="37">
        <f t="shared" si="89"/>
        <v>0</v>
      </c>
      <c r="Y329" s="37" t="s">
        <v>105</v>
      </c>
      <c r="Z329" s="37" t="str">
        <f t="shared" si="90"/>
        <v>delivered</v>
      </c>
      <c r="AA329" s="37" t="str">
        <f t="shared" si="91"/>
        <v>On Time</v>
      </c>
      <c r="AB329" s="37" t="str">
        <f t="shared" si="94"/>
        <v>0</v>
      </c>
      <c r="AC329" s="37">
        <f t="shared" si="95"/>
        <v>0</v>
      </c>
      <c r="AD329" s="45">
        <f t="shared" si="93"/>
        <v>0.511480601741884</v>
      </c>
      <c r="AE329" s="37">
        <v>4</v>
      </c>
      <c r="AF329" s="37" t="s">
        <v>286</v>
      </c>
      <c r="AG329" s="37" t="str">
        <f t="shared" si="92"/>
        <v>yes</v>
      </c>
      <c r="AH329" s="37" t="str">
        <f t="array" ref="AH329">_xlfn.IFS(LOWER(AG329)="n","no",LOWER(AG329)="y","yes",TRUE,LOWER(AG329))</f>
        <v>yes</v>
      </c>
      <c r="AI329" s="37" t="s">
        <v>4692</v>
      </c>
    </row>
    <row r="330" spans="1:35">
      <c r="A330" s="46" t="s">
        <v>1585</v>
      </c>
      <c r="B330" s="47">
        <v>45419</v>
      </c>
      <c r="C330" s="39">
        <f t="shared" si="80"/>
        <v>45419</v>
      </c>
      <c r="D330" s="48" t="s">
        <v>4695</v>
      </c>
      <c r="E330" s="37" t="str" cm="1">
        <f t="array" ref="E330">_xlfn.IFS(D330="delhi","north",D330="mumbai","west",D330="bengaluru","south",D330="chennai","south",D330="kolkata","east",TRUE,"west")</f>
        <v>west</v>
      </c>
      <c r="F330" s="46" t="s">
        <v>156</v>
      </c>
      <c r="G330" s="37" t="str">
        <f t="shared" si="81"/>
        <v>xpressbees</v>
      </c>
      <c r="H330" s="46" t="s">
        <v>185</v>
      </c>
      <c r="I330" s="37" t="str">
        <f t="shared" si="82"/>
        <v>surface</v>
      </c>
      <c r="J330" s="46" t="s">
        <v>167</v>
      </c>
      <c r="K330" s="37" t="str">
        <f t="shared" si="83"/>
        <v>pharma</v>
      </c>
      <c r="L330" s="46" t="s">
        <v>87</v>
      </c>
      <c r="M330" s="37" t="str">
        <f t="shared" si="84"/>
        <v>north</v>
      </c>
      <c r="N330" s="46" t="s">
        <v>32</v>
      </c>
      <c r="O330" s="41" t="str">
        <f t="shared" si="85"/>
        <v>Yes</v>
      </c>
      <c r="P330" s="49">
        <v>2.8</v>
      </c>
      <c r="Q330" s="49">
        <v>232</v>
      </c>
      <c r="R330" s="42">
        <f t="shared" si="86"/>
        <v>82.8571428571429</v>
      </c>
      <c r="S330" s="46">
        <v>6</v>
      </c>
      <c r="T330" s="46" t="s">
        <v>1588</v>
      </c>
      <c r="U330" s="43" t="str">
        <f t="shared" si="87"/>
        <v>14-may-2024</v>
      </c>
      <c r="V330" s="43">
        <f t="shared" si="88"/>
        <v>45426</v>
      </c>
      <c r="W330" s="44">
        <f t="array" ref="W330">_xlfn.IFS(TRIM(C330)="","",TRIM(V330)="","",TRUE,V330-C330)</f>
        <v>7</v>
      </c>
      <c r="X330" s="37">
        <f t="shared" si="89"/>
        <v>1</v>
      </c>
      <c r="Y330" s="46" t="s">
        <v>143</v>
      </c>
      <c r="Z330" s="37" t="str">
        <f t="shared" si="90"/>
        <v>delayed</v>
      </c>
      <c r="AA330" s="37" t="str">
        <f t="shared" si="91"/>
        <v>Late</v>
      </c>
      <c r="AB330" s="37" t="str">
        <f t="shared" si="94"/>
        <v>1</v>
      </c>
      <c r="AC330" s="37">
        <f t="shared" si="95"/>
        <v>1</v>
      </c>
      <c r="AD330" s="45">
        <f t="shared" si="93"/>
        <v>0.51188589540412</v>
      </c>
      <c r="AE330" s="46">
        <v>1</v>
      </c>
      <c r="AF330" s="46" t="s">
        <v>118</v>
      </c>
      <c r="AG330" s="37" t="str">
        <f t="shared" si="92"/>
        <v>no</v>
      </c>
      <c r="AH330" s="37" t="str">
        <f t="array" ref="AH330">_xlfn.IFS(LOWER(AG330)="n","no",LOWER(AG330)="y","yes",TRUE,LOWER(AG330))</f>
        <v>no</v>
      </c>
      <c r="AI330" s="46" t="s">
        <v>4692</v>
      </c>
    </row>
    <row r="331" spans="1:35">
      <c r="A331" s="37" t="s">
        <v>1589</v>
      </c>
      <c r="B331" s="38">
        <v>45378</v>
      </c>
      <c r="C331" s="39">
        <f t="shared" si="80"/>
        <v>45378</v>
      </c>
      <c r="D331" s="40" t="s">
        <v>109</v>
      </c>
      <c r="E331" s="37" t="str" cm="1">
        <f t="array" ref="E331">_xlfn.IFS(D331="delhi","north",D331="mumbai","west",D331="bengaluru","south",D331="chennai","south",D331="kolkata","east",TRUE,"west")</f>
        <v>west</v>
      </c>
      <c r="F331" s="37" t="s">
        <v>146</v>
      </c>
      <c r="G331" s="37" t="str">
        <f t="shared" si="81"/>
        <v>ecomexpress</v>
      </c>
      <c r="H331" s="37" t="s">
        <v>345</v>
      </c>
      <c r="I331" s="37" t="str">
        <f t="shared" si="82"/>
        <v>surface</v>
      </c>
      <c r="J331" s="37" t="s">
        <v>353</v>
      </c>
      <c r="K331" s="37" t="str">
        <f t="shared" si="83"/>
        <v>automotiveparts</v>
      </c>
      <c r="L331" s="37" t="s">
        <v>112</v>
      </c>
      <c r="M331" s="37" t="str">
        <f t="shared" si="84"/>
        <v>north</v>
      </c>
      <c r="N331" s="37" t="s">
        <v>32</v>
      </c>
      <c r="O331" s="41" t="str">
        <f t="shared" si="85"/>
        <v>Yes</v>
      </c>
      <c r="P331" s="41">
        <v>39.7</v>
      </c>
      <c r="Q331" s="50">
        <v>1048</v>
      </c>
      <c r="R331" s="42">
        <f t="shared" si="86"/>
        <v>26.3979848866499</v>
      </c>
      <c r="S331" s="37">
        <v>6</v>
      </c>
      <c r="T331" s="37" t="s">
        <v>1592</v>
      </c>
      <c r="U331" s="43" t="str">
        <f t="shared" si="87"/>
        <v>03/04/2024</v>
      </c>
      <c r="V331" s="43">
        <f t="shared" si="88"/>
        <v>45385</v>
      </c>
      <c r="W331" s="44">
        <f t="array" ref="W331">_xlfn.IFS(TRIM(C331)="","",TRIM(V331)="","",TRUE,V331-C331)</f>
        <v>7</v>
      </c>
      <c r="X331" s="37">
        <f t="shared" si="89"/>
        <v>1</v>
      </c>
      <c r="Y331" s="37" t="s">
        <v>143</v>
      </c>
      <c r="Z331" s="37" t="str">
        <f t="shared" si="90"/>
        <v>delayed</v>
      </c>
      <c r="AA331" s="37" t="str">
        <f t="shared" si="91"/>
        <v>Late</v>
      </c>
      <c r="AB331" s="37" t="str">
        <f t="shared" si="94"/>
        <v>1</v>
      </c>
      <c r="AC331" s="37">
        <f t="shared" si="95"/>
        <v>1</v>
      </c>
      <c r="AD331" s="45">
        <f t="shared" si="93"/>
        <v>0.511498810467883</v>
      </c>
      <c r="AE331" s="37">
        <v>2</v>
      </c>
      <c r="AF331" s="37" t="s">
        <v>286</v>
      </c>
      <c r="AG331" s="37" t="str">
        <f t="shared" si="92"/>
        <v>yes</v>
      </c>
      <c r="AH331" s="37" t="str">
        <f t="array" ref="AH331">_xlfn.IFS(LOWER(AG331)="n","no",LOWER(AG331)="y","yes",TRUE,LOWER(AG331))</f>
        <v>yes</v>
      </c>
      <c r="AI331" s="37" t="s">
        <v>4692</v>
      </c>
    </row>
    <row r="332" spans="1:35">
      <c r="A332" s="46" t="s">
        <v>1593</v>
      </c>
      <c r="B332" s="47" t="s">
        <v>4753</v>
      </c>
      <c r="C332" s="39">
        <f t="shared" si="80"/>
        <v>45397</v>
      </c>
      <c r="D332" s="48" t="s">
        <v>212</v>
      </c>
      <c r="E332" s="37" t="str" cm="1">
        <f t="array" ref="E332">_xlfn.IFS(D332="delhi","north",D332="mumbai","west",D332="bengaluru","south",D332="chennai","south",D332="kolkata","east",TRUE,"west")</f>
        <v>west</v>
      </c>
      <c r="F332" s="46" t="s">
        <v>333</v>
      </c>
      <c r="G332" s="37" t="str">
        <f t="shared" si="81"/>
        <v>delhivery</v>
      </c>
      <c r="H332" s="46" t="s">
        <v>345</v>
      </c>
      <c r="I332" s="37" t="str">
        <f t="shared" si="82"/>
        <v>surface</v>
      </c>
      <c r="J332" s="46" t="s">
        <v>214</v>
      </c>
      <c r="K332" s="37" t="str">
        <f t="shared" si="83"/>
        <v>grocery&amp;fmcg</v>
      </c>
      <c r="L332" s="46" t="s">
        <v>380</v>
      </c>
      <c r="M332" s="37" t="str">
        <f t="shared" si="84"/>
        <v>east</v>
      </c>
      <c r="N332" s="46" t="s">
        <v>396</v>
      </c>
      <c r="O332" s="41" t="str">
        <f t="shared" si="85"/>
        <v>Yes</v>
      </c>
      <c r="P332" s="49">
        <v>3.7</v>
      </c>
      <c r="Q332" s="49">
        <v>263</v>
      </c>
      <c r="R332" s="42">
        <f t="shared" si="86"/>
        <v>71.0810810810811</v>
      </c>
      <c r="S332" s="46">
        <v>6</v>
      </c>
      <c r="T332" s="46" t="s">
        <v>1595</v>
      </c>
      <c r="U332" s="43" t="str">
        <f t="shared" si="87"/>
        <v>29-apr-2024</v>
      </c>
      <c r="V332" s="43">
        <f t="shared" si="88"/>
        <v>45411</v>
      </c>
      <c r="W332" s="44">
        <f t="array" ref="W332">_xlfn.IFS(TRIM(C332)="","",TRIM(V332)="","",TRUE,V332-C332)</f>
        <v>14</v>
      </c>
      <c r="X332" s="37">
        <f t="shared" si="89"/>
        <v>8</v>
      </c>
      <c r="Y332" s="46" t="s">
        <v>172</v>
      </c>
      <c r="Z332" s="37" t="str">
        <f t="shared" si="90"/>
        <v>delayed</v>
      </c>
      <c r="AA332" s="37" t="str">
        <f t="shared" si="91"/>
        <v>Late</v>
      </c>
      <c r="AB332" s="37" t="str">
        <f t="shared" si="94"/>
        <v>1</v>
      </c>
      <c r="AC332" s="37">
        <f t="shared" si="95"/>
        <v>1</v>
      </c>
      <c r="AD332" s="45">
        <f t="shared" si="93"/>
        <v>0.511111111111111</v>
      </c>
      <c r="AE332" s="46">
        <v>1</v>
      </c>
      <c r="AF332" s="46" t="s">
        <v>118</v>
      </c>
      <c r="AG332" s="37" t="str">
        <f t="shared" si="92"/>
        <v>no</v>
      </c>
      <c r="AH332" s="37" t="str">
        <f t="array" ref="AH332">_xlfn.IFS(LOWER(AG332)="n","no",LOWER(AG332)="y","yes",TRUE,LOWER(AG332))</f>
        <v>no</v>
      </c>
      <c r="AI332" s="46" t="s">
        <v>4692</v>
      </c>
    </row>
    <row r="333" spans="1:35">
      <c r="A333" s="37" t="s">
        <v>1596</v>
      </c>
      <c r="B333" s="38">
        <v>45360</v>
      </c>
      <c r="C333" s="39">
        <f t="shared" si="80"/>
        <v>45360</v>
      </c>
      <c r="D333" s="40" t="s">
        <v>4695</v>
      </c>
      <c r="E333" s="37" t="str" cm="1">
        <f t="array" ref="E333">_xlfn.IFS(D333="delhi","north",D333="mumbai","west",D333="bengaluru","south",D333="chennai","south",D333="kolkata","east",TRUE,"west")</f>
        <v>west</v>
      </c>
      <c r="F333" s="37" t="s">
        <v>213</v>
      </c>
      <c r="G333" s="37" t="str">
        <f t="shared" si="81"/>
        <v>dtdc</v>
      </c>
      <c r="H333" s="37" t="s">
        <v>137</v>
      </c>
      <c r="I333" s="37" t="str">
        <f t="shared" si="82"/>
        <v>road</v>
      </c>
      <c r="J333" s="37" t="s">
        <v>360</v>
      </c>
      <c r="K333" s="37" t="str">
        <f t="shared" si="83"/>
        <v>furniture</v>
      </c>
      <c r="L333" s="37" t="s">
        <v>89</v>
      </c>
      <c r="M333" s="37" t="str">
        <f t="shared" si="84"/>
        <v>west</v>
      </c>
      <c r="N333" s="37" t="s">
        <v>278</v>
      </c>
      <c r="O333" s="41" t="str">
        <f t="shared" si="85"/>
        <v>Yes</v>
      </c>
      <c r="P333" s="41">
        <v>17.5</v>
      </c>
      <c r="Q333" s="41">
        <v>227</v>
      </c>
      <c r="R333" s="42">
        <f t="shared" si="86"/>
        <v>12.9714285714286</v>
      </c>
      <c r="S333" s="37">
        <v>6</v>
      </c>
      <c r="T333" s="37" t="s">
        <v>1424</v>
      </c>
      <c r="U333" s="43" t="str">
        <f t="shared" si="87"/>
        <v>24-mar-2024</v>
      </c>
      <c r="V333" s="43">
        <f t="shared" si="88"/>
        <v>45375</v>
      </c>
      <c r="W333" s="44">
        <f t="array" ref="W333">_xlfn.IFS(TRIM(C333)="","",TRIM(V333)="","",TRUE,V333-C333)</f>
        <v>15</v>
      </c>
      <c r="X333" s="37">
        <f t="shared" si="89"/>
        <v>9</v>
      </c>
      <c r="Y333" s="37" t="s">
        <v>200</v>
      </c>
      <c r="Z333" s="37" t="str">
        <f t="shared" si="90"/>
        <v>delayed</v>
      </c>
      <c r="AA333" s="37" t="str">
        <f t="shared" si="91"/>
        <v>Late</v>
      </c>
      <c r="AB333" s="37" t="str">
        <f t="shared" si="94"/>
        <v>1</v>
      </c>
      <c r="AC333" s="37">
        <f t="shared" si="95"/>
        <v>1</v>
      </c>
      <c r="AD333" s="45">
        <f t="shared" si="93"/>
        <v>0.510722795869738</v>
      </c>
      <c r="AE333" s="37">
        <v>2</v>
      </c>
      <c r="AF333" s="37" t="s">
        <v>191</v>
      </c>
      <c r="AG333" s="37" t="str">
        <f t="shared" si="92"/>
        <v>no</v>
      </c>
      <c r="AH333" s="37" t="str">
        <f t="array" ref="AH333">_xlfn.IFS(LOWER(AG333)="n","no",LOWER(AG333)="y","yes",TRUE,LOWER(AG333))</f>
        <v>no</v>
      </c>
      <c r="AI333" s="37" t="s">
        <v>4692</v>
      </c>
    </row>
    <row r="334" spans="1:35">
      <c r="A334" s="46" t="s">
        <v>1600</v>
      </c>
      <c r="B334" s="47">
        <v>45462</v>
      </c>
      <c r="C334" s="39">
        <f t="shared" si="80"/>
        <v>45462</v>
      </c>
      <c r="D334" s="48" t="s">
        <v>109</v>
      </c>
      <c r="E334" s="37" t="str" cm="1">
        <f t="array" ref="E334">_xlfn.IFS(D334="delhi","north",D334="mumbai","west",D334="bengaluru","south",D334="chennai","south",D334="kolkata","east",TRUE,"west")</f>
        <v>west</v>
      </c>
      <c r="F334" s="46" t="s">
        <v>367</v>
      </c>
      <c r="G334" s="37" t="str">
        <f t="shared" si="81"/>
        <v>dtdc</v>
      </c>
      <c r="H334" s="46" t="s">
        <v>244</v>
      </c>
      <c r="I334" s="37" t="str">
        <f t="shared" si="82"/>
        <v>air</v>
      </c>
      <c r="J334" s="46" t="s">
        <v>158</v>
      </c>
      <c r="K334" s="37" t="str">
        <f t="shared" si="83"/>
        <v>pharma</v>
      </c>
      <c r="L334" s="46" t="s">
        <v>418</v>
      </c>
      <c r="M334" s="37" t="str">
        <f t="shared" si="84"/>
        <v>south</v>
      </c>
      <c r="N334" s="46" t="s">
        <v>90</v>
      </c>
      <c r="O334" s="41" t="str">
        <f t="shared" si="85"/>
        <v>Yes</v>
      </c>
      <c r="P334" s="49" t="s">
        <v>289</v>
      </c>
      <c r="Q334" s="49" t="s">
        <v>1601</v>
      </c>
      <c r="R334" s="42">
        <f t="shared" si="86"/>
        <v>75</v>
      </c>
      <c r="S334" s="46">
        <v>4</v>
      </c>
      <c r="T334" s="46" t="s">
        <v>1602</v>
      </c>
      <c r="U334" s="43" t="str">
        <f t="shared" si="87"/>
        <v>2024-06-24</v>
      </c>
      <c r="V334" s="43">
        <f t="shared" si="88"/>
        <v>45467</v>
      </c>
      <c r="W334" s="44">
        <f t="array" ref="W334">_xlfn.IFS(TRIM(C334)="","",TRIM(V334)="","",TRUE,V334-C334)</f>
        <v>5</v>
      </c>
      <c r="X334" s="37">
        <f t="shared" si="89"/>
        <v>1</v>
      </c>
      <c r="Y334" s="46" t="s">
        <v>143</v>
      </c>
      <c r="Z334" s="37" t="str">
        <f t="shared" si="90"/>
        <v>delayed</v>
      </c>
      <c r="AA334" s="37" t="str">
        <f t="shared" si="91"/>
        <v>Late</v>
      </c>
      <c r="AB334" s="37" t="str">
        <f t="shared" si="94"/>
        <v>1</v>
      </c>
      <c r="AC334" s="37">
        <f t="shared" si="95"/>
        <v>1</v>
      </c>
      <c r="AD334" s="45">
        <f t="shared" si="93"/>
        <v>0.51033386327504</v>
      </c>
      <c r="AE334" s="46">
        <v>2</v>
      </c>
      <c r="AF334" s="46" t="s">
        <v>191</v>
      </c>
      <c r="AG334" s="37" t="str">
        <f t="shared" si="92"/>
        <v>no</v>
      </c>
      <c r="AH334" s="37" t="str">
        <f t="array" ref="AH334">_xlfn.IFS(LOWER(AG334)="n","no",LOWER(AG334)="y","yes",TRUE,LOWER(AG334))</f>
        <v>no</v>
      </c>
      <c r="AI334" s="46" t="s">
        <v>4692</v>
      </c>
    </row>
    <row r="335" spans="1:35">
      <c r="A335" s="37" t="s">
        <v>1603</v>
      </c>
      <c r="B335" s="38">
        <v>45304</v>
      </c>
      <c r="C335" s="39">
        <f t="shared" si="80"/>
        <v>45304</v>
      </c>
      <c r="D335" s="40" t="s">
        <v>633</v>
      </c>
      <c r="E335" s="37" t="str" cm="1">
        <f t="array" ref="E335">_xlfn.IFS(D335="delhi","north",D335="mumbai","west",D335="bengaluru","south",D335="chennai","south",D335="kolkata","east",TRUE,"west")</f>
        <v>south</v>
      </c>
      <c r="F335" s="37" t="s">
        <v>230</v>
      </c>
      <c r="G335" s="37" t="str">
        <f t="shared" si="81"/>
        <v>dtdc</v>
      </c>
      <c r="H335" s="37" t="s">
        <v>42</v>
      </c>
      <c r="I335" s="37" t="str">
        <f t="shared" si="82"/>
        <v>surface</v>
      </c>
      <c r="J335" s="37" t="s">
        <v>353</v>
      </c>
      <c r="K335" s="37" t="str">
        <f t="shared" si="83"/>
        <v>automotiveparts</v>
      </c>
      <c r="L335" s="37" t="s">
        <v>139</v>
      </c>
      <c r="M335" s="37" t="str">
        <f t="shared" si="84"/>
        <v>north</v>
      </c>
      <c r="N335" s="37" t="s">
        <v>354</v>
      </c>
      <c r="O335" s="41" t="str">
        <f t="shared" si="85"/>
        <v>Yes</v>
      </c>
      <c r="P335" s="41">
        <v>13.3</v>
      </c>
      <c r="Q335" s="41" t="s">
        <v>1605</v>
      </c>
      <c r="R335" s="42">
        <f t="shared" si="86"/>
        <v>36.1654135338346</v>
      </c>
      <c r="S335" s="37">
        <v>6</v>
      </c>
      <c r="T335" s="37" t="s">
        <v>1606</v>
      </c>
      <c r="U335" s="43" t="str">
        <f t="shared" si="87"/>
        <v>18-jan-2024</v>
      </c>
      <c r="V335" s="43">
        <f t="shared" si="88"/>
        <v>45309</v>
      </c>
      <c r="W335" s="44">
        <f t="array" ref="W335">_xlfn.IFS(TRIM(C335)="","",TRIM(V335)="","",TRUE,V335-C335)</f>
        <v>5</v>
      </c>
      <c r="X335" s="37">
        <f t="shared" si="89"/>
        <v>-1</v>
      </c>
      <c r="Y335" s="37" t="s">
        <v>219</v>
      </c>
      <c r="Z335" s="37" t="str">
        <f t="shared" si="90"/>
        <v>delivered</v>
      </c>
      <c r="AA335" s="37" t="str">
        <f t="shared" si="91"/>
        <v>On Time</v>
      </c>
      <c r="AB335" s="37" t="str">
        <f t="shared" si="94"/>
        <v>0</v>
      </c>
      <c r="AC335" s="37">
        <f t="shared" si="95"/>
        <v>0</v>
      </c>
      <c r="AD335" s="45">
        <f t="shared" si="93"/>
        <v>0.50994431185362</v>
      </c>
      <c r="AE335" s="37">
        <v>4</v>
      </c>
      <c r="AF335" s="37" t="s">
        <v>131</v>
      </c>
      <c r="AG335" s="37" t="str">
        <f t="shared" si="92"/>
        <v>n</v>
      </c>
      <c r="AH335" s="37" t="str">
        <f t="array" ref="AH335">_xlfn.IFS(LOWER(AG335)="n","no",LOWER(AG335)="y","yes",TRUE,LOWER(AG335))</f>
        <v>no</v>
      </c>
      <c r="AI335" s="37" t="s">
        <v>4692</v>
      </c>
    </row>
    <row r="336" spans="1:35">
      <c r="A336" s="46" t="s">
        <v>1607</v>
      </c>
      <c r="B336" s="47">
        <v>45357</v>
      </c>
      <c r="C336" s="39">
        <f t="shared" si="80"/>
        <v>45357</v>
      </c>
      <c r="D336" s="48" t="s">
        <v>633</v>
      </c>
      <c r="E336" s="37" t="str" cm="1">
        <f t="array" ref="E336">_xlfn.IFS(D336="delhi","north",D336="mumbai","west",D336="bengaluru","south",D336="chennai","south",D336="kolkata","east",TRUE,"west")</f>
        <v>south</v>
      </c>
      <c r="F336" s="46" t="s">
        <v>230</v>
      </c>
      <c r="G336" s="37" t="str">
        <f t="shared" si="81"/>
        <v>dtdc</v>
      </c>
      <c r="H336" s="46" t="s">
        <v>195</v>
      </c>
      <c r="I336" s="37" t="str">
        <f t="shared" si="82"/>
        <v>road</v>
      </c>
      <c r="J336" s="46" t="s">
        <v>167</v>
      </c>
      <c r="K336" s="37" t="str">
        <f t="shared" si="83"/>
        <v>pharma</v>
      </c>
      <c r="L336" s="46" t="s">
        <v>264</v>
      </c>
      <c r="M336" s="37" t="str">
        <f t="shared" si="84"/>
        <v>west</v>
      </c>
      <c r="N336" s="46" t="s">
        <v>206</v>
      </c>
      <c r="O336" s="41" t="str">
        <f t="shared" si="85"/>
        <v>Yes</v>
      </c>
      <c r="P336" s="49">
        <v>4.1</v>
      </c>
      <c r="Q336" s="49">
        <v>221</v>
      </c>
      <c r="R336" s="42">
        <f t="shared" si="86"/>
        <v>53.9024390243902</v>
      </c>
      <c r="S336" s="46">
        <v>8</v>
      </c>
      <c r="T336" s="46" t="s">
        <v>1610</v>
      </c>
      <c r="U336" s="43" t="str">
        <f t="shared" si="87"/>
        <v>18-mar-2024</v>
      </c>
      <c r="V336" s="43">
        <f t="shared" si="88"/>
        <v>45369</v>
      </c>
      <c r="W336" s="44">
        <f t="array" ref="W336">_xlfn.IFS(TRIM(C336)="","",TRIM(V336)="","",TRUE,V336-C336)</f>
        <v>12</v>
      </c>
      <c r="X336" s="37">
        <f t="shared" si="89"/>
        <v>4</v>
      </c>
      <c r="Y336" s="46" t="s">
        <v>200</v>
      </c>
      <c r="Z336" s="37" t="str">
        <f t="shared" si="90"/>
        <v>delayed</v>
      </c>
      <c r="AA336" s="37" t="str">
        <f t="shared" si="91"/>
        <v>Late</v>
      </c>
      <c r="AB336" s="37" t="str">
        <f t="shared" si="94"/>
        <v>1</v>
      </c>
      <c r="AC336" s="37">
        <f t="shared" si="95"/>
        <v>1</v>
      </c>
      <c r="AD336" s="45">
        <f t="shared" si="93"/>
        <v>0.510350318471338</v>
      </c>
      <c r="AE336" s="46">
        <v>1</v>
      </c>
      <c r="AF336" s="46" t="s">
        <v>131</v>
      </c>
      <c r="AG336" s="37" t="str">
        <f t="shared" si="92"/>
        <v>n</v>
      </c>
      <c r="AH336" s="37" t="str">
        <f t="array" ref="AH336">_xlfn.IFS(LOWER(AG336)="n","no",LOWER(AG336)="y","yes",TRUE,LOWER(AG336))</f>
        <v>no</v>
      </c>
      <c r="AI336" s="46" t="s">
        <v>4692</v>
      </c>
    </row>
    <row r="337" spans="1:35">
      <c r="A337" s="37" t="s">
        <v>1611</v>
      </c>
      <c r="B337" s="38">
        <v>45335</v>
      </c>
      <c r="C337" s="39">
        <f t="shared" si="80"/>
        <v>45335</v>
      </c>
      <c r="D337" s="40" t="s">
        <v>340</v>
      </c>
      <c r="E337" s="37" t="str" cm="1">
        <f t="array" ref="E337">_xlfn.IFS(D337="delhi","north",D337="mumbai","west",D337="bengaluru","south",D337="chennai","south",D337="kolkata","east",TRUE,"west")</f>
        <v>north</v>
      </c>
      <c r="F337" s="37" t="s">
        <v>204</v>
      </c>
      <c r="G337" s="37" t="str">
        <f t="shared" si="81"/>
        <v>delhivery</v>
      </c>
      <c r="H337" s="37" t="s">
        <v>42</v>
      </c>
      <c r="I337" s="37" t="str">
        <f t="shared" si="82"/>
        <v>surface</v>
      </c>
      <c r="J337" s="37" t="s">
        <v>263</v>
      </c>
      <c r="K337" s="37" t="str">
        <f t="shared" si="83"/>
        <v>apparel</v>
      </c>
      <c r="L337" s="37" t="s">
        <v>257</v>
      </c>
      <c r="M337" s="37" t="str">
        <f t="shared" si="84"/>
        <v>west</v>
      </c>
      <c r="N337" s="37" t="s">
        <v>88</v>
      </c>
      <c r="O337" s="41" t="str">
        <f t="shared" si="85"/>
        <v>Yes</v>
      </c>
      <c r="P337" s="41" t="s">
        <v>1612</v>
      </c>
      <c r="Q337" s="41" t="s">
        <v>1613</v>
      </c>
      <c r="R337" s="42">
        <f t="shared" si="86"/>
        <v>39.8648648648649</v>
      </c>
      <c r="S337" s="37">
        <v>6</v>
      </c>
      <c r="T337" s="37" t="s">
        <v>1614</v>
      </c>
      <c r="U337" s="43" t="str">
        <f t="shared" si="87"/>
        <v>20/02/2024</v>
      </c>
      <c r="V337" s="43">
        <f t="shared" si="88"/>
        <v>45342</v>
      </c>
      <c r="W337" s="44">
        <f t="array" ref="W337">_xlfn.IFS(TRIM(C337)="","",TRIM(V337)="","",TRUE,V337-C337)</f>
        <v>7</v>
      </c>
      <c r="X337" s="37">
        <f t="shared" si="89"/>
        <v>1</v>
      </c>
      <c r="Y337" s="37" t="s">
        <v>624</v>
      </c>
      <c r="Z337" s="37" t="str">
        <f t="shared" si="90"/>
        <v>returned</v>
      </c>
      <c r="AA337" s="37" t="str">
        <f t="shared" si="91"/>
        <v>Late</v>
      </c>
      <c r="AB337" s="37" t="str">
        <f t="shared" si="94"/>
        <v>1</v>
      </c>
      <c r="AC337" s="37">
        <f t="shared" si="95"/>
        <v>1</v>
      </c>
      <c r="AD337" s="45">
        <f t="shared" si="93"/>
        <v>0.50996015936255</v>
      </c>
      <c r="AE337" s="37"/>
      <c r="AF337" s="37" t="s">
        <v>191</v>
      </c>
      <c r="AG337" s="37" t="str">
        <f t="shared" si="92"/>
        <v>no</v>
      </c>
      <c r="AH337" s="37" t="str">
        <f t="array" ref="AH337">_xlfn.IFS(LOWER(AG337)="n","no",LOWER(AG337)="y","yes",TRUE,LOWER(AG337))</f>
        <v>no</v>
      </c>
      <c r="AI337" s="37" t="s">
        <v>625</v>
      </c>
    </row>
    <row r="338" spans="1:35">
      <c r="A338" s="46" t="s">
        <v>1615</v>
      </c>
      <c r="B338" s="47" t="s">
        <v>4769</v>
      </c>
      <c r="C338" s="39">
        <f t="shared" si="80"/>
        <v>45404</v>
      </c>
      <c r="D338" s="48" t="s">
        <v>4699</v>
      </c>
      <c r="E338" s="37" t="str" cm="1">
        <f t="array" ref="E338">_xlfn.IFS(D338="delhi","north",D338="mumbai","west",D338="bengaluru","south",D338="chennai","south",D338="kolkata","east",TRUE,"west")</f>
        <v>west</v>
      </c>
      <c r="F338" s="46" t="s">
        <v>156</v>
      </c>
      <c r="G338" s="37" t="str">
        <f t="shared" si="81"/>
        <v>xpressbees</v>
      </c>
      <c r="H338" s="46" t="s">
        <v>42</v>
      </c>
      <c r="I338" s="37" t="str">
        <f t="shared" si="82"/>
        <v>surface</v>
      </c>
      <c r="J338" s="46" t="s">
        <v>231</v>
      </c>
      <c r="K338" s="37" t="str">
        <f t="shared" si="83"/>
        <v>furniture</v>
      </c>
      <c r="L338" s="46" t="s">
        <v>334</v>
      </c>
      <c r="M338" s="37" t="str">
        <f t="shared" si="84"/>
        <v>north</v>
      </c>
      <c r="N338" s="46" t="s">
        <v>113</v>
      </c>
      <c r="O338" s="41" t="str">
        <f t="shared" si="85"/>
        <v>Yes</v>
      </c>
      <c r="P338" s="49">
        <v>24.2</v>
      </c>
      <c r="Q338" s="49">
        <v>669</v>
      </c>
      <c r="R338" s="42">
        <f t="shared" si="86"/>
        <v>27.6446280991736</v>
      </c>
      <c r="S338" s="46">
        <v>6</v>
      </c>
      <c r="T338" s="46" t="s">
        <v>1595</v>
      </c>
      <c r="U338" s="43" t="str">
        <f t="shared" si="87"/>
        <v>29-apr-2024</v>
      </c>
      <c r="V338" s="43">
        <f t="shared" si="88"/>
        <v>45411</v>
      </c>
      <c r="W338" s="44">
        <f t="array" ref="W338">_xlfn.IFS(TRIM(C338)="","",TRIM(V338)="","",TRUE,V338-C338)</f>
        <v>7</v>
      </c>
      <c r="X338" s="37">
        <f t="shared" si="89"/>
        <v>1</v>
      </c>
      <c r="Y338" s="46" t="s">
        <v>72</v>
      </c>
      <c r="Z338" s="37" t="str">
        <f t="shared" si="90"/>
        <v>delayed</v>
      </c>
      <c r="AA338" s="37" t="str">
        <f t="shared" si="91"/>
        <v>Late</v>
      </c>
      <c r="AB338" s="37" t="str">
        <f t="shared" si="94"/>
        <v>1</v>
      </c>
      <c r="AC338" s="37">
        <f t="shared" si="95"/>
        <v>1</v>
      </c>
      <c r="AD338" s="45">
        <f t="shared" si="93"/>
        <v>0.509569377990431</v>
      </c>
      <c r="AE338" s="46">
        <v>1</v>
      </c>
      <c r="AF338" s="46" t="s">
        <v>191</v>
      </c>
      <c r="AG338" s="37" t="str">
        <f t="shared" si="92"/>
        <v>no</v>
      </c>
      <c r="AH338" s="37" t="str">
        <f t="array" ref="AH338">_xlfn.IFS(LOWER(AG338)="n","no",LOWER(AG338)="y","yes",TRUE,LOWER(AG338))</f>
        <v>no</v>
      </c>
      <c r="AI338" s="46" t="s">
        <v>4692</v>
      </c>
    </row>
    <row r="339" spans="1:35">
      <c r="A339" s="37" t="s">
        <v>1618</v>
      </c>
      <c r="B339" s="38">
        <v>45459</v>
      </c>
      <c r="C339" s="39">
        <f t="shared" si="80"/>
        <v>45459</v>
      </c>
      <c r="D339" s="40" t="s">
        <v>212</v>
      </c>
      <c r="E339" s="37" t="str" cm="1">
        <f t="array" ref="E339">_xlfn.IFS(D339="delhi","north",D339="mumbai","west",D339="bengaluru","south",D339="chennai","south",D339="kolkata","east",TRUE,"west")</f>
        <v>west</v>
      </c>
      <c r="F339" s="37" t="s">
        <v>333</v>
      </c>
      <c r="G339" s="37" t="str">
        <f t="shared" si="81"/>
        <v>delhivery</v>
      </c>
      <c r="H339" s="37" t="s">
        <v>42</v>
      </c>
      <c r="I339" s="37" t="str">
        <f t="shared" si="82"/>
        <v>surface</v>
      </c>
      <c r="J339" s="37" t="s">
        <v>111</v>
      </c>
      <c r="K339" s="37" t="str">
        <f t="shared" si="83"/>
        <v>grocery&amp;fmcg</v>
      </c>
      <c r="L339" s="37" t="s">
        <v>125</v>
      </c>
      <c r="M339" s="37" t="str">
        <f t="shared" si="84"/>
        <v>east</v>
      </c>
      <c r="N339" s="37" t="s">
        <v>396</v>
      </c>
      <c r="O339" s="41" t="str">
        <f t="shared" si="85"/>
        <v>Yes</v>
      </c>
      <c r="P339" s="41" t="s">
        <v>1620</v>
      </c>
      <c r="Q339" s="41">
        <v>602</v>
      </c>
      <c r="R339" s="42">
        <f t="shared" si="86"/>
        <v>30.8717948717949</v>
      </c>
      <c r="S339" s="37">
        <v>6</v>
      </c>
      <c r="T339" s="37" t="s">
        <v>1622</v>
      </c>
      <c r="U339" s="43" t="str">
        <f t="shared" si="87"/>
        <v>23-jun-2024</v>
      </c>
      <c r="V339" s="43">
        <f t="shared" si="88"/>
        <v>45466</v>
      </c>
      <c r="W339" s="44">
        <f t="array" ref="W339">_xlfn.IFS(TRIM(C339)="","",TRIM(V339)="","",TRUE,V339-C339)</f>
        <v>7</v>
      </c>
      <c r="X339" s="37">
        <f t="shared" si="89"/>
        <v>1</v>
      </c>
      <c r="Y339" s="37" t="s">
        <v>72</v>
      </c>
      <c r="Z339" s="37" t="str">
        <f t="shared" si="90"/>
        <v>delayed</v>
      </c>
      <c r="AA339" s="37" t="str">
        <f t="shared" si="91"/>
        <v>Late</v>
      </c>
      <c r="AB339" s="37" t="str">
        <f t="shared" si="94"/>
        <v>1</v>
      </c>
      <c r="AC339" s="37">
        <f t="shared" si="95"/>
        <v>1</v>
      </c>
      <c r="AD339" s="45">
        <f t="shared" si="93"/>
        <v>0.509177972865124</v>
      </c>
      <c r="AE339" s="37">
        <v>3</v>
      </c>
      <c r="AF339" s="37" t="s">
        <v>118</v>
      </c>
      <c r="AG339" s="37" t="str">
        <f t="shared" si="92"/>
        <v>no</v>
      </c>
      <c r="AH339" s="37" t="str">
        <f t="array" ref="AH339">_xlfn.IFS(LOWER(AG339)="n","no",LOWER(AG339)="y","yes",TRUE,LOWER(AG339))</f>
        <v>no</v>
      </c>
      <c r="AI339" s="37" t="s">
        <v>4692</v>
      </c>
    </row>
    <row r="340" spans="1:35">
      <c r="A340" s="46" t="s">
        <v>1623</v>
      </c>
      <c r="B340" s="47">
        <v>45393</v>
      </c>
      <c r="C340" s="39">
        <f t="shared" si="80"/>
        <v>45393</v>
      </c>
      <c r="D340" s="48" t="s">
        <v>135</v>
      </c>
      <c r="E340" s="37" t="str" cm="1">
        <f t="array" ref="E340">_xlfn.IFS(D340="delhi","north",D340="mumbai","west",D340="bengaluru","south",D340="chennai","south",D340="kolkata","east",TRUE,"west")</f>
        <v>west</v>
      </c>
      <c r="F340" s="46" t="s">
        <v>37</v>
      </c>
      <c r="G340" s="37" t="str">
        <f t="shared" si="81"/>
        <v>bluedart</v>
      </c>
      <c r="H340" s="46" t="s">
        <v>176</v>
      </c>
      <c r="I340" s="37" t="str">
        <f t="shared" si="82"/>
        <v>road</v>
      </c>
      <c r="J340" s="46" t="s">
        <v>664</v>
      </c>
      <c r="K340" s="37" t="str">
        <f t="shared" si="83"/>
        <v>grocery&amp;fmcg</v>
      </c>
      <c r="L340" s="46" t="s">
        <v>257</v>
      </c>
      <c r="M340" s="37" t="str">
        <f t="shared" si="84"/>
        <v>west</v>
      </c>
      <c r="N340" s="46" t="s">
        <v>187</v>
      </c>
      <c r="O340" s="41" t="str">
        <f t="shared" si="85"/>
        <v>Yes</v>
      </c>
      <c r="P340" s="49" t="s">
        <v>1624</v>
      </c>
      <c r="Q340" s="49" t="s">
        <v>1299</v>
      </c>
      <c r="R340" s="42">
        <f t="shared" si="86"/>
        <v>16.7368421052632</v>
      </c>
      <c r="S340" s="46">
        <v>6</v>
      </c>
      <c r="T340" s="46" t="s">
        <v>1220</v>
      </c>
      <c r="U340" s="43" t="str">
        <f t="shared" si="87"/>
        <v>16/04/2024</v>
      </c>
      <c r="V340" s="43">
        <f t="shared" si="88"/>
        <v>45398</v>
      </c>
      <c r="W340" s="44">
        <f t="array" ref="W340">_xlfn.IFS(TRIM(C340)="","",TRIM(V340)="","",TRUE,V340-C340)</f>
        <v>5</v>
      </c>
      <c r="X340" s="37">
        <f t="shared" si="89"/>
        <v>-1</v>
      </c>
      <c r="Y340" s="46" t="s">
        <v>105</v>
      </c>
      <c r="Z340" s="37" t="str">
        <f t="shared" si="90"/>
        <v>delivered</v>
      </c>
      <c r="AA340" s="37" t="str">
        <f t="shared" si="91"/>
        <v>On Time</v>
      </c>
      <c r="AB340" s="37" t="str">
        <f t="shared" si="94"/>
        <v>0</v>
      </c>
      <c r="AC340" s="37">
        <f t="shared" si="95"/>
        <v>0</v>
      </c>
      <c r="AD340" s="45">
        <f t="shared" si="93"/>
        <v>0.508785942492013</v>
      </c>
      <c r="AE340" s="46">
        <v>3</v>
      </c>
      <c r="AF340" s="46" t="s">
        <v>152</v>
      </c>
      <c r="AG340" s="37" t="str">
        <f t="shared" si="92"/>
        <v>no</v>
      </c>
      <c r="AH340" s="37" t="str">
        <f t="array" ref="AH340">_xlfn.IFS(LOWER(AG340)="n","no",LOWER(AG340)="y","yes",TRUE,LOWER(AG340))</f>
        <v>no</v>
      </c>
      <c r="AI340" s="46" t="s">
        <v>4692</v>
      </c>
    </row>
    <row r="341" spans="1:35">
      <c r="A341" s="37" t="s">
        <v>1625</v>
      </c>
      <c r="B341" s="38">
        <v>45466</v>
      </c>
      <c r="C341" s="39">
        <f t="shared" si="80"/>
        <v>45466</v>
      </c>
      <c r="D341" s="40" t="s">
        <v>109</v>
      </c>
      <c r="E341" s="37" t="str" cm="1">
        <f t="array" ref="E341">_xlfn.IFS(D341="delhi","north",D341="mumbai","west",D341="bengaluru","south",D341="chennai","south",D341="kolkata","east",TRUE,"west")</f>
        <v>west</v>
      </c>
      <c r="F341" s="37" t="s">
        <v>194</v>
      </c>
      <c r="G341" s="37" t="str">
        <f t="shared" si="81"/>
        <v>xpressbees</v>
      </c>
      <c r="H341" s="37" t="s">
        <v>224</v>
      </c>
      <c r="I341" s="37" t="str">
        <f t="shared" si="82"/>
        <v>air</v>
      </c>
      <c r="J341" s="37" t="s">
        <v>231</v>
      </c>
      <c r="K341" s="37" t="str">
        <f t="shared" si="83"/>
        <v>furniture</v>
      </c>
      <c r="L341" s="37" t="s">
        <v>159</v>
      </c>
      <c r="M341" s="37" t="str">
        <f t="shared" si="84"/>
        <v>south</v>
      </c>
      <c r="N341" s="37" t="s">
        <v>90</v>
      </c>
      <c r="O341" s="41" t="str">
        <f t="shared" si="85"/>
        <v>Yes</v>
      </c>
      <c r="P341" s="41">
        <v>62.6</v>
      </c>
      <c r="Q341" s="41">
        <v>2992</v>
      </c>
      <c r="R341" s="42">
        <f t="shared" si="86"/>
        <v>47.7955271565495</v>
      </c>
      <c r="S341" s="37">
        <v>4</v>
      </c>
      <c r="T341" s="37" t="s">
        <v>448</v>
      </c>
      <c r="U341" s="43" t="str">
        <f t="shared" si="87"/>
        <v>2024-07-03</v>
      </c>
      <c r="V341" s="43">
        <f t="shared" si="88"/>
        <v>45476</v>
      </c>
      <c r="W341" s="44">
        <f t="array" ref="W341">_xlfn.IFS(TRIM(C341)="","",TRIM(V341)="","",TRUE,V341-C341)</f>
        <v>10</v>
      </c>
      <c r="X341" s="37">
        <f t="shared" si="89"/>
        <v>6</v>
      </c>
      <c r="Y341" s="37" t="s">
        <v>200</v>
      </c>
      <c r="Z341" s="37" t="str">
        <f t="shared" si="90"/>
        <v>delayed</v>
      </c>
      <c r="AA341" s="37" t="str">
        <f t="shared" si="91"/>
        <v>Late</v>
      </c>
      <c r="AB341" s="37" t="str">
        <f t="shared" si="94"/>
        <v>1</v>
      </c>
      <c r="AC341" s="37">
        <f t="shared" si="95"/>
        <v>1</v>
      </c>
      <c r="AD341" s="45">
        <f t="shared" si="93"/>
        <v>0.509192645883293</v>
      </c>
      <c r="AE341" s="37">
        <v>2</v>
      </c>
      <c r="AF341" s="37" t="s">
        <v>106</v>
      </c>
      <c r="AG341" s="37" t="str">
        <f t="shared" si="92"/>
        <v>yes</v>
      </c>
      <c r="AH341" s="37" t="str">
        <f t="array" ref="AH341">_xlfn.IFS(LOWER(AG341)="n","no",LOWER(AG341)="y","yes",TRUE,LOWER(AG341))</f>
        <v>yes</v>
      </c>
      <c r="AI341" s="37" t="s">
        <v>4692</v>
      </c>
    </row>
    <row r="342" spans="1:35">
      <c r="A342" s="46" t="s">
        <v>1629</v>
      </c>
      <c r="B342" s="47">
        <v>45392</v>
      </c>
      <c r="C342" s="39">
        <f t="shared" si="80"/>
        <v>45392</v>
      </c>
      <c r="D342" s="48" t="s">
        <v>212</v>
      </c>
      <c r="E342" s="37" t="str" cm="1">
        <f t="array" ref="E342">_xlfn.IFS(D342="delhi","north",D342="mumbai","west",D342="bengaluru","south",D342="chennai","south",D342="kolkata","east",TRUE,"west")</f>
        <v>west</v>
      </c>
      <c r="F342" s="46"/>
      <c r="G342" s="37" t="str">
        <f t="shared" si="81"/>
        <v/>
      </c>
      <c r="H342" s="46" t="s">
        <v>137</v>
      </c>
      <c r="I342" s="37" t="str">
        <f t="shared" si="82"/>
        <v>road</v>
      </c>
      <c r="J342" s="46" t="s">
        <v>47</v>
      </c>
      <c r="K342" s="37" t="str">
        <f t="shared" si="83"/>
        <v>electronics</v>
      </c>
      <c r="L342" s="46" t="s">
        <v>302</v>
      </c>
      <c r="M342" s="37" t="str">
        <f t="shared" si="84"/>
        <v>east</v>
      </c>
      <c r="N342" s="46" t="s">
        <v>126</v>
      </c>
      <c r="O342" s="41" t="str">
        <f t="shared" si="85"/>
        <v>Yes</v>
      </c>
      <c r="P342" s="49">
        <v>8.6</v>
      </c>
      <c r="Q342" s="49">
        <v>253</v>
      </c>
      <c r="R342" s="42">
        <f t="shared" si="86"/>
        <v>29.4186046511628</v>
      </c>
      <c r="S342" s="46">
        <v>8</v>
      </c>
      <c r="T342" s="46" t="s">
        <v>1282</v>
      </c>
      <c r="U342" s="43" t="str">
        <f t="shared" si="87"/>
        <v>17/04/2024</v>
      </c>
      <c r="V342" s="43">
        <f t="shared" si="88"/>
        <v>45399</v>
      </c>
      <c r="W342" s="44">
        <f t="array" ref="W342">_xlfn.IFS(TRIM(C342)="","",TRIM(V342)="","",TRUE,V342-C342)</f>
        <v>7</v>
      </c>
      <c r="X342" s="37">
        <f t="shared" si="89"/>
        <v>-1</v>
      </c>
      <c r="Y342" s="46" t="s">
        <v>1513</v>
      </c>
      <c r="Z342" s="37" t="str">
        <f t="shared" si="90"/>
        <v>damaged</v>
      </c>
      <c r="AA342" s="37" t="str">
        <f t="shared" si="91"/>
        <v>On Time</v>
      </c>
      <c r="AB342" s="37" t="str">
        <f t="shared" si="94"/>
        <v>0</v>
      </c>
      <c r="AC342" s="37">
        <f t="shared" si="95"/>
        <v>0</v>
      </c>
      <c r="AD342" s="45">
        <f t="shared" si="93"/>
        <v>0.5088</v>
      </c>
      <c r="AE342" s="46"/>
      <c r="AF342" s="46" t="s">
        <v>152</v>
      </c>
      <c r="AG342" s="37" t="str">
        <f t="shared" si="92"/>
        <v>no</v>
      </c>
      <c r="AH342" s="37" t="str">
        <f t="array" ref="AH342">_xlfn.IFS(LOWER(AG342)="n","no",LOWER(AG342)="y","yes",TRUE,LOWER(AG342))</f>
        <v>no</v>
      </c>
      <c r="AI342" s="46" t="s">
        <v>759</v>
      </c>
    </row>
    <row r="343" spans="1:35">
      <c r="A343" s="37" t="s">
        <v>1632</v>
      </c>
      <c r="B343" s="38">
        <v>45402</v>
      </c>
      <c r="C343" s="39">
        <f t="shared" si="80"/>
        <v>45402</v>
      </c>
      <c r="D343" s="40" t="s">
        <v>4699</v>
      </c>
      <c r="E343" s="37" t="str" cm="1">
        <f t="array" ref="E343">_xlfn.IFS(D343="delhi","north",D343="mumbai","west",D343="bengaluru","south",D343="chennai","south",D343="kolkata","east",TRUE,"west")</f>
        <v>west</v>
      </c>
      <c r="F343" s="37" t="s">
        <v>146</v>
      </c>
      <c r="G343" s="37" t="str">
        <f t="shared" si="81"/>
        <v>ecomexpress</v>
      </c>
      <c r="H343" s="37" t="s">
        <v>185</v>
      </c>
      <c r="I343" s="37" t="str">
        <f t="shared" si="82"/>
        <v>surface</v>
      </c>
      <c r="J343" s="37" t="s">
        <v>138</v>
      </c>
      <c r="K343" s="37" t="str">
        <f t="shared" si="83"/>
        <v>apparel</v>
      </c>
      <c r="L343" s="37" t="s">
        <v>346</v>
      </c>
      <c r="M343" s="37" t="str">
        <f t="shared" si="84"/>
        <v>north</v>
      </c>
      <c r="N343" s="37" t="s">
        <v>113</v>
      </c>
      <c r="O343" s="41" t="str">
        <f t="shared" si="85"/>
        <v>Yes</v>
      </c>
      <c r="P343" s="41" t="s">
        <v>1633</v>
      </c>
      <c r="Q343" s="41">
        <v>217</v>
      </c>
      <c r="R343" s="42">
        <f t="shared" si="86"/>
        <v>114.210526315789</v>
      </c>
      <c r="S343" s="37">
        <v>6</v>
      </c>
      <c r="T343" s="37" t="s">
        <v>928</v>
      </c>
      <c r="U343" s="43" t="str">
        <f t="shared" si="87"/>
        <v>27-apr-2024</v>
      </c>
      <c r="V343" s="43">
        <f t="shared" si="88"/>
        <v>45409</v>
      </c>
      <c r="W343" s="44">
        <f t="array" ref="W343">_xlfn.IFS(TRIM(C343)="","",TRIM(V343)="","",TRUE,V343-C343)</f>
        <v>7</v>
      </c>
      <c r="X343" s="37">
        <f t="shared" si="89"/>
        <v>1</v>
      </c>
      <c r="Y343" s="37" t="s">
        <v>172</v>
      </c>
      <c r="Z343" s="37" t="str">
        <f t="shared" si="90"/>
        <v>delayed</v>
      </c>
      <c r="AA343" s="37" t="str">
        <f t="shared" si="91"/>
        <v>Late</v>
      </c>
      <c r="AB343" s="37" t="str">
        <f t="shared" si="94"/>
        <v>1</v>
      </c>
      <c r="AC343" s="37">
        <f t="shared" si="95"/>
        <v>1</v>
      </c>
      <c r="AD343" s="45">
        <f t="shared" si="93"/>
        <v>0.509207365892714</v>
      </c>
      <c r="AE343" s="37">
        <v>1</v>
      </c>
      <c r="AF343" s="37" t="s">
        <v>131</v>
      </c>
      <c r="AG343" s="37" t="str">
        <f t="shared" si="92"/>
        <v>n</v>
      </c>
      <c r="AH343" s="37" t="str">
        <f t="array" ref="AH343">_xlfn.IFS(LOWER(AG343)="n","no",LOWER(AG343)="y","yes",TRUE,LOWER(AG343))</f>
        <v>no</v>
      </c>
      <c r="AI343" s="37" t="s">
        <v>4692</v>
      </c>
    </row>
    <row r="344" spans="1:35">
      <c r="A344" s="46" t="s">
        <v>1634</v>
      </c>
      <c r="B344" s="47">
        <v>45456</v>
      </c>
      <c r="C344" s="39">
        <f t="shared" si="80"/>
        <v>45456</v>
      </c>
      <c r="D344" s="48" t="s">
        <v>121</v>
      </c>
      <c r="E344" s="37" t="str" cm="1">
        <f t="array" ref="E344">_xlfn.IFS(D344="delhi","north",D344="mumbai","west",D344="bengaluru","south",D344="chennai","south",D344="kolkata","east",TRUE,"west")</f>
        <v>west</v>
      </c>
      <c r="F344" s="46" t="s">
        <v>230</v>
      </c>
      <c r="G344" s="37" t="str">
        <f t="shared" si="81"/>
        <v>dtdc</v>
      </c>
      <c r="H344" s="46" t="s">
        <v>157</v>
      </c>
      <c r="I344" s="37" t="str">
        <f t="shared" si="82"/>
        <v>surface</v>
      </c>
      <c r="J344" s="46" t="s">
        <v>319</v>
      </c>
      <c r="K344" s="37" t="str">
        <f t="shared" si="83"/>
        <v>electronics</v>
      </c>
      <c r="L344" s="46" t="s">
        <v>334</v>
      </c>
      <c r="M344" s="37" t="str">
        <f t="shared" si="84"/>
        <v>north</v>
      </c>
      <c r="N344" s="46" t="s">
        <v>354</v>
      </c>
      <c r="O344" s="41" t="str">
        <f t="shared" si="85"/>
        <v>Yes</v>
      </c>
      <c r="P344" s="49">
        <v>12.8</v>
      </c>
      <c r="Q344" s="49">
        <v>288</v>
      </c>
      <c r="R344" s="42">
        <f t="shared" si="86"/>
        <v>22.5</v>
      </c>
      <c r="S344" s="46">
        <v>4</v>
      </c>
      <c r="T344" s="46" t="s">
        <v>1638</v>
      </c>
      <c r="U344" s="43" t="str">
        <f t="shared" si="87"/>
        <v>16/06/2024</v>
      </c>
      <c r="V344" s="43">
        <f t="shared" si="88"/>
        <v>45459</v>
      </c>
      <c r="W344" s="44">
        <f t="array" ref="W344">_xlfn.IFS(TRIM(C344)="","",TRIM(V344)="","",TRUE,V344-C344)</f>
        <v>3</v>
      </c>
      <c r="X344" s="37">
        <f t="shared" si="89"/>
        <v>-1</v>
      </c>
      <c r="Y344" s="46" t="s">
        <v>337</v>
      </c>
      <c r="Z344" s="37" t="str">
        <f t="shared" si="90"/>
        <v>damaged</v>
      </c>
      <c r="AA344" s="37" t="str">
        <f t="shared" si="91"/>
        <v>On Time</v>
      </c>
      <c r="AB344" s="37" t="str">
        <f t="shared" si="94"/>
        <v>0</v>
      </c>
      <c r="AC344" s="37">
        <f t="shared" si="95"/>
        <v>0</v>
      </c>
      <c r="AD344" s="45">
        <f t="shared" si="93"/>
        <v>0.508814102564103</v>
      </c>
      <c r="AE344" s="46"/>
      <c r="AF344" s="46" t="s">
        <v>118</v>
      </c>
      <c r="AG344" s="37" t="str">
        <f t="shared" si="92"/>
        <v>no</v>
      </c>
      <c r="AH344" s="37" t="str">
        <f t="array" ref="AH344">_xlfn.IFS(LOWER(AG344)="n","no",LOWER(AG344)="y","yes",TRUE,LOWER(AG344))</f>
        <v>no</v>
      </c>
      <c r="AI344" s="46" t="s">
        <v>132</v>
      </c>
    </row>
    <row r="345" spans="1:35">
      <c r="A345" s="37" t="s">
        <v>1639</v>
      </c>
      <c r="B345" s="38">
        <v>45318</v>
      </c>
      <c r="C345" s="39">
        <f t="shared" si="80"/>
        <v>45318</v>
      </c>
      <c r="D345" s="40" t="s">
        <v>4705</v>
      </c>
      <c r="E345" s="37" t="str" cm="1">
        <f t="array" ref="E345">_xlfn.IFS(D345="delhi","north",D345="mumbai","west",D345="bengaluru","south",D345="chennai","south",D345="kolkata","east",TRUE,"west")</f>
        <v>west</v>
      </c>
      <c r="F345" s="37" t="s">
        <v>352</v>
      </c>
      <c r="G345" s="37" t="str">
        <f t="shared" si="81"/>
        <v>delhivery</v>
      </c>
      <c r="H345" s="37" t="s">
        <v>224</v>
      </c>
      <c r="I345" s="37" t="str">
        <f t="shared" si="82"/>
        <v>air</v>
      </c>
      <c r="J345" s="37" t="s">
        <v>452</v>
      </c>
      <c r="K345" s="37" t="str">
        <f t="shared" si="83"/>
        <v>apparel</v>
      </c>
      <c r="L345" s="37" t="s">
        <v>125</v>
      </c>
      <c r="M345" s="37" t="str">
        <f t="shared" si="84"/>
        <v>east</v>
      </c>
      <c r="N345" s="37" t="s">
        <v>126</v>
      </c>
      <c r="O345" s="41" t="str">
        <f t="shared" si="85"/>
        <v>Yes</v>
      </c>
      <c r="P345" s="41">
        <v>4.7</v>
      </c>
      <c r="Q345" s="41" t="s">
        <v>1641</v>
      </c>
      <c r="R345" s="42">
        <f t="shared" si="86"/>
        <v>74.6808510638298</v>
      </c>
      <c r="S345" s="37">
        <v>4</v>
      </c>
      <c r="T345" s="37" t="s">
        <v>1642</v>
      </c>
      <c r="U345" s="43" t="str">
        <f t="shared" si="87"/>
        <v>2024-01-31</v>
      </c>
      <c r="V345" s="43">
        <f t="shared" si="88"/>
        <v>45322</v>
      </c>
      <c r="W345" s="44">
        <f t="array" ref="W345">_xlfn.IFS(TRIM(C345)="","",TRIM(V345)="","",TRUE,V345-C345)</f>
        <v>4</v>
      </c>
      <c r="X345" s="37">
        <f t="shared" si="89"/>
        <v>0</v>
      </c>
      <c r="Y345" s="37" t="s">
        <v>117</v>
      </c>
      <c r="Z345" s="37" t="str">
        <f t="shared" si="90"/>
        <v>delivered</v>
      </c>
      <c r="AA345" s="37" t="str">
        <f t="shared" si="91"/>
        <v>On Time</v>
      </c>
      <c r="AB345" s="37" t="str">
        <f t="shared" si="94"/>
        <v>0</v>
      </c>
      <c r="AC345" s="37">
        <f t="shared" si="95"/>
        <v>0</v>
      </c>
      <c r="AD345" s="45">
        <f t="shared" si="93"/>
        <v>0.509222133119487</v>
      </c>
      <c r="AE345" s="37">
        <v>4</v>
      </c>
      <c r="AF345" s="37" t="s">
        <v>118</v>
      </c>
      <c r="AG345" s="37" t="str">
        <f t="shared" si="92"/>
        <v>no</v>
      </c>
      <c r="AH345" s="37" t="str">
        <f t="array" ref="AH345">_xlfn.IFS(LOWER(AG345)="n","no",LOWER(AG345)="y","yes",TRUE,LOWER(AG345))</f>
        <v>no</v>
      </c>
      <c r="AI345" s="37" t="s">
        <v>4692</v>
      </c>
    </row>
    <row r="346" spans="1:35">
      <c r="A346" s="46" t="s">
        <v>1643</v>
      </c>
      <c r="B346" s="47">
        <v>45316</v>
      </c>
      <c r="C346" s="39">
        <f t="shared" si="80"/>
        <v>45316</v>
      </c>
      <c r="D346" s="48" t="s">
        <v>424</v>
      </c>
      <c r="E346" s="37" t="str" cm="1">
        <f t="array" ref="E346">_xlfn.IFS(D346="delhi","north",D346="mumbai","west",D346="bengaluru","south",D346="chennai","south",D346="kolkata","east",TRUE,"west")</f>
        <v>south</v>
      </c>
      <c r="F346" s="46" t="s">
        <v>919</v>
      </c>
      <c r="G346" s="37" t="str">
        <f t="shared" si="81"/>
        <v>xpressbees</v>
      </c>
      <c r="H346" s="46" t="s">
        <v>147</v>
      </c>
      <c r="I346" s="37" t="str">
        <f t="shared" si="82"/>
        <v>road</v>
      </c>
      <c r="J346" s="46" t="s">
        <v>458</v>
      </c>
      <c r="K346" s="37" t="str">
        <f t="shared" si="83"/>
        <v>electronics</v>
      </c>
      <c r="L346" s="46" t="s">
        <v>346</v>
      </c>
      <c r="M346" s="37" t="str">
        <f t="shared" si="84"/>
        <v>north</v>
      </c>
      <c r="N346" s="46" t="s">
        <v>354</v>
      </c>
      <c r="O346" s="41" t="str">
        <f t="shared" si="85"/>
        <v>Yes</v>
      </c>
      <c r="P346" s="49">
        <v>13.2</v>
      </c>
      <c r="Q346" s="49">
        <v>343</v>
      </c>
      <c r="R346" s="42">
        <f t="shared" si="86"/>
        <v>25.9848484848485</v>
      </c>
      <c r="S346" s="46">
        <v>8</v>
      </c>
      <c r="T346" s="46" t="s">
        <v>318</v>
      </c>
      <c r="U346" s="43" t="str">
        <f t="shared" si="87"/>
        <v>01-feb-2024</v>
      </c>
      <c r="V346" s="43">
        <f t="shared" si="88"/>
        <v>45323</v>
      </c>
      <c r="W346" s="44">
        <f t="array" ref="W346">_xlfn.IFS(TRIM(C346)="","",TRIM(V346)="","",TRUE,V346-C346)</f>
        <v>7</v>
      </c>
      <c r="X346" s="37">
        <f t="shared" si="89"/>
        <v>-1</v>
      </c>
      <c r="Y346" s="46" t="s">
        <v>163</v>
      </c>
      <c r="Z346" s="37" t="str">
        <f t="shared" si="90"/>
        <v>delivered</v>
      </c>
      <c r="AA346" s="37" t="str">
        <f t="shared" si="91"/>
        <v>On Time</v>
      </c>
      <c r="AB346" s="37" t="str">
        <f t="shared" si="94"/>
        <v>0</v>
      </c>
      <c r="AC346" s="37">
        <f t="shared" si="95"/>
        <v>0</v>
      </c>
      <c r="AD346" s="45">
        <f t="shared" si="93"/>
        <v>0.509630818619583</v>
      </c>
      <c r="AE346" s="46">
        <v>5</v>
      </c>
      <c r="AF346" s="46" t="s">
        <v>152</v>
      </c>
      <c r="AG346" s="37" t="str">
        <f t="shared" si="92"/>
        <v>no</v>
      </c>
      <c r="AH346" s="37" t="str">
        <f t="array" ref="AH346">_xlfn.IFS(LOWER(AG346)="n","no",LOWER(AG346)="y","yes",TRUE,LOWER(AG346))</f>
        <v>no</v>
      </c>
      <c r="AI346" s="46" t="s">
        <v>4692</v>
      </c>
    </row>
    <row r="347" spans="1:35">
      <c r="A347" s="37" t="s">
        <v>1646</v>
      </c>
      <c r="B347" s="38">
        <v>45352</v>
      </c>
      <c r="C347" s="39">
        <f t="shared" si="80"/>
        <v>45352</v>
      </c>
      <c r="D347" s="40" t="s">
        <v>212</v>
      </c>
      <c r="E347" s="37" t="str" cm="1">
        <f t="array" ref="E347">_xlfn.IFS(D347="delhi","north",D347="mumbai","west",D347="bengaluru","south",D347="chennai","south",D347="kolkata","east",TRUE,"west")</f>
        <v>west</v>
      </c>
      <c r="F347" s="37" t="s">
        <v>175</v>
      </c>
      <c r="G347" s="37" t="str">
        <f t="shared" si="81"/>
        <v>ecomexpress</v>
      </c>
      <c r="H347" s="37" t="s">
        <v>137</v>
      </c>
      <c r="I347" s="37" t="str">
        <f t="shared" si="82"/>
        <v>road</v>
      </c>
      <c r="J347" s="37" t="s">
        <v>582</v>
      </c>
      <c r="K347" s="37" t="str">
        <f t="shared" si="83"/>
        <v>grocery&amp;fmcg</v>
      </c>
      <c r="L347" s="37" t="s">
        <v>302</v>
      </c>
      <c r="M347" s="37" t="str">
        <f t="shared" si="84"/>
        <v>east</v>
      </c>
      <c r="N347" s="37" t="s">
        <v>126</v>
      </c>
      <c r="O347" s="41" t="str">
        <f t="shared" si="85"/>
        <v>Yes</v>
      </c>
      <c r="P347" s="41">
        <v>14.7</v>
      </c>
      <c r="Q347" s="41">
        <v>400</v>
      </c>
      <c r="R347" s="42">
        <f t="shared" si="86"/>
        <v>27.2108843537415</v>
      </c>
      <c r="S347" s="37">
        <v>8</v>
      </c>
      <c r="T347" s="37" t="s">
        <v>1649</v>
      </c>
      <c r="U347" s="43" t="str">
        <f t="shared" si="87"/>
        <v>08/03/2024</v>
      </c>
      <c r="V347" s="43">
        <f t="shared" si="88"/>
        <v>45359</v>
      </c>
      <c r="W347" s="44">
        <f t="array" ref="W347">_xlfn.IFS(TRIM(C347)="","",TRIM(V347)="","",TRUE,V347-C347)</f>
        <v>7</v>
      </c>
      <c r="X347" s="37">
        <f t="shared" si="89"/>
        <v>-1</v>
      </c>
      <c r="Y347" s="37" t="s">
        <v>117</v>
      </c>
      <c r="Z347" s="37" t="str">
        <f t="shared" si="90"/>
        <v>delivered</v>
      </c>
      <c r="AA347" s="37" t="str">
        <f t="shared" si="91"/>
        <v>On Time</v>
      </c>
      <c r="AB347" s="37" t="str">
        <f t="shared" si="94"/>
        <v>0</v>
      </c>
      <c r="AC347" s="37">
        <f t="shared" si="95"/>
        <v>0</v>
      </c>
      <c r="AD347" s="45">
        <f t="shared" si="93"/>
        <v>0.51004016064257</v>
      </c>
      <c r="AE347" s="37">
        <v>3</v>
      </c>
      <c r="AF347" s="37" t="s">
        <v>286</v>
      </c>
      <c r="AG347" s="37" t="str">
        <f t="shared" si="92"/>
        <v>yes</v>
      </c>
      <c r="AH347" s="37" t="str">
        <f t="array" ref="AH347">_xlfn.IFS(LOWER(AG347)="n","no",LOWER(AG347)="y","yes",TRUE,LOWER(AG347))</f>
        <v>yes</v>
      </c>
      <c r="AI347" s="37" t="s">
        <v>4692</v>
      </c>
    </row>
    <row r="348" spans="1:35">
      <c r="A348" s="46" t="s">
        <v>1650</v>
      </c>
      <c r="B348" s="47" t="s">
        <v>4746</v>
      </c>
      <c r="C348" s="39">
        <f t="shared" si="80"/>
        <v>45406</v>
      </c>
      <c r="D348" s="48" t="s">
        <v>243</v>
      </c>
      <c r="E348" s="37" t="str" cm="1">
        <f t="array" ref="E348">_xlfn.IFS(D348="delhi","north",D348="mumbai","west",D348="bengaluru","south",D348="chennai","south",D348="kolkata","east",TRUE,"west")</f>
        <v>west</v>
      </c>
      <c r="F348" s="46" t="s">
        <v>122</v>
      </c>
      <c r="G348" s="37" t="str">
        <f t="shared" si="81"/>
        <v>delhivery</v>
      </c>
      <c r="H348" s="46" t="s">
        <v>137</v>
      </c>
      <c r="I348" s="37" t="str">
        <f t="shared" si="82"/>
        <v>road</v>
      </c>
      <c r="J348" s="46" t="s">
        <v>158</v>
      </c>
      <c r="K348" s="37" t="str">
        <f t="shared" si="83"/>
        <v>pharma</v>
      </c>
      <c r="L348" s="46" t="s">
        <v>302</v>
      </c>
      <c r="M348" s="37" t="str">
        <f t="shared" si="84"/>
        <v>east</v>
      </c>
      <c r="N348" s="46" t="s">
        <v>126</v>
      </c>
      <c r="O348" s="41" t="str">
        <f t="shared" si="85"/>
        <v>Yes</v>
      </c>
      <c r="P348" s="49" t="s">
        <v>436</v>
      </c>
      <c r="Q348" s="49" t="s">
        <v>1651</v>
      </c>
      <c r="R348" s="42">
        <f t="shared" si="86"/>
        <v>71</v>
      </c>
      <c r="S348" s="46">
        <v>8</v>
      </c>
      <c r="T348" s="46" t="s">
        <v>478</v>
      </c>
      <c r="U348" s="43" t="str">
        <f t="shared" si="87"/>
        <v>01/05/2024</v>
      </c>
      <c r="V348" s="43">
        <f t="shared" si="88"/>
        <v>45413</v>
      </c>
      <c r="W348" s="44">
        <f t="array" ref="W348">_xlfn.IFS(TRIM(C348)="","",TRIM(V348)="","",TRUE,V348-C348)</f>
        <v>7</v>
      </c>
      <c r="X348" s="37">
        <f t="shared" si="89"/>
        <v>-1</v>
      </c>
      <c r="Y348" s="46" t="s">
        <v>117</v>
      </c>
      <c r="Z348" s="37" t="str">
        <f t="shared" si="90"/>
        <v>delivered</v>
      </c>
      <c r="AA348" s="37" t="str">
        <f t="shared" si="91"/>
        <v>On Time</v>
      </c>
      <c r="AB348" s="37" t="str">
        <f t="shared" si="94"/>
        <v>0</v>
      </c>
      <c r="AC348" s="37">
        <f t="shared" si="95"/>
        <v>0</v>
      </c>
      <c r="AD348" s="45">
        <f t="shared" si="93"/>
        <v>0.510450160771704</v>
      </c>
      <c r="AE348" s="46">
        <v>5</v>
      </c>
      <c r="AF348" s="46" t="s">
        <v>191</v>
      </c>
      <c r="AG348" s="37" t="str">
        <f t="shared" si="92"/>
        <v>no</v>
      </c>
      <c r="AH348" s="37" t="str">
        <f t="array" ref="AH348">_xlfn.IFS(LOWER(AG348)="n","no",LOWER(AG348)="y","yes",TRUE,LOWER(AG348))</f>
        <v>no</v>
      </c>
      <c r="AI348" s="46" t="s">
        <v>4692</v>
      </c>
    </row>
    <row r="349" spans="1:35">
      <c r="A349" s="37" t="s">
        <v>1652</v>
      </c>
      <c r="B349" s="38">
        <v>45365</v>
      </c>
      <c r="C349" s="39">
        <f t="shared" si="80"/>
        <v>45365</v>
      </c>
      <c r="D349" s="40" t="s">
        <v>633</v>
      </c>
      <c r="E349" s="37" t="str" cm="1">
        <f t="array" ref="E349">_xlfn.IFS(D349="delhi","north",D349="mumbai","west",D349="bengaluru","south",D349="chennai","south",D349="kolkata","east",TRUE,"west")</f>
        <v>south</v>
      </c>
      <c r="F349" s="37" t="s">
        <v>367</v>
      </c>
      <c r="G349" s="37" t="str">
        <f t="shared" si="81"/>
        <v>dtdc</v>
      </c>
      <c r="H349" s="37" t="s">
        <v>110</v>
      </c>
      <c r="I349" s="37" t="str">
        <f t="shared" si="82"/>
        <v>surface</v>
      </c>
      <c r="J349" s="37" t="s">
        <v>271</v>
      </c>
      <c r="K349" s="37" t="str">
        <f t="shared" si="83"/>
        <v>electronics</v>
      </c>
      <c r="L349" s="37" t="s">
        <v>264</v>
      </c>
      <c r="M349" s="37" t="str">
        <f t="shared" si="84"/>
        <v>west</v>
      </c>
      <c r="N349" s="37" t="s">
        <v>187</v>
      </c>
      <c r="O349" s="41" t="str">
        <f t="shared" si="85"/>
        <v>Yes</v>
      </c>
      <c r="P349" s="41">
        <v>5.7</v>
      </c>
      <c r="Q349" s="41">
        <v>303</v>
      </c>
      <c r="R349" s="42">
        <f t="shared" si="86"/>
        <v>53.1578947368421</v>
      </c>
      <c r="S349" s="37">
        <v>6</v>
      </c>
      <c r="T349" s="37" t="s">
        <v>1653</v>
      </c>
      <c r="U349" s="43" t="str">
        <f t="shared" si="87"/>
        <v>19-mar-2024</v>
      </c>
      <c r="V349" s="43">
        <f t="shared" si="88"/>
        <v>45370</v>
      </c>
      <c r="W349" s="44">
        <f t="array" ref="W349">_xlfn.IFS(TRIM(C349)="","",TRIM(V349)="","",TRUE,V349-C349)</f>
        <v>5</v>
      </c>
      <c r="X349" s="37">
        <f t="shared" si="89"/>
        <v>-1</v>
      </c>
      <c r="Y349" s="37" t="s">
        <v>163</v>
      </c>
      <c r="Z349" s="37" t="str">
        <f t="shared" si="90"/>
        <v>delivered</v>
      </c>
      <c r="AA349" s="37" t="str">
        <f t="shared" si="91"/>
        <v>On Time</v>
      </c>
      <c r="AB349" s="37" t="str">
        <f t="shared" si="94"/>
        <v>0</v>
      </c>
      <c r="AC349" s="37">
        <f t="shared" si="95"/>
        <v>0</v>
      </c>
      <c r="AD349" s="45">
        <f t="shared" si="93"/>
        <v>0.510860820595334</v>
      </c>
      <c r="AE349" s="37">
        <v>4</v>
      </c>
      <c r="AF349" s="37" t="s">
        <v>191</v>
      </c>
      <c r="AG349" s="37" t="str">
        <f t="shared" si="92"/>
        <v>no</v>
      </c>
      <c r="AH349" s="37" t="str">
        <f t="array" ref="AH349">_xlfn.IFS(LOWER(AG349)="n","no",LOWER(AG349)="y","yes",TRUE,LOWER(AG349))</f>
        <v>no</v>
      </c>
      <c r="AI349" s="37" t="s">
        <v>4692</v>
      </c>
    </row>
    <row r="350" spans="1:35">
      <c r="A350" s="46" t="s">
        <v>1654</v>
      </c>
      <c r="B350" s="47" t="s">
        <v>4726</v>
      </c>
      <c r="C350" s="39">
        <f t="shared" si="80"/>
        <v>45304</v>
      </c>
      <c r="D350" s="48" t="s">
        <v>300</v>
      </c>
      <c r="E350" s="37" t="str" cm="1">
        <f t="array" ref="E350">_xlfn.IFS(D350="delhi","north",D350="mumbai","west",D350="bengaluru","south",D350="chennai","south",D350="kolkata","east",TRUE,"west")</f>
        <v>west</v>
      </c>
      <c r="F350" s="46" t="s">
        <v>352</v>
      </c>
      <c r="G350" s="37" t="str">
        <f t="shared" si="81"/>
        <v>delhivery</v>
      </c>
      <c r="H350" s="46" t="s">
        <v>345</v>
      </c>
      <c r="I350" s="37" t="str">
        <f t="shared" si="82"/>
        <v>surface</v>
      </c>
      <c r="J350" s="46" t="s">
        <v>138</v>
      </c>
      <c r="K350" s="37" t="str">
        <f t="shared" si="83"/>
        <v>apparel</v>
      </c>
      <c r="L350" s="46" t="s">
        <v>418</v>
      </c>
      <c r="M350" s="37" t="str">
        <f t="shared" si="84"/>
        <v>south</v>
      </c>
      <c r="N350" s="46" t="s">
        <v>90</v>
      </c>
      <c r="O350" s="41" t="str">
        <f t="shared" si="85"/>
        <v>Yes</v>
      </c>
      <c r="P350" s="49">
        <v>6.8</v>
      </c>
      <c r="Q350" s="49">
        <v>181</v>
      </c>
      <c r="R350" s="42">
        <f t="shared" si="86"/>
        <v>26.6176470588235</v>
      </c>
      <c r="S350" s="46">
        <v>4</v>
      </c>
      <c r="T350" s="46" t="s">
        <v>820</v>
      </c>
      <c r="U350" s="43" t="str">
        <f t="shared" si="87"/>
        <v>19/01/2024</v>
      </c>
      <c r="V350" s="43">
        <f t="shared" si="88"/>
        <v>45310</v>
      </c>
      <c r="W350" s="44">
        <f t="array" ref="W350">_xlfn.IFS(TRIM(C350)="","",TRIM(V350)="","",TRUE,V350-C350)</f>
        <v>6</v>
      </c>
      <c r="X350" s="37">
        <f t="shared" si="89"/>
        <v>2</v>
      </c>
      <c r="Y350" s="46" t="s">
        <v>200</v>
      </c>
      <c r="Z350" s="37" t="str">
        <f t="shared" si="90"/>
        <v>delayed</v>
      </c>
      <c r="AA350" s="37" t="str">
        <f t="shared" si="91"/>
        <v>Late</v>
      </c>
      <c r="AB350" s="37" t="str">
        <f t="shared" si="94"/>
        <v>1</v>
      </c>
      <c r="AC350" s="37">
        <f t="shared" si="95"/>
        <v>1</v>
      </c>
      <c r="AD350" s="45">
        <f t="shared" si="93"/>
        <v>0.511272141706924</v>
      </c>
      <c r="AE350" s="46">
        <v>4</v>
      </c>
      <c r="AF350" s="46" t="s">
        <v>79</v>
      </c>
      <c r="AG350" s="37" t="str">
        <f t="shared" si="92"/>
        <v>yes</v>
      </c>
      <c r="AH350" s="37" t="str">
        <f t="array" ref="AH350">_xlfn.IFS(LOWER(AG350)="n","no",LOWER(AG350)="y","yes",TRUE,LOWER(AG350))</f>
        <v>yes</v>
      </c>
      <c r="AI350" s="46" t="s">
        <v>4692</v>
      </c>
    </row>
    <row r="351" spans="1:35">
      <c r="A351" s="37" t="s">
        <v>1656</v>
      </c>
      <c r="B351" s="38">
        <v>45462</v>
      </c>
      <c r="C351" s="39">
        <f t="shared" si="80"/>
        <v>45462</v>
      </c>
      <c r="D351" s="40" t="s">
        <v>212</v>
      </c>
      <c r="E351" s="37" t="str" cm="1">
        <f t="array" ref="E351">_xlfn.IFS(D351="delhi","north",D351="mumbai","west",D351="bengaluru","south",D351="chennai","south",D351="kolkata","east",TRUE,"west")</f>
        <v>west</v>
      </c>
      <c r="F351" s="37" t="s">
        <v>98</v>
      </c>
      <c r="G351" s="37" t="str">
        <f t="shared" si="81"/>
        <v>dtdc</v>
      </c>
      <c r="H351" s="37" t="s">
        <v>147</v>
      </c>
      <c r="I351" s="37" t="str">
        <f t="shared" si="82"/>
        <v>road</v>
      </c>
      <c r="J351" s="37" t="s">
        <v>283</v>
      </c>
      <c r="K351" s="37" t="str">
        <f t="shared" si="83"/>
        <v>pharma</v>
      </c>
      <c r="L351" s="37" t="s">
        <v>380</v>
      </c>
      <c r="M351" s="37" t="str">
        <f t="shared" si="84"/>
        <v>east</v>
      </c>
      <c r="N351" s="37" t="s">
        <v>396</v>
      </c>
      <c r="O351" s="41" t="str">
        <f t="shared" si="85"/>
        <v>Yes</v>
      </c>
      <c r="P351" s="41">
        <v>3</v>
      </c>
      <c r="Q351" s="41">
        <v>176</v>
      </c>
      <c r="R351" s="42">
        <f t="shared" si="86"/>
        <v>58.6666666666667</v>
      </c>
      <c r="S351" s="37">
        <v>8</v>
      </c>
      <c r="T351" s="37" t="s">
        <v>1659</v>
      </c>
      <c r="U351" s="43" t="str">
        <f t="shared" si="87"/>
        <v>27/06/2024</v>
      </c>
      <c r="V351" s="43">
        <f t="shared" si="88"/>
        <v>45470</v>
      </c>
      <c r="W351" s="44">
        <f t="array" ref="W351">_xlfn.IFS(TRIM(C351)="","",TRIM(V351)="","",TRUE,V351-C351)</f>
        <v>8</v>
      </c>
      <c r="X351" s="37">
        <f t="shared" si="89"/>
        <v>0</v>
      </c>
      <c r="Y351" s="37" t="s">
        <v>219</v>
      </c>
      <c r="Z351" s="37" t="str">
        <f t="shared" si="90"/>
        <v>delivered</v>
      </c>
      <c r="AA351" s="37" t="str">
        <f t="shared" si="91"/>
        <v>On Time</v>
      </c>
      <c r="AB351" s="37" t="str">
        <f t="shared" si="94"/>
        <v>0</v>
      </c>
      <c r="AC351" s="37">
        <f t="shared" si="95"/>
        <v>0</v>
      </c>
      <c r="AD351" s="45">
        <f t="shared" si="93"/>
        <v>0.510878323932313</v>
      </c>
      <c r="AE351" s="37">
        <v>4</v>
      </c>
      <c r="AF351" s="37" t="s">
        <v>181</v>
      </c>
      <c r="AG351" s="37" t="str">
        <f t="shared" si="92"/>
        <v>y</v>
      </c>
      <c r="AH351" s="37" t="str">
        <f t="array" ref="AH351">_xlfn.IFS(LOWER(AG351)="n","no",LOWER(AG351)="y","yes",TRUE,LOWER(AG351))</f>
        <v>yes</v>
      </c>
      <c r="AI351" s="37" t="s">
        <v>4692</v>
      </c>
    </row>
    <row r="352" spans="1:35">
      <c r="A352" s="46" t="s">
        <v>1660</v>
      </c>
      <c r="B352" s="47">
        <v>45414</v>
      </c>
      <c r="C352" s="39">
        <f t="shared" si="80"/>
        <v>45414</v>
      </c>
      <c r="D352" s="48" t="s">
        <v>424</v>
      </c>
      <c r="E352" s="37" t="str" cm="1">
        <f t="array" ref="E352">_xlfn.IFS(D352="delhi","north",D352="mumbai","west",D352="bengaluru","south",D352="chennai","south",D352="kolkata","east",TRUE,"west")</f>
        <v>south</v>
      </c>
      <c r="F352" s="46" t="s">
        <v>919</v>
      </c>
      <c r="G352" s="37" t="str">
        <f t="shared" si="81"/>
        <v>xpressbees</v>
      </c>
      <c r="H352" s="46" t="s">
        <v>147</v>
      </c>
      <c r="I352" s="37" t="str">
        <f t="shared" si="82"/>
        <v>road</v>
      </c>
      <c r="J352" s="46" t="s">
        <v>100</v>
      </c>
      <c r="K352" s="37" t="str">
        <f t="shared" si="83"/>
        <v>electronics</v>
      </c>
      <c r="L352" s="46" t="s">
        <v>334</v>
      </c>
      <c r="M352" s="37" t="str">
        <f t="shared" si="84"/>
        <v>north</v>
      </c>
      <c r="N352" s="46" t="s">
        <v>354</v>
      </c>
      <c r="O352" s="41" t="str">
        <f t="shared" si="85"/>
        <v>Yes</v>
      </c>
      <c r="P352" s="49" t="s">
        <v>1661</v>
      </c>
      <c r="Q352" s="49">
        <v>346</v>
      </c>
      <c r="R352" s="42">
        <f t="shared" si="86"/>
        <v>32.9523809523809</v>
      </c>
      <c r="S352" s="46">
        <v>8</v>
      </c>
      <c r="T352" s="46" t="s">
        <v>617</v>
      </c>
      <c r="U352" s="43" t="str">
        <f t="shared" si="87"/>
        <v>10-may-2024</v>
      </c>
      <c r="V352" s="43">
        <f t="shared" si="88"/>
        <v>45422</v>
      </c>
      <c r="W352" s="44">
        <f t="array" ref="W352">_xlfn.IFS(TRIM(C352)="","",TRIM(V352)="","",TRUE,V352-C352)</f>
        <v>8</v>
      </c>
      <c r="X352" s="37">
        <f t="shared" si="89"/>
        <v>0</v>
      </c>
      <c r="Y352" s="46" t="s">
        <v>163</v>
      </c>
      <c r="Z352" s="37" t="str">
        <f t="shared" si="90"/>
        <v>delivered</v>
      </c>
      <c r="AA352" s="37" t="str">
        <f t="shared" si="91"/>
        <v>On Time</v>
      </c>
      <c r="AB352" s="37" t="str">
        <f t="shared" si="94"/>
        <v>0</v>
      </c>
      <c r="AC352" s="37">
        <f t="shared" si="95"/>
        <v>0</v>
      </c>
      <c r="AD352" s="45">
        <f t="shared" si="93"/>
        <v>0.511290322580645</v>
      </c>
      <c r="AE352" s="46">
        <v>5</v>
      </c>
      <c r="AF352" s="46" t="s">
        <v>191</v>
      </c>
      <c r="AG352" s="37" t="str">
        <f t="shared" si="92"/>
        <v>no</v>
      </c>
      <c r="AH352" s="37" t="str">
        <f t="array" ref="AH352">_xlfn.IFS(LOWER(AG352)="n","no",LOWER(AG352)="y","yes",TRUE,LOWER(AG352))</f>
        <v>no</v>
      </c>
      <c r="AI352" s="46" t="s">
        <v>4692</v>
      </c>
    </row>
    <row r="353" spans="1:35">
      <c r="A353" s="37" t="s">
        <v>1663</v>
      </c>
      <c r="B353" s="38">
        <v>45470</v>
      </c>
      <c r="C353" s="39">
        <f t="shared" si="80"/>
        <v>45470</v>
      </c>
      <c r="D353" s="40" t="s">
        <v>4694</v>
      </c>
      <c r="E353" s="37" t="str" cm="1">
        <f t="array" ref="E353">_xlfn.IFS(D353="delhi","north",D353="mumbai","west",D353="bengaluru","south",D353="chennai","south",D353="kolkata","east",TRUE,"west")</f>
        <v>west</v>
      </c>
      <c r="F353" s="37" t="s">
        <v>333</v>
      </c>
      <c r="G353" s="37" t="str">
        <f t="shared" si="81"/>
        <v>delhivery</v>
      </c>
      <c r="H353" s="37" t="s">
        <v>110</v>
      </c>
      <c r="I353" s="37" t="str">
        <f t="shared" si="82"/>
        <v>surface</v>
      </c>
      <c r="J353" s="37" t="s">
        <v>167</v>
      </c>
      <c r="K353" s="37" t="str">
        <f t="shared" si="83"/>
        <v>pharma</v>
      </c>
      <c r="L353" s="37" t="s">
        <v>168</v>
      </c>
      <c r="M353" s="37" t="str">
        <f t="shared" si="84"/>
        <v>west</v>
      </c>
      <c r="N353" s="37" t="s">
        <v>278</v>
      </c>
      <c r="O353" s="41" t="str">
        <f t="shared" si="85"/>
        <v>Yes</v>
      </c>
      <c r="P353" s="41" t="s">
        <v>1042</v>
      </c>
      <c r="Q353" s="41">
        <v>176</v>
      </c>
      <c r="R353" s="42">
        <f t="shared" si="86"/>
        <v>83.8095238095238</v>
      </c>
      <c r="S353" s="37">
        <v>6</v>
      </c>
      <c r="T353" s="37" t="s">
        <v>772</v>
      </c>
      <c r="U353" s="43" t="str">
        <f t="shared" si="87"/>
        <v>03-jul-2024</v>
      </c>
      <c r="V353" s="43">
        <f t="shared" si="88"/>
        <v>45476</v>
      </c>
      <c r="W353" s="44">
        <f t="array" ref="W353">_xlfn.IFS(TRIM(C353)="","",TRIM(V353)="","",TRUE,V353-C353)</f>
        <v>6</v>
      </c>
      <c r="X353" s="37">
        <f t="shared" si="89"/>
        <v>0</v>
      </c>
      <c r="Y353" s="37" t="s">
        <v>163</v>
      </c>
      <c r="Z353" s="37" t="str">
        <f t="shared" si="90"/>
        <v>delivered</v>
      </c>
      <c r="AA353" s="37" t="str">
        <f t="shared" si="91"/>
        <v>On Time</v>
      </c>
      <c r="AB353" s="37" t="str">
        <f t="shared" si="94"/>
        <v>0</v>
      </c>
      <c r="AC353" s="37">
        <f t="shared" si="95"/>
        <v>0</v>
      </c>
      <c r="AD353" s="45">
        <f t="shared" si="93"/>
        <v>0.511702986279257</v>
      </c>
      <c r="AE353" s="37">
        <v>4</v>
      </c>
      <c r="AF353" s="37" t="s">
        <v>152</v>
      </c>
      <c r="AG353" s="37" t="str">
        <f t="shared" si="92"/>
        <v>no</v>
      </c>
      <c r="AH353" s="37" t="str">
        <f t="array" ref="AH353">_xlfn.IFS(LOWER(AG353)="n","no",LOWER(AG353)="y","yes",TRUE,LOWER(AG353))</f>
        <v>no</v>
      </c>
      <c r="AI353" s="37" t="s">
        <v>4692</v>
      </c>
    </row>
    <row r="354" spans="1:35">
      <c r="A354" s="46" t="s">
        <v>1665</v>
      </c>
      <c r="B354" s="47" t="s">
        <v>4770</v>
      </c>
      <c r="C354" s="39">
        <f t="shared" si="80"/>
        <v>45426</v>
      </c>
      <c r="D354" s="48" t="s">
        <v>4699</v>
      </c>
      <c r="E354" s="37" t="str" cm="1">
        <f t="array" ref="E354">_xlfn.IFS(D354="delhi","north",D354="mumbai","west",D354="bengaluru","south",D354="chennai","south",D354="kolkata","east",TRUE,"west")</f>
        <v>west</v>
      </c>
      <c r="F354" s="46" t="s">
        <v>204</v>
      </c>
      <c r="G354" s="37" t="str">
        <f t="shared" si="81"/>
        <v>delhivery</v>
      </c>
      <c r="H354" s="46" t="s">
        <v>176</v>
      </c>
      <c r="I354" s="37" t="str">
        <f t="shared" si="82"/>
        <v>road</v>
      </c>
      <c r="J354" s="46" t="s">
        <v>186</v>
      </c>
      <c r="K354" s="37" t="str">
        <f t="shared" si="83"/>
        <v>automotiveparts</v>
      </c>
      <c r="L354" s="46" t="s">
        <v>470</v>
      </c>
      <c r="M354" s="37" t="str">
        <f t="shared" si="84"/>
        <v>east</v>
      </c>
      <c r="N354" s="46" t="s">
        <v>294</v>
      </c>
      <c r="O354" s="41" t="str">
        <f t="shared" si="85"/>
        <v>Yes</v>
      </c>
      <c r="P354" s="49">
        <v>8.2</v>
      </c>
      <c r="Q354" s="49" t="s">
        <v>1666</v>
      </c>
      <c r="R354" s="42">
        <f t="shared" si="86"/>
        <v>36.219512195122</v>
      </c>
      <c r="S354" s="46">
        <v>8</v>
      </c>
      <c r="T354" s="46" t="s">
        <v>720</v>
      </c>
      <c r="U354" s="43" t="str">
        <f t="shared" si="87"/>
        <v>2024-05-21</v>
      </c>
      <c r="V354" s="43">
        <f t="shared" si="88"/>
        <v>45433</v>
      </c>
      <c r="W354" s="44">
        <f t="array" ref="W354">_xlfn.IFS(TRIM(C354)="","",TRIM(V354)="","",TRUE,V354-C354)</f>
        <v>7</v>
      </c>
      <c r="X354" s="37">
        <f t="shared" si="89"/>
        <v>-1</v>
      </c>
      <c r="Y354" s="46" t="s">
        <v>219</v>
      </c>
      <c r="Z354" s="37" t="str">
        <f t="shared" si="90"/>
        <v>delivered</v>
      </c>
      <c r="AA354" s="37" t="str">
        <f t="shared" si="91"/>
        <v>On Time</v>
      </c>
      <c r="AB354" s="37" t="str">
        <f t="shared" si="94"/>
        <v>0</v>
      </c>
      <c r="AC354" s="37">
        <f t="shared" si="95"/>
        <v>0</v>
      </c>
      <c r="AD354" s="45">
        <f t="shared" si="93"/>
        <v>0.512116316639742</v>
      </c>
      <c r="AE354" s="46">
        <v>4</v>
      </c>
      <c r="AF354" s="46" t="s">
        <v>286</v>
      </c>
      <c r="AG354" s="37" t="str">
        <f t="shared" si="92"/>
        <v>yes</v>
      </c>
      <c r="AH354" s="37" t="str">
        <f t="array" ref="AH354">_xlfn.IFS(LOWER(AG354)="n","no",LOWER(AG354)="y","yes",TRUE,LOWER(AG354))</f>
        <v>yes</v>
      </c>
      <c r="AI354" s="46" t="s">
        <v>4692</v>
      </c>
    </row>
    <row r="355" spans="1:35">
      <c r="A355" s="37" t="s">
        <v>1667</v>
      </c>
      <c r="B355" s="38" t="s">
        <v>4749</v>
      </c>
      <c r="C355" s="39">
        <f t="shared" si="80"/>
        <v>45376</v>
      </c>
      <c r="D355" s="40" t="s">
        <v>366</v>
      </c>
      <c r="E355" s="37" t="str" cm="1">
        <f t="array" ref="E355">_xlfn.IFS(D355="delhi","north",D355="mumbai","west",D355="bengaluru","south",D355="chennai","south",D355="kolkata","east",TRUE,"west")</f>
        <v>east</v>
      </c>
      <c r="F355" s="37" t="s">
        <v>230</v>
      </c>
      <c r="G355" s="37" t="str">
        <f t="shared" si="81"/>
        <v>dtdc</v>
      </c>
      <c r="H355" s="37" t="s">
        <v>110</v>
      </c>
      <c r="I355" s="37" t="str">
        <f t="shared" si="82"/>
        <v>surface</v>
      </c>
      <c r="J355" s="37" t="s">
        <v>425</v>
      </c>
      <c r="K355" s="37" t="str">
        <f t="shared" si="83"/>
        <v>automotiveparts</v>
      </c>
      <c r="L355" s="37" t="s">
        <v>112</v>
      </c>
      <c r="M355" s="37" t="str">
        <f t="shared" si="84"/>
        <v>north</v>
      </c>
      <c r="N355" s="37" t="s">
        <v>32</v>
      </c>
      <c r="O355" s="41" t="str">
        <f t="shared" si="85"/>
        <v>Yes</v>
      </c>
      <c r="P355" s="41" t="s">
        <v>1668</v>
      </c>
      <c r="Q355" s="41">
        <v>914</v>
      </c>
      <c r="R355" s="42">
        <f t="shared" si="86"/>
        <v>26.9616519174041</v>
      </c>
      <c r="S355" s="37">
        <v>6</v>
      </c>
      <c r="T355" s="37" t="s">
        <v>1670</v>
      </c>
      <c r="U355" s="43" t="str">
        <f t="shared" si="87"/>
        <v>03/04/2024</v>
      </c>
      <c r="V355" s="43">
        <f t="shared" si="88"/>
        <v>45385</v>
      </c>
      <c r="W355" s="44">
        <f t="array" ref="W355">_xlfn.IFS(TRIM(C355)="","",TRIM(V355)="","",TRUE,V355-C355)</f>
        <v>9</v>
      </c>
      <c r="X355" s="37">
        <f t="shared" si="89"/>
        <v>3</v>
      </c>
      <c r="Y355" s="37" t="s">
        <v>172</v>
      </c>
      <c r="Z355" s="37" t="str">
        <f t="shared" si="90"/>
        <v>delayed</v>
      </c>
      <c r="AA355" s="37" t="str">
        <f t="shared" si="91"/>
        <v>Late</v>
      </c>
      <c r="AB355" s="37" t="str">
        <f t="shared" si="94"/>
        <v>1</v>
      </c>
      <c r="AC355" s="37">
        <f t="shared" si="95"/>
        <v>1</v>
      </c>
      <c r="AD355" s="45">
        <f t="shared" si="93"/>
        <v>0.512530315278901</v>
      </c>
      <c r="AE355" s="37">
        <v>4</v>
      </c>
      <c r="AF355" s="37" t="s">
        <v>181</v>
      </c>
      <c r="AG355" s="37" t="str">
        <f t="shared" si="92"/>
        <v>y</v>
      </c>
      <c r="AH355" s="37" t="str">
        <f t="array" ref="AH355">_xlfn.IFS(LOWER(AG355)="n","no",LOWER(AG355)="y","yes",TRUE,LOWER(AG355))</f>
        <v>yes</v>
      </c>
      <c r="AI355" s="37" t="s">
        <v>4692</v>
      </c>
    </row>
    <row r="356" spans="1:35">
      <c r="A356" s="46" t="s">
        <v>1671</v>
      </c>
      <c r="B356" s="47">
        <v>45387</v>
      </c>
      <c r="C356" s="39">
        <f t="shared" si="80"/>
        <v>45387</v>
      </c>
      <c r="D356" s="48" t="s">
        <v>424</v>
      </c>
      <c r="E356" s="37" t="str" cm="1">
        <f t="array" ref="E356">_xlfn.IFS(D356="delhi","north",D356="mumbai","west",D356="bengaluru","south",D356="chennai","south",D356="kolkata","east",TRUE,"west")</f>
        <v>south</v>
      </c>
      <c r="F356" s="46" t="s">
        <v>367</v>
      </c>
      <c r="G356" s="37" t="str">
        <f t="shared" si="81"/>
        <v>dtdc</v>
      </c>
      <c r="H356" s="46" t="s">
        <v>185</v>
      </c>
      <c r="I356" s="37" t="str">
        <f t="shared" si="82"/>
        <v>surface</v>
      </c>
      <c r="J356" s="46" t="s">
        <v>498</v>
      </c>
      <c r="K356" s="37" t="str">
        <f t="shared" si="83"/>
        <v>apparel</v>
      </c>
      <c r="L356" s="46" t="s">
        <v>139</v>
      </c>
      <c r="M356" s="37" t="str">
        <f t="shared" si="84"/>
        <v>north</v>
      </c>
      <c r="N356" s="46" t="s">
        <v>354</v>
      </c>
      <c r="O356" s="41" t="str">
        <f t="shared" si="85"/>
        <v>Yes</v>
      </c>
      <c r="P356" s="49">
        <v>5</v>
      </c>
      <c r="Q356" s="49" t="s">
        <v>1673</v>
      </c>
      <c r="R356" s="42">
        <f t="shared" si="86"/>
        <v>53.6</v>
      </c>
      <c r="S356" s="46">
        <v>6</v>
      </c>
      <c r="T356" s="46" t="s">
        <v>646</v>
      </c>
      <c r="U356" s="43" t="str">
        <f t="shared" si="87"/>
        <v>13/04/2024</v>
      </c>
      <c r="V356" s="43">
        <f t="shared" si="88"/>
        <v>45395</v>
      </c>
      <c r="W356" s="44">
        <f t="array" ref="W356">_xlfn.IFS(TRIM(C356)="","",TRIM(V356)="","",TRUE,V356-C356)</f>
        <v>8</v>
      </c>
      <c r="X356" s="37">
        <f t="shared" si="89"/>
        <v>2</v>
      </c>
      <c r="Y356" s="46" t="s">
        <v>172</v>
      </c>
      <c r="Z356" s="37" t="str">
        <f t="shared" si="90"/>
        <v>delayed</v>
      </c>
      <c r="AA356" s="37" t="str">
        <f t="shared" si="91"/>
        <v>Late</v>
      </c>
      <c r="AB356" s="37" t="str">
        <f t="shared" si="94"/>
        <v>1</v>
      </c>
      <c r="AC356" s="37">
        <f t="shared" si="95"/>
        <v>1</v>
      </c>
      <c r="AD356" s="45">
        <f t="shared" si="93"/>
        <v>0.512135922330097</v>
      </c>
      <c r="AE356" s="46">
        <v>2</v>
      </c>
      <c r="AF356" s="46" t="s">
        <v>286</v>
      </c>
      <c r="AG356" s="37" t="str">
        <f t="shared" si="92"/>
        <v>yes</v>
      </c>
      <c r="AH356" s="37" t="str">
        <f t="array" ref="AH356">_xlfn.IFS(LOWER(AG356)="n","no",LOWER(AG356)="y","yes",TRUE,LOWER(AG356))</f>
        <v>yes</v>
      </c>
      <c r="AI356" s="46" t="s">
        <v>4692</v>
      </c>
    </row>
    <row r="357" spans="1:35">
      <c r="A357" s="37" t="s">
        <v>1674</v>
      </c>
      <c r="B357" s="38" t="s">
        <v>4759</v>
      </c>
      <c r="C357" s="39">
        <f t="shared" si="80"/>
        <v>45458</v>
      </c>
      <c r="D357" s="40" t="s">
        <v>424</v>
      </c>
      <c r="E357" s="37" t="str" cm="1">
        <f t="array" ref="E357">_xlfn.IFS(D357="delhi","north",D357="mumbai","west",D357="bengaluru","south",D357="chennai","south",D357="kolkata","east",TRUE,"west")</f>
        <v>south</v>
      </c>
      <c r="F357" s="37" t="s">
        <v>919</v>
      </c>
      <c r="G357" s="37" t="str">
        <f t="shared" si="81"/>
        <v>xpressbees</v>
      </c>
      <c r="H357" s="37" t="s">
        <v>224</v>
      </c>
      <c r="I357" s="37" t="str">
        <f t="shared" si="82"/>
        <v>air</v>
      </c>
      <c r="J357" s="37" t="s">
        <v>283</v>
      </c>
      <c r="K357" s="37" t="str">
        <f t="shared" si="83"/>
        <v>pharma</v>
      </c>
      <c r="L357" s="37" t="s">
        <v>197</v>
      </c>
      <c r="M357" s="37" t="str">
        <f t="shared" si="84"/>
        <v>south</v>
      </c>
      <c r="N357" s="37" t="s">
        <v>54</v>
      </c>
      <c r="O357" s="41" t="str">
        <f t="shared" si="85"/>
        <v>Yes</v>
      </c>
      <c r="P357" s="41">
        <v>4.7</v>
      </c>
      <c r="Q357" s="41">
        <v>264</v>
      </c>
      <c r="R357" s="42">
        <f t="shared" si="86"/>
        <v>56.1702127659574</v>
      </c>
      <c r="S357" s="37">
        <v>2</v>
      </c>
      <c r="T357" s="37" t="s">
        <v>986</v>
      </c>
      <c r="U357" s="43" t="str">
        <f t="shared" si="87"/>
        <v>18/06/2024</v>
      </c>
      <c r="V357" s="43">
        <f t="shared" si="88"/>
        <v>45461</v>
      </c>
      <c r="W357" s="44">
        <f t="array" ref="W357">_xlfn.IFS(TRIM(C357)="","",TRIM(V357)="","",TRUE,V357-C357)</f>
        <v>3</v>
      </c>
      <c r="X357" s="37">
        <f t="shared" si="89"/>
        <v>1</v>
      </c>
      <c r="Y357" s="37" t="s">
        <v>72</v>
      </c>
      <c r="Z357" s="37" t="str">
        <f t="shared" si="90"/>
        <v>delayed</v>
      </c>
      <c r="AA357" s="37" t="str">
        <f t="shared" si="91"/>
        <v>Late</v>
      </c>
      <c r="AB357" s="37" t="str">
        <f t="shared" si="94"/>
        <v>1</v>
      </c>
      <c r="AC357" s="37">
        <f t="shared" si="95"/>
        <v>1</v>
      </c>
      <c r="AD357" s="45">
        <f t="shared" si="93"/>
        <v>0.511740890688259</v>
      </c>
      <c r="AE357" s="37">
        <v>2</v>
      </c>
      <c r="AF357" s="37" t="s">
        <v>106</v>
      </c>
      <c r="AG357" s="37" t="str">
        <f t="shared" si="92"/>
        <v>yes</v>
      </c>
      <c r="AH357" s="37" t="str">
        <f t="array" ref="AH357">_xlfn.IFS(LOWER(AG357)="n","no",LOWER(AG357)="y","yes",TRUE,LOWER(AG357))</f>
        <v>yes</v>
      </c>
      <c r="AI357" s="37" t="s">
        <v>4692</v>
      </c>
    </row>
    <row r="358" spans="1:35">
      <c r="A358" s="46" t="s">
        <v>1676</v>
      </c>
      <c r="B358" s="47" t="s">
        <v>4771</v>
      </c>
      <c r="C358" s="39">
        <f t="shared" si="80"/>
        <v>45323</v>
      </c>
      <c r="D358" s="48" t="s">
        <v>366</v>
      </c>
      <c r="E358" s="37" t="str" cm="1">
        <f t="array" ref="E358">_xlfn.IFS(D358="delhi","north",D358="mumbai","west",D358="bengaluru","south",D358="chennai","south",D358="kolkata","east",TRUE,"west")</f>
        <v>east</v>
      </c>
      <c r="F358" s="46" t="s">
        <v>230</v>
      </c>
      <c r="G358" s="37" t="str">
        <f t="shared" si="81"/>
        <v>dtdc</v>
      </c>
      <c r="H358" s="46" t="s">
        <v>195</v>
      </c>
      <c r="I358" s="37" t="str">
        <f t="shared" si="82"/>
        <v>road</v>
      </c>
      <c r="J358" s="46" t="s">
        <v>237</v>
      </c>
      <c r="K358" s="37" t="str">
        <f t="shared" si="83"/>
        <v>automotiveparts</v>
      </c>
      <c r="L358" s="46" t="s">
        <v>197</v>
      </c>
      <c r="M358" s="37" t="str">
        <f t="shared" si="84"/>
        <v>south</v>
      </c>
      <c r="N358" s="46" t="s">
        <v>327</v>
      </c>
      <c r="O358" s="41" t="str">
        <f t="shared" si="85"/>
        <v>Yes</v>
      </c>
      <c r="P358" s="49" t="s">
        <v>1678</v>
      </c>
      <c r="Q358" s="49">
        <v>649</v>
      </c>
      <c r="R358" s="42">
        <f t="shared" si="86"/>
        <v>19.7865853658537</v>
      </c>
      <c r="S358" s="46">
        <v>8</v>
      </c>
      <c r="T358" s="46" t="s">
        <v>725</v>
      </c>
      <c r="U358" s="43" t="str">
        <f t="shared" si="87"/>
        <v>08/02/2024</v>
      </c>
      <c r="V358" s="43">
        <f t="shared" si="88"/>
        <v>45330</v>
      </c>
      <c r="W358" s="44">
        <f t="array" ref="W358">_xlfn.IFS(TRIM(C358)="","",TRIM(V358)="","",TRUE,V358-C358)</f>
        <v>7</v>
      </c>
      <c r="X358" s="37">
        <f t="shared" si="89"/>
        <v>-1</v>
      </c>
      <c r="Y358" s="46" t="s">
        <v>219</v>
      </c>
      <c r="Z358" s="37" t="str">
        <f t="shared" si="90"/>
        <v>delivered</v>
      </c>
      <c r="AA358" s="37" t="str">
        <f t="shared" si="91"/>
        <v>On Time</v>
      </c>
      <c r="AB358" s="37" t="str">
        <f t="shared" si="94"/>
        <v>0</v>
      </c>
      <c r="AC358" s="37">
        <f t="shared" si="95"/>
        <v>0</v>
      </c>
      <c r="AD358" s="45">
        <f t="shared" si="93"/>
        <v>0.511345218800648</v>
      </c>
      <c r="AE358" s="46">
        <v>2</v>
      </c>
      <c r="AF358" s="46" t="s">
        <v>79</v>
      </c>
      <c r="AG358" s="37" t="str">
        <f t="shared" si="92"/>
        <v>yes</v>
      </c>
      <c r="AH358" s="37" t="str">
        <f t="array" ref="AH358">_xlfn.IFS(LOWER(AG358)="n","no",LOWER(AG358)="y","yes",TRUE,LOWER(AG358))</f>
        <v>yes</v>
      </c>
      <c r="AI358" s="46" t="s">
        <v>4692</v>
      </c>
    </row>
    <row r="359" spans="1:35">
      <c r="A359" s="37" t="s">
        <v>1680</v>
      </c>
      <c r="B359" s="38">
        <v>45297</v>
      </c>
      <c r="C359" s="39">
        <f t="shared" si="80"/>
        <v>45297</v>
      </c>
      <c r="D359" s="40" t="s">
        <v>366</v>
      </c>
      <c r="E359" s="37" t="str" cm="1">
        <f t="array" ref="E359">_xlfn.IFS(D359="delhi","north",D359="mumbai","west",D359="bengaluru","south",D359="chennai","south",D359="kolkata","east",TRUE,"west")</f>
        <v>east</v>
      </c>
      <c r="F359" s="37" t="s">
        <v>312</v>
      </c>
      <c r="G359" s="37" t="str">
        <f t="shared" si="81"/>
        <v>bluedart</v>
      </c>
      <c r="H359" s="37" t="s">
        <v>110</v>
      </c>
      <c r="I359" s="37" t="str">
        <f t="shared" si="82"/>
        <v>surface</v>
      </c>
      <c r="J359" s="37" t="s">
        <v>1682</v>
      </c>
      <c r="K359" s="37" t="str">
        <f t="shared" si="83"/>
        <v>furniture</v>
      </c>
      <c r="L359" s="37" t="s">
        <v>334</v>
      </c>
      <c r="M359" s="37" t="str">
        <f t="shared" si="84"/>
        <v>north</v>
      </c>
      <c r="N359" s="37" t="s">
        <v>215</v>
      </c>
      <c r="O359" s="41" t="str">
        <f t="shared" si="85"/>
        <v>Yes</v>
      </c>
      <c r="P359" s="41">
        <v>59</v>
      </c>
      <c r="Q359" s="50">
        <v>1433</v>
      </c>
      <c r="R359" s="42">
        <f t="shared" si="86"/>
        <v>24.2881355932203</v>
      </c>
      <c r="S359" s="37">
        <v>6</v>
      </c>
      <c r="T359" s="37" t="s">
        <v>1685</v>
      </c>
      <c r="U359" s="43" t="str">
        <f t="shared" si="87"/>
        <v>12/01/2024</v>
      </c>
      <c r="V359" s="43">
        <f t="shared" si="88"/>
        <v>45303</v>
      </c>
      <c r="W359" s="44">
        <f t="array" ref="W359">_xlfn.IFS(TRIM(C359)="","",TRIM(V359)="","",TRUE,V359-C359)</f>
        <v>6</v>
      </c>
      <c r="X359" s="37">
        <f t="shared" si="89"/>
        <v>0</v>
      </c>
      <c r="Y359" s="37" t="s">
        <v>105</v>
      </c>
      <c r="Z359" s="37" t="str">
        <f t="shared" si="90"/>
        <v>delivered</v>
      </c>
      <c r="AA359" s="37" t="str">
        <f t="shared" si="91"/>
        <v>On Time</v>
      </c>
      <c r="AB359" s="37" t="str">
        <f t="shared" si="94"/>
        <v>0</v>
      </c>
      <c r="AC359" s="37">
        <f t="shared" si="95"/>
        <v>0</v>
      </c>
      <c r="AD359" s="45">
        <f t="shared" si="93"/>
        <v>0.511759935117599</v>
      </c>
      <c r="AE359" s="37">
        <v>4</v>
      </c>
      <c r="AF359" s="37" t="s">
        <v>191</v>
      </c>
      <c r="AG359" s="37" t="str">
        <f t="shared" si="92"/>
        <v>no</v>
      </c>
      <c r="AH359" s="37" t="str">
        <f t="array" ref="AH359">_xlfn.IFS(LOWER(AG359)="n","no",LOWER(AG359)="y","yes",TRUE,LOWER(AG359))</f>
        <v>no</v>
      </c>
      <c r="AI359" s="37" t="s">
        <v>4692</v>
      </c>
    </row>
    <row r="360" spans="1:35">
      <c r="A360" s="46" t="s">
        <v>1686</v>
      </c>
      <c r="B360" s="47">
        <v>45451</v>
      </c>
      <c r="C360" s="39">
        <f t="shared" si="80"/>
        <v>45451</v>
      </c>
      <c r="D360" s="48" t="s">
        <v>424</v>
      </c>
      <c r="E360" s="37" t="str" cm="1">
        <f t="array" ref="E360">_xlfn.IFS(D360="delhi","north",D360="mumbai","west",D360="bengaluru","south",D360="chennai","south",D360="kolkata","east",TRUE,"west")</f>
        <v>south</v>
      </c>
      <c r="F360" s="46" t="s">
        <v>213</v>
      </c>
      <c r="G360" s="37" t="str">
        <f t="shared" si="81"/>
        <v>dtdc</v>
      </c>
      <c r="H360" s="46" t="s">
        <v>137</v>
      </c>
      <c r="I360" s="37" t="str">
        <f t="shared" si="82"/>
        <v>road</v>
      </c>
      <c r="J360" s="46" t="s">
        <v>111</v>
      </c>
      <c r="K360" s="37" t="str">
        <f t="shared" si="83"/>
        <v>grocery&amp;fmcg</v>
      </c>
      <c r="L360" s="46" t="s">
        <v>92</v>
      </c>
      <c r="M360" s="37" t="str">
        <f t="shared" si="84"/>
        <v>east</v>
      </c>
      <c r="N360" s="46" t="s">
        <v>396</v>
      </c>
      <c r="O360" s="41" t="str">
        <f t="shared" si="85"/>
        <v>Yes</v>
      </c>
      <c r="P360" s="49" t="s">
        <v>598</v>
      </c>
      <c r="Q360" s="49">
        <v>236</v>
      </c>
      <c r="R360" s="42">
        <f t="shared" si="86"/>
        <v>30.2564102564103</v>
      </c>
      <c r="S360" s="46">
        <v>8</v>
      </c>
      <c r="T360" s="46" t="s">
        <v>1083</v>
      </c>
      <c r="U360" s="43" t="str">
        <f t="shared" si="87"/>
        <v>17/06/2024</v>
      </c>
      <c r="V360" s="43">
        <f t="shared" si="88"/>
        <v>45460</v>
      </c>
      <c r="W360" s="44">
        <f t="array" ref="W360">_xlfn.IFS(TRIM(C360)="","",TRIM(V360)="","",TRUE,V360-C360)</f>
        <v>9</v>
      </c>
      <c r="X360" s="37">
        <f t="shared" si="89"/>
        <v>1</v>
      </c>
      <c r="Y360" s="46" t="s">
        <v>200</v>
      </c>
      <c r="Z360" s="37" t="str">
        <f t="shared" si="90"/>
        <v>delayed</v>
      </c>
      <c r="AA360" s="37" t="str">
        <f t="shared" si="91"/>
        <v>Late</v>
      </c>
      <c r="AB360" s="37" t="str">
        <f t="shared" si="94"/>
        <v>1</v>
      </c>
      <c r="AC360" s="37">
        <f t="shared" si="95"/>
        <v>1</v>
      </c>
      <c r="AD360" s="45">
        <f t="shared" si="93"/>
        <v>0.512175324675325</v>
      </c>
      <c r="AE360" s="46">
        <v>3</v>
      </c>
      <c r="AF360" s="46" t="s">
        <v>191</v>
      </c>
      <c r="AG360" s="37" t="str">
        <f t="shared" si="92"/>
        <v>no</v>
      </c>
      <c r="AH360" s="37" t="str">
        <f t="array" ref="AH360">_xlfn.IFS(LOWER(AG360)="n","no",LOWER(AG360)="y","yes",TRUE,LOWER(AG360))</f>
        <v>no</v>
      </c>
      <c r="AI360" s="46" t="s">
        <v>4692</v>
      </c>
    </row>
    <row r="361" spans="1:35">
      <c r="A361" s="37" t="s">
        <v>1688</v>
      </c>
      <c r="B361" s="38">
        <v>45418</v>
      </c>
      <c r="C361" s="39">
        <f t="shared" si="80"/>
        <v>45418</v>
      </c>
      <c r="D361" s="40" t="s">
        <v>212</v>
      </c>
      <c r="E361" s="37" t="str" cm="1">
        <f t="array" ref="E361">_xlfn.IFS(D361="delhi","north",D361="mumbai","west",D361="bengaluru","south",D361="chennai","south",D361="kolkata","east",TRUE,"west")</f>
        <v>west</v>
      </c>
      <c r="F361" s="37" t="s">
        <v>919</v>
      </c>
      <c r="G361" s="37" t="str">
        <f t="shared" si="81"/>
        <v>xpressbees</v>
      </c>
      <c r="H361" s="37" t="s">
        <v>345</v>
      </c>
      <c r="I361" s="37" t="str">
        <f t="shared" si="82"/>
        <v>surface</v>
      </c>
      <c r="J361" s="37" t="s">
        <v>313</v>
      </c>
      <c r="K361" s="37" t="str">
        <f t="shared" si="83"/>
        <v>automotiveparts</v>
      </c>
      <c r="L361" s="37" t="s">
        <v>125</v>
      </c>
      <c r="M361" s="37" t="str">
        <f t="shared" si="84"/>
        <v>east</v>
      </c>
      <c r="N361" s="37" t="s">
        <v>126</v>
      </c>
      <c r="O361" s="41" t="str">
        <f t="shared" si="85"/>
        <v>Yes</v>
      </c>
      <c r="P361" s="41">
        <v>6.4</v>
      </c>
      <c r="Q361" s="41">
        <v>327</v>
      </c>
      <c r="R361" s="42">
        <f t="shared" si="86"/>
        <v>51.09375</v>
      </c>
      <c r="S361" s="37">
        <v>6</v>
      </c>
      <c r="T361" s="37" t="s">
        <v>410</v>
      </c>
      <c r="U361" s="43" t="str">
        <f t="shared" si="87"/>
        <v>12/05/2024</v>
      </c>
      <c r="V361" s="43">
        <f t="shared" si="88"/>
        <v>45424</v>
      </c>
      <c r="W361" s="44">
        <f t="array" ref="W361">_xlfn.IFS(TRIM(C361)="","",TRIM(V361)="","",TRUE,V361-C361)</f>
        <v>6</v>
      </c>
      <c r="X361" s="37">
        <f t="shared" si="89"/>
        <v>0</v>
      </c>
      <c r="Y361" s="37" t="s">
        <v>105</v>
      </c>
      <c r="Z361" s="37" t="str">
        <f t="shared" si="90"/>
        <v>delivered</v>
      </c>
      <c r="AA361" s="37" t="str">
        <f t="shared" si="91"/>
        <v>On Time</v>
      </c>
      <c r="AB361" s="37" t="str">
        <f t="shared" si="94"/>
        <v>0</v>
      </c>
      <c r="AC361" s="37">
        <f t="shared" si="95"/>
        <v>0</v>
      </c>
      <c r="AD361" s="45">
        <f t="shared" si="93"/>
        <v>0.511779041429732</v>
      </c>
      <c r="AE361" s="37">
        <v>4</v>
      </c>
      <c r="AF361" s="37" t="s">
        <v>191</v>
      </c>
      <c r="AG361" s="37" t="str">
        <f t="shared" si="92"/>
        <v>no</v>
      </c>
      <c r="AH361" s="37" t="str">
        <f t="array" ref="AH361">_xlfn.IFS(LOWER(AG361)="n","no",LOWER(AG361)="y","yes",TRUE,LOWER(AG361))</f>
        <v>no</v>
      </c>
      <c r="AI361" s="37" t="s">
        <v>4692</v>
      </c>
    </row>
    <row r="362" spans="1:35">
      <c r="A362" s="46" t="s">
        <v>1691</v>
      </c>
      <c r="B362" s="47" t="s">
        <v>4772</v>
      </c>
      <c r="C362" s="39">
        <f t="shared" si="80"/>
        <v>45420</v>
      </c>
      <c r="D362" s="48" t="s">
        <v>212</v>
      </c>
      <c r="E362" s="37" t="str" cm="1">
        <f t="array" ref="E362">_xlfn.IFS(D362="delhi","north",D362="mumbai","west",D362="bengaluru","south",D362="chennai","south",D362="kolkata","east",TRUE,"west")</f>
        <v>west</v>
      </c>
      <c r="F362" s="46" t="s">
        <v>184</v>
      </c>
      <c r="G362" s="37" t="str">
        <f t="shared" si="81"/>
        <v>ecomexpress</v>
      </c>
      <c r="H362" s="46" t="s">
        <v>244</v>
      </c>
      <c r="I362" s="37" t="str">
        <f t="shared" si="82"/>
        <v>air</v>
      </c>
      <c r="J362" s="46" t="s">
        <v>452</v>
      </c>
      <c r="K362" s="37" t="str">
        <f t="shared" si="83"/>
        <v>apparel</v>
      </c>
      <c r="L362" s="46" t="s">
        <v>51</v>
      </c>
      <c r="M362" s="37" t="str">
        <f t="shared" si="84"/>
        <v>south</v>
      </c>
      <c r="N362" s="46" t="s">
        <v>54</v>
      </c>
      <c r="O362" s="41" t="str">
        <f t="shared" si="85"/>
        <v>Yes</v>
      </c>
      <c r="P362" s="49">
        <v>6</v>
      </c>
      <c r="Q362" s="49">
        <v>405</v>
      </c>
      <c r="R362" s="42">
        <f t="shared" si="86"/>
        <v>67.5</v>
      </c>
      <c r="S362" s="46">
        <v>4</v>
      </c>
      <c r="T362" s="46" t="s">
        <v>729</v>
      </c>
      <c r="U362" s="43" t="str">
        <f t="shared" si="87"/>
        <v>2024-05-11</v>
      </c>
      <c r="V362" s="43">
        <f t="shared" si="88"/>
        <v>45423</v>
      </c>
      <c r="W362" s="44">
        <f t="array" ref="W362">_xlfn.IFS(TRIM(C362)="","",TRIM(V362)="","",TRUE,V362-C362)</f>
        <v>3</v>
      </c>
      <c r="X362" s="37">
        <f t="shared" si="89"/>
        <v>-1</v>
      </c>
      <c r="Y362" s="46" t="s">
        <v>163</v>
      </c>
      <c r="Z362" s="37" t="str">
        <f t="shared" si="90"/>
        <v>delivered</v>
      </c>
      <c r="AA362" s="37" t="str">
        <f t="shared" si="91"/>
        <v>On Time</v>
      </c>
      <c r="AB362" s="37" t="str">
        <f t="shared" si="94"/>
        <v>0</v>
      </c>
      <c r="AC362" s="37">
        <f t="shared" si="95"/>
        <v>0</v>
      </c>
      <c r="AD362" s="45">
        <f t="shared" si="93"/>
        <v>0.51219512195122</v>
      </c>
      <c r="AE362" s="46">
        <v>4</v>
      </c>
      <c r="AF362" s="46" t="s">
        <v>79</v>
      </c>
      <c r="AG362" s="37" t="str">
        <f t="shared" si="92"/>
        <v>yes</v>
      </c>
      <c r="AH362" s="37" t="str">
        <f t="array" ref="AH362">_xlfn.IFS(LOWER(AG362)="n","no",LOWER(AG362)="y","yes",TRUE,LOWER(AG362))</f>
        <v>yes</v>
      </c>
      <c r="AI362" s="46" t="s">
        <v>4692</v>
      </c>
    </row>
    <row r="363" spans="1:35">
      <c r="A363" s="37" t="s">
        <v>1694</v>
      </c>
      <c r="B363" s="38" t="s">
        <v>4737</v>
      </c>
      <c r="C363" s="39">
        <f t="shared" si="80"/>
        <v>45311</v>
      </c>
      <c r="D363" s="40" t="s">
        <v>366</v>
      </c>
      <c r="E363" s="37" t="str" cm="1">
        <f t="array" ref="E363">_xlfn.IFS(D363="delhi","north",D363="mumbai","west",D363="bengaluru","south",D363="chennai","south",D363="kolkata","east",TRUE,"west")</f>
        <v>east</v>
      </c>
      <c r="F363" s="37" t="s">
        <v>146</v>
      </c>
      <c r="G363" s="37" t="str">
        <f t="shared" si="81"/>
        <v>ecomexpress</v>
      </c>
      <c r="H363" s="37" t="s">
        <v>123</v>
      </c>
      <c r="I363" s="37" t="str">
        <f t="shared" si="82"/>
        <v>air</v>
      </c>
      <c r="J363" s="37" t="s">
        <v>138</v>
      </c>
      <c r="K363" s="37" t="str">
        <f t="shared" si="83"/>
        <v>apparel</v>
      </c>
      <c r="L363" s="37" t="s">
        <v>112</v>
      </c>
      <c r="M363" s="37" t="str">
        <f t="shared" si="84"/>
        <v>north</v>
      </c>
      <c r="N363" s="37" t="s">
        <v>113</v>
      </c>
      <c r="O363" s="41" t="str">
        <f t="shared" si="85"/>
        <v>Yes</v>
      </c>
      <c r="P363" s="41">
        <v>6.5</v>
      </c>
      <c r="Q363" s="41">
        <v>485</v>
      </c>
      <c r="R363" s="42">
        <f t="shared" si="86"/>
        <v>74.6153846153846</v>
      </c>
      <c r="S363" s="37">
        <v>4</v>
      </c>
      <c r="T363" s="37" t="s">
        <v>763</v>
      </c>
      <c r="U363" s="43" t="str">
        <f t="shared" si="87"/>
        <v>23/01/2024</v>
      </c>
      <c r="V363" s="43">
        <f t="shared" si="88"/>
        <v>45314</v>
      </c>
      <c r="W363" s="44">
        <f t="array" ref="W363">_xlfn.IFS(TRIM(C363)="","",TRIM(V363)="","",TRUE,V363-C363)</f>
        <v>3</v>
      </c>
      <c r="X363" s="37">
        <f t="shared" si="89"/>
        <v>-1</v>
      </c>
      <c r="Y363" s="37" t="s">
        <v>117</v>
      </c>
      <c r="Z363" s="37" t="str">
        <f t="shared" si="90"/>
        <v>delivered</v>
      </c>
      <c r="AA363" s="37" t="str">
        <f t="shared" si="91"/>
        <v>On Time</v>
      </c>
      <c r="AB363" s="37" t="str">
        <f t="shared" si="94"/>
        <v>0</v>
      </c>
      <c r="AC363" s="37">
        <f t="shared" si="95"/>
        <v>0</v>
      </c>
      <c r="AD363" s="45">
        <f t="shared" si="93"/>
        <v>0.512611879576892</v>
      </c>
      <c r="AE363" s="37">
        <v>5</v>
      </c>
      <c r="AF363" s="37" t="s">
        <v>131</v>
      </c>
      <c r="AG363" s="37" t="str">
        <f t="shared" si="92"/>
        <v>n</v>
      </c>
      <c r="AH363" s="37" t="str">
        <f t="array" ref="AH363">_xlfn.IFS(LOWER(AG363)="n","no",LOWER(AG363)="y","yes",TRUE,LOWER(AG363))</f>
        <v>no</v>
      </c>
      <c r="AI363" s="37" t="s">
        <v>4692</v>
      </c>
    </row>
    <row r="364" spans="1:35">
      <c r="A364" s="46" t="s">
        <v>1697</v>
      </c>
      <c r="B364" s="47">
        <v>45402</v>
      </c>
      <c r="C364" s="39">
        <f t="shared" si="80"/>
        <v>45402</v>
      </c>
      <c r="D364" s="48" t="s">
        <v>135</v>
      </c>
      <c r="E364" s="37" t="str" cm="1">
        <f t="array" ref="E364">_xlfn.IFS(D364="delhi","north",D364="mumbai","west",D364="bengaluru","south",D364="chennai","south",D364="kolkata","east",TRUE,"west")</f>
        <v>west</v>
      </c>
      <c r="F364" s="46" t="s">
        <v>194</v>
      </c>
      <c r="G364" s="37" t="str">
        <f t="shared" si="81"/>
        <v>xpressbees</v>
      </c>
      <c r="H364" s="46" t="s">
        <v>185</v>
      </c>
      <c r="I364" s="37" t="str">
        <f t="shared" si="82"/>
        <v>surface</v>
      </c>
      <c r="J364" s="46" t="s">
        <v>111</v>
      </c>
      <c r="K364" s="37" t="str">
        <f t="shared" si="83"/>
        <v>grocery&amp;fmcg</v>
      </c>
      <c r="L364" s="46" t="s">
        <v>139</v>
      </c>
      <c r="M364" s="37" t="str">
        <f t="shared" si="84"/>
        <v>north</v>
      </c>
      <c r="N364" s="46" t="s">
        <v>215</v>
      </c>
      <c r="O364" s="41" t="str">
        <f t="shared" si="85"/>
        <v>Yes</v>
      </c>
      <c r="P364" s="49">
        <v>7.6</v>
      </c>
      <c r="Q364" s="49">
        <v>312</v>
      </c>
      <c r="R364" s="42">
        <f t="shared" si="86"/>
        <v>41.0526315789474</v>
      </c>
      <c r="S364" s="46">
        <v>6</v>
      </c>
      <c r="T364" s="46" t="s">
        <v>457</v>
      </c>
      <c r="U364" s="43" t="str">
        <f t="shared" si="87"/>
        <v>26/04/2024</v>
      </c>
      <c r="V364" s="43">
        <f t="shared" si="88"/>
        <v>45408</v>
      </c>
      <c r="W364" s="44">
        <f t="array" ref="W364">_xlfn.IFS(TRIM(C364)="","",TRIM(V364)="","",TRUE,V364-C364)</f>
        <v>6</v>
      </c>
      <c r="X364" s="37">
        <f t="shared" si="89"/>
        <v>0</v>
      </c>
      <c r="Y364" s="46" t="s">
        <v>163</v>
      </c>
      <c r="Z364" s="37" t="str">
        <f t="shared" si="90"/>
        <v>delivered</v>
      </c>
      <c r="AA364" s="37" t="str">
        <f t="shared" si="91"/>
        <v>On Time</v>
      </c>
      <c r="AB364" s="37" t="str">
        <f t="shared" si="94"/>
        <v>0</v>
      </c>
      <c r="AC364" s="37">
        <f t="shared" si="95"/>
        <v>0</v>
      </c>
      <c r="AD364" s="45">
        <f t="shared" si="93"/>
        <v>0.513029315960912</v>
      </c>
      <c r="AE364" s="46">
        <v>5</v>
      </c>
      <c r="AF364" s="46" t="s">
        <v>79</v>
      </c>
      <c r="AG364" s="37" t="str">
        <f t="shared" si="92"/>
        <v>yes</v>
      </c>
      <c r="AH364" s="37" t="str">
        <f t="array" ref="AH364">_xlfn.IFS(LOWER(AG364)="n","no",LOWER(AG364)="y","yes",TRUE,LOWER(AG364))</f>
        <v>yes</v>
      </c>
      <c r="AI364" s="46" t="s">
        <v>4692</v>
      </c>
    </row>
    <row r="365" spans="1:35">
      <c r="A365" s="37" t="s">
        <v>1700</v>
      </c>
      <c r="B365" s="38" t="s">
        <v>4773</v>
      </c>
      <c r="C365" s="39">
        <f t="shared" si="80"/>
        <v>45306</v>
      </c>
      <c r="D365" s="40" t="s">
        <v>366</v>
      </c>
      <c r="E365" s="37" t="str" cm="1">
        <f t="array" ref="E365">_xlfn.IFS(D365="delhi","north",D365="mumbai","west",D365="bengaluru","south",D365="chennai","south",D365="kolkata","east",TRUE,"west")</f>
        <v>east</v>
      </c>
      <c r="F365" s="37" t="s">
        <v>184</v>
      </c>
      <c r="G365" s="37" t="str">
        <f t="shared" si="81"/>
        <v>ecomexpress</v>
      </c>
      <c r="H365" s="37" t="s">
        <v>185</v>
      </c>
      <c r="I365" s="37" t="str">
        <f t="shared" si="82"/>
        <v>surface</v>
      </c>
      <c r="J365" s="37" t="s">
        <v>1701</v>
      </c>
      <c r="K365" s="37" t="str">
        <f t="shared" si="83"/>
        <v>grocery&amp;fmcg</v>
      </c>
      <c r="L365" s="37" t="s">
        <v>418</v>
      </c>
      <c r="M365" s="37" t="str">
        <f t="shared" si="84"/>
        <v>south</v>
      </c>
      <c r="N365" s="37" t="s">
        <v>90</v>
      </c>
      <c r="O365" s="41" t="str">
        <f t="shared" si="85"/>
        <v>Yes</v>
      </c>
      <c r="P365" s="41">
        <v>7.8</v>
      </c>
      <c r="Q365" s="41">
        <v>358</v>
      </c>
      <c r="R365" s="42">
        <f t="shared" si="86"/>
        <v>45.8974358974359</v>
      </c>
      <c r="S365" s="37">
        <v>6</v>
      </c>
      <c r="T365" s="37" t="s">
        <v>1703</v>
      </c>
      <c r="U365" s="43" t="str">
        <f t="shared" si="87"/>
        <v>2024-01-21</v>
      </c>
      <c r="V365" s="43">
        <f t="shared" si="88"/>
        <v>45312</v>
      </c>
      <c r="W365" s="44">
        <f t="array" ref="W365">_xlfn.IFS(TRIM(C365)="","",TRIM(V365)="","",TRUE,V365-C365)</f>
        <v>6</v>
      </c>
      <c r="X365" s="37">
        <f t="shared" si="89"/>
        <v>0</v>
      </c>
      <c r="Y365" s="37" t="s">
        <v>117</v>
      </c>
      <c r="Z365" s="37" t="str">
        <f t="shared" si="90"/>
        <v>delivered</v>
      </c>
      <c r="AA365" s="37" t="str">
        <f t="shared" si="91"/>
        <v>On Time</v>
      </c>
      <c r="AB365" s="37" t="str">
        <f t="shared" si="94"/>
        <v>0</v>
      </c>
      <c r="AC365" s="37">
        <f t="shared" si="95"/>
        <v>0</v>
      </c>
      <c r="AD365" s="45">
        <f t="shared" si="93"/>
        <v>0.513447432762836</v>
      </c>
      <c r="AE365" s="37">
        <v>4</v>
      </c>
      <c r="AF365" s="37" t="s">
        <v>131</v>
      </c>
      <c r="AG365" s="37" t="str">
        <f t="shared" si="92"/>
        <v>n</v>
      </c>
      <c r="AH365" s="37" t="str">
        <f t="array" ref="AH365">_xlfn.IFS(LOWER(AG365)="n","no",LOWER(AG365)="y","yes",TRUE,LOWER(AG365))</f>
        <v>no</v>
      </c>
      <c r="AI365" s="37" t="s">
        <v>4692</v>
      </c>
    </row>
    <row r="366" spans="1:35">
      <c r="A366" s="46" t="s">
        <v>1704</v>
      </c>
      <c r="B366" s="47">
        <v>45448</v>
      </c>
      <c r="C366" s="39">
        <f t="shared" si="80"/>
        <v>45448</v>
      </c>
      <c r="D366" s="48" t="s">
        <v>633</v>
      </c>
      <c r="E366" s="37" t="str" cm="1">
        <f t="array" ref="E366">_xlfn.IFS(D366="delhi","north",D366="mumbai","west",D366="bengaluru","south",D366="chennai","south",D366="kolkata","east",TRUE,"west")</f>
        <v>south</v>
      </c>
      <c r="F366" s="46" t="s">
        <v>175</v>
      </c>
      <c r="G366" s="37" t="str">
        <f t="shared" si="81"/>
        <v>ecomexpress</v>
      </c>
      <c r="H366" s="46" t="s">
        <v>185</v>
      </c>
      <c r="I366" s="37" t="str">
        <f t="shared" si="82"/>
        <v>surface</v>
      </c>
      <c r="J366" s="46" t="s">
        <v>1145</v>
      </c>
      <c r="K366" s="37" t="str">
        <f t="shared" si="83"/>
        <v>grocery&amp;fmcg</v>
      </c>
      <c r="L366" s="46" t="s">
        <v>101</v>
      </c>
      <c r="M366" s="37" t="str">
        <f t="shared" si="84"/>
        <v>west</v>
      </c>
      <c r="N366" s="46" t="s">
        <v>88</v>
      </c>
      <c r="O366" s="41" t="str">
        <f t="shared" si="85"/>
        <v>Yes</v>
      </c>
      <c r="P366" s="49">
        <v>6.3</v>
      </c>
      <c r="Q366" s="49">
        <v>276</v>
      </c>
      <c r="R366" s="42">
        <f t="shared" si="86"/>
        <v>43.8095238095238</v>
      </c>
      <c r="S366" s="46">
        <v>6</v>
      </c>
      <c r="T366" s="46" t="s">
        <v>1707</v>
      </c>
      <c r="U366" s="43" t="str">
        <f t="shared" si="87"/>
        <v>15-jun-2024</v>
      </c>
      <c r="V366" s="43">
        <f t="shared" si="88"/>
        <v>45458</v>
      </c>
      <c r="W366" s="44">
        <f t="array" ref="W366">_xlfn.IFS(TRIM(C366)="","",TRIM(V366)="","",TRUE,V366-C366)</f>
        <v>10</v>
      </c>
      <c r="X366" s="37">
        <f t="shared" si="89"/>
        <v>4</v>
      </c>
      <c r="Y366" s="46" t="s">
        <v>143</v>
      </c>
      <c r="Z366" s="37" t="str">
        <f t="shared" si="90"/>
        <v>delayed</v>
      </c>
      <c r="AA366" s="37" t="str">
        <f t="shared" si="91"/>
        <v>Late</v>
      </c>
      <c r="AB366" s="37" t="str">
        <f t="shared" si="94"/>
        <v>1</v>
      </c>
      <c r="AC366" s="37">
        <f t="shared" si="95"/>
        <v>1</v>
      </c>
      <c r="AD366" s="45">
        <f t="shared" si="93"/>
        <v>0.513866231647635</v>
      </c>
      <c r="AE366" s="46">
        <v>2</v>
      </c>
      <c r="AF366" s="46" t="s">
        <v>118</v>
      </c>
      <c r="AG366" s="37" t="str">
        <f t="shared" si="92"/>
        <v>no</v>
      </c>
      <c r="AH366" s="37" t="str">
        <f t="array" ref="AH366">_xlfn.IFS(LOWER(AG366)="n","no",LOWER(AG366)="y","yes",TRUE,LOWER(AG366))</f>
        <v>no</v>
      </c>
      <c r="AI366" s="46" t="s">
        <v>4692</v>
      </c>
    </row>
    <row r="367" spans="1:35">
      <c r="A367" s="37" t="s">
        <v>1708</v>
      </c>
      <c r="B367" s="38">
        <v>45301</v>
      </c>
      <c r="C367" s="39">
        <f t="shared" si="80"/>
        <v>45301</v>
      </c>
      <c r="D367" s="40" t="s">
        <v>424</v>
      </c>
      <c r="E367" s="37" t="str" cm="1">
        <f t="array" ref="E367">_xlfn.IFS(D367="delhi","north",D367="mumbai","west",D367="bengaluru","south",D367="chennai","south",D367="kolkata","east",TRUE,"west")</f>
        <v>south</v>
      </c>
      <c r="F367" s="37" t="s">
        <v>146</v>
      </c>
      <c r="G367" s="37" t="str">
        <f t="shared" si="81"/>
        <v>ecomexpress</v>
      </c>
      <c r="H367" s="37" t="s">
        <v>325</v>
      </c>
      <c r="I367" s="37" t="str">
        <f t="shared" si="82"/>
        <v>air</v>
      </c>
      <c r="J367" s="37" t="s">
        <v>1112</v>
      </c>
      <c r="K367" s="37" t="str">
        <f t="shared" si="83"/>
        <v>automotiveparts</v>
      </c>
      <c r="L367" s="37" t="s">
        <v>125</v>
      </c>
      <c r="M367" s="37" t="str">
        <f t="shared" si="84"/>
        <v>east</v>
      </c>
      <c r="N367" s="37" t="s">
        <v>396</v>
      </c>
      <c r="O367" s="41" t="str">
        <f t="shared" si="85"/>
        <v>Yes</v>
      </c>
      <c r="P367" s="41" t="s">
        <v>1710</v>
      </c>
      <c r="Q367" s="50">
        <v>1932</v>
      </c>
      <c r="R367" s="42">
        <f t="shared" si="86"/>
        <v>48.5427135678392</v>
      </c>
      <c r="S367" s="37">
        <v>4</v>
      </c>
      <c r="T367" s="37" t="s">
        <v>761</v>
      </c>
      <c r="U367" s="43" t="str">
        <f t="shared" si="87"/>
        <v>18/01/2024</v>
      </c>
      <c r="V367" s="43">
        <f t="shared" si="88"/>
        <v>45309</v>
      </c>
      <c r="W367" s="44">
        <f t="array" ref="W367">_xlfn.IFS(TRIM(C367)="","",TRIM(V367)="","",TRUE,V367-C367)</f>
        <v>8</v>
      </c>
      <c r="X367" s="37">
        <f t="shared" si="89"/>
        <v>4</v>
      </c>
      <c r="Y367" s="37" t="s">
        <v>72</v>
      </c>
      <c r="Z367" s="37" t="str">
        <f t="shared" si="90"/>
        <v>delayed</v>
      </c>
      <c r="AA367" s="37" t="str">
        <f t="shared" si="91"/>
        <v>Late</v>
      </c>
      <c r="AB367" s="37" t="str">
        <f t="shared" si="94"/>
        <v>1</v>
      </c>
      <c r="AC367" s="37">
        <f t="shared" si="95"/>
        <v>1</v>
      </c>
      <c r="AD367" s="45">
        <f t="shared" si="93"/>
        <v>0.513469387755102</v>
      </c>
      <c r="AE367" s="37">
        <v>2</v>
      </c>
      <c r="AF367" s="37" t="s">
        <v>131</v>
      </c>
      <c r="AG367" s="37" t="str">
        <f t="shared" si="92"/>
        <v>n</v>
      </c>
      <c r="AH367" s="37" t="str">
        <f t="array" ref="AH367">_xlfn.IFS(LOWER(AG367)="n","no",LOWER(AG367)="y","yes",TRUE,LOWER(AG367))</f>
        <v>no</v>
      </c>
      <c r="AI367" s="37" t="s">
        <v>4692</v>
      </c>
    </row>
    <row r="368" spans="1:35">
      <c r="A368" s="46" t="s">
        <v>1712</v>
      </c>
      <c r="B368" s="47">
        <v>45422</v>
      </c>
      <c r="C368" s="39">
        <f t="shared" si="80"/>
        <v>45422</v>
      </c>
      <c r="D368" s="48" t="s">
        <v>4694</v>
      </c>
      <c r="E368" s="37" t="str" cm="1">
        <f t="array" ref="E368">_xlfn.IFS(D368="delhi","north",D368="mumbai","west",D368="bengaluru","south",D368="chennai","south",D368="kolkata","east",TRUE,"west")</f>
        <v>west</v>
      </c>
      <c r="F368" s="46" t="s">
        <v>312</v>
      </c>
      <c r="G368" s="37" t="str">
        <f t="shared" si="81"/>
        <v>bluedart</v>
      </c>
      <c r="H368" s="46" t="s">
        <v>99</v>
      </c>
      <c r="I368" s="37" t="str">
        <f t="shared" si="82"/>
        <v>air</v>
      </c>
      <c r="J368" s="46" t="s">
        <v>353</v>
      </c>
      <c r="K368" s="37" t="str">
        <f t="shared" si="83"/>
        <v>automotiveparts</v>
      </c>
      <c r="L368" s="46" t="s">
        <v>92</v>
      </c>
      <c r="M368" s="37" t="str">
        <f t="shared" si="84"/>
        <v>east</v>
      </c>
      <c r="N368" s="46" t="s">
        <v>126</v>
      </c>
      <c r="O368" s="41" t="str">
        <f t="shared" si="85"/>
        <v>Yes</v>
      </c>
      <c r="P368" s="49">
        <v>29.5</v>
      </c>
      <c r="Q368" s="51">
        <v>1480</v>
      </c>
      <c r="R368" s="42">
        <f t="shared" si="86"/>
        <v>50.1694915254237</v>
      </c>
      <c r="S368" s="46">
        <v>4</v>
      </c>
      <c r="T368" s="46" t="s">
        <v>717</v>
      </c>
      <c r="U368" s="43" t="str">
        <f t="shared" si="87"/>
        <v>14/05/2024</v>
      </c>
      <c r="V368" s="43">
        <f t="shared" si="88"/>
        <v>45426</v>
      </c>
      <c r="W368" s="44">
        <f t="array" ref="W368">_xlfn.IFS(TRIM(C368)="","",TRIM(V368)="","",TRUE,V368-C368)</f>
        <v>4</v>
      </c>
      <c r="X368" s="37">
        <f t="shared" si="89"/>
        <v>0</v>
      </c>
      <c r="Y368" s="46" t="s">
        <v>163</v>
      </c>
      <c r="Z368" s="37" t="str">
        <f t="shared" si="90"/>
        <v>delivered</v>
      </c>
      <c r="AA368" s="37" t="str">
        <f t="shared" si="91"/>
        <v>On Time</v>
      </c>
      <c r="AB368" s="37" t="str">
        <f t="shared" si="94"/>
        <v>0</v>
      </c>
      <c r="AC368" s="37">
        <f t="shared" si="95"/>
        <v>0</v>
      </c>
      <c r="AD368" s="45">
        <f t="shared" si="93"/>
        <v>0.513071895424837</v>
      </c>
      <c r="AE368" s="46">
        <v>4</v>
      </c>
      <c r="AF368" s="46" t="s">
        <v>286</v>
      </c>
      <c r="AG368" s="37" t="str">
        <f t="shared" si="92"/>
        <v>yes</v>
      </c>
      <c r="AH368" s="37" t="str">
        <f t="array" ref="AH368">_xlfn.IFS(LOWER(AG368)="n","no",LOWER(AG368)="y","yes",TRUE,LOWER(AG368))</f>
        <v>yes</v>
      </c>
      <c r="AI368" s="46" t="s">
        <v>4692</v>
      </c>
    </row>
    <row r="369" spans="1:35">
      <c r="A369" s="37" t="s">
        <v>1715</v>
      </c>
      <c r="B369" s="38">
        <v>45417</v>
      </c>
      <c r="C369" s="39">
        <f t="shared" si="80"/>
        <v>45417</v>
      </c>
      <c r="D369" s="40" t="s">
        <v>135</v>
      </c>
      <c r="E369" s="37" t="str" cm="1">
        <f t="array" ref="E369">_xlfn.IFS(D369="delhi","north",D369="mumbai","west",D369="bengaluru","south",D369="chennai","south",D369="kolkata","east",TRUE,"west")</f>
        <v>west</v>
      </c>
      <c r="F369" s="37" t="s">
        <v>223</v>
      </c>
      <c r="G369" s="37" t="str">
        <f t="shared" si="81"/>
        <v>xpressbees</v>
      </c>
      <c r="H369" s="37" t="s">
        <v>110</v>
      </c>
      <c r="I369" s="37" t="str">
        <f t="shared" si="82"/>
        <v>surface</v>
      </c>
      <c r="J369" s="37" t="s">
        <v>313</v>
      </c>
      <c r="K369" s="37" t="str">
        <f t="shared" si="83"/>
        <v>automotiveparts</v>
      </c>
      <c r="L369" s="37" t="s">
        <v>401</v>
      </c>
      <c r="M369" s="37" t="str">
        <f t="shared" si="84"/>
        <v>south</v>
      </c>
      <c r="N369" s="37" t="s">
        <v>90</v>
      </c>
      <c r="O369" s="41" t="str">
        <f t="shared" si="85"/>
        <v>Yes</v>
      </c>
      <c r="P369" s="41">
        <v>29.8</v>
      </c>
      <c r="Q369" s="41" t="s">
        <v>1718</v>
      </c>
      <c r="R369" s="42">
        <f t="shared" si="86"/>
        <v>26.8456375838926</v>
      </c>
      <c r="S369" s="37">
        <v>6</v>
      </c>
      <c r="T369" s="37" t="s">
        <v>410</v>
      </c>
      <c r="U369" s="43" t="str">
        <f t="shared" si="87"/>
        <v>12/05/2024</v>
      </c>
      <c r="V369" s="43">
        <f t="shared" si="88"/>
        <v>45424</v>
      </c>
      <c r="W369" s="44">
        <f t="array" ref="W369">_xlfn.IFS(TRIM(C369)="","",TRIM(V369)="","",TRUE,V369-C369)</f>
        <v>7</v>
      </c>
      <c r="X369" s="37">
        <f t="shared" si="89"/>
        <v>1</v>
      </c>
      <c r="Y369" s="37" t="s">
        <v>200</v>
      </c>
      <c r="Z369" s="37" t="str">
        <f t="shared" si="90"/>
        <v>delayed</v>
      </c>
      <c r="AA369" s="37" t="str">
        <f t="shared" si="91"/>
        <v>Late</v>
      </c>
      <c r="AB369" s="37" t="str">
        <f t="shared" si="94"/>
        <v>1</v>
      </c>
      <c r="AC369" s="37">
        <f t="shared" si="95"/>
        <v>1</v>
      </c>
      <c r="AD369" s="45">
        <f t="shared" si="93"/>
        <v>0.513491414554375</v>
      </c>
      <c r="AE369" s="37">
        <v>3</v>
      </c>
      <c r="AF369" s="37" t="s">
        <v>106</v>
      </c>
      <c r="AG369" s="37" t="str">
        <f t="shared" si="92"/>
        <v>yes</v>
      </c>
      <c r="AH369" s="37" t="str">
        <f t="array" ref="AH369">_xlfn.IFS(LOWER(AG369)="n","no",LOWER(AG369)="y","yes",TRUE,LOWER(AG369))</f>
        <v>yes</v>
      </c>
      <c r="AI369" s="37" t="s">
        <v>4692</v>
      </c>
    </row>
    <row r="370" spans="1:35">
      <c r="A370" s="46" t="s">
        <v>1719</v>
      </c>
      <c r="B370" s="47">
        <v>45301</v>
      </c>
      <c r="C370" s="39">
        <f t="shared" si="80"/>
        <v>45301</v>
      </c>
      <c r="D370" s="48" t="s">
        <v>4695</v>
      </c>
      <c r="E370" s="37" t="str" cm="1">
        <f t="array" ref="E370">_xlfn.IFS(D370="delhi","north",D370="mumbai","west",D370="bengaluru","south",D370="chennai","south",D370="kolkata","east",TRUE,"west")</f>
        <v>west</v>
      </c>
      <c r="F370" s="46" t="s">
        <v>333</v>
      </c>
      <c r="G370" s="37" t="str">
        <f t="shared" si="81"/>
        <v>delhivery</v>
      </c>
      <c r="H370" s="46" t="s">
        <v>345</v>
      </c>
      <c r="I370" s="37" t="str">
        <f t="shared" si="82"/>
        <v>surface</v>
      </c>
      <c r="J370" s="46" t="s">
        <v>313</v>
      </c>
      <c r="K370" s="37" t="str">
        <f t="shared" si="83"/>
        <v>automotiveparts</v>
      </c>
      <c r="L370" s="46" t="s">
        <v>264</v>
      </c>
      <c r="M370" s="37" t="str">
        <f t="shared" si="84"/>
        <v>west</v>
      </c>
      <c r="N370" s="46" t="s">
        <v>278</v>
      </c>
      <c r="O370" s="41" t="str">
        <f t="shared" si="85"/>
        <v>Yes</v>
      </c>
      <c r="P370" s="49">
        <v>7.2</v>
      </c>
      <c r="Q370" s="49">
        <v>131</v>
      </c>
      <c r="R370" s="42">
        <f t="shared" si="86"/>
        <v>18.1944444444444</v>
      </c>
      <c r="S370" s="46">
        <v>4</v>
      </c>
      <c r="T370" s="46" t="s">
        <v>134</v>
      </c>
      <c r="U370" s="43" t="str">
        <f t="shared" si="87"/>
        <v>13/01/2024</v>
      </c>
      <c r="V370" s="43">
        <f t="shared" si="88"/>
        <v>45304</v>
      </c>
      <c r="W370" s="44">
        <f t="array" ref="W370">_xlfn.IFS(TRIM(C370)="","",TRIM(V370)="","",TRUE,V370-C370)</f>
        <v>3</v>
      </c>
      <c r="X370" s="37">
        <f t="shared" si="89"/>
        <v>-1</v>
      </c>
      <c r="Y370" s="46" t="s">
        <v>219</v>
      </c>
      <c r="Z370" s="37" t="str">
        <f t="shared" si="90"/>
        <v>delivered</v>
      </c>
      <c r="AA370" s="37" t="str">
        <f t="shared" si="91"/>
        <v>On Time</v>
      </c>
      <c r="AB370" s="37" t="str">
        <f t="shared" si="94"/>
        <v>0</v>
      </c>
      <c r="AC370" s="37">
        <f t="shared" si="95"/>
        <v>0</v>
      </c>
      <c r="AD370" s="45">
        <f t="shared" si="93"/>
        <v>0.513093289689034</v>
      </c>
      <c r="AE370" s="46">
        <v>5</v>
      </c>
      <c r="AF370" s="46" t="s">
        <v>191</v>
      </c>
      <c r="AG370" s="37" t="str">
        <f t="shared" si="92"/>
        <v>no</v>
      </c>
      <c r="AH370" s="37" t="str">
        <f t="array" ref="AH370">_xlfn.IFS(LOWER(AG370)="n","no",LOWER(AG370)="y","yes",TRUE,LOWER(AG370))</f>
        <v>no</v>
      </c>
      <c r="AI370" s="46" t="s">
        <v>4692</v>
      </c>
    </row>
    <row r="371" spans="1:35">
      <c r="A371" s="37" t="s">
        <v>1722</v>
      </c>
      <c r="B371" s="38">
        <v>45356</v>
      </c>
      <c r="C371" s="39">
        <f t="shared" si="80"/>
        <v>45356</v>
      </c>
      <c r="D371" s="40" t="s">
        <v>109</v>
      </c>
      <c r="E371" s="37" t="str" cm="1">
        <f t="array" ref="E371">_xlfn.IFS(D371="delhi","north",D371="mumbai","west",D371="bengaluru","south",D371="chennai","south",D371="kolkata","east",TRUE,"west")</f>
        <v>west</v>
      </c>
      <c r="F371" s="37" t="s">
        <v>544</v>
      </c>
      <c r="G371" s="37" t="str">
        <f t="shared" si="81"/>
        <v>bluedart</v>
      </c>
      <c r="H371" s="37" t="s">
        <v>440</v>
      </c>
      <c r="I371" s="37" t="str">
        <f t="shared" si="82"/>
        <v>road</v>
      </c>
      <c r="J371" s="37" t="s">
        <v>319</v>
      </c>
      <c r="K371" s="37" t="str">
        <f t="shared" si="83"/>
        <v>electronics</v>
      </c>
      <c r="L371" s="37" t="s">
        <v>112</v>
      </c>
      <c r="M371" s="37" t="str">
        <f t="shared" si="84"/>
        <v>north</v>
      </c>
      <c r="N371" s="37" t="s">
        <v>113</v>
      </c>
      <c r="O371" s="41" t="str">
        <f t="shared" si="85"/>
        <v>Yes</v>
      </c>
      <c r="P371" s="41">
        <v>1.1</v>
      </c>
      <c r="Q371" s="41">
        <v>207</v>
      </c>
      <c r="R371" s="42">
        <f t="shared" si="86"/>
        <v>188.181818181818</v>
      </c>
      <c r="S371" s="37">
        <v>8</v>
      </c>
      <c r="T371" s="37" t="s">
        <v>667</v>
      </c>
      <c r="U371" s="43" t="str">
        <f t="shared" si="87"/>
        <v>14/03/2024</v>
      </c>
      <c r="V371" s="43">
        <f t="shared" si="88"/>
        <v>45365</v>
      </c>
      <c r="W371" s="44">
        <f t="array" ref="W371">_xlfn.IFS(TRIM(C371)="","",TRIM(V371)="","",TRUE,V371-C371)</f>
        <v>9</v>
      </c>
      <c r="X371" s="37">
        <f t="shared" si="89"/>
        <v>1</v>
      </c>
      <c r="Y371" s="37" t="s">
        <v>172</v>
      </c>
      <c r="Z371" s="37" t="str">
        <f t="shared" si="90"/>
        <v>delayed</v>
      </c>
      <c r="AA371" s="37" t="str">
        <f t="shared" si="91"/>
        <v>Late</v>
      </c>
      <c r="AB371" s="37" t="str">
        <f t="shared" si="94"/>
        <v>1</v>
      </c>
      <c r="AC371" s="37">
        <f t="shared" si="95"/>
        <v>1</v>
      </c>
      <c r="AD371" s="45">
        <f t="shared" si="93"/>
        <v>0.513513513513513</v>
      </c>
      <c r="AE371" s="37">
        <v>2</v>
      </c>
      <c r="AF371" s="37" t="s">
        <v>181</v>
      </c>
      <c r="AG371" s="37" t="str">
        <f t="shared" si="92"/>
        <v>y</v>
      </c>
      <c r="AH371" s="37" t="str">
        <f t="array" ref="AH371">_xlfn.IFS(LOWER(AG371)="n","no",LOWER(AG371)="y","yes",TRUE,LOWER(AG371))</f>
        <v>yes</v>
      </c>
      <c r="AI371" s="37" t="s">
        <v>4692</v>
      </c>
    </row>
    <row r="372" spans="1:35">
      <c r="A372" s="46" t="s">
        <v>1725</v>
      </c>
      <c r="B372" s="47" t="s">
        <v>4711</v>
      </c>
      <c r="C372" s="39">
        <f t="shared" si="80"/>
        <v>45431</v>
      </c>
      <c r="D372" s="48" t="s">
        <v>633</v>
      </c>
      <c r="E372" s="37" t="str" cm="1">
        <f t="array" ref="E372">_xlfn.IFS(D372="delhi","north",D372="mumbai","west",D372="bengaluru","south",D372="chennai","south",D372="kolkata","east",TRUE,"west")</f>
        <v>south</v>
      </c>
      <c r="F372" s="46" t="s">
        <v>122</v>
      </c>
      <c r="G372" s="37" t="str">
        <f t="shared" si="81"/>
        <v>delhivery</v>
      </c>
      <c r="H372" s="46" t="s">
        <v>244</v>
      </c>
      <c r="I372" s="37" t="str">
        <f t="shared" si="82"/>
        <v>air</v>
      </c>
      <c r="J372" s="46" t="s">
        <v>368</v>
      </c>
      <c r="K372" s="37" t="str">
        <f t="shared" si="83"/>
        <v>furniture</v>
      </c>
      <c r="L372" s="46" t="s">
        <v>101</v>
      </c>
      <c r="M372" s="37" t="str">
        <f t="shared" si="84"/>
        <v>west</v>
      </c>
      <c r="N372" s="46" t="s">
        <v>206</v>
      </c>
      <c r="O372" s="41" t="str">
        <f t="shared" si="85"/>
        <v>Yes</v>
      </c>
      <c r="P372" s="49">
        <v>78.5</v>
      </c>
      <c r="Q372" s="51">
        <v>3654</v>
      </c>
      <c r="R372" s="42">
        <f t="shared" si="86"/>
        <v>46.5477707006369</v>
      </c>
      <c r="S372" s="46">
        <v>4</v>
      </c>
      <c r="T372" s="46" t="s">
        <v>799</v>
      </c>
      <c r="U372" s="43" t="str">
        <f t="shared" si="87"/>
        <v>2024-06-01</v>
      </c>
      <c r="V372" s="43">
        <f t="shared" si="88"/>
        <v>45444</v>
      </c>
      <c r="W372" s="44">
        <f t="array" ref="W372">_xlfn.IFS(TRIM(C372)="","",TRIM(V372)="","",TRUE,V372-C372)</f>
        <v>13</v>
      </c>
      <c r="X372" s="37">
        <f t="shared" si="89"/>
        <v>9</v>
      </c>
      <c r="Y372" s="46" t="s">
        <v>143</v>
      </c>
      <c r="Z372" s="37" t="str">
        <f t="shared" si="90"/>
        <v>delayed</v>
      </c>
      <c r="AA372" s="37" t="str">
        <f t="shared" si="91"/>
        <v>Late</v>
      </c>
      <c r="AB372" s="37" t="str">
        <f t="shared" si="94"/>
        <v>1</v>
      </c>
      <c r="AC372" s="37">
        <f t="shared" si="95"/>
        <v>1</v>
      </c>
      <c r="AD372" s="45">
        <f t="shared" si="93"/>
        <v>0.513114754098361</v>
      </c>
      <c r="AE372" s="46">
        <v>3</v>
      </c>
      <c r="AF372" s="46" t="s">
        <v>131</v>
      </c>
      <c r="AG372" s="37" t="str">
        <f t="shared" si="92"/>
        <v>n</v>
      </c>
      <c r="AH372" s="37" t="str">
        <f t="array" ref="AH372">_xlfn.IFS(LOWER(AG372)="n","no",LOWER(AG372)="y","yes",TRUE,LOWER(AG372))</f>
        <v>no</v>
      </c>
      <c r="AI372" s="46" t="s">
        <v>4692</v>
      </c>
    </row>
    <row r="373" spans="1:35">
      <c r="A373" s="37" t="s">
        <v>1728</v>
      </c>
      <c r="B373" s="38">
        <v>45431</v>
      </c>
      <c r="C373" s="39">
        <f t="shared" si="80"/>
        <v>45431</v>
      </c>
      <c r="D373" s="40" t="s">
        <v>109</v>
      </c>
      <c r="E373" s="37" t="str" cm="1">
        <f t="array" ref="E373">_xlfn.IFS(D373="delhi","north",D373="mumbai","west",D373="bengaluru","south",D373="chennai","south",D373="kolkata","east",TRUE,"west")</f>
        <v>west</v>
      </c>
      <c r="F373" s="37" t="s">
        <v>367</v>
      </c>
      <c r="G373" s="37" t="str">
        <f t="shared" si="81"/>
        <v>dtdc</v>
      </c>
      <c r="H373" s="37" t="s">
        <v>185</v>
      </c>
      <c r="I373" s="37" t="str">
        <f t="shared" si="82"/>
        <v>surface</v>
      </c>
      <c r="J373" s="37" t="s">
        <v>158</v>
      </c>
      <c r="K373" s="37" t="str">
        <f t="shared" si="83"/>
        <v>pharma</v>
      </c>
      <c r="L373" s="37" t="s">
        <v>346</v>
      </c>
      <c r="M373" s="37" t="str">
        <f t="shared" si="84"/>
        <v>north</v>
      </c>
      <c r="N373" s="37" t="s">
        <v>215</v>
      </c>
      <c r="O373" s="41" t="str">
        <f t="shared" si="85"/>
        <v>Yes</v>
      </c>
      <c r="P373" s="41">
        <v>2.2</v>
      </c>
      <c r="Q373" s="41" t="s">
        <v>1731</v>
      </c>
      <c r="R373" s="42">
        <f t="shared" si="86"/>
        <v>93.6363636363636</v>
      </c>
      <c r="S373" s="37">
        <v>6</v>
      </c>
      <c r="T373" s="37" t="s">
        <v>1732</v>
      </c>
      <c r="U373" s="43" t="str">
        <f t="shared" si="87"/>
        <v>2024-05-30</v>
      </c>
      <c r="V373" s="43">
        <f t="shared" si="88"/>
        <v>45442</v>
      </c>
      <c r="W373" s="44">
        <f t="array" ref="W373">_xlfn.IFS(TRIM(C373)="","",TRIM(V373)="","",TRUE,V373-C373)</f>
        <v>11</v>
      </c>
      <c r="X373" s="37">
        <f t="shared" si="89"/>
        <v>5</v>
      </c>
      <c r="Y373" s="37" t="s">
        <v>172</v>
      </c>
      <c r="Z373" s="37" t="str">
        <f t="shared" si="90"/>
        <v>delayed</v>
      </c>
      <c r="AA373" s="37" t="str">
        <f t="shared" si="91"/>
        <v>Late</v>
      </c>
      <c r="AB373" s="37" t="str">
        <f t="shared" si="94"/>
        <v>1</v>
      </c>
      <c r="AC373" s="37">
        <f t="shared" si="95"/>
        <v>1</v>
      </c>
      <c r="AD373" s="45">
        <f t="shared" si="93"/>
        <v>0.512715340442986</v>
      </c>
      <c r="AE373" s="37">
        <v>2</v>
      </c>
      <c r="AF373" s="37" t="s">
        <v>181</v>
      </c>
      <c r="AG373" s="37" t="str">
        <f t="shared" si="92"/>
        <v>y</v>
      </c>
      <c r="AH373" s="37" t="str">
        <f t="array" ref="AH373">_xlfn.IFS(LOWER(AG373)="n","no",LOWER(AG373)="y","yes",TRUE,LOWER(AG373))</f>
        <v>yes</v>
      </c>
      <c r="AI373" s="37" t="s">
        <v>4692</v>
      </c>
    </row>
    <row r="374" spans="1:35">
      <c r="A374" s="46" t="s">
        <v>1733</v>
      </c>
      <c r="B374" s="47">
        <v>45370</v>
      </c>
      <c r="C374" s="39">
        <f t="shared" si="80"/>
        <v>45370</v>
      </c>
      <c r="D374" s="48" t="s">
        <v>4694</v>
      </c>
      <c r="E374" s="37" t="str" cm="1">
        <f t="array" ref="E374">_xlfn.IFS(D374="delhi","north",D374="mumbai","west",D374="bengaluru","south",D374="chennai","south",D374="kolkata","east",TRUE,"west")</f>
        <v>west</v>
      </c>
      <c r="F374" s="46" t="s">
        <v>367</v>
      </c>
      <c r="G374" s="37" t="str">
        <f t="shared" si="81"/>
        <v>dtdc</v>
      </c>
      <c r="H374" s="46" t="s">
        <v>195</v>
      </c>
      <c r="I374" s="37" t="str">
        <f t="shared" si="82"/>
        <v>road</v>
      </c>
      <c r="J374" s="46" t="s">
        <v>1734</v>
      </c>
      <c r="K374" s="37" t="str">
        <f t="shared" si="83"/>
        <v>automotiveparts</v>
      </c>
      <c r="L374" s="46" t="s">
        <v>257</v>
      </c>
      <c r="M374" s="37" t="str">
        <f t="shared" si="84"/>
        <v>west</v>
      </c>
      <c r="N374" s="46" t="s">
        <v>278</v>
      </c>
      <c r="O374" s="41" t="str">
        <f t="shared" si="85"/>
        <v>Yes</v>
      </c>
      <c r="P374" s="49" t="s">
        <v>1735</v>
      </c>
      <c r="Q374" s="49" t="s">
        <v>966</v>
      </c>
      <c r="R374" s="42">
        <f t="shared" si="86"/>
        <v>39.5238095238095</v>
      </c>
      <c r="S374" s="46">
        <v>8</v>
      </c>
      <c r="T374" s="46" t="s">
        <v>468</v>
      </c>
      <c r="U374" s="43" t="str">
        <f t="shared" si="87"/>
        <v>01/04/2024</v>
      </c>
      <c r="V374" s="43">
        <f t="shared" si="88"/>
        <v>45383</v>
      </c>
      <c r="W374" s="44">
        <f t="array" ref="W374">_xlfn.IFS(TRIM(C374)="","",TRIM(V374)="","",TRUE,V374-C374)</f>
        <v>13</v>
      </c>
      <c r="X374" s="37">
        <f t="shared" si="89"/>
        <v>5</v>
      </c>
      <c r="Y374" s="46" t="s">
        <v>143</v>
      </c>
      <c r="Z374" s="37" t="str">
        <f t="shared" si="90"/>
        <v>delayed</v>
      </c>
      <c r="AA374" s="37" t="str">
        <f t="shared" si="91"/>
        <v>Late</v>
      </c>
      <c r="AB374" s="37" t="str">
        <f t="shared" si="94"/>
        <v>1</v>
      </c>
      <c r="AC374" s="37">
        <f t="shared" si="95"/>
        <v>1</v>
      </c>
      <c r="AD374" s="45">
        <f t="shared" si="93"/>
        <v>0.512315270935961</v>
      </c>
      <c r="AE374" s="46">
        <v>3</v>
      </c>
      <c r="AF374" s="46" t="s">
        <v>191</v>
      </c>
      <c r="AG374" s="37" t="str">
        <f t="shared" si="92"/>
        <v>no</v>
      </c>
      <c r="AH374" s="37" t="str">
        <f t="array" ref="AH374">_xlfn.IFS(LOWER(AG374)="n","no",LOWER(AG374)="y","yes",TRUE,LOWER(AG374))</f>
        <v>no</v>
      </c>
      <c r="AI374" s="46" t="s">
        <v>4692</v>
      </c>
    </row>
    <row r="375" spans="1:35">
      <c r="A375" s="37" t="s">
        <v>1736</v>
      </c>
      <c r="B375" s="38">
        <v>45388</v>
      </c>
      <c r="C375" s="39">
        <f t="shared" si="80"/>
        <v>45388</v>
      </c>
      <c r="D375" s="40" t="s">
        <v>366</v>
      </c>
      <c r="E375" s="37" t="str" cm="1">
        <f t="array" ref="E375">_xlfn.IFS(D375="delhi","north",D375="mumbai","west",D375="bengaluru","south",D375="chennai","south",D375="kolkata","east",TRUE,"west")</f>
        <v>east</v>
      </c>
      <c r="F375" s="37" t="s">
        <v>223</v>
      </c>
      <c r="G375" s="37" t="str">
        <f t="shared" si="81"/>
        <v>xpressbees</v>
      </c>
      <c r="H375" s="37" t="s">
        <v>123</v>
      </c>
      <c r="I375" s="37" t="str">
        <f t="shared" si="82"/>
        <v>air</v>
      </c>
      <c r="J375" s="37" t="s">
        <v>301</v>
      </c>
      <c r="K375" s="37" t="str">
        <f t="shared" si="83"/>
        <v>furniture</v>
      </c>
      <c r="L375" s="37" t="s">
        <v>257</v>
      </c>
      <c r="M375" s="37" t="str">
        <f t="shared" si="84"/>
        <v>west</v>
      </c>
      <c r="N375" s="37" t="s">
        <v>206</v>
      </c>
      <c r="O375" s="41" t="str">
        <f t="shared" si="85"/>
        <v>Yes</v>
      </c>
      <c r="P375" s="41">
        <v>45.8</v>
      </c>
      <c r="Q375" s="50">
        <v>2215</v>
      </c>
      <c r="R375" s="42">
        <f t="shared" si="86"/>
        <v>48.3624454148472</v>
      </c>
      <c r="S375" s="37">
        <v>4</v>
      </c>
      <c r="T375" s="37" t="s">
        <v>1739</v>
      </c>
      <c r="U375" s="43" t="str">
        <f t="shared" si="87"/>
        <v>2024-04-10</v>
      </c>
      <c r="V375" s="43">
        <f t="shared" si="88"/>
        <v>45392</v>
      </c>
      <c r="W375" s="44">
        <f t="array" ref="W375">_xlfn.IFS(TRIM(C375)="","",TRIM(V375)="","",TRUE,V375-C375)</f>
        <v>4</v>
      </c>
      <c r="X375" s="37">
        <f t="shared" si="89"/>
        <v>0</v>
      </c>
      <c r="Y375" s="37" t="s">
        <v>163</v>
      </c>
      <c r="Z375" s="37" t="str">
        <f t="shared" si="90"/>
        <v>delivered</v>
      </c>
      <c r="AA375" s="37" t="str">
        <f t="shared" si="91"/>
        <v>On Time</v>
      </c>
      <c r="AB375" s="37" t="str">
        <f t="shared" si="94"/>
        <v>0</v>
      </c>
      <c r="AC375" s="37">
        <f t="shared" si="95"/>
        <v>0</v>
      </c>
      <c r="AD375" s="45">
        <f t="shared" si="93"/>
        <v>0.511914543960559</v>
      </c>
      <c r="AE375" s="37">
        <v>5</v>
      </c>
      <c r="AF375" s="37" t="s">
        <v>191</v>
      </c>
      <c r="AG375" s="37" t="str">
        <f t="shared" si="92"/>
        <v>no</v>
      </c>
      <c r="AH375" s="37" t="str">
        <f t="array" ref="AH375">_xlfn.IFS(LOWER(AG375)="n","no",LOWER(AG375)="y","yes",TRUE,LOWER(AG375))</f>
        <v>no</v>
      </c>
      <c r="AI375" s="37" t="s">
        <v>4692</v>
      </c>
    </row>
    <row r="376" spans="1:35">
      <c r="A376" s="46" t="s">
        <v>1740</v>
      </c>
      <c r="B376" s="47" t="s">
        <v>4774</v>
      </c>
      <c r="C376" s="39">
        <f t="shared" si="80"/>
        <v>45367</v>
      </c>
      <c r="D376" s="48" t="s">
        <v>109</v>
      </c>
      <c r="E376" s="37" t="str" cm="1">
        <f t="array" ref="E376">_xlfn.IFS(D376="delhi","north",D376="mumbai","west",D376="bengaluru","south",D376="chennai","south",D376="kolkata","east",TRUE,"west")</f>
        <v>west</v>
      </c>
      <c r="F376" s="46" t="s">
        <v>352</v>
      </c>
      <c r="G376" s="37" t="str">
        <f t="shared" si="81"/>
        <v>delhivery</v>
      </c>
      <c r="H376" s="46" t="s">
        <v>244</v>
      </c>
      <c r="I376" s="37" t="str">
        <f t="shared" si="82"/>
        <v>air</v>
      </c>
      <c r="J376" s="46" t="s">
        <v>430</v>
      </c>
      <c r="K376" s="37" t="str">
        <f t="shared" si="83"/>
        <v>pharma</v>
      </c>
      <c r="L376" s="46" t="s">
        <v>87</v>
      </c>
      <c r="M376" s="37" t="str">
        <f t="shared" si="84"/>
        <v>north</v>
      </c>
      <c r="N376" s="46" t="s">
        <v>113</v>
      </c>
      <c r="O376" s="41" t="str">
        <f t="shared" si="85"/>
        <v>Yes</v>
      </c>
      <c r="P376" s="49">
        <v>2.5</v>
      </c>
      <c r="Q376" s="49">
        <v>302</v>
      </c>
      <c r="R376" s="42">
        <f t="shared" si="86"/>
        <v>120.8</v>
      </c>
      <c r="S376" s="46">
        <v>4</v>
      </c>
      <c r="T376" s="46" t="s">
        <v>694</v>
      </c>
      <c r="U376" s="43" t="str">
        <f t="shared" si="87"/>
        <v>26/03/2024</v>
      </c>
      <c r="V376" s="43">
        <f t="shared" si="88"/>
        <v>45377</v>
      </c>
      <c r="W376" s="44">
        <f t="array" ref="W376">_xlfn.IFS(TRIM(C376)="","",TRIM(V376)="","",TRUE,V376-C376)</f>
        <v>10</v>
      </c>
      <c r="X376" s="37">
        <f t="shared" si="89"/>
        <v>6</v>
      </c>
      <c r="Y376" s="46" t="s">
        <v>172</v>
      </c>
      <c r="Z376" s="37" t="str">
        <f t="shared" si="90"/>
        <v>delayed</v>
      </c>
      <c r="AA376" s="37" t="str">
        <f t="shared" si="91"/>
        <v>Late</v>
      </c>
      <c r="AB376" s="37" t="str">
        <f t="shared" si="94"/>
        <v>1</v>
      </c>
      <c r="AC376" s="37">
        <f t="shared" si="95"/>
        <v>1</v>
      </c>
      <c r="AD376" s="45">
        <f t="shared" si="93"/>
        <v>0.512335526315789</v>
      </c>
      <c r="AE376" s="46">
        <v>2</v>
      </c>
      <c r="AF376" s="46" t="s">
        <v>152</v>
      </c>
      <c r="AG376" s="37" t="str">
        <f t="shared" si="92"/>
        <v>no</v>
      </c>
      <c r="AH376" s="37" t="str">
        <f t="array" ref="AH376">_xlfn.IFS(LOWER(AG376)="n","no",LOWER(AG376)="y","yes",TRUE,LOWER(AG376))</f>
        <v>no</v>
      </c>
      <c r="AI376" s="46" t="s">
        <v>4692</v>
      </c>
    </row>
    <row r="377" spans="1:35">
      <c r="A377" s="37" t="s">
        <v>1743</v>
      </c>
      <c r="B377" s="38" t="s">
        <v>4728</v>
      </c>
      <c r="C377" s="39">
        <f t="shared" si="80"/>
        <v>45432</v>
      </c>
      <c r="D377" s="40" t="s">
        <v>633</v>
      </c>
      <c r="E377" s="37" t="str" cm="1">
        <f t="array" ref="E377">_xlfn.IFS(D377="delhi","north",D377="mumbai","west",D377="bengaluru","south",D377="chennai","south",D377="kolkata","east",TRUE,"west")</f>
        <v>south</v>
      </c>
      <c r="F377" s="37" t="s">
        <v>270</v>
      </c>
      <c r="G377" s="37" t="str">
        <f t="shared" si="81"/>
        <v>ecomexpress</v>
      </c>
      <c r="H377" s="37" t="s">
        <v>110</v>
      </c>
      <c r="I377" s="37" t="str">
        <f t="shared" si="82"/>
        <v>surface</v>
      </c>
      <c r="J377" s="37" t="s">
        <v>186</v>
      </c>
      <c r="K377" s="37" t="str">
        <f t="shared" si="83"/>
        <v>automotiveparts</v>
      </c>
      <c r="L377" s="37" t="s">
        <v>380</v>
      </c>
      <c r="M377" s="37" t="str">
        <f t="shared" si="84"/>
        <v>east</v>
      </c>
      <c r="N377" s="37" t="s">
        <v>396</v>
      </c>
      <c r="O377" s="41" t="str">
        <f t="shared" si="85"/>
        <v>Yes</v>
      </c>
      <c r="P377" s="41">
        <v>29.9</v>
      </c>
      <c r="Q377" s="41">
        <v>844</v>
      </c>
      <c r="R377" s="42">
        <f t="shared" si="86"/>
        <v>28.2274247491639</v>
      </c>
      <c r="S377" s="37">
        <v>6</v>
      </c>
      <c r="T377" s="37" t="s">
        <v>1745</v>
      </c>
      <c r="U377" s="43" t="str">
        <f t="shared" si="87"/>
        <v>2024-05-27</v>
      </c>
      <c r="V377" s="43">
        <f t="shared" si="88"/>
        <v>45439</v>
      </c>
      <c r="W377" s="44">
        <f t="array" ref="W377">_xlfn.IFS(TRIM(C377)="","",TRIM(V377)="","",TRUE,V377-C377)</f>
        <v>7</v>
      </c>
      <c r="X377" s="37">
        <f t="shared" si="89"/>
        <v>1</v>
      </c>
      <c r="Y377" s="37" t="s">
        <v>143</v>
      </c>
      <c r="Z377" s="37" t="str">
        <f t="shared" si="90"/>
        <v>delayed</v>
      </c>
      <c r="AA377" s="37" t="str">
        <f t="shared" si="91"/>
        <v>Late</v>
      </c>
      <c r="AB377" s="37" t="str">
        <f t="shared" si="94"/>
        <v>1</v>
      </c>
      <c r="AC377" s="37">
        <f t="shared" si="95"/>
        <v>1</v>
      </c>
      <c r="AD377" s="45">
        <f t="shared" si="93"/>
        <v>0.511934156378601</v>
      </c>
      <c r="AE377" s="37">
        <v>1</v>
      </c>
      <c r="AF377" s="37" t="s">
        <v>181</v>
      </c>
      <c r="AG377" s="37" t="str">
        <f t="shared" si="92"/>
        <v>y</v>
      </c>
      <c r="AH377" s="37" t="str">
        <f t="array" ref="AH377">_xlfn.IFS(LOWER(AG377)="n","no",LOWER(AG377)="y","yes",TRUE,LOWER(AG377))</f>
        <v>yes</v>
      </c>
      <c r="AI377" s="37" t="s">
        <v>4692</v>
      </c>
    </row>
    <row r="378" spans="1:35">
      <c r="A378" s="46" t="s">
        <v>1746</v>
      </c>
      <c r="B378" s="47">
        <v>45311</v>
      </c>
      <c r="C378" s="39">
        <f t="shared" si="80"/>
        <v>45311</v>
      </c>
      <c r="D378" s="48" t="s">
        <v>366</v>
      </c>
      <c r="E378" s="37" t="str" cm="1">
        <f t="array" ref="E378">_xlfn.IFS(D378="delhi","north",D378="mumbai","west",D378="bengaluru","south",D378="chennai","south",D378="kolkata","east",TRUE,"west")</f>
        <v>east</v>
      </c>
      <c r="F378" s="46" t="s">
        <v>122</v>
      </c>
      <c r="G378" s="37" t="str">
        <f t="shared" si="81"/>
        <v>delhivery</v>
      </c>
      <c r="H378" s="46" t="s">
        <v>147</v>
      </c>
      <c r="I378" s="37" t="str">
        <f t="shared" si="82"/>
        <v>road</v>
      </c>
      <c r="J378" s="46" t="s">
        <v>981</v>
      </c>
      <c r="K378" s="37" t="str">
        <f t="shared" si="83"/>
        <v>automotiveparts</v>
      </c>
      <c r="L378" s="46" t="s">
        <v>159</v>
      </c>
      <c r="M378" s="37" t="str">
        <f t="shared" si="84"/>
        <v>south</v>
      </c>
      <c r="N378" s="46" t="s">
        <v>90</v>
      </c>
      <c r="O378" s="41" t="str">
        <f t="shared" si="85"/>
        <v>Yes</v>
      </c>
      <c r="P378" s="49">
        <v>33.7</v>
      </c>
      <c r="Q378" s="49">
        <v>597</v>
      </c>
      <c r="R378" s="42">
        <f t="shared" si="86"/>
        <v>17.7151335311573</v>
      </c>
      <c r="S378" s="46">
        <v>8</v>
      </c>
      <c r="T378" s="46" t="s">
        <v>1749</v>
      </c>
      <c r="U378" s="43" t="str">
        <f t="shared" si="87"/>
        <v>28-jan-2024</v>
      </c>
      <c r="V378" s="43">
        <f t="shared" si="88"/>
        <v>45319</v>
      </c>
      <c r="W378" s="44">
        <f t="array" ref="W378">_xlfn.IFS(TRIM(C378)="","",TRIM(V378)="","",TRUE,V378-C378)</f>
        <v>8</v>
      </c>
      <c r="X378" s="37">
        <f t="shared" si="89"/>
        <v>0</v>
      </c>
      <c r="Y378" s="46" t="s">
        <v>117</v>
      </c>
      <c r="Z378" s="37" t="str">
        <f t="shared" si="90"/>
        <v>delivered</v>
      </c>
      <c r="AA378" s="37" t="str">
        <f t="shared" si="91"/>
        <v>On Time</v>
      </c>
      <c r="AB378" s="37" t="str">
        <f t="shared" si="94"/>
        <v>0</v>
      </c>
      <c r="AC378" s="37">
        <f t="shared" si="95"/>
        <v>0</v>
      </c>
      <c r="AD378" s="45">
        <f t="shared" si="93"/>
        <v>0.511532125205931</v>
      </c>
      <c r="AE378" s="46">
        <v>3</v>
      </c>
      <c r="AF378" s="46" t="s">
        <v>131</v>
      </c>
      <c r="AG378" s="37" t="str">
        <f t="shared" si="92"/>
        <v>n</v>
      </c>
      <c r="AH378" s="37" t="str">
        <f t="array" ref="AH378">_xlfn.IFS(LOWER(AG378)="n","no",LOWER(AG378)="y","yes",TRUE,LOWER(AG378))</f>
        <v>no</v>
      </c>
      <c r="AI378" s="46" t="s">
        <v>4692</v>
      </c>
    </row>
    <row r="379" spans="1:35">
      <c r="A379" s="37" t="s">
        <v>1750</v>
      </c>
      <c r="B379" s="38">
        <v>45415</v>
      </c>
      <c r="C379" s="39">
        <f t="shared" si="80"/>
        <v>45415</v>
      </c>
      <c r="D379" s="40" t="s">
        <v>340</v>
      </c>
      <c r="E379" s="37" t="str" cm="1">
        <f t="array" ref="E379">_xlfn.IFS(D379="delhi","north",D379="mumbai","west",D379="bengaluru","south",D379="chennai","south",D379="kolkata","east",TRUE,"west")</f>
        <v>north</v>
      </c>
      <c r="F379" s="37" t="s">
        <v>156</v>
      </c>
      <c r="G379" s="37" t="str">
        <f t="shared" si="81"/>
        <v>xpressbees</v>
      </c>
      <c r="H379" s="37" t="s">
        <v>244</v>
      </c>
      <c r="I379" s="37" t="str">
        <f t="shared" si="82"/>
        <v>air</v>
      </c>
      <c r="J379" s="37" t="s">
        <v>582</v>
      </c>
      <c r="K379" s="37" t="str">
        <f t="shared" si="83"/>
        <v>grocery&amp;fmcg</v>
      </c>
      <c r="L379" s="37" t="s">
        <v>197</v>
      </c>
      <c r="M379" s="37" t="str">
        <f t="shared" si="84"/>
        <v>south</v>
      </c>
      <c r="N379" s="37" t="s">
        <v>327</v>
      </c>
      <c r="O379" s="41" t="str">
        <f t="shared" si="85"/>
        <v>Yes</v>
      </c>
      <c r="P379" s="41">
        <v>14.5</v>
      </c>
      <c r="Q379" s="41">
        <v>822</v>
      </c>
      <c r="R379" s="42">
        <f t="shared" si="86"/>
        <v>56.6896551724138</v>
      </c>
      <c r="S379" s="37">
        <v>4</v>
      </c>
      <c r="T379" s="37" t="s">
        <v>922</v>
      </c>
      <c r="U379" s="43" t="str">
        <f t="shared" si="87"/>
        <v>10/05/2024</v>
      </c>
      <c r="V379" s="43">
        <f t="shared" si="88"/>
        <v>45422</v>
      </c>
      <c r="W379" s="44">
        <f t="array" ref="W379">_xlfn.IFS(TRIM(C379)="","",TRIM(V379)="","",TRUE,V379-C379)</f>
        <v>7</v>
      </c>
      <c r="X379" s="37">
        <f t="shared" si="89"/>
        <v>3</v>
      </c>
      <c r="Y379" s="37" t="s">
        <v>143</v>
      </c>
      <c r="Z379" s="37" t="str">
        <f t="shared" si="90"/>
        <v>delayed</v>
      </c>
      <c r="AA379" s="37" t="str">
        <f t="shared" si="91"/>
        <v>Late</v>
      </c>
      <c r="AB379" s="37" t="str">
        <f t="shared" si="94"/>
        <v>1</v>
      </c>
      <c r="AC379" s="37">
        <f t="shared" si="95"/>
        <v>1</v>
      </c>
      <c r="AD379" s="45">
        <f t="shared" si="93"/>
        <v>0.511953833470734</v>
      </c>
      <c r="AE379" s="37">
        <v>2</v>
      </c>
      <c r="AF379" s="37" t="s">
        <v>131</v>
      </c>
      <c r="AG379" s="37" t="str">
        <f t="shared" si="92"/>
        <v>n</v>
      </c>
      <c r="AH379" s="37" t="str">
        <f t="array" ref="AH379">_xlfn.IFS(LOWER(AG379)="n","no",LOWER(AG379)="y","yes",TRUE,LOWER(AG379))</f>
        <v>no</v>
      </c>
      <c r="AI379" s="37" t="s">
        <v>4692</v>
      </c>
    </row>
    <row r="380" spans="1:35">
      <c r="A380" s="46" t="s">
        <v>1754</v>
      </c>
      <c r="B380" s="47" t="s">
        <v>4775</v>
      </c>
      <c r="C380" s="39">
        <f t="shared" si="80"/>
        <v>45375</v>
      </c>
      <c r="D380" s="48" t="s">
        <v>366</v>
      </c>
      <c r="E380" s="37" t="str" cm="1">
        <f t="array" ref="E380">_xlfn.IFS(D380="delhi","north",D380="mumbai","west",D380="bengaluru","south",D380="chennai","south",D380="kolkata","east",TRUE,"west")</f>
        <v>east</v>
      </c>
      <c r="F380" s="46" t="s">
        <v>544</v>
      </c>
      <c r="G380" s="37" t="str">
        <f t="shared" si="81"/>
        <v>bluedart</v>
      </c>
      <c r="H380" s="46" t="s">
        <v>137</v>
      </c>
      <c r="I380" s="37" t="str">
        <f t="shared" si="82"/>
        <v>road</v>
      </c>
      <c r="J380" s="46" t="s">
        <v>353</v>
      </c>
      <c r="K380" s="37" t="str">
        <f t="shared" si="83"/>
        <v>automotiveparts</v>
      </c>
      <c r="L380" s="46" t="s">
        <v>401</v>
      </c>
      <c r="M380" s="37" t="str">
        <f t="shared" si="84"/>
        <v>south</v>
      </c>
      <c r="N380" s="46" t="s">
        <v>327</v>
      </c>
      <c r="O380" s="41" t="str">
        <f t="shared" si="85"/>
        <v>Yes</v>
      </c>
      <c r="P380" s="49" t="s">
        <v>1756</v>
      </c>
      <c r="Q380" s="49">
        <v>477</v>
      </c>
      <c r="R380" s="42">
        <f t="shared" si="86"/>
        <v>22.1860465116279</v>
      </c>
      <c r="S380" s="46">
        <v>8</v>
      </c>
      <c r="T380" s="46" t="s">
        <v>1517</v>
      </c>
      <c r="U380" s="43" t="str">
        <f t="shared" si="87"/>
        <v>2024-04-05</v>
      </c>
      <c r="V380" s="43">
        <f t="shared" si="88"/>
        <v>45387</v>
      </c>
      <c r="W380" s="44">
        <f t="array" ref="W380">_xlfn.IFS(TRIM(C380)="","",TRIM(V380)="","",TRUE,V380-C380)</f>
        <v>12</v>
      </c>
      <c r="X380" s="37">
        <f t="shared" si="89"/>
        <v>4</v>
      </c>
      <c r="Y380" s="46" t="s">
        <v>172</v>
      </c>
      <c r="Z380" s="37" t="str">
        <f t="shared" si="90"/>
        <v>delayed</v>
      </c>
      <c r="AA380" s="37" t="str">
        <f t="shared" si="91"/>
        <v>Late</v>
      </c>
      <c r="AB380" s="37" t="str">
        <f t="shared" si="94"/>
        <v>1</v>
      </c>
      <c r="AC380" s="37">
        <f t="shared" si="95"/>
        <v>1</v>
      </c>
      <c r="AD380" s="45">
        <f t="shared" si="93"/>
        <v>0.511551155115512</v>
      </c>
      <c r="AE380" s="46">
        <v>3</v>
      </c>
      <c r="AF380" s="46" t="s">
        <v>118</v>
      </c>
      <c r="AG380" s="37" t="str">
        <f t="shared" si="92"/>
        <v>no</v>
      </c>
      <c r="AH380" s="37" t="str">
        <f t="array" ref="AH380">_xlfn.IFS(LOWER(AG380)="n","no",LOWER(AG380)="y","yes",TRUE,LOWER(AG380))</f>
        <v>no</v>
      </c>
      <c r="AI380" s="46" t="s">
        <v>4692</v>
      </c>
    </row>
    <row r="381" spans="1:35">
      <c r="A381" s="37" t="s">
        <v>1757</v>
      </c>
      <c r="B381" s="38">
        <v>45417</v>
      </c>
      <c r="C381" s="39">
        <f t="shared" si="80"/>
        <v>45417</v>
      </c>
      <c r="D381" s="40" t="s">
        <v>222</v>
      </c>
      <c r="E381" s="37" t="str" cm="1">
        <f t="array" ref="E381">_xlfn.IFS(D381="delhi","north",D381="mumbai","west",D381="bengaluru","south",D381="chennai","south",D381="kolkata","east",TRUE,"west")</f>
        <v>west</v>
      </c>
      <c r="F381" s="37" t="s">
        <v>312</v>
      </c>
      <c r="G381" s="37" t="str">
        <f t="shared" si="81"/>
        <v>bluedart</v>
      </c>
      <c r="H381" s="37" t="s">
        <v>42</v>
      </c>
      <c r="I381" s="37" t="str">
        <f t="shared" si="82"/>
        <v>surface</v>
      </c>
      <c r="J381" s="37" t="s">
        <v>301</v>
      </c>
      <c r="K381" s="37" t="str">
        <f t="shared" si="83"/>
        <v>furniture</v>
      </c>
      <c r="L381" s="37" t="s">
        <v>197</v>
      </c>
      <c r="M381" s="37" t="str">
        <f t="shared" si="84"/>
        <v>south</v>
      </c>
      <c r="N381" s="37" t="s">
        <v>54</v>
      </c>
      <c r="O381" s="41" t="str">
        <f t="shared" si="85"/>
        <v>Yes</v>
      </c>
      <c r="P381" s="41">
        <v>53.1</v>
      </c>
      <c r="Q381" s="41">
        <v>1341</v>
      </c>
      <c r="R381" s="42">
        <f t="shared" si="86"/>
        <v>25.2542372881356</v>
      </c>
      <c r="S381" s="37">
        <v>6</v>
      </c>
      <c r="T381" s="37" t="s">
        <v>617</v>
      </c>
      <c r="U381" s="43" t="str">
        <f t="shared" si="87"/>
        <v>10-may-2024</v>
      </c>
      <c r="V381" s="43">
        <f t="shared" si="88"/>
        <v>45422</v>
      </c>
      <c r="W381" s="44">
        <f t="array" ref="W381">_xlfn.IFS(TRIM(C381)="","",TRIM(V381)="","",TRUE,V381-C381)</f>
        <v>5</v>
      </c>
      <c r="X381" s="37">
        <f t="shared" si="89"/>
        <v>-1</v>
      </c>
      <c r="Y381" s="37" t="s">
        <v>105</v>
      </c>
      <c r="Z381" s="37" t="str">
        <f t="shared" si="90"/>
        <v>delivered</v>
      </c>
      <c r="AA381" s="37" t="str">
        <f t="shared" si="91"/>
        <v>On Time</v>
      </c>
      <c r="AB381" s="37" t="str">
        <f t="shared" si="94"/>
        <v>0</v>
      </c>
      <c r="AC381" s="37">
        <f t="shared" si="95"/>
        <v>0</v>
      </c>
      <c r="AD381" s="45">
        <f t="shared" si="93"/>
        <v>0.511147811725846</v>
      </c>
      <c r="AE381" s="37">
        <v>5</v>
      </c>
      <c r="AF381" s="37" t="s">
        <v>131</v>
      </c>
      <c r="AG381" s="37" t="str">
        <f t="shared" si="92"/>
        <v>n</v>
      </c>
      <c r="AH381" s="37" t="str">
        <f t="array" ref="AH381">_xlfn.IFS(LOWER(AG381)="n","no",LOWER(AG381)="y","yes",TRUE,LOWER(AG381))</f>
        <v>no</v>
      </c>
      <c r="AI381" s="37" t="s">
        <v>4692</v>
      </c>
    </row>
    <row r="382" spans="1:35">
      <c r="A382" s="46" t="s">
        <v>1761</v>
      </c>
      <c r="B382" s="47">
        <v>45301</v>
      </c>
      <c r="C382" s="39">
        <f t="shared" si="80"/>
        <v>45301</v>
      </c>
      <c r="D382" s="48" t="s">
        <v>243</v>
      </c>
      <c r="E382" s="37" t="str" cm="1">
        <f t="array" ref="E382">_xlfn.IFS(D382="delhi","north",D382="mumbai","west",D382="bengaluru","south",D382="chennai","south",D382="kolkata","east",TRUE,"west")</f>
        <v>west</v>
      </c>
      <c r="F382" s="46" t="s">
        <v>312</v>
      </c>
      <c r="G382" s="37" t="str">
        <f t="shared" si="81"/>
        <v>bluedart</v>
      </c>
      <c r="H382" s="46" t="s">
        <v>195</v>
      </c>
      <c r="I382" s="37" t="str">
        <f t="shared" si="82"/>
        <v>road</v>
      </c>
      <c r="J382" s="46" t="s">
        <v>111</v>
      </c>
      <c r="K382" s="37" t="str">
        <f t="shared" si="83"/>
        <v>grocery&amp;fmcg</v>
      </c>
      <c r="L382" s="46" t="s">
        <v>197</v>
      </c>
      <c r="M382" s="37" t="str">
        <f t="shared" si="84"/>
        <v>south</v>
      </c>
      <c r="N382" s="46" t="s">
        <v>327</v>
      </c>
      <c r="O382" s="41" t="str">
        <f t="shared" si="85"/>
        <v>Yes</v>
      </c>
      <c r="P382" s="49" t="s">
        <v>1762</v>
      </c>
      <c r="Q382" s="49" t="s">
        <v>432</v>
      </c>
      <c r="R382" s="42">
        <f t="shared" si="86"/>
        <v>19.047619047619</v>
      </c>
      <c r="S382" s="46">
        <v>6</v>
      </c>
      <c r="T382" s="46" t="s">
        <v>1763</v>
      </c>
      <c r="U382" s="43" t="str">
        <f t="shared" si="87"/>
        <v>16-jan-2024</v>
      </c>
      <c r="V382" s="43">
        <f t="shared" si="88"/>
        <v>45307</v>
      </c>
      <c r="W382" s="44">
        <f t="array" ref="W382">_xlfn.IFS(TRIM(C382)="","",TRIM(V382)="","",TRUE,V382-C382)</f>
        <v>6</v>
      </c>
      <c r="X382" s="37">
        <f t="shared" si="89"/>
        <v>0</v>
      </c>
      <c r="Y382" s="46" t="s">
        <v>163</v>
      </c>
      <c r="Z382" s="37" t="str">
        <f t="shared" si="90"/>
        <v>delivered</v>
      </c>
      <c r="AA382" s="37" t="str">
        <f t="shared" si="91"/>
        <v>On Time</v>
      </c>
      <c r="AB382" s="37" t="str">
        <f t="shared" si="94"/>
        <v>0</v>
      </c>
      <c r="AC382" s="37">
        <f t="shared" si="95"/>
        <v>0</v>
      </c>
      <c r="AD382" s="45">
        <f t="shared" si="93"/>
        <v>0.511570247933884</v>
      </c>
      <c r="AE382" s="46">
        <v>4</v>
      </c>
      <c r="AF382" s="46" t="s">
        <v>191</v>
      </c>
      <c r="AG382" s="37" t="str">
        <f t="shared" si="92"/>
        <v>no</v>
      </c>
      <c r="AH382" s="37" t="str">
        <f t="array" ref="AH382">_xlfn.IFS(LOWER(AG382)="n","no",LOWER(AG382)="y","yes",TRUE,LOWER(AG382))</f>
        <v>no</v>
      </c>
      <c r="AI382" s="46" t="s">
        <v>4692</v>
      </c>
    </row>
    <row r="383" spans="1:35">
      <c r="A383" s="37" t="s">
        <v>1764</v>
      </c>
      <c r="B383" s="38" t="s">
        <v>4776</v>
      </c>
      <c r="C383" s="39">
        <f t="shared" si="80"/>
        <v>45384</v>
      </c>
      <c r="D383" s="40" t="s">
        <v>633</v>
      </c>
      <c r="E383" s="37" t="str" cm="1">
        <f t="array" ref="E383">_xlfn.IFS(D383="delhi","north",D383="mumbai","west",D383="bengaluru","south",D383="chennai","south",D383="kolkata","east",TRUE,"west")</f>
        <v>south</v>
      </c>
      <c r="F383" s="37" t="s">
        <v>333</v>
      </c>
      <c r="G383" s="37" t="str">
        <f t="shared" si="81"/>
        <v>delhivery</v>
      </c>
      <c r="H383" s="37" t="s">
        <v>123</v>
      </c>
      <c r="I383" s="37" t="str">
        <f t="shared" si="82"/>
        <v>air</v>
      </c>
      <c r="J383" s="37" t="s">
        <v>612</v>
      </c>
      <c r="K383" s="37" t="str">
        <f t="shared" si="83"/>
        <v>grocery&amp;fmcg</v>
      </c>
      <c r="L383" s="37" t="s">
        <v>51</v>
      </c>
      <c r="M383" s="37" t="str">
        <f t="shared" si="84"/>
        <v>south</v>
      </c>
      <c r="N383" s="37" t="s">
        <v>327</v>
      </c>
      <c r="O383" s="41" t="str">
        <f t="shared" si="85"/>
        <v>Yes</v>
      </c>
      <c r="P383" s="41" t="s">
        <v>1766</v>
      </c>
      <c r="Q383" s="41">
        <v>815</v>
      </c>
      <c r="R383" s="42">
        <f t="shared" si="86"/>
        <v>44.5355191256831</v>
      </c>
      <c r="S383" s="37">
        <v>2</v>
      </c>
      <c r="T383" s="37" t="s">
        <v>1768</v>
      </c>
      <c r="U383" s="43" t="str">
        <f t="shared" si="87"/>
        <v>2024-04-04</v>
      </c>
      <c r="V383" s="43">
        <f t="shared" si="88"/>
        <v>45386</v>
      </c>
      <c r="W383" s="44">
        <f t="array" ref="W383">_xlfn.IFS(TRIM(C383)="","",TRIM(V383)="","",TRUE,V383-C383)</f>
        <v>2</v>
      </c>
      <c r="X383" s="37">
        <f t="shared" si="89"/>
        <v>0</v>
      </c>
      <c r="Y383" s="37" t="s">
        <v>219</v>
      </c>
      <c r="Z383" s="37" t="str">
        <f t="shared" si="90"/>
        <v>delivered</v>
      </c>
      <c r="AA383" s="37" t="str">
        <f t="shared" si="91"/>
        <v>On Time</v>
      </c>
      <c r="AB383" s="37" t="str">
        <f t="shared" si="94"/>
        <v>0</v>
      </c>
      <c r="AC383" s="37">
        <f t="shared" si="95"/>
        <v>0</v>
      </c>
      <c r="AD383" s="45">
        <f t="shared" si="93"/>
        <v>0.511993382961125</v>
      </c>
      <c r="AE383" s="37">
        <v>5</v>
      </c>
      <c r="AF383" s="37" t="s">
        <v>152</v>
      </c>
      <c r="AG383" s="37" t="str">
        <f t="shared" si="92"/>
        <v>no</v>
      </c>
      <c r="AH383" s="37" t="str">
        <f t="array" ref="AH383">_xlfn.IFS(LOWER(AG383)="n","no",LOWER(AG383)="y","yes",TRUE,LOWER(AG383))</f>
        <v>no</v>
      </c>
      <c r="AI383" s="37" t="s">
        <v>4692</v>
      </c>
    </row>
    <row r="384" spans="1:35">
      <c r="A384" s="46" t="s">
        <v>1769</v>
      </c>
      <c r="B384" s="47" t="s">
        <v>4740</v>
      </c>
      <c r="C384" s="39">
        <f t="shared" si="80"/>
        <v>45448</v>
      </c>
      <c r="D384" s="48" t="s">
        <v>424</v>
      </c>
      <c r="E384" s="37" t="str" cm="1">
        <f t="array" ref="E384">_xlfn.IFS(D384="delhi","north",D384="mumbai","west",D384="bengaluru","south",D384="chennai","south",D384="kolkata","east",TRUE,"west")</f>
        <v>south</v>
      </c>
      <c r="F384" s="46" t="s">
        <v>156</v>
      </c>
      <c r="G384" s="37" t="str">
        <f t="shared" si="81"/>
        <v>xpressbees</v>
      </c>
      <c r="H384" s="46" t="s">
        <v>325</v>
      </c>
      <c r="I384" s="37" t="str">
        <f t="shared" si="82"/>
        <v>air</v>
      </c>
      <c r="J384" s="46" t="s">
        <v>111</v>
      </c>
      <c r="K384" s="37" t="str">
        <f t="shared" si="83"/>
        <v>grocery&amp;fmcg</v>
      </c>
      <c r="L384" s="46" t="s">
        <v>139</v>
      </c>
      <c r="M384" s="37" t="str">
        <f t="shared" si="84"/>
        <v>north</v>
      </c>
      <c r="N384" s="46" t="s">
        <v>32</v>
      </c>
      <c r="O384" s="41" t="str">
        <f t="shared" si="85"/>
        <v>Yes</v>
      </c>
      <c r="P384" s="49" t="s">
        <v>944</v>
      </c>
      <c r="Q384" s="49">
        <v>916</v>
      </c>
      <c r="R384" s="42">
        <f t="shared" si="86"/>
        <v>54.2011834319527</v>
      </c>
      <c r="S384" s="46">
        <v>4</v>
      </c>
      <c r="T384" s="46" t="s">
        <v>853</v>
      </c>
      <c r="U384" s="43" t="str">
        <f t="shared" si="87"/>
        <v>2024-06-11</v>
      </c>
      <c r="V384" s="43">
        <f t="shared" si="88"/>
        <v>45454</v>
      </c>
      <c r="W384" s="44">
        <f t="array" ref="W384">_xlfn.IFS(TRIM(C384)="","",TRIM(V384)="","",TRUE,V384-C384)</f>
        <v>6</v>
      </c>
      <c r="X384" s="37">
        <f t="shared" si="89"/>
        <v>2</v>
      </c>
      <c r="Y384" s="46" t="s">
        <v>143</v>
      </c>
      <c r="Z384" s="37" t="str">
        <f t="shared" si="90"/>
        <v>delayed</v>
      </c>
      <c r="AA384" s="37" t="str">
        <f t="shared" si="91"/>
        <v>Late</v>
      </c>
      <c r="AB384" s="37" t="str">
        <f t="shared" si="94"/>
        <v>1</v>
      </c>
      <c r="AC384" s="37">
        <f t="shared" si="95"/>
        <v>1</v>
      </c>
      <c r="AD384" s="45">
        <f t="shared" si="93"/>
        <v>0.512417218543046</v>
      </c>
      <c r="AE384" s="46">
        <v>3</v>
      </c>
      <c r="AF384" s="46" t="s">
        <v>286</v>
      </c>
      <c r="AG384" s="37" t="str">
        <f t="shared" si="92"/>
        <v>yes</v>
      </c>
      <c r="AH384" s="37" t="str">
        <f t="array" ref="AH384">_xlfn.IFS(LOWER(AG384)="n","no",LOWER(AG384)="y","yes",TRUE,LOWER(AG384))</f>
        <v>yes</v>
      </c>
      <c r="AI384" s="46" t="s">
        <v>4692</v>
      </c>
    </row>
    <row r="385" spans="1:35">
      <c r="A385" s="37" t="s">
        <v>1771</v>
      </c>
      <c r="B385" s="38">
        <v>45438</v>
      </c>
      <c r="C385" s="39">
        <f t="shared" si="80"/>
        <v>45438</v>
      </c>
      <c r="D385" s="40" t="s">
        <v>366</v>
      </c>
      <c r="E385" s="37" t="str" cm="1">
        <f t="array" ref="E385">_xlfn.IFS(D385="delhi","north",D385="mumbai","west",D385="bengaluru","south",D385="chennai","south",D385="kolkata","east",TRUE,"west")</f>
        <v>east</v>
      </c>
      <c r="F385" s="37" t="s">
        <v>230</v>
      </c>
      <c r="G385" s="37" t="str">
        <f t="shared" si="81"/>
        <v>dtdc</v>
      </c>
      <c r="H385" s="37" t="s">
        <v>244</v>
      </c>
      <c r="I385" s="37" t="str">
        <f t="shared" si="82"/>
        <v>air</v>
      </c>
      <c r="J385" s="37" t="s">
        <v>368</v>
      </c>
      <c r="K385" s="37" t="str">
        <f t="shared" si="83"/>
        <v>furniture</v>
      </c>
      <c r="L385" s="37" t="s">
        <v>101</v>
      </c>
      <c r="M385" s="37" t="str">
        <f t="shared" si="84"/>
        <v>west</v>
      </c>
      <c r="N385" s="37" t="s">
        <v>88</v>
      </c>
      <c r="O385" s="41" t="str">
        <f t="shared" si="85"/>
        <v>Yes</v>
      </c>
      <c r="P385" s="41">
        <v>39.3</v>
      </c>
      <c r="Q385" s="50">
        <v>1945</v>
      </c>
      <c r="R385" s="42">
        <f t="shared" si="86"/>
        <v>49.4910941475827</v>
      </c>
      <c r="S385" s="37">
        <v>4</v>
      </c>
      <c r="T385" s="37" t="s">
        <v>455</v>
      </c>
      <c r="U385" s="43" t="str">
        <f t="shared" si="87"/>
        <v>31/05/2024</v>
      </c>
      <c r="V385" s="43">
        <f t="shared" si="88"/>
        <v>45443</v>
      </c>
      <c r="W385" s="44">
        <f t="array" ref="W385">_xlfn.IFS(TRIM(C385)="","",TRIM(V385)="","",TRUE,V385-C385)</f>
        <v>5</v>
      </c>
      <c r="X385" s="37">
        <f t="shared" si="89"/>
        <v>1</v>
      </c>
      <c r="Y385" s="37" t="s">
        <v>72</v>
      </c>
      <c r="Z385" s="37" t="str">
        <f t="shared" si="90"/>
        <v>delayed</v>
      </c>
      <c r="AA385" s="37" t="str">
        <f t="shared" si="91"/>
        <v>Late</v>
      </c>
      <c r="AB385" s="37" t="str">
        <f t="shared" si="94"/>
        <v>1</v>
      </c>
      <c r="AC385" s="37">
        <f t="shared" si="95"/>
        <v>1</v>
      </c>
      <c r="AD385" s="45">
        <f t="shared" si="93"/>
        <v>0.512013256006628</v>
      </c>
      <c r="AE385" s="37">
        <v>5</v>
      </c>
      <c r="AF385" s="37" t="s">
        <v>118</v>
      </c>
      <c r="AG385" s="37" t="str">
        <f t="shared" si="92"/>
        <v>no</v>
      </c>
      <c r="AH385" s="37" t="str">
        <f t="array" ref="AH385">_xlfn.IFS(LOWER(AG385)="n","no",LOWER(AG385)="y","yes",TRUE,LOWER(AG385))</f>
        <v>no</v>
      </c>
      <c r="AI385" s="37" t="s">
        <v>4692</v>
      </c>
    </row>
    <row r="386" spans="1:35">
      <c r="A386" s="46" t="s">
        <v>1774</v>
      </c>
      <c r="B386" s="47">
        <v>45398</v>
      </c>
      <c r="C386" s="39">
        <f t="shared" ref="C386:C449" si="96">IF(ISNUMBER(B386),B386,DATE(RIGHT(TRIM(B386),4),MID(TRIM(B386),4,2),LEFT(TRIM(B386),2)))</f>
        <v>45398</v>
      </c>
      <c r="D386" s="48" t="s">
        <v>121</v>
      </c>
      <c r="E386" s="37" t="str" cm="1">
        <f t="array" ref="E386">_xlfn.IFS(D386="delhi","north",D386="mumbai","west",D386="bengaluru","south",D386="chennai","south",D386="kolkata","east",TRUE,"west")</f>
        <v>west</v>
      </c>
      <c r="F386" s="46" t="s">
        <v>223</v>
      </c>
      <c r="G386" s="37" t="str">
        <f t="shared" ref="G386:G449" si="97">SUBSTITUTE(LOWER(F386)," ","")</f>
        <v>xpressbees</v>
      </c>
      <c r="H386" s="46" t="s">
        <v>325</v>
      </c>
      <c r="I386" s="37" t="str">
        <f t="shared" ref="I386:I449" si="98">SUBSTITUTE(LOWER(H386)," ","")</f>
        <v>air</v>
      </c>
      <c r="J386" s="46" t="s">
        <v>319</v>
      </c>
      <c r="K386" s="37" t="str">
        <f t="shared" ref="K386:K449" si="99">SUBSTITUTE(LOWER(J386)," ","")</f>
        <v>electronics</v>
      </c>
      <c r="L386" s="46" t="s">
        <v>112</v>
      </c>
      <c r="M386" s="37" t="str">
        <f t="shared" ref="M386:M449" si="100">SUBSTITUTE(LOWER(L386)," ","")</f>
        <v>north</v>
      </c>
      <c r="N386" s="46" t="s">
        <v>32</v>
      </c>
      <c r="O386" s="41" t="str">
        <f t="shared" ref="O386:O449" si="101">IF(OR(D386="",M386=""),"",IF(D386=M386,"No","Yes"))</f>
        <v>Yes</v>
      </c>
      <c r="P386" s="49" t="s">
        <v>1775</v>
      </c>
      <c r="Q386" s="49">
        <v>390</v>
      </c>
      <c r="R386" s="42">
        <f t="shared" ref="R386:R449" si="102">IF(OR(Q386="",P386="",P386=0),"",Q386/P386)</f>
        <v>44.8275862068966</v>
      </c>
      <c r="S386" s="46">
        <v>2</v>
      </c>
      <c r="T386" s="46" t="s">
        <v>784</v>
      </c>
      <c r="U386" s="43" t="str">
        <f t="shared" ref="U386:U449" si="103">SUBSTITUTE(LOWER(T386)," ","")</f>
        <v>20/04/2024</v>
      </c>
      <c r="V386" s="43">
        <f t="shared" ref="V386:V449" si="104">DATEVALUE(TEXT(U386,"yyyy-mm-dd"))</f>
        <v>45402</v>
      </c>
      <c r="W386" s="44">
        <f t="array" ref="W386">_xlfn.IFS(TRIM(C386)="","",TRIM(V386)="","",TRUE,V386-C386)</f>
        <v>4</v>
      </c>
      <c r="X386" s="37">
        <f t="shared" ref="X386:X449" si="105">IF(OR(W386="",S386=""),"",W386-S386)</f>
        <v>2</v>
      </c>
      <c r="Y386" s="46" t="s">
        <v>200</v>
      </c>
      <c r="Z386" s="37" t="str">
        <f t="shared" ref="Z386:Z449" si="106">SUBSTITUTE(LOWER(Y386)," ","")</f>
        <v>delayed</v>
      </c>
      <c r="AA386" s="37" t="str">
        <f t="shared" ref="AA386:AA449" si="107">IF(Z386="In-Transit","N/A",IF(X386="","",IF(X386&gt;0,"Late","On Time")))</f>
        <v>Late</v>
      </c>
      <c r="AB386" s="37" t="str">
        <f t="shared" si="94"/>
        <v>1</v>
      </c>
      <c r="AC386" s="37">
        <f t="shared" si="95"/>
        <v>1</v>
      </c>
      <c r="AD386" s="45">
        <f t="shared" si="93"/>
        <v>0.511608623548922</v>
      </c>
      <c r="AE386" s="46">
        <v>3</v>
      </c>
      <c r="AF386" s="46" t="s">
        <v>131</v>
      </c>
      <c r="AG386" s="37" t="str">
        <f t="shared" ref="AG386:AG449" si="108">SUBSTITUTE(LOWER(AF386)," ","")</f>
        <v>n</v>
      </c>
      <c r="AH386" s="37" t="str">
        <f t="array" ref="AH386">_xlfn.IFS(LOWER(AG386)="n","no",LOWER(AG386)="y","yes",TRUE,LOWER(AG386))</f>
        <v>no</v>
      </c>
      <c r="AI386" s="46" t="s">
        <v>4692</v>
      </c>
    </row>
    <row r="387" spans="1:35">
      <c r="A387" s="37" t="s">
        <v>1776</v>
      </c>
      <c r="B387" s="38">
        <v>45400</v>
      </c>
      <c r="C387" s="39">
        <f t="shared" si="96"/>
        <v>45400</v>
      </c>
      <c r="D387" s="40" t="s">
        <v>222</v>
      </c>
      <c r="E387" s="37" t="str" cm="1">
        <f t="array" ref="E387">_xlfn.IFS(D387="delhi","north",D387="mumbai","west",D387="bengaluru","south",D387="chennai","south",D387="kolkata","east",TRUE,"west")</f>
        <v>west</v>
      </c>
      <c r="F387" s="37" t="s">
        <v>204</v>
      </c>
      <c r="G387" s="37" t="str">
        <f t="shared" si="97"/>
        <v>delhivery</v>
      </c>
      <c r="H387" s="37" t="s">
        <v>185</v>
      </c>
      <c r="I387" s="37" t="str">
        <f t="shared" si="98"/>
        <v>surface</v>
      </c>
      <c r="J387" s="37" t="s">
        <v>138</v>
      </c>
      <c r="K387" s="37" t="str">
        <f t="shared" si="99"/>
        <v>apparel</v>
      </c>
      <c r="L387" s="37" t="s">
        <v>197</v>
      </c>
      <c r="M387" s="37" t="str">
        <f t="shared" si="100"/>
        <v>south</v>
      </c>
      <c r="N387" s="37" t="s">
        <v>90</v>
      </c>
      <c r="O387" s="41" t="str">
        <f t="shared" si="101"/>
        <v>Yes</v>
      </c>
      <c r="P387" s="41">
        <v>0.9</v>
      </c>
      <c r="Q387" s="41" t="s">
        <v>1778</v>
      </c>
      <c r="R387" s="42">
        <f t="shared" si="102"/>
        <v>163.333333333333</v>
      </c>
      <c r="S387" s="37">
        <v>6</v>
      </c>
      <c r="T387" s="37" t="s">
        <v>926</v>
      </c>
      <c r="U387" s="43" t="str">
        <f t="shared" si="103"/>
        <v>24/04/2024</v>
      </c>
      <c r="V387" s="43">
        <f t="shared" si="104"/>
        <v>45406</v>
      </c>
      <c r="W387" s="44">
        <f t="array" ref="W387">_xlfn.IFS(TRIM(C387)="","",TRIM(V387)="","",TRUE,V387-C387)</f>
        <v>6</v>
      </c>
      <c r="X387" s="37">
        <f t="shared" si="105"/>
        <v>0</v>
      </c>
      <c r="Y387" s="37" t="s">
        <v>117</v>
      </c>
      <c r="Z387" s="37" t="str">
        <f t="shared" si="106"/>
        <v>delivered</v>
      </c>
      <c r="AA387" s="37" t="str">
        <f t="shared" si="107"/>
        <v>On Time</v>
      </c>
      <c r="AB387" s="37" t="str">
        <f t="shared" si="94"/>
        <v>0</v>
      </c>
      <c r="AC387" s="37">
        <f t="shared" si="95"/>
        <v>0</v>
      </c>
      <c r="AD387" s="45">
        <f t="shared" ref="AD387:AD450" si="109">COUNTIF(AC387:AC1986,1)/COUNT(AC387:AC1986)</f>
        <v>0.511203319502075</v>
      </c>
      <c r="AE387" s="37">
        <v>2</v>
      </c>
      <c r="AF387" s="37" t="s">
        <v>79</v>
      </c>
      <c r="AG387" s="37" t="str">
        <f t="shared" si="108"/>
        <v>yes</v>
      </c>
      <c r="AH387" s="37" t="str">
        <f t="array" ref="AH387">_xlfn.IFS(LOWER(AG387)="n","no",LOWER(AG387)="y","yes",TRUE,LOWER(AG387))</f>
        <v>yes</v>
      </c>
      <c r="AI387" s="37" t="s">
        <v>4692</v>
      </c>
    </row>
    <row r="388" spans="1:35">
      <c r="A388" s="46" t="s">
        <v>1779</v>
      </c>
      <c r="B388" s="47" t="s">
        <v>4773</v>
      </c>
      <c r="C388" s="39">
        <f t="shared" si="96"/>
        <v>45306</v>
      </c>
      <c r="D388" s="48" t="s">
        <v>340</v>
      </c>
      <c r="E388" s="37" t="str" cm="1">
        <f t="array" ref="E388">_xlfn.IFS(D388="delhi","north",D388="mumbai","west",D388="bengaluru","south",D388="chennai","south",D388="kolkata","east",TRUE,"west")</f>
        <v>north</v>
      </c>
      <c r="F388" s="46" t="s">
        <v>194</v>
      </c>
      <c r="G388" s="37" t="str">
        <f t="shared" si="97"/>
        <v>xpressbees</v>
      </c>
      <c r="H388" s="46" t="s">
        <v>123</v>
      </c>
      <c r="I388" s="37" t="str">
        <f t="shared" si="98"/>
        <v>air</v>
      </c>
      <c r="J388" s="46" t="s">
        <v>111</v>
      </c>
      <c r="K388" s="37" t="str">
        <f t="shared" si="99"/>
        <v>grocery&amp;fmcg</v>
      </c>
      <c r="L388" s="46" t="s">
        <v>101</v>
      </c>
      <c r="M388" s="37" t="str">
        <f t="shared" si="100"/>
        <v>west</v>
      </c>
      <c r="N388" s="46" t="s">
        <v>206</v>
      </c>
      <c r="O388" s="41" t="str">
        <f t="shared" si="101"/>
        <v>Yes</v>
      </c>
      <c r="P388" s="49">
        <v>3.1</v>
      </c>
      <c r="Q388" s="49">
        <v>325</v>
      </c>
      <c r="R388" s="42">
        <f t="shared" si="102"/>
        <v>104.838709677419</v>
      </c>
      <c r="S388" s="46">
        <v>4</v>
      </c>
      <c r="T388" s="46" t="s">
        <v>1782</v>
      </c>
      <c r="U388" s="43" t="str">
        <f t="shared" si="103"/>
        <v>19/01/2024</v>
      </c>
      <c r="V388" s="43">
        <f t="shared" si="104"/>
        <v>45310</v>
      </c>
      <c r="W388" s="44">
        <f t="array" ref="W388">_xlfn.IFS(TRIM(C388)="","",TRIM(V388)="","",TRUE,V388-C388)</f>
        <v>4</v>
      </c>
      <c r="X388" s="37">
        <f t="shared" si="105"/>
        <v>0</v>
      </c>
      <c r="Y388" s="46" t="s">
        <v>105</v>
      </c>
      <c r="Z388" s="37" t="str">
        <f t="shared" si="106"/>
        <v>delivered</v>
      </c>
      <c r="AA388" s="37" t="str">
        <f t="shared" si="107"/>
        <v>On Time</v>
      </c>
      <c r="AB388" s="37" t="str">
        <f t="shared" si="94"/>
        <v>0</v>
      </c>
      <c r="AC388" s="37">
        <f t="shared" si="95"/>
        <v>0</v>
      </c>
      <c r="AD388" s="45">
        <f t="shared" si="109"/>
        <v>0.511627906976744</v>
      </c>
      <c r="AE388" s="46">
        <v>4</v>
      </c>
      <c r="AF388" s="46" t="s">
        <v>79</v>
      </c>
      <c r="AG388" s="37" t="str">
        <f t="shared" si="108"/>
        <v>yes</v>
      </c>
      <c r="AH388" s="37" t="str">
        <f t="array" ref="AH388">_xlfn.IFS(LOWER(AG388)="n","no",LOWER(AG388)="y","yes",TRUE,LOWER(AG388))</f>
        <v>yes</v>
      </c>
      <c r="AI388" s="46" t="s">
        <v>4692</v>
      </c>
    </row>
    <row r="389" spans="1:35">
      <c r="A389" s="37" t="s">
        <v>1783</v>
      </c>
      <c r="B389" s="38">
        <v>45374</v>
      </c>
      <c r="C389" s="39">
        <f t="shared" si="96"/>
        <v>45374</v>
      </c>
      <c r="D389" s="40" t="s">
        <v>4694</v>
      </c>
      <c r="E389" s="37" t="str" cm="1">
        <f t="array" ref="E389">_xlfn.IFS(D389="delhi","north",D389="mumbai","west",D389="bengaluru","south",D389="chennai","south",D389="kolkata","east",TRUE,"west")</f>
        <v>west</v>
      </c>
      <c r="F389" s="37" t="s">
        <v>352</v>
      </c>
      <c r="G389" s="37" t="str">
        <f t="shared" si="97"/>
        <v>delhivery</v>
      </c>
      <c r="H389" s="37" t="s">
        <v>195</v>
      </c>
      <c r="I389" s="37" t="str">
        <f t="shared" si="98"/>
        <v>road</v>
      </c>
      <c r="J389" s="37" t="s">
        <v>1734</v>
      </c>
      <c r="K389" s="37" t="str">
        <f t="shared" si="99"/>
        <v>automotiveparts</v>
      </c>
      <c r="L389" s="37" t="s">
        <v>197</v>
      </c>
      <c r="M389" s="37" t="str">
        <f t="shared" si="100"/>
        <v>south</v>
      </c>
      <c r="N389" s="37" t="s">
        <v>90</v>
      </c>
      <c r="O389" s="41" t="str">
        <f t="shared" si="101"/>
        <v>Yes</v>
      </c>
      <c r="P389" s="41">
        <v>19.5</v>
      </c>
      <c r="Q389" s="41">
        <v>301</v>
      </c>
      <c r="R389" s="42">
        <f t="shared" si="102"/>
        <v>15.4358974358974</v>
      </c>
      <c r="S389" s="37">
        <v>6</v>
      </c>
      <c r="T389" s="37" t="s">
        <v>1786</v>
      </c>
      <c r="U389" s="43" t="str">
        <f t="shared" si="103"/>
        <v>2024-04-07</v>
      </c>
      <c r="V389" s="43">
        <f t="shared" si="104"/>
        <v>45389</v>
      </c>
      <c r="W389" s="44">
        <f t="array" ref="W389">_xlfn.IFS(TRIM(C389)="","",TRIM(V389)="","",TRUE,V389-C389)</f>
        <v>15</v>
      </c>
      <c r="X389" s="37">
        <f t="shared" si="105"/>
        <v>9</v>
      </c>
      <c r="Y389" s="37" t="s">
        <v>72</v>
      </c>
      <c r="Z389" s="37" t="str">
        <f t="shared" si="106"/>
        <v>delayed</v>
      </c>
      <c r="AA389" s="37" t="str">
        <f t="shared" si="107"/>
        <v>Late</v>
      </c>
      <c r="AB389" s="37" t="str">
        <f t="shared" si="94"/>
        <v>1</v>
      </c>
      <c r="AC389" s="37">
        <f t="shared" si="95"/>
        <v>1</v>
      </c>
      <c r="AD389" s="45">
        <f t="shared" si="109"/>
        <v>0.512053200332502</v>
      </c>
      <c r="AE389" s="37">
        <v>2</v>
      </c>
      <c r="AF389" s="37" t="s">
        <v>118</v>
      </c>
      <c r="AG389" s="37" t="str">
        <f t="shared" si="108"/>
        <v>no</v>
      </c>
      <c r="AH389" s="37" t="str">
        <f t="array" ref="AH389">_xlfn.IFS(LOWER(AG389)="n","no",LOWER(AG389)="y","yes",TRUE,LOWER(AG389))</f>
        <v>no</v>
      </c>
      <c r="AI389" s="37" t="s">
        <v>4692</v>
      </c>
    </row>
    <row r="390" spans="1:35">
      <c r="A390" s="46" t="s">
        <v>1787</v>
      </c>
      <c r="B390" s="47">
        <v>45462</v>
      </c>
      <c r="C390" s="39">
        <f t="shared" si="96"/>
        <v>45462</v>
      </c>
      <c r="D390" s="48" t="s">
        <v>212</v>
      </c>
      <c r="E390" s="37" t="str" cm="1">
        <f t="array" ref="E390">_xlfn.IFS(D390="delhi","north",D390="mumbai","west",D390="bengaluru","south",D390="chennai","south",D390="kolkata","east",TRUE,"west")</f>
        <v>west</v>
      </c>
      <c r="F390" s="46" t="s">
        <v>122</v>
      </c>
      <c r="G390" s="37" t="str">
        <f t="shared" si="97"/>
        <v>delhivery</v>
      </c>
      <c r="H390" s="46" t="s">
        <v>195</v>
      </c>
      <c r="I390" s="37" t="str">
        <f t="shared" si="98"/>
        <v>road</v>
      </c>
      <c r="J390" s="46" t="s">
        <v>138</v>
      </c>
      <c r="K390" s="37" t="str">
        <f t="shared" si="99"/>
        <v>apparel</v>
      </c>
      <c r="L390" s="46" t="s">
        <v>112</v>
      </c>
      <c r="M390" s="37" t="str">
        <f t="shared" si="100"/>
        <v>north</v>
      </c>
      <c r="N390" s="46" t="s">
        <v>32</v>
      </c>
      <c r="O390" s="41" t="str">
        <f t="shared" si="101"/>
        <v>Yes</v>
      </c>
      <c r="P390" s="49">
        <v>1.6</v>
      </c>
      <c r="Q390" s="49">
        <v>221</v>
      </c>
      <c r="R390" s="42">
        <f t="shared" si="102"/>
        <v>138.125</v>
      </c>
      <c r="S390" s="46">
        <v>8</v>
      </c>
      <c r="T390" s="46" t="s">
        <v>1391</v>
      </c>
      <c r="U390" s="43" t="str">
        <f t="shared" si="103"/>
        <v>26/06/2024</v>
      </c>
      <c r="V390" s="43">
        <f t="shared" si="104"/>
        <v>45469</v>
      </c>
      <c r="W390" s="44">
        <f t="array" ref="W390">_xlfn.IFS(TRIM(C390)="","",TRIM(V390)="","",TRUE,V390-C390)</f>
        <v>7</v>
      </c>
      <c r="X390" s="37">
        <f t="shared" si="105"/>
        <v>-1</v>
      </c>
      <c r="Y390" s="46" t="s">
        <v>117</v>
      </c>
      <c r="Z390" s="37" t="str">
        <f t="shared" si="106"/>
        <v>delivered</v>
      </c>
      <c r="AA390" s="37" t="str">
        <f t="shared" si="107"/>
        <v>On Time</v>
      </c>
      <c r="AB390" s="37" t="str">
        <f t="shared" ref="AB390:AB453" si="110">IF(Z390="In-Transit","N/A",IF(X390="","",IF(X390&gt;0,"1","0")))</f>
        <v>0</v>
      </c>
      <c r="AC390" s="37">
        <f t="shared" si="95"/>
        <v>0</v>
      </c>
      <c r="AD390" s="45">
        <f t="shared" si="109"/>
        <v>0.511647254575707</v>
      </c>
      <c r="AE390" s="46">
        <v>5</v>
      </c>
      <c r="AF390" s="46" t="s">
        <v>118</v>
      </c>
      <c r="AG390" s="37" t="str">
        <f t="shared" si="108"/>
        <v>no</v>
      </c>
      <c r="AH390" s="37" t="str">
        <f t="array" ref="AH390">_xlfn.IFS(LOWER(AG390)="n","no",LOWER(AG390)="y","yes",TRUE,LOWER(AG390))</f>
        <v>no</v>
      </c>
      <c r="AI390" s="46" t="s">
        <v>4692</v>
      </c>
    </row>
    <row r="391" spans="1:35">
      <c r="A391" s="37" t="s">
        <v>1790</v>
      </c>
      <c r="B391" s="38" t="s">
        <v>4777</v>
      </c>
      <c r="C391" s="39">
        <f t="shared" si="96"/>
        <v>45391</v>
      </c>
      <c r="D391" s="40" t="s">
        <v>366</v>
      </c>
      <c r="E391" s="37" t="str" cm="1">
        <f t="array" ref="E391">_xlfn.IFS(D391="delhi","north",D391="mumbai","west",D391="bengaluru","south",D391="chennai","south",D391="kolkata","east",TRUE,"west")</f>
        <v>east</v>
      </c>
      <c r="F391" s="37" t="s">
        <v>223</v>
      </c>
      <c r="G391" s="37" t="str">
        <f t="shared" si="97"/>
        <v>xpressbees</v>
      </c>
      <c r="H391" s="37" t="s">
        <v>99</v>
      </c>
      <c r="I391" s="37" t="str">
        <f t="shared" si="98"/>
        <v>air</v>
      </c>
      <c r="J391" s="37" t="s">
        <v>283</v>
      </c>
      <c r="K391" s="37" t="str">
        <f t="shared" si="99"/>
        <v>pharma</v>
      </c>
      <c r="L391" s="37" t="s">
        <v>197</v>
      </c>
      <c r="M391" s="37" t="str">
        <f t="shared" si="100"/>
        <v>south</v>
      </c>
      <c r="N391" s="37" t="s">
        <v>90</v>
      </c>
      <c r="O391" s="41" t="str">
        <f t="shared" si="101"/>
        <v>Yes</v>
      </c>
      <c r="P391" s="41">
        <v>0.7</v>
      </c>
      <c r="Q391" s="41">
        <v>179</v>
      </c>
      <c r="R391" s="42">
        <f t="shared" si="102"/>
        <v>255.714285714286</v>
      </c>
      <c r="S391" s="37">
        <v>4</v>
      </c>
      <c r="T391" s="37" t="s">
        <v>784</v>
      </c>
      <c r="U391" s="43" t="str">
        <f t="shared" si="103"/>
        <v>20/04/2024</v>
      </c>
      <c r="V391" s="43">
        <f t="shared" si="104"/>
        <v>45402</v>
      </c>
      <c r="W391" s="44">
        <f t="array" ref="W391">_xlfn.IFS(TRIM(C391)="","",TRIM(V391)="","",TRUE,V391-C391)</f>
        <v>11</v>
      </c>
      <c r="X391" s="37">
        <f t="shared" si="105"/>
        <v>7</v>
      </c>
      <c r="Y391" s="37" t="s">
        <v>72</v>
      </c>
      <c r="Z391" s="37" t="str">
        <f t="shared" si="106"/>
        <v>delayed</v>
      </c>
      <c r="AA391" s="37" t="str">
        <f t="shared" si="107"/>
        <v>Late</v>
      </c>
      <c r="AB391" s="37" t="str">
        <f t="shared" si="110"/>
        <v>1</v>
      </c>
      <c r="AC391" s="37">
        <f t="shared" ref="AC391:AC454" si="111">IF(TRIM(AB391&amp;"")="","",VALUE(TRIM(AB391&amp;"")))</f>
        <v>1</v>
      </c>
      <c r="AD391" s="45">
        <f t="shared" si="109"/>
        <v>0.512073272273106</v>
      </c>
      <c r="AE391" s="37">
        <v>1</v>
      </c>
      <c r="AF391" s="37" t="s">
        <v>181</v>
      </c>
      <c r="AG391" s="37" t="str">
        <f t="shared" si="108"/>
        <v>y</v>
      </c>
      <c r="AH391" s="37" t="str">
        <f t="array" ref="AH391">_xlfn.IFS(LOWER(AG391)="n","no",LOWER(AG391)="y","yes",TRUE,LOWER(AG391))</f>
        <v>yes</v>
      </c>
      <c r="AI391" s="37" t="s">
        <v>4692</v>
      </c>
    </row>
    <row r="392" spans="1:35">
      <c r="A392" s="46" t="s">
        <v>1793</v>
      </c>
      <c r="B392" s="47">
        <v>45316</v>
      </c>
      <c r="C392" s="39">
        <f t="shared" si="96"/>
        <v>45316</v>
      </c>
      <c r="D392" s="48" t="s">
        <v>366</v>
      </c>
      <c r="E392" s="37" t="str" cm="1">
        <f t="array" ref="E392">_xlfn.IFS(D392="delhi","north",D392="mumbai","west",D392="bengaluru","south",D392="chennai","south",D392="kolkata","east",TRUE,"west")</f>
        <v>east</v>
      </c>
      <c r="F392" s="46" t="s">
        <v>122</v>
      </c>
      <c r="G392" s="37" t="str">
        <f t="shared" si="97"/>
        <v>delhivery</v>
      </c>
      <c r="H392" s="46" t="s">
        <v>147</v>
      </c>
      <c r="I392" s="37" t="str">
        <f t="shared" si="98"/>
        <v>road</v>
      </c>
      <c r="J392" s="46" t="s">
        <v>1794</v>
      </c>
      <c r="K392" s="37" t="str">
        <f t="shared" si="99"/>
        <v>grocery&amp;fmcg</v>
      </c>
      <c r="L392" s="46" t="s">
        <v>87</v>
      </c>
      <c r="M392" s="37" t="str">
        <f t="shared" si="100"/>
        <v>north</v>
      </c>
      <c r="N392" s="46" t="s">
        <v>32</v>
      </c>
      <c r="O392" s="41" t="str">
        <f t="shared" si="101"/>
        <v>Yes</v>
      </c>
      <c r="P392" s="49" t="s">
        <v>1795</v>
      </c>
      <c r="Q392" s="49">
        <v>448</v>
      </c>
      <c r="R392" s="42">
        <f t="shared" si="102"/>
        <v>22.4</v>
      </c>
      <c r="S392" s="46">
        <v>8</v>
      </c>
      <c r="T392" s="46" t="s">
        <v>221</v>
      </c>
      <c r="U392" s="43" t="str">
        <f t="shared" si="103"/>
        <v>03-feb-2024</v>
      </c>
      <c r="V392" s="43">
        <f t="shared" si="104"/>
        <v>45325</v>
      </c>
      <c r="W392" s="44">
        <f t="array" ref="W392">_xlfn.IFS(TRIM(C392)="","",TRIM(V392)="","",TRUE,V392-C392)</f>
        <v>9</v>
      </c>
      <c r="X392" s="37">
        <f t="shared" si="105"/>
        <v>1</v>
      </c>
      <c r="Y392" s="46" t="s">
        <v>172</v>
      </c>
      <c r="Z392" s="37" t="str">
        <f t="shared" si="106"/>
        <v>delayed</v>
      </c>
      <c r="AA392" s="37" t="str">
        <f t="shared" si="107"/>
        <v>Late</v>
      </c>
      <c r="AB392" s="37" t="str">
        <f t="shared" si="110"/>
        <v>1</v>
      </c>
      <c r="AC392" s="37">
        <f t="shared" si="111"/>
        <v>1</v>
      </c>
      <c r="AD392" s="45">
        <f t="shared" si="109"/>
        <v>0.511666666666667</v>
      </c>
      <c r="AE392" s="46">
        <v>1</v>
      </c>
      <c r="AF392" s="46" t="s">
        <v>106</v>
      </c>
      <c r="AG392" s="37" t="str">
        <f t="shared" si="108"/>
        <v>yes</v>
      </c>
      <c r="AH392" s="37" t="str">
        <f t="array" ref="AH392">_xlfn.IFS(LOWER(AG392)="n","no",LOWER(AG392)="y","yes",TRUE,LOWER(AG392))</f>
        <v>yes</v>
      </c>
      <c r="AI392" s="46" t="s">
        <v>4692</v>
      </c>
    </row>
    <row r="393" spans="1:35">
      <c r="A393" s="37" t="s">
        <v>1797</v>
      </c>
      <c r="B393" s="38">
        <v>45429</v>
      </c>
      <c r="C393" s="39">
        <f t="shared" si="96"/>
        <v>45429</v>
      </c>
      <c r="D393" s="40" t="s">
        <v>340</v>
      </c>
      <c r="E393" s="37" t="str" cm="1">
        <f t="array" ref="E393">_xlfn.IFS(D393="delhi","north",D393="mumbai","west",D393="bengaluru","south",D393="chennai","south",D393="kolkata","east",TRUE,"west")</f>
        <v>north</v>
      </c>
      <c r="F393" s="37" t="s">
        <v>352</v>
      </c>
      <c r="G393" s="37" t="str">
        <f t="shared" si="97"/>
        <v>delhivery</v>
      </c>
      <c r="H393" s="37" t="s">
        <v>195</v>
      </c>
      <c r="I393" s="37" t="str">
        <f t="shared" si="98"/>
        <v>road</v>
      </c>
      <c r="J393" s="37" t="s">
        <v>582</v>
      </c>
      <c r="K393" s="37" t="str">
        <f t="shared" si="99"/>
        <v>grocery&amp;fmcg</v>
      </c>
      <c r="L393" s="37" t="s">
        <v>168</v>
      </c>
      <c r="M393" s="37" t="str">
        <f t="shared" si="100"/>
        <v>west</v>
      </c>
      <c r="N393" s="37" t="s">
        <v>278</v>
      </c>
      <c r="O393" s="41" t="str">
        <f t="shared" si="101"/>
        <v>Yes</v>
      </c>
      <c r="P393" s="41">
        <v>5.6</v>
      </c>
      <c r="Q393" s="41">
        <v>248</v>
      </c>
      <c r="R393" s="42">
        <f t="shared" si="102"/>
        <v>44.2857142857143</v>
      </c>
      <c r="S393" s="37">
        <v>8</v>
      </c>
      <c r="T393" s="37" t="s">
        <v>1061</v>
      </c>
      <c r="U393" s="43" t="str">
        <f t="shared" si="103"/>
        <v>24-may-2024</v>
      </c>
      <c r="V393" s="43">
        <f t="shared" si="104"/>
        <v>45436</v>
      </c>
      <c r="W393" s="44">
        <f t="array" ref="W393">_xlfn.IFS(TRIM(C393)="","",TRIM(V393)="","",TRUE,V393-C393)</f>
        <v>7</v>
      </c>
      <c r="X393" s="37">
        <f t="shared" si="105"/>
        <v>-1</v>
      </c>
      <c r="Y393" s="37" t="s">
        <v>117</v>
      </c>
      <c r="Z393" s="37" t="str">
        <f t="shared" si="106"/>
        <v>delivered</v>
      </c>
      <c r="AA393" s="37" t="str">
        <f t="shared" si="107"/>
        <v>On Time</v>
      </c>
      <c r="AB393" s="37" t="str">
        <f t="shared" si="110"/>
        <v>0</v>
      </c>
      <c r="AC393" s="37">
        <f t="shared" si="111"/>
        <v>0</v>
      </c>
      <c r="AD393" s="45">
        <f t="shared" si="109"/>
        <v>0.511259382819016</v>
      </c>
      <c r="AE393" s="37">
        <v>4</v>
      </c>
      <c r="AF393" s="37" t="s">
        <v>79</v>
      </c>
      <c r="AG393" s="37" t="str">
        <f t="shared" si="108"/>
        <v>yes</v>
      </c>
      <c r="AH393" s="37" t="str">
        <f t="array" ref="AH393">_xlfn.IFS(LOWER(AG393)="n","no",LOWER(AG393)="y","yes",TRUE,LOWER(AG393))</f>
        <v>yes</v>
      </c>
      <c r="AI393" s="37" t="s">
        <v>4692</v>
      </c>
    </row>
    <row r="394" spans="1:35">
      <c r="A394" s="46" t="s">
        <v>1800</v>
      </c>
      <c r="B394" s="47">
        <v>45354</v>
      </c>
      <c r="C394" s="39">
        <f t="shared" si="96"/>
        <v>45354</v>
      </c>
      <c r="D394" s="48" t="s">
        <v>109</v>
      </c>
      <c r="E394" s="37" t="str" cm="1">
        <f t="array" ref="E394">_xlfn.IFS(D394="delhi","north",D394="mumbai","west",D394="bengaluru","south",D394="chennai","south",D394="kolkata","east",TRUE,"west")</f>
        <v>west</v>
      </c>
      <c r="F394" s="46" t="s">
        <v>919</v>
      </c>
      <c r="G394" s="37" t="str">
        <f t="shared" si="97"/>
        <v>xpressbees</v>
      </c>
      <c r="H394" s="46" t="s">
        <v>147</v>
      </c>
      <c r="I394" s="37" t="str">
        <f t="shared" si="98"/>
        <v>road</v>
      </c>
      <c r="J394" s="46" t="s">
        <v>271</v>
      </c>
      <c r="K394" s="37" t="str">
        <f t="shared" si="99"/>
        <v>electronics</v>
      </c>
      <c r="L394" s="46" t="s">
        <v>197</v>
      </c>
      <c r="M394" s="37" t="str">
        <f t="shared" si="100"/>
        <v>south</v>
      </c>
      <c r="N394" s="46" t="s">
        <v>327</v>
      </c>
      <c r="O394" s="41" t="str">
        <f t="shared" si="101"/>
        <v>Yes</v>
      </c>
      <c r="P394" s="49">
        <v>14.5</v>
      </c>
      <c r="Q394" s="49" t="s">
        <v>1803</v>
      </c>
      <c r="R394" s="42">
        <f t="shared" si="102"/>
        <v>22.4827586206897</v>
      </c>
      <c r="S394" s="46">
        <v>8</v>
      </c>
      <c r="T394" s="46" t="s">
        <v>1564</v>
      </c>
      <c r="U394" s="43" t="str">
        <f t="shared" si="103"/>
        <v>12-mar-2024</v>
      </c>
      <c r="V394" s="43">
        <f t="shared" si="104"/>
        <v>45363</v>
      </c>
      <c r="W394" s="44">
        <f t="array" ref="W394">_xlfn.IFS(TRIM(C394)="","",TRIM(V394)="","",TRUE,V394-C394)</f>
        <v>9</v>
      </c>
      <c r="X394" s="37">
        <f t="shared" si="105"/>
        <v>1</v>
      </c>
      <c r="Y394" s="46" t="s">
        <v>143</v>
      </c>
      <c r="Z394" s="37" t="str">
        <f t="shared" si="106"/>
        <v>delayed</v>
      </c>
      <c r="AA394" s="37" t="str">
        <f t="shared" si="107"/>
        <v>Late</v>
      </c>
      <c r="AB394" s="37" t="str">
        <f t="shared" si="110"/>
        <v>1</v>
      </c>
      <c r="AC394" s="37">
        <f t="shared" si="111"/>
        <v>1</v>
      </c>
      <c r="AD394" s="45">
        <f t="shared" si="109"/>
        <v>0.511686143572621</v>
      </c>
      <c r="AE394" s="46">
        <v>2</v>
      </c>
      <c r="AF394" s="46" t="s">
        <v>286</v>
      </c>
      <c r="AG394" s="37" t="str">
        <f t="shared" si="108"/>
        <v>yes</v>
      </c>
      <c r="AH394" s="37" t="str">
        <f t="array" ref="AH394">_xlfn.IFS(LOWER(AG394)="n","no",LOWER(AG394)="y","yes",TRUE,LOWER(AG394))</f>
        <v>yes</v>
      </c>
      <c r="AI394" s="46" t="s">
        <v>4692</v>
      </c>
    </row>
    <row r="395" spans="1:35">
      <c r="A395" s="37" t="s">
        <v>1804</v>
      </c>
      <c r="B395" s="38">
        <v>45418</v>
      </c>
      <c r="C395" s="39">
        <f t="shared" si="96"/>
        <v>45418</v>
      </c>
      <c r="D395" s="40" t="s">
        <v>212</v>
      </c>
      <c r="E395" s="37" t="str" cm="1">
        <f t="array" ref="E395">_xlfn.IFS(D395="delhi","north",D395="mumbai","west",D395="bengaluru","south",D395="chennai","south",D395="kolkata","east",TRUE,"west")</f>
        <v>west</v>
      </c>
      <c r="F395" s="37" t="s">
        <v>270</v>
      </c>
      <c r="G395" s="37" t="str">
        <f t="shared" si="97"/>
        <v>ecomexpress</v>
      </c>
      <c r="H395" s="37" t="s">
        <v>42</v>
      </c>
      <c r="I395" s="37" t="str">
        <f t="shared" si="98"/>
        <v>surface</v>
      </c>
      <c r="J395" s="37" t="s">
        <v>47</v>
      </c>
      <c r="K395" s="37" t="str">
        <f t="shared" si="99"/>
        <v>electronics</v>
      </c>
      <c r="L395" s="37" t="s">
        <v>139</v>
      </c>
      <c r="M395" s="37" t="str">
        <f t="shared" si="100"/>
        <v>north</v>
      </c>
      <c r="N395" s="37" t="s">
        <v>113</v>
      </c>
      <c r="O395" s="41" t="str">
        <f t="shared" si="101"/>
        <v>Yes</v>
      </c>
      <c r="P395" s="41">
        <v>3.2</v>
      </c>
      <c r="Q395" s="41">
        <v>235</v>
      </c>
      <c r="R395" s="42">
        <f t="shared" si="102"/>
        <v>73.4375</v>
      </c>
      <c r="S395" s="37">
        <v>6</v>
      </c>
      <c r="T395" s="37" t="s">
        <v>276</v>
      </c>
      <c r="U395" s="43" t="str">
        <f t="shared" si="103"/>
        <v>2024-05-13</v>
      </c>
      <c r="V395" s="43">
        <f t="shared" si="104"/>
        <v>45425</v>
      </c>
      <c r="W395" s="44">
        <f t="array" ref="W395">_xlfn.IFS(TRIM(C395)="","",TRIM(V395)="","",TRUE,V395-C395)</f>
        <v>7</v>
      </c>
      <c r="X395" s="37">
        <f t="shared" si="105"/>
        <v>1</v>
      </c>
      <c r="Y395" s="37" t="s">
        <v>72</v>
      </c>
      <c r="Z395" s="37" t="str">
        <f t="shared" si="106"/>
        <v>delayed</v>
      </c>
      <c r="AA395" s="37" t="str">
        <f t="shared" si="107"/>
        <v>Late</v>
      </c>
      <c r="AB395" s="37" t="str">
        <f t="shared" si="110"/>
        <v>1</v>
      </c>
      <c r="AC395" s="37">
        <f t="shared" si="111"/>
        <v>1</v>
      </c>
      <c r="AD395" s="45">
        <f t="shared" si="109"/>
        <v>0.511278195488722</v>
      </c>
      <c r="AE395" s="37">
        <v>2</v>
      </c>
      <c r="AF395" s="37" t="s">
        <v>106</v>
      </c>
      <c r="AG395" s="37" t="str">
        <f t="shared" si="108"/>
        <v>yes</v>
      </c>
      <c r="AH395" s="37" t="str">
        <f t="array" ref="AH395">_xlfn.IFS(LOWER(AG395)="n","no",LOWER(AG395)="y","yes",TRUE,LOWER(AG395))</f>
        <v>yes</v>
      </c>
      <c r="AI395" s="37" t="s">
        <v>4692</v>
      </c>
    </row>
    <row r="396" spans="1:35">
      <c r="A396" s="46" t="s">
        <v>1806</v>
      </c>
      <c r="B396" s="47">
        <v>45349</v>
      </c>
      <c r="C396" s="39">
        <f t="shared" si="96"/>
        <v>45349</v>
      </c>
      <c r="D396" s="48" t="s">
        <v>212</v>
      </c>
      <c r="E396" s="37" t="str" cm="1">
        <f t="array" ref="E396">_xlfn.IFS(D396="delhi","north",D396="mumbai","west",D396="bengaluru","south",D396="chennai","south",D396="kolkata","east",TRUE,"west")</f>
        <v>west</v>
      </c>
      <c r="F396" s="46" t="s">
        <v>194</v>
      </c>
      <c r="G396" s="37" t="str">
        <f t="shared" si="97"/>
        <v>xpressbees</v>
      </c>
      <c r="H396" s="46" t="s">
        <v>185</v>
      </c>
      <c r="I396" s="37" t="str">
        <f t="shared" si="98"/>
        <v>surface</v>
      </c>
      <c r="J396" s="46" t="s">
        <v>592</v>
      </c>
      <c r="K396" s="37" t="str">
        <f t="shared" si="99"/>
        <v>grocery&amp;fmcg</v>
      </c>
      <c r="L396" s="46" t="s">
        <v>334</v>
      </c>
      <c r="M396" s="37" t="str">
        <f t="shared" si="100"/>
        <v>north</v>
      </c>
      <c r="N396" s="46" t="s">
        <v>113</v>
      </c>
      <c r="O396" s="41" t="str">
        <f t="shared" si="101"/>
        <v>Yes</v>
      </c>
      <c r="P396" s="49">
        <v>11.3</v>
      </c>
      <c r="Q396" s="49" t="s">
        <v>1809</v>
      </c>
      <c r="R396" s="42">
        <f t="shared" si="102"/>
        <v>32.6548672566372</v>
      </c>
      <c r="S396" s="46">
        <v>6</v>
      </c>
      <c r="T396" s="46" t="s">
        <v>359</v>
      </c>
      <c r="U396" s="43" t="str">
        <f t="shared" si="103"/>
        <v>2024-03-05</v>
      </c>
      <c r="V396" s="43">
        <f t="shared" si="104"/>
        <v>45356</v>
      </c>
      <c r="W396" s="44">
        <f t="array" ref="W396">_xlfn.IFS(TRIM(C396)="","",TRIM(V396)="","",TRUE,V396-C396)</f>
        <v>7</v>
      </c>
      <c r="X396" s="37">
        <f t="shared" si="105"/>
        <v>1</v>
      </c>
      <c r="Y396" s="46" t="s">
        <v>817</v>
      </c>
      <c r="Z396" s="37" t="str">
        <f t="shared" si="106"/>
        <v>returned</v>
      </c>
      <c r="AA396" s="37" t="str">
        <f t="shared" si="107"/>
        <v>Late</v>
      </c>
      <c r="AB396" s="37" t="str">
        <f t="shared" si="110"/>
        <v>1</v>
      </c>
      <c r="AC396" s="37">
        <f t="shared" si="111"/>
        <v>1</v>
      </c>
      <c r="AD396" s="45">
        <f t="shared" si="109"/>
        <v>0.510869565217391</v>
      </c>
      <c r="AE396" s="46"/>
      <c r="AF396" s="46" t="s">
        <v>131</v>
      </c>
      <c r="AG396" s="37" t="str">
        <f t="shared" si="108"/>
        <v>n</v>
      </c>
      <c r="AH396" s="37" t="str">
        <f t="array" ref="AH396">_xlfn.IFS(LOWER(AG396)="n","no",LOWER(AG396)="y","yes",TRUE,LOWER(AG396))</f>
        <v>no</v>
      </c>
      <c r="AI396" s="46" t="s">
        <v>1478</v>
      </c>
    </row>
    <row r="397" spans="1:35">
      <c r="A397" s="37" t="s">
        <v>1810</v>
      </c>
      <c r="B397" s="38">
        <v>45471</v>
      </c>
      <c r="C397" s="39">
        <f t="shared" si="96"/>
        <v>45471</v>
      </c>
      <c r="D397" s="40" t="s">
        <v>633</v>
      </c>
      <c r="E397" s="37" t="str" cm="1">
        <f t="array" ref="E397">_xlfn.IFS(D397="delhi","north",D397="mumbai","west",D397="bengaluru","south",D397="chennai","south",D397="kolkata","east",TRUE,"west")</f>
        <v>south</v>
      </c>
      <c r="F397" s="37" t="s">
        <v>223</v>
      </c>
      <c r="G397" s="37" t="str">
        <f t="shared" si="97"/>
        <v>xpressbees</v>
      </c>
      <c r="H397" s="37" t="s">
        <v>440</v>
      </c>
      <c r="I397" s="37" t="str">
        <f t="shared" si="98"/>
        <v>road</v>
      </c>
      <c r="J397" s="37" t="s">
        <v>231</v>
      </c>
      <c r="K397" s="37" t="str">
        <f t="shared" si="99"/>
        <v>furniture</v>
      </c>
      <c r="L397" s="37" t="s">
        <v>197</v>
      </c>
      <c r="M397" s="37" t="str">
        <f t="shared" si="100"/>
        <v>south</v>
      </c>
      <c r="N397" s="37" t="s">
        <v>90</v>
      </c>
      <c r="O397" s="41" t="str">
        <f t="shared" si="101"/>
        <v>Yes</v>
      </c>
      <c r="P397" s="41">
        <v>16.5</v>
      </c>
      <c r="Q397" s="41" t="s">
        <v>1812</v>
      </c>
      <c r="R397" s="42">
        <f t="shared" si="102"/>
        <v>16.4242424242424</v>
      </c>
      <c r="S397" s="37">
        <v>6</v>
      </c>
      <c r="T397" s="37"/>
      <c r="U397" s="43" t="str">
        <f t="shared" si="103"/>
        <v/>
      </c>
      <c r="V397" s="43" t="e">
        <f t="shared" si="104"/>
        <v>#VALUE!</v>
      </c>
      <c r="W397" s="44" t="e">
        <f t="array" ref="W397">_xlfn.IFS(TRIM(C397)="","",TRIM(V397)="","",TRUE,V397-C397)</f>
        <v>#VALUE!</v>
      </c>
      <c r="X397" s="37" t="e">
        <f t="shared" si="105"/>
        <v>#VALUE!</v>
      </c>
      <c r="Y397" s="37" t="s">
        <v>1156</v>
      </c>
      <c r="Z397" s="37" t="str">
        <f t="shared" si="106"/>
        <v>intransit</v>
      </c>
      <c r="AA397" s="37" t="e">
        <f t="shared" si="107"/>
        <v>#VALUE!</v>
      </c>
      <c r="AB397" s="37" t="e">
        <f t="shared" si="110"/>
        <v>#VALUE!</v>
      </c>
      <c r="AC397" s="37" t="e">
        <f t="shared" si="111"/>
        <v>#VALUE!</v>
      </c>
      <c r="AD397" s="45">
        <f t="shared" si="109"/>
        <v>0.510460251046025</v>
      </c>
      <c r="AE397" s="37"/>
      <c r="AF397" s="37" t="s">
        <v>79</v>
      </c>
      <c r="AG397" s="37" t="str">
        <f t="shared" si="108"/>
        <v>yes</v>
      </c>
      <c r="AH397" s="37" t="str">
        <f t="array" ref="AH397">_xlfn.IFS(LOWER(AG397)="n","no",LOWER(AG397)="y","yes",TRUE,LOWER(AG397))</f>
        <v>yes</v>
      </c>
      <c r="AI397" s="37" t="s">
        <v>4692</v>
      </c>
    </row>
    <row r="398" spans="1:35">
      <c r="A398" s="46" t="s">
        <v>1813</v>
      </c>
      <c r="B398" s="47">
        <v>45452</v>
      </c>
      <c r="C398" s="39">
        <f t="shared" si="96"/>
        <v>45452</v>
      </c>
      <c r="D398" s="48" t="s">
        <v>212</v>
      </c>
      <c r="E398" s="37" t="str" cm="1">
        <f t="array" ref="E398">_xlfn.IFS(D398="delhi","north",D398="mumbai","west",D398="bengaluru","south",D398="chennai","south",D398="kolkata","east",TRUE,"west")</f>
        <v>west</v>
      </c>
      <c r="F398" s="46" t="s">
        <v>312</v>
      </c>
      <c r="G398" s="37" t="str">
        <f t="shared" si="97"/>
        <v>bluedart</v>
      </c>
      <c r="H398" s="46" t="s">
        <v>157</v>
      </c>
      <c r="I398" s="37" t="str">
        <f t="shared" si="98"/>
        <v>surface</v>
      </c>
      <c r="J398" s="46" t="s">
        <v>148</v>
      </c>
      <c r="K398" s="37" t="str">
        <f t="shared" si="99"/>
        <v>electronics</v>
      </c>
      <c r="L398" s="46" t="s">
        <v>334</v>
      </c>
      <c r="M398" s="37" t="str">
        <f t="shared" si="100"/>
        <v>north</v>
      </c>
      <c r="N398" s="46" t="s">
        <v>215</v>
      </c>
      <c r="O398" s="41" t="str">
        <f t="shared" si="101"/>
        <v>Yes</v>
      </c>
      <c r="P398" s="49">
        <v>12</v>
      </c>
      <c r="Q398" s="49" t="s">
        <v>1816</v>
      </c>
      <c r="R398" s="42">
        <f t="shared" si="102"/>
        <v>37.8333333333333</v>
      </c>
      <c r="S398" s="46">
        <v>6</v>
      </c>
      <c r="T398" s="46" t="s">
        <v>1707</v>
      </c>
      <c r="U398" s="43" t="str">
        <f t="shared" si="103"/>
        <v>15-jun-2024</v>
      </c>
      <c r="V398" s="43">
        <f t="shared" si="104"/>
        <v>45458</v>
      </c>
      <c r="W398" s="44">
        <f t="array" ref="W398">_xlfn.IFS(TRIM(C398)="","",TRIM(V398)="","",TRUE,V398-C398)</f>
        <v>6</v>
      </c>
      <c r="X398" s="37">
        <f t="shared" si="105"/>
        <v>0</v>
      </c>
      <c r="Y398" s="46" t="s">
        <v>105</v>
      </c>
      <c r="Z398" s="37" t="str">
        <f t="shared" si="106"/>
        <v>delivered</v>
      </c>
      <c r="AA398" s="37" t="str">
        <f t="shared" si="107"/>
        <v>On Time</v>
      </c>
      <c r="AB398" s="37" t="str">
        <f t="shared" si="110"/>
        <v>0</v>
      </c>
      <c r="AC398" s="37">
        <f t="shared" si="111"/>
        <v>0</v>
      </c>
      <c r="AD398" s="45">
        <f t="shared" si="109"/>
        <v>0.510460251046025</v>
      </c>
      <c r="AE398" s="46">
        <v>5</v>
      </c>
      <c r="AF398" s="46" t="s">
        <v>79</v>
      </c>
      <c r="AG398" s="37" t="str">
        <f t="shared" si="108"/>
        <v>yes</v>
      </c>
      <c r="AH398" s="37" t="str">
        <f t="array" ref="AH398">_xlfn.IFS(LOWER(AG398)="n","no",LOWER(AG398)="y","yes",TRUE,LOWER(AG398))</f>
        <v>yes</v>
      </c>
      <c r="AI398" s="46" t="s">
        <v>4692</v>
      </c>
    </row>
    <row r="399" spans="1:35">
      <c r="A399" s="37" t="s">
        <v>1817</v>
      </c>
      <c r="B399" s="38" t="s">
        <v>4761</v>
      </c>
      <c r="C399" s="39">
        <f t="shared" si="96"/>
        <v>45368</v>
      </c>
      <c r="D399" s="40" t="s">
        <v>212</v>
      </c>
      <c r="E399" s="37" t="str" cm="1">
        <f t="array" ref="E399">_xlfn.IFS(D399="delhi","north",D399="mumbai","west",D399="bengaluru","south",D399="chennai","south",D399="kolkata","east",TRUE,"west")</f>
        <v>west</v>
      </c>
      <c r="F399" s="37" t="s">
        <v>37</v>
      </c>
      <c r="G399" s="37" t="str">
        <f t="shared" si="97"/>
        <v>bluedart</v>
      </c>
      <c r="H399" s="37" t="s">
        <v>224</v>
      </c>
      <c r="I399" s="37" t="str">
        <f t="shared" si="98"/>
        <v>air</v>
      </c>
      <c r="J399" s="37" t="s">
        <v>138</v>
      </c>
      <c r="K399" s="37" t="str">
        <f t="shared" si="99"/>
        <v>apparel</v>
      </c>
      <c r="L399" s="37" t="s">
        <v>168</v>
      </c>
      <c r="M399" s="37" t="str">
        <f t="shared" si="100"/>
        <v>west</v>
      </c>
      <c r="N399" s="37" t="s">
        <v>206</v>
      </c>
      <c r="O399" s="41" t="str">
        <f t="shared" si="101"/>
        <v>Yes</v>
      </c>
      <c r="P399" s="41" t="s">
        <v>1818</v>
      </c>
      <c r="Q399" s="41" t="s">
        <v>1534</v>
      </c>
      <c r="R399" s="42">
        <f t="shared" si="102"/>
        <v>38.4090909090909</v>
      </c>
      <c r="S399" s="37">
        <v>2</v>
      </c>
      <c r="T399" s="37" t="s">
        <v>597</v>
      </c>
      <c r="U399" s="43" t="str">
        <f t="shared" si="103"/>
        <v>2024-03-20</v>
      </c>
      <c r="V399" s="43">
        <f t="shared" si="104"/>
        <v>45371</v>
      </c>
      <c r="W399" s="44">
        <f t="array" ref="W399">_xlfn.IFS(TRIM(C399)="","",TRIM(V399)="","",TRUE,V399-C399)</f>
        <v>3</v>
      </c>
      <c r="X399" s="37">
        <f t="shared" si="105"/>
        <v>1</v>
      </c>
      <c r="Y399" s="37" t="s">
        <v>172</v>
      </c>
      <c r="Z399" s="37" t="str">
        <f t="shared" si="106"/>
        <v>delayed</v>
      </c>
      <c r="AA399" s="37" t="str">
        <f t="shared" si="107"/>
        <v>Late</v>
      </c>
      <c r="AB399" s="37" t="str">
        <f t="shared" si="110"/>
        <v>1</v>
      </c>
      <c r="AC399" s="37">
        <f t="shared" si="111"/>
        <v>1</v>
      </c>
      <c r="AD399" s="45">
        <f t="shared" si="109"/>
        <v>0.510887772194305</v>
      </c>
      <c r="AE399" s="37">
        <v>3</v>
      </c>
      <c r="AF399" s="37" t="s">
        <v>131</v>
      </c>
      <c r="AG399" s="37" t="str">
        <f t="shared" si="108"/>
        <v>n</v>
      </c>
      <c r="AH399" s="37" t="str">
        <f t="array" ref="AH399">_xlfn.IFS(LOWER(AG399)="n","no",LOWER(AG399)="y","yes",TRUE,LOWER(AG399))</f>
        <v>no</v>
      </c>
      <c r="AI399" s="37" t="s">
        <v>4692</v>
      </c>
    </row>
    <row r="400" spans="1:35">
      <c r="A400" s="46" t="s">
        <v>1819</v>
      </c>
      <c r="B400" s="47">
        <v>45340</v>
      </c>
      <c r="C400" s="39">
        <f t="shared" si="96"/>
        <v>45340</v>
      </c>
      <c r="D400" s="48" t="s">
        <v>424</v>
      </c>
      <c r="E400" s="37" t="str" cm="1">
        <f t="array" ref="E400">_xlfn.IFS(D400="delhi","north",D400="mumbai","west",D400="bengaluru","south",D400="chennai","south",D400="kolkata","east",TRUE,"west")</f>
        <v>south</v>
      </c>
      <c r="F400" s="46" t="s">
        <v>213</v>
      </c>
      <c r="G400" s="37" t="str">
        <f t="shared" si="97"/>
        <v>dtdc</v>
      </c>
      <c r="H400" s="46" t="s">
        <v>99</v>
      </c>
      <c r="I400" s="37" t="str">
        <f t="shared" si="98"/>
        <v>air</v>
      </c>
      <c r="J400" s="46" t="s">
        <v>353</v>
      </c>
      <c r="K400" s="37" t="str">
        <f t="shared" si="99"/>
        <v>automotiveparts</v>
      </c>
      <c r="L400" s="46" t="s">
        <v>197</v>
      </c>
      <c r="M400" s="37" t="str">
        <f t="shared" si="100"/>
        <v>south</v>
      </c>
      <c r="N400" s="46" t="s">
        <v>327</v>
      </c>
      <c r="O400" s="41" t="str">
        <f t="shared" si="101"/>
        <v>Yes</v>
      </c>
      <c r="P400" s="49">
        <v>34.6</v>
      </c>
      <c r="Q400" s="49" t="s">
        <v>1821</v>
      </c>
      <c r="R400" s="42">
        <f t="shared" si="102"/>
        <v>44.5086705202312</v>
      </c>
      <c r="S400" s="46">
        <v>2</v>
      </c>
      <c r="T400" s="46" t="s">
        <v>1614</v>
      </c>
      <c r="U400" s="43" t="str">
        <f t="shared" si="103"/>
        <v>20/02/2024</v>
      </c>
      <c r="V400" s="43">
        <f t="shared" si="104"/>
        <v>45342</v>
      </c>
      <c r="W400" s="44">
        <f t="array" ref="W400">_xlfn.IFS(TRIM(C400)="","",TRIM(V400)="","",TRUE,V400-C400)</f>
        <v>2</v>
      </c>
      <c r="X400" s="37">
        <f t="shared" si="105"/>
        <v>0</v>
      </c>
      <c r="Y400" s="46" t="s">
        <v>219</v>
      </c>
      <c r="Z400" s="37" t="str">
        <f t="shared" si="106"/>
        <v>delivered</v>
      </c>
      <c r="AA400" s="37" t="str">
        <f t="shared" si="107"/>
        <v>On Time</v>
      </c>
      <c r="AB400" s="37" t="str">
        <f t="shared" si="110"/>
        <v>0</v>
      </c>
      <c r="AC400" s="37">
        <f t="shared" si="111"/>
        <v>0</v>
      </c>
      <c r="AD400" s="45">
        <f t="shared" si="109"/>
        <v>0.510477787091366</v>
      </c>
      <c r="AE400" s="46">
        <v>3</v>
      </c>
      <c r="AF400" s="46" t="s">
        <v>106</v>
      </c>
      <c r="AG400" s="37" t="str">
        <f t="shared" si="108"/>
        <v>yes</v>
      </c>
      <c r="AH400" s="37" t="str">
        <f t="array" ref="AH400">_xlfn.IFS(LOWER(AG400)="n","no",LOWER(AG400)="y","yes",TRUE,LOWER(AG400))</f>
        <v>yes</v>
      </c>
      <c r="AI400" s="46" t="s">
        <v>4692</v>
      </c>
    </row>
    <row r="401" spans="1:35">
      <c r="A401" s="37" t="s">
        <v>1822</v>
      </c>
      <c r="B401" s="38">
        <v>45332</v>
      </c>
      <c r="C401" s="39">
        <f t="shared" si="96"/>
        <v>45332</v>
      </c>
      <c r="D401" s="40" t="s">
        <v>4712</v>
      </c>
      <c r="E401" s="37" t="str" cm="1">
        <f t="array" ref="E401">_xlfn.IFS(D401="delhi","north",D401="mumbai","west",D401="bengaluru","south",D401="chennai","south",D401="kolkata","east",TRUE,"west")</f>
        <v>west</v>
      </c>
      <c r="F401" s="37" t="s">
        <v>37</v>
      </c>
      <c r="G401" s="37" t="str">
        <f t="shared" si="97"/>
        <v>bluedart</v>
      </c>
      <c r="H401" s="37" t="s">
        <v>185</v>
      </c>
      <c r="I401" s="37" t="str">
        <f t="shared" si="98"/>
        <v>surface</v>
      </c>
      <c r="J401" s="37" t="s">
        <v>592</v>
      </c>
      <c r="K401" s="37" t="str">
        <f t="shared" si="99"/>
        <v>grocery&amp;fmcg</v>
      </c>
      <c r="L401" s="37" t="s">
        <v>257</v>
      </c>
      <c r="M401" s="37" t="str">
        <f t="shared" si="100"/>
        <v>west</v>
      </c>
      <c r="N401" s="37" t="s">
        <v>278</v>
      </c>
      <c r="O401" s="41" t="str">
        <f t="shared" si="101"/>
        <v>Yes</v>
      </c>
      <c r="P401" s="41">
        <v>18</v>
      </c>
      <c r="Q401" s="41">
        <v>596</v>
      </c>
      <c r="R401" s="42">
        <f t="shared" si="102"/>
        <v>33.1111111111111</v>
      </c>
      <c r="S401" s="37">
        <v>6</v>
      </c>
      <c r="T401" s="37" t="s">
        <v>1826</v>
      </c>
      <c r="U401" s="43" t="str">
        <f t="shared" si="103"/>
        <v>16/02/2024</v>
      </c>
      <c r="V401" s="43">
        <f t="shared" si="104"/>
        <v>45338</v>
      </c>
      <c r="W401" s="44">
        <f t="array" ref="W401">_xlfn.IFS(TRIM(C401)="","",TRIM(V401)="","",TRUE,V401-C401)</f>
        <v>6</v>
      </c>
      <c r="X401" s="37">
        <f t="shared" si="105"/>
        <v>0</v>
      </c>
      <c r="Y401" s="37" t="s">
        <v>117</v>
      </c>
      <c r="Z401" s="37" t="str">
        <f t="shared" si="106"/>
        <v>delivered</v>
      </c>
      <c r="AA401" s="37" t="str">
        <f t="shared" si="107"/>
        <v>On Time</v>
      </c>
      <c r="AB401" s="37" t="str">
        <f t="shared" si="110"/>
        <v>0</v>
      </c>
      <c r="AC401" s="37">
        <f t="shared" si="111"/>
        <v>0</v>
      </c>
      <c r="AD401" s="45">
        <f t="shared" si="109"/>
        <v>0.510906040268456</v>
      </c>
      <c r="AE401" s="37">
        <v>4</v>
      </c>
      <c r="AF401" s="37" t="s">
        <v>152</v>
      </c>
      <c r="AG401" s="37" t="str">
        <f t="shared" si="108"/>
        <v>no</v>
      </c>
      <c r="AH401" s="37" t="str">
        <f t="array" ref="AH401">_xlfn.IFS(LOWER(AG401)="n","no",LOWER(AG401)="y","yes",TRUE,LOWER(AG401))</f>
        <v>no</v>
      </c>
      <c r="AI401" s="37" t="s">
        <v>4692</v>
      </c>
    </row>
    <row r="402" spans="1:35">
      <c r="A402" s="46" t="s">
        <v>1827</v>
      </c>
      <c r="B402" s="47">
        <v>45440</v>
      </c>
      <c r="C402" s="39">
        <f t="shared" si="96"/>
        <v>45440</v>
      </c>
      <c r="D402" s="48" t="s">
        <v>212</v>
      </c>
      <c r="E402" s="37" t="str" cm="1">
        <f t="array" ref="E402">_xlfn.IFS(D402="delhi","north",D402="mumbai","west",D402="bengaluru","south",D402="chennai","south",D402="kolkata","east",TRUE,"west")</f>
        <v>west</v>
      </c>
      <c r="F402" s="46" t="s">
        <v>175</v>
      </c>
      <c r="G402" s="37" t="str">
        <f t="shared" si="97"/>
        <v>ecomexpress</v>
      </c>
      <c r="H402" s="46" t="s">
        <v>176</v>
      </c>
      <c r="I402" s="37" t="str">
        <f t="shared" si="98"/>
        <v>road</v>
      </c>
      <c r="J402" s="46" t="s">
        <v>326</v>
      </c>
      <c r="K402" s="37" t="str">
        <f t="shared" si="99"/>
        <v>apparel</v>
      </c>
      <c r="L402" s="46" t="s">
        <v>125</v>
      </c>
      <c r="M402" s="37" t="str">
        <f t="shared" si="100"/>
        <v>east</v>
      </c>
      <c r="N402" s="46" t="s">
        <v>396</v>
      </c>
      <c r="O402" s="41" t="str">
        <f t="shared" si="101"/>
        <v>Yes</v>
      </c>
      <c r="P402" s="49" t="s">
        <v>1829</v>
      </c>
      <c r="Q402" s="49">
        <v>290</v>
      </c>
      <c r="R402" s="42">
        <f t="shared" si="102"/>
        <v>50</v>
      </c>
      <c r="S402" s="46">
        <v>8</v>
      </c>
      <c r="T402" s="46" t="s">
        <v>229</v>
      </c>
      <c r="U402" s="43" t="str">
        <f t="shared" si="103"/>
        <v>05/06/2024</v>
      </c>
      <c r="V402" s="43">
        <f t="shared" si="104"/>
        <v>45448</v>
      </c>
      <c r="W402" s="44">
        <f t="array" ref="W402">_xlfn.IFS(TRIM(C402)="","",TRIM(V402)="","",TRUE,V402-C402)</f>
        <v>8</v>
      </c>
      <c r="X402" s="37">
        <f t="shared" si="105"/>
        <v>0</v>
      </c>
      <c r="Y402" s="46" t="s">
        <v>219</v>
      </c>
      <c r="Z402" s="37" t="str">
        <f t="shared" si="106"/>
        <v>delivered</v>
      </c>
      <c r="AA402" s="37" t="str">
        <f t="shared" si="107"/>
        <v>On Time</v>
      </c>
      <c r="AB402" s="37" t="str">
        <f t="shared" si="110"/>
        <v>0</v>
      </c>
      <c r="AC402" s="37">
        <f t="shared" si="111"/>
        <v>0</v>
      </c>
      <c r="AD402" s="45">
        <f t="shared" si="109"/>
        <v>0.511335012594458</v>
      </c>
      <c r="AE402" s="46">
        <v>4</v>
      </c>
      <c r="AF402" s="46" t="s">
        <v>118</v>
      </c>
      <c r="AG402" s="37" t="str">
        <f t="shared" si="108"/>
        <v>no</v>
      </c>
      <c r="AH402" s="37" t="str">
        <f t="array" ref="AH402">_xlfn.IFS(LOWER(AG402)="n","no",LOWER(AG402)="y","yes",TRUE,LOWER(AG402))</f>
        <v>no</v>
      </c>
      <c r="AI402" s="46" t="s">
        <v>4692</v>
      </c>
    </row>
    <row r="403" spans="1:35">
      <c r="A403" s="37" t="s">
        <v>1831</v>
      </c>
      <c r="B403" s="38" t="s">
        <v>4777</v>
      </c>
      <c r="C403" s="39">
        <f t="shared" si="96"/>
        <v>45391</v>
      </c>
      <c r="D403" s="40" t="s">
        <v>243</v>
      </c>
      <c r="E403" s="37" t="str" cm="1">
        <f t="array" ref="E403">_xlfn.IFS(D403="delhi","north",D403="mumbai","west",D403="bengaluru","south",D403="chennai","south",D403="kolkata","east",TRUE,"west")</f>
        <v>west</v>
      </c>
      <c r="F403" s="37" t="s">
        <v>312</v>
      </c>
      <c r="G403" s="37" t="str">
        <f t="shared" si="97"/>
        <v>bluedart</v>
      </c>
      <c r="H403" s="37" t="s">
        <v>137</v>
      </c>
      <c r="I403" s="37" t="str">
        <f t="shared" si="98"/>
        <v>road</v>
      </c>
      <c r="J403" s="37" t="s">
        <v>205</v>
      </c>
      <c r="K403" s="37" t="str">
        <f t="shared" si="99"/>
        <v>furniture</v>
      </c>
      <c r="L403" s="37" t="s">
        <v>168</v>
      </c>
      <c r="M403" s="37" t="str">
        <f t="shared" si="100"/>
        <v>west</v>
      </c>
      <c r="N403" s="37" t="s">
        <v>187</v>
      </c>
      <c r="O403" s="41" t="str">
        <f t="shared" si="101"/>
        <v>Yes</v>
      </c>
      <c r="P403" s="41">
        <v>23.6</v>
      </c>
      <c r="Q403" s="41">
        <v>506</v>
      </c>
      <c r="R403" s="42">
        <f t="shared" si="102"/>
        <v>21.4406779661017</v>
      </c>
      <c r="S403" s="37">
        <v>8</v>
      </c>
      <c r="T403" s="37" t="s">
        <v>1275</v>
      </c>
      <c r="U403" s="43" t="str">
        <f t="shared" si="103"/>
        <v>18/04/2024</v>
      </c>
      <c r="V403" s="43">
        <f t="shared" si="104"/>
        <v>45400</v>
      </c>
      <c r="W403" s="44">
        <f t="array" ref="W403">_xlfn.IFS(TRIM(C403)="","",TRIM(V403)="","",TRUE,V403-C403)</f>
        <v>9</v>
      </c>
      <c r="X403" s="37">
        <f t="shared" si="105"/>
        <v>1</v>
      </c>
      <c r="Y403" s="37" t="s">
        <v>143</v>
      </c>
      <c r="Z403" s="37" t="str">
        <f t="shared" si="106"/>
        <v>delayed</v>
      </c>
      <c r="AA403" s="37" t="str">
        <f t="shared" si="107"/>
        <v>Late</v>
      </c>
      <c r="AB403" s="37" t="str">
        <f t="shared" si="110"/>
        <v>1</v>
      </c>
      <c r="AC403" s="37">
        <f t="shared" si="111"/>
        <v>1</v>
      </c>
      <c r="AD403" s="45">
        <f t="shared" si="109"/>
        <v>0.511764705882353</v>
      </c>
      <c r="AE403" s="37">
        <v>4</v>
      </c>
      <c r="AF403" s="37" t="s">
        <v>181</v>
      </c>
      <c r="AG403" s="37" t="str">
        <f t="shared" si="108"/>
        <v>y</v>
      </c>
      <c r="AH403" s="37" t="str">
        <f t="array" ref="AH403">_xlfn.IFS(LOWER(AG403)="n","no",LOWER(AG403)="y","yes",TRUE,LOWER(AG403))</f>
        <v>yes</v>
      </c>
      <c r="AI403" s="37" t="s">
        <v>4692</v>
      </c>
    </row>
    <row r="404" spans="1:35">
      <c r="A404" s="46" t="s">
        <v>1834</v>
      </c>
      <c r="B404" s="47">
        <v>45389</v>
      </c>
      <c r="C404" s="39">
        <f t="shared" si="96"/>
        <v>45389</v>
      </c>
      <c r="D404" s="48" t="s">
        <v>4704</v>
      </c>
      <c r="E404" s="37" t="str" cm="1">
        <f t="array" ref="E404">_xlfn.IFS(D404="delhi","north",D404="mumbai","west",D404="bengaluru","south",D404="chennai","south",D404="kolkata","east",TRUE,"west")</f>
        <v>west</v>
      </c>
      <c r="F404" s="46" t="s">
        <v>204</v>
      </c>
      <c r="G404" s="37" t="str">
        <f t="shared" si="97"/>
        <v>delhivery</v>
      </c>
      <c r="H404" s="46" t="s">
        <v>244</v>
      </c>
      <c r="I404" s="37" t="str">
        <f t="shared" si="98"/>
        <v>air</v>
      </c>
      <c r="J404" s="46" t="s">
        <v>843</v>
      </c>
      <c r="K404" s="37" t="str">
        <f t="shared" si="99"/>
        <v>automotiveparts</v>
      </c>
      <c r="L404" s="46" t="s">
        <v>470</v>
      </c>
      <c r="M404" s="37" t="str">
        <f t="shared" si="100"/>
        <v>east</v>
      </c>
      <c r="N404" s="46" t="s">
        <v>294</v>
      </c>
      <c r="O404" s="41" t="str">
        <f t="shared" si="101"/>
        <v>Yes</v>
      </c>
      <c r="P404" s="49">
        <v>26.1</v>
      </c>
      <c r="Q404" s="49">
        <v>1149</v>
      </c>
      <c r="R404" s="42">
        <f t="shared" si="102"/>
        <v>44.0229885057471</v>
      </c>
      <c r="S404" s="46">
        <v>2</v>
      </c>
      <c r="T404" s="46" t="s">
        <v>643</v>
      </c>
      <c r="U404" s="43" t="str">
        <f t="shared" si="103"/>
        <v>08/04/2024</v>
      </c>
      <c r="V404" s="43">
        <f t="shared" si="104"/>
        <v>45390</v>
      </c>
      <c r="W404" s="44">
        <f t="array" ref="W404">_xlfn.IFS(TRIM(C404)="","",TRIM(V404)="","",TRUE,V404-C404)</f>
        <v>1</v>
      </c>
      <c r="X404" s="37">
        <f t="shared" si="105"/>
        <v>-1</v>
      </c>
      <c r="Y404" s="46" t="s">
        <v>105</v>
      </c>
      <c r="Z404" s="37" t="str">
        <f t="shared" si="106"/>
        <v>delivered</v>
      </c>
      <c r="AA404" s="37" t="str">
        <f t="shared" si="107"/>
        <v>On Time</v>
      </c>
      <c r="AB404" s="37" t="str">
        <f t="shared" si="110"/>
        <v>0</v>
      </c>
      <c r="AC404" s="37">
        <f t="shared" si="111"/>
        <v>0</v>
      </c>
      <c r="AD404" s="45">
        <f t="shared" si="109"/>
        <v>0.511354079058032</v>
      </c>
      <c r="AE404" s="46">
        <v>5</v>
      </c>
      <c r="AF404" s="46" t="s">
        <v>131</v>
      </c>
      <c r="AG404" s="37" t="str">
        <f t="shared" si="108"/>
        <v>n</v>
      </c>
      <c r="AH404" s="37" t="str">
        <f t="array" ref="AH404">_xlfn.IFS(LOWER(AG404)="n","no",LOWER(AG404)="y","yes",TRUE,LOWER(AG404))</f>
        <v>no</v>
      </c>
      <c r="AI404" s="46" t="s">
        <v>4692</v>
      </c>
    </row>
    <row r="405" spans="1:35">
      <c r="A405" s="37" t="s">
        <v>1837</v>
      </c>
      <c r="B405" s="38" t="s">
        <v>4778</v>
      </c>
      <c r="C405" s="39">
        <f t="shared" si="96"/>
        <v>45362</v>
      </c>
      <c r="D405" s="40" t="s">
        <v>424</v>
      </c>
      <c r="E405" s="37" t="str" cm="1">
        <f t="array" ref="E405">_xlfn.IFS(D405="delhi","north",D405="mumbai","west",D405="bengaluru","south",D405="chennai","south",D405="kolkata","east",TRUE,"west")</f>
        <v>south</v>
      </c>
      <c r="F405" s="37" t="s">
        <v>230</v>
      </c>
      <c r="G405" s="37" t="str">
        <f t="shared" si="97"/>
        <v>dtdc</v>
      </c>
      <c r="H405" s="37" t="s">
        <v>244</v>
      </c>
      <c r="I405" s="37" t="str">
        <f t="shared" si="98"/>
        <v>air</v>
      </c>
      <c r="J405" s="37" t="s">
        <v>458</v>
      </c>
      <c r="K405" s="37" t="str">
        <f t="shared" si="99"/>
        <v>electronics</v>
      </c>
      <c r="L405" s="37" t="s">
        <v>197</v>
      </c>
      <c r="M405" s="37" t="str">
        <f t="shared" si="100"/>
        <v>south</v>
      </c>
      <c r="N405" s="37" t="s">
        <v>90</v>
      </c>
      <c r="O405" s="41" t="str">
        <f t="shared" si="101"/>
        <v>Yes</v>
      </c>
      <c r="P405" s="41">
        <v>10.2</v>
      </c>
      <c r="Q405" s="41">
        <v>484</v>
      </c>
      <c r="R405" s="42">
        <f t="shared" si="102"/>
        <v>47.4509803921569</v>
      </c>
      <c r="S405" s="37">
        <v>2</v>
      </c>
      <c r="T405" s="37" t="s">
        <v>658</v>
      </c>
      <c r="U405" s="43" t="str">
        <f t="shared" si="103"/>
        <v>13/03/2024</v>
      </c>
      <c r="V405" s="43">
        <f t="shared" si="104"/>
        <v>45364</v>
      </c>
      <c r="W405" s="44">
        <f t="array" ref="W405">_xlfn.IFS(TRIM(C405)="","",TRIM(V405)="","",TRUE,V405-C405)</f>
        <v>2</v>
      </c>
      <c r="X405" s="37">
        <f t="shared" si="105"/>
        <v>0</v>
      </c>
      <c r="Y405" s="37" t="s">
        <v>163</v>
      </c>
      <c r="Z405" s="37" t="str">
        <f t="shared" si="106"/>
        <v>delivered</v>
      </c>
      <c r="AA405" s="37" t="str">
        <f t="shared" si="107"/>
        <v>On Time</v>
      </c>
      <c r="AB405" s="37" t="str">
        <f t="shared" si="110"/>
        <v>0</v>
      </c>
      <c r="AC405" s="37">
        <f t="shared" si="111"/>
        <v>0</v>
      </c>
      <c r="AD405" s="45">
        <f t="shared" si="109"/>
        <v>0.511784511784512</v>
      </c>
      <c r="AE405" s="37">
        <v>3</v>
      </c>
      <c r="AF405" s="37" t="s">
        <v>191</v>
      </c>
      <c r="AG405" s="37" t="str">
        <f t="shared" si="108"/>
        <v>no</v>
      </c>
      <c r="AH405" s="37" t="str">
        <f t="array" ref="AH405">_xlfn.IFS(LOWER(AG405)="n","no",LOWER(AG405)="y","yes",TRUE,LOWER(AG405))</f>
        <v>no</v>
      </c>
      <c r="AI405" s="37" t="s">
        <v>4692</v>
      </c>
    </row>
    <row r="406" spans="1:35">
      <c r="A406" s="46" t="s">
        <v>1841</v>
      </c>
      <c r="B406" s="47">
        <v>45364</v>
      </c>
      <c r="C406" s="39">
        <f t="shared" si="96"/>
        <v>45364</v>
      </c>
      <c r="D406" s="48" t="s">
        <v>633</v>
      </c>
      <c r="E406" s="37" t="str" cm="1">
        <f t="array" ref="E406">_xlfn.IFS(D406="delhi","north",D406="mumbai","west",D406="bengaluru","south",D406="chennai","south",D406="kolkata","east",TRUE,"west")</f>
        <v>south</v>
      </c>
      <c r="F406" s="46" t="s">
        <v>312</v>
      </c>
      <c r="G406" s="37" t="str">
        <f t="shared" si="97"/>
        <v>bluedart</v>
      </c>
      <c r="H406" s="46" t="s">
        <v>345</v>
      </c>
      <c r="I406" s="37" t="str">
        <f t="shared" si="98"/>
        <v>surface</v>
      </c>
      <c r="J406" s="46" t="s">
        <v>458</v>
      </c>
      <c r="K406" s="37" t="str">
        <f t="shared" si="99"/>
        <v>electronics</v>
      </c>
      <c r="L406" s="46" t="s">
        <v>139</v>
      </c>
      <c r="M406" s="37" t="str">
        <f t="shared" si="100"/>
        <v>north</v>
      </c>
      <c r="N406" s="46" t="s">
        <v>32</v>
      </c>
      <c r="O406" s="41" t="str">
        <f t="shared" si="101"/>
        <v>Yes</v>
      </c>
      <c r="P406" s="49"/>
      <c r="Q406" s="49">
        <v>282</v>
      </c>
      <c r="R406" s="42" t="str">
        <f t="shared" si="102"/>
        <v/>
      </c>
      <c r="S406" s="46">
        <v>6</v>
      </c>
      <c r="T406" s="46" t="s">
        <v>1498</v>
      </c>
      <c r="U406" s="43" t="str">
        <f t="shared" si="103"/>
        <v>19/03/2024</v>
      </c>
      <c r="V406" s="43">
        <f t="shared" si="104"/>
        <v>45370</v>
      </c>
      <c r="W406" s="44">
        <f t="array" ref="W406">_xlfn.IFS(TRIM(C406)="","",TRIM(V406)="","",TRUE,V406-C406)</f>
        <v>6</v>
      </c>
      <c r="X406" s="37">
        <f t="shared" si="105"/>
        <v>0</v>
      </c>
      <c r="Y406" s="46" t="s">
        <v>105</v>
      </c>
      <c r="Z406" s="37" t="str">
        <f t="shared" si="106"/>
        <v>delivered</v>
      </c>
      <c r="AA406" s="37" t="str">
        <f t="shared" si="107"/>
        <v>On Time</v>
      </c>
      <c r="AB406" s="37" t="str">
        <f t="shared" si="110"/>
        <v>0</v>
      </c>
      <c r="AC406" s="37">
        <f t="shared" si="111"/>
        <v>0</v>
      </c>
      <c r="AD406" s="45">
        <f t="shared" si="109"/>
        <v>0.512215669755687</v>
      </c>
      <c r="AE406" s="46">
        <v>5</v>
      </c>
      <c r="AF406" s="46" t="s">
        <v>118</v>
      </c>
      <c r="AG406" s="37" t="str">
        <f t="shared" si="108"/>
        <v>no</v>
      </c>
      <c r="AH406" s="37" t="str">
        <f t="array" ref="AH406">_xlfn.IFS(LOWER(AG406)="n","no",LOWER(AG406)="y","yes",TRUE,LOWER(AG406))</f>
        <v>no</v>
      </c>
      <c r="AI406" s="46" t="s">
        <v>4692</v>
      </c>
    </row>
    <row r="407" spans="1:35">
      <c r="A407" s="37" t="s">
        <v>1842</v>
      </c>
      <c r="B407" s="38">
        <v>45358</v>
      </c>
      <c r="C407" s="39">
        <f t="shared" si="96"/>
        <v>45358</v>
      </c>
      <c r="D407" s="40" t="s">
        <v>366</v>
      </c>
      <c r="E407" s="37" t="str" cm="1">
        <f t="array" ref="E407">_xlfn.IFS(D407="delhi","north",D407="mumbai","west",D407="bengaluru","south",D407="chennai","south",D407="kolkata","east",TRUE,"west")</f>
        <v>east</v>
      </c>
      <c r="F407" s="37" t="s">
        <v>270</v>
      </c>
      <c r="G407" s="37" t="str">
        <f t="shared" si="97"/>
        <v>ecomexpress</v>
      </c>
      <c r="H407" s="37" t="s">
        <v>99</v>
      </c>
      <c r="I407" s="37" t="str">
        <f t="shared" si="98"/>
        <v>air</v>
      </c>
      <c r="J407" s="37" t="s">
        <v>319</v>
      </c>
      <c r="K407" s="37" t="str">
        <f t="shared" si="99"/>
        <v>electronics</v>
      </c>
      <c r="L407" s="37" t="s">
        <v>380</v>
      </c>
      <c r="M407" s="37" t="str">
        <f t="shared" si="100"/>
        <v>east</v>
      </c>
      <c r="N407" s="37" t="s">
        <v>126</v>
      </c>
      <c r="O407" s="41" t="str">
        <f t="shared" si="101"/>
        <v>Yes</v>
      </c>
      <c r="P407" s="41">
        <v>7</v>
      </c>
      <c r="Q407" s="41">
        <v>358</v>
      </c>
      <c r="R407" s="42">
        <f t="shared" si="102"/>
        <v>51.1428571428571</v>
      </c>
      <c r="S407" s="37">
        <v>2</v>
      </c>
      <c r="T407" s="37" t="s">
        <v>667</v>
      </c>
      <c r="U407" s="43" t="str">
        <f t="shared" si="103"/>
        <v>14/03/2024</v>
      </c>
      <c r="V407" s="43">
        <f t="shared" si="104"/>
        <v>45365</v>
      </c>
      <c r="W407" s="44">
        <f t="array" ref="W407">_xlfn.IFS(TRIM(C407)="","",TRIM(V407)="","",TRUE,V407-C407)</f>
        <v>7</v>
      </c>
      <c r="X407" s="37">
        <f t="shared" si="105"/>
        <v>5</v>
      </c>
      <c r="Y407" s="37" t="s">
        <v>172</v>
      </c>
      <c r="Z407" s="37" t="str">
        <f t="shared" si="106"/>
        <v>delayed</v>
      </c>
      <c r="AA407" s="37" t="str">
        <f t="shared" si="107"/>
        <v>Late</v>
      </c>
      <c r="AB407" s="37" t="str">
        <f t="shared" si="110"/>
        <v>1</v>
      </c>
      <c r="AC407" s="37">
        <f t="shared" si="111"/>
        <v>1</v>
      </c>
      <c r="AD407" s="45">
        <f t="shared" si="109"/>
        <v>0.512647554806071</v>
      </c>
      <c r="AE407" s="37">
        <v>4</v>
      </c>
      <c r="AF407" s="37" t="s">
        <v>118</v>
      </c>
      <c r="AG407" s="37" t="str">
        <f t="shared" si="108"/>
        <v>no</v>
      </c>
      <c r="AH407" s="37" t="str">
        <f t="array" ref="AH407">_xlfn.IFS(LOWER(AG407)="n","no",LOWER(AG407)="y","yes",TRUE,LOWER(AG407))</f>
        <v>no</v>
      </c>
      <c r="AI407" s="37" t="s">
        <v>4692</v>
      </c>
    </row>
    <row r="408" spans="1:35">
      <c r="A408" s="46" t="s">
        <v>1843</v>
      </c>
      <c r="B408" s="47">
        <v>45446</v>
      </c>
      <c r="C408" s="39">
        <f t="shared" si="96"/>
        <v>45446</v>
      </c>
      <c r="D408" s="48" t="s">
        <v>135</v>
      </c>
      <c r="E408" s="37" t="str" cm="1">
        <f t="array" ref="E408">_xlfn.IFS(D408="delhi","north",D408="mumbai","west",D408="bengaluru","south",D408="chennai","south",D408="kolkata","east",TRUE,"west")</f>
        <v>west</v>
      </c>
      <c r="F408" s="46" t="s">
        <v>204</v>
      </c>
      <c r="G408" s="37" t="str">
        <f t="shared" si="97"/>
        <v>delhivery</v>
      </c>
      <c r="H408" s="46" t="s">
        <v>195</v>
      </c>
      <c r="I408" s="37" t="str">
        <f t="shared" si="98"/>
        <v>road</v>
      </c>
      <c r="J408" s="46" t="s">
        <v>664</v>
      </c>
      <c r="K408" s="37" t="str">
        <f t="shared" si="99"/>
        <v>grocery&amp;fmcg</v>
      </c>
      <c r="L408" s="46" t="s">
        <v>101</v>
      </c>
      <c r="M408" s="37" t="str">
        <f t="shared" si="100"/>
        <v>west</v>
      </c>
      <c r="N408" s="46" t="s">
        <v>187</v>
      </c>
      <c r="O408" s="41" t="str">
        <f t="shared" si="101"/>
        <v>Yes</v>
      </c>
      <c r="P408" s="49">
        <v>11.5</v>
      </c>
      <c r="Q408" s="49" t="s">
        <v>1845</v>
      </c>
      <c r="R408" s="42">
        <f t="shared" si="102"/>
        <v>15.0434782608696</v>
      </c>
      <c r="S408" s="46">
        <v>6</v>
      </c>
      <c r="T408" s="46" t="s">
        <v>1582</v>
      </c>
      <c r="U408" s="43" t="str">
        <f t="shared" si="103"/>
        <v>2024-06-09</v>
      </c>
      <c r="V408" s="43">
        <f t="shared" si="104"/>
        <v>45452</v>
      </c>
      <c r="W408" s="44">
        <f t="array" ref="W408">_xlfn.IFS(TRIM(C408)="","",TRIM(V408)="","",TRUE,V408-C408)</f>
        <v>6</v>
      </c>
      <c r="X408" s="37">
        <f t="shared" si="105"/>
        <v>0</v>
      </c>
      <c r="Y408" s="46" t="s">
        <v>105</v>
      </c>
      <c r="Z408" s="37" t="str">
        <f t="shared" si="106"/>
        <v>delivered</v>
      </c>
      <c r="AA408" s="37" t="str">
        <f t="shared" si="107"/>
        <v>On Time</v>
      </c>
      <c r="AB408" s="37" t="str">
        <f t="shared" si="110"/>
        <v>0</v>
      </c>
      <c r="AC408" s="37">
        <f t="shared" si="111"/>
        <v>0</v>
      </c>
      <c r="AD408" s="45">
        <f t="shared" si="109"/>
        <v>0.512236286919831</v>
      </c>
      <c r="AE408" s="46">
        <v>4</v>
      </c>
      <c r="AF408" s="46" t="s">
        <v>286</v>
      </c>
      <c r="AG408" s="37" t="str">
        <f t="shared" si="108"/>
        <v>yes</v>
      </c>
      <c r="AH408" s="37" t="str">
        <f t="array" ref="AH408">_xlfn.IFS(LOWER(AG408)="n","no",LOWER(AG408)="y","yes",TRUE,LOWER(AG408))</f>
        <v>yes</v>
      </c>
      <c r="AI408" s="46" t="s">
        <v>4692</v>
      </c>
    </row>
    <row r="409" spans="1:35">
      <c r="A409" s="37" t="s">
        <v>1846</v>
      </c>
      <c r="B409" s="38">
        <v>45308</v>
      </c>
      <c r="C409" s="39">
        <f t="shared" si="96"/>
        <v>45308</v>
      </c>
      <c r="D409" s="40" t="s">
        <v>4705</v>
      </c>
      <c r="E409" s="37" t="str" cm="1">
        <f t="array" ref="E409">_xlfn.IFS(D409="delhi","north",D409="mumbai","west",D409="bengaluru","south",D409="chennai","south",D409="kolkata","east",TRUE,"west")</f>
        <v>west</v>
      </c>
      <c r="F409" s="37" t="s">
        <v>544</v>
      </c>
      <c r="G409" s="37" t="str">
        <f t="shared" si="97"/>
        <v>bluedart</v>
      </c>
      <c r="H409" s="37" t="s">
        <v>176</v>
      </c>
      <c r="I409" s="37" t="str">
        <f t="shared" si="98"/>
        <v>road</v>
      </c>
      <c r="J409" s="37" t="s">
        <v>353</v>
      </c>
      <c r="K409" s="37" t="str">
        <f t="shared" si="99"/>
        <v>automotiveparts</v>
      </c>
      <c r="L409" s="37" t="s">
        <v>418</v>
      </c>
      <c r="M409" s="37" t="str">
        <f t="shared" si="100"/>
        <v>south</v>
      </c>
      <c r="N409" s="37" t="s">
        <v>327</v>
      </c>
      <c r="O409" s="41" t="str">
        <f t="shared" si="101"/>
        <v>Yes</v>
      </c>
      <c r="P409" s="41">
        <v>27.1</v>
      </c>
      <c r="Q409" s="41" t="s">
        <v>1848</v>
      </c>
      <c r="R409" s="42">
        <f t="shared" si="102"/>
        <v>19.0774907749077</v>
      </c>
      <c r="S409" s="37">
        <v>8</v>
      </c>
      <c r="T409" s="37" t="s">
        <v>1317</v>
      </c>
      <c r="U409" s="43" t="str">
        <f t="shared" si="103"/>
        <v>25/01/2024</v>
      </c>
      <c r="V409" s="43">
        <f t="shared" si="104"/>
        <v>45316</v>
      </c>
      <c r="W409" s="44">
        <f t="array" ref="W409">_xlfn.IFS(TRIM(C409)="","",TRIM(V409)="","",TRUE,V409-C409)</f>
        <v>8</v>
      </c>
      <c r="X409" s="37">
        <f t="shared" si="105"/>
        <v>0</v>
      </c>
      <c r="Y409" s="37" t="s">
        <v>219</v>
      </c>
      <c r="Z409" s="37" t="str">
        <f t="shared" si="106"/>
        <v>delivered</v>
      </c>
      <c r="AA409" s="37" t="str">
        <f t="shared" si="107"/>
        <v>On Time</v>
      </c>
      <c r="AB409" s="37" t="str">
        <f t="shared" si="110"/>
        <v>0</v>
      </c>
      <c r="AC409" s="37">
        <f t="shared" si="111"/>
        <v>0</v>
      </c>
      <c r="AD409" s="45">
        <f t="shared" si="109"/>
        <v>0.512668918918919</v>
      </c>
      <c r="AE409" s="37">
        <v>5</v>
      </c>
      <c r="AF409" s="37" t="s">
        <v>191</v>
      </c>
      <c r="AG409" s="37" t="str">
        <f t="shared" si="108"/>
        <v>no</v>
      </c>
      <c r="AH409" s="37" t="str">
        <f t="array" ref="AH409">_xlfn.IFS(LOWER(AG409)="n","no",LOWER(AG409)="y","yes",TRUE,LOWER(AG409))</f>
        <v>no</v>
      </c>
      <c r="AI409" s="37" t="s">
        <v>4692</v>
      </c>
    </row>
    <row r="410" spans="1:35">
      <c r="A410" s="46" t="s">
        <v>1849</v>
      </c>
      <c r="B410" s="47">
        <v>45356</v>
      </c>
      <c r="C410" s="39">
        <f t="shared" si="96"/>
        <v>45356</v>
      </c>
      <c r="D410" s="48" t="s">
        <v>4699</v>
      </c>
      <c r="E410" s="37" t="str" cm="1">
        <f t="array" ref="E410">_xlfn.IFS(D410="delhi","north",D410="mumbai","west",D410="bengaluru","south",D410="chennai","south",D410="kolkata","east",TRUE,"west")</f>
        <v>west</v>
      </c>
      <c r="F410" s="46" t="s">
        <v>544</v>
      </c>
      <c r="G410" s="37" t="str">
        <f t="shared" si="97"/>
        <v>bluedart</v>
      </c>
      <c r="H410" s="46" t="s">
        <v>110</v>
      </c>
      <c r="I410" s="37" t="str">
        <f t="shared" si="98"/>
        <v>surface</v>
      </c>
      <c r="J410" s="46" t="s">
        <v>205</v>
      </c>
      <c r="K410" s="37" t="str">
        <f t="shared" si="99"/>
        <v>furniture</v>
      </c>
      <c r="L410" s="46" t="s">
        <v>125</v>
      </c>
      <c r="M410" s="37" t="str">
        <f t="shared" si="100"/>
        <v>east</v>
      </c>
      <c r="N410" s="46" t="s">
        <v>294</v>
      </c>
      <c r="O410" s="41" t="str">
        <f t="shared" si="101"/>
        <v>Yes</v>
      </c>
      <c r="P410" s="49">
        <v>35</v>
      </c>
      <c r="Q410" s="49" t="s">
        <v>1852</v>
      </c>
      <c r="R410" s="42">
        <f t="shared" si="102"/>
        <v>27.0571428571429</v>
      </c>
      <c r="S410" s="46">
        <v>6</v>
      </c>
      <c r="T410" s="46" t="s">
        <v>1838</v>
      </c>
      <c r="U410" s="43" t="str">
        <f t="shared" si="103"/>
        <v>11/03/2024</v>
      </c>
      <c r="V410" s="43">
        <f t="shared" si="104"/>
        <v>45362</v>
      </c>
      <c r="W410" s="44">
        <f t="array" ref="W410">_xlfn.IFS(TRIM(C410)="","",TRIM(V410)="","",TRUE,V410-C410)</f>
        <v>6</v>
      </c>
      <c r="X410" s="37">
        <f t="shared" si="105"/>
        <v>0</v>
      </c>
      <c r="Y410" s="46" t="s">
        <v>105</v>
      </c>
      <c r="Z410" s="37" t="str">
        <f t="shared" si="106"/>
        <v>delivered</v>
      </c>
      <c r="AA410" s="37" t="str">
        <f t="shared" si="107"/>
        <v>On Time</v>
      </c>
      <c r="AB410" s="37" t="str">
        <f t="shared" si="110"/>
        <v>0</v>
      </c>
      <c r="AC410" s="37">
        <f t="shared" si="111"/>
        <v>0</v>
      </c>
      <c r="AD410" s="45">
        <f t="shared" si="109"/>
        <v>0.513102282333052</v>
      </c>
      <c r="AE410" s="46">
        <v>5</v>
      </c>
      <c r="AF410" s="46" t="s">
        <v>118</v>
      </c>
      <c r="AG410" s="37" t="str">
        <f t="shared" si="108"/>
        <v>no</v>
      </c>
      <c r="AH410" s="37" t="str">
        <f t="array" ref="AH410">_xlfn.IFS(LOWER(AG410)="n","no",LOWER(AG410)="y","yes",TRUE,LOWER(AG410))</f>
        <v>no</v>
      </c>
      <c r="AI410" s="46" t="s">
        <v>4692</v>
      </c>
    </row>
    <row r="411" spans="1:35">
      <c r="A411" s="37" t="s">
        <v>1853</v>
      </c>
      <c r="B411" s="38">
        <v>45313</v>
      </c>
      <c r="C411" s="39">
        <f t="shared" si="96"/>
        <v>45313</v>
      </c>
      <c r="D411" s="40" t="s">
        <v>166</v>
      </c>
      <c r="E411" s="37" t="str" cm="1">
        <f t="array" ref="E411">_xlfn.IFS(D411="delhi","north",D411="mumbai","west",D411="bengaluru","south",D411="chennai","south",D411="kolkata","east",TRUE,"west")</f>
        <v>west</v>
      </c>
      <c r="F411" s="37" t="s">
        <v>175</v>
      </c>
      <c r="G411" s="37" t="str">
        <f t="shared" si="97"/>
        <v>ecomexpress</v>
      </c>
      <c r="H411" s="37" t="s">
        <v>42</v>
      </c>
      <c r="I411" s="37" t="str">
        <f t="shared" si="98"/>
        <v>surface</v>
      </c>
      <c r="J411" s="37" t="s">
        <v>664</v>
      </c>
      <c r="K411" s="37" t="str">
        <f t="shared" si="99"/>
        <v>grocery&amp;fmcg</v>
      </c>
      <c r="L411" s="37" t="s">
        <v>87</v>
      </c>
      <c r="M411" s="37" t="str">
        <f t="shared" si="100"/>
        <v>north</v>
      </c>
      <c r="N411" s="37" t="s">
        <v>215</v>
      </c>
      <c r="O411" s="41" t="str">
        <f t="shared" si="101"/>
        <v>Yes</v>
      </c>
      <c r="P411" s="41">
        <v>19.3</v>
      </c>
      <c r="Q411" s="41" t="s">
        <v>1856</v>
      </c>
      <c r="R411" s="42">
        <f t="shared" si="102"/>
        <v>29.740932642487</v>
      </c>
      <c r="S411" s="37">
        <v>6</v>
      </c>
      <c r="T411" s="37" t="s">
        <v>1292</v>
      </c>
      <c r="U411" s="43" t="str">
        <f t="shared" si="103"/>
        <v>2024-01-28</v>
      </c>
      <c r="V411" s="43">
        <f t="shared" si="104"/>
        <v>45319</v>
      </c>
      <c r="W411" s="44">
        <f t="array" ref="W411">_xlfn.IFS(TRIM(C411)="","",TRIM(V411)="","",TRUE,V411-C411)</f>
        <v>6</v>
      </c>
      <c r="X411" s="37">
        <f t="shared" si="105"/>
        <v>0</v>
      </c>
      <c r="Y411" s="37" t="s">
        <v>105</v>
      </c>
      <c r="Z411" s="37" t="str">
        <f t="shared" si="106"/>
        <v>delivered</v>
      </c>
      <c r="AA411" s="37" t="str">
        <f t="shared" si="107"/>
        <v>On Time</v>
      </c>
      <c r="AB411" s="37" t="str">
        <f t="shared" si="110"/>
        <v>0</v>
      </c>
      <c r="AC411" s="37">
        <f t="shared" si="111"/>
        <v>0</v>
      </c>
      <c r="AD411" s="45">
        <f t="shared" si="109"/>
        <v>0.513536379018612</v>
      </c>
      <c r="AE411" s="37">
        <v>5</v>
      </c>
      <c r="AF411" s="37" t="s">
        <v>118</v>
      </c>
      <c r="AG411" s="37" t="str">
        <f t="shared" si="108"/>
        <v>no</v>
      </c>
      <c r="AH411" s="37" t="str">
        <f t="array" ref="AH411">_xlfn.IFS(LOWER(AG411)="n","no",LOWER(AG411)="y","yes",TRUE,LOWER(AG411))</f>
        <v>no</v>
      </c>
      <c r="AI411" s="37" t="s">
        <v>4692</v>
      </c>
    </row>
    <row r="412" spans="1:35">
      <c r="A412" s="46" t="s">
        <v>1857</v>
      </c>
      <c r="B412" s="47">
        <v>45448</v>
      </c>
      <c r="C412" s="39">
        <f t="shared" si="96"/>
        <v>45448</v>
      </c>
      <c r="D412" s="48" t="s">
        <v>633</v>
      </c>
      <c r="E412" s="37" t="str" cm="1">
        <f t="array" ref="E412">_xlfn.IFS(D412="delhi","north",D412="mumbai","west",D412="bengaluru","south",D412="chennai","south",D412="kolkata","east",TRUE,"west")</f>
        <v>south</v>
      </c>
      <c r="F412" s="46" t="s">
        <v>37</v>
      </c>
      <c r="G412" s="37" t="str">
        <f t="shared" si="97"/>
        <v>bluedart</v>
      </c>
      <c r="H412" s="46" t="s">
        <v>176</v>
      </c>
      <c r="I412" s="37" t="str">
        <f t="shared" si="98"/>
        <v>road</v>
      </c>
      <c r="J412" s="46" t="s">
        <v>582</v>
      </c>
      <c r="K412" s="37" t="str">
        <f t="shared" si="99"/>
        <v>grocery&amp;fmcg</v>
      </c>
      <c r="L412" s="46" t="s">
        <v>112</v>
      </c>
      <c r="M412" s="37" t="str">
        <f t="shared" si="100"/>
        <v>north</v>
      </c>
      <c r="N412" s="46" t="s">
        <v>32</v>
      </c>
      <c r="O412" s="41" t="str">
        <f t="shared" si="101"/>
        <v>Yes</v>
      </c>
      <c r="P412" s="49">
        <v>14.4</v>
      </c>
      <c r="Q412" s="49" t="s">
        <v>1859</v>
      </c>
      <c r="R412" s="42">
        <f t="shared" si="102"/>
        <v>26.9444444444444</v>
      </c>
      <c r="S412" s="46">
        <v>8</v>
      </c>
      <c r="T412" s="46" t="s">
        <v>1860</v>
      </c>
      <c r="U412" s="43" t="str">
        <f t="shared" si="103"/>
        <v>12/06/2024</v>
      </c>
      <c r="V412" s="43">
        <f t="shared" si="104"/>
        <v>45455</v>
      </c>
      <c r="W412" s="44">
        <f t="array" ref="W412">_xlfn.IFS(TRIM(C412)="","",TRIM(V412)="","",TRUE,V412-C412)</f>
        <v>7</v>
      </c>
      <c r="X412" s="37">
        <f t="shared" si="105"/>
        <v>-1</v>
      </c>
      <c r="Y412" s="46" t="s">
        <v>817</v>
      </c>
      <c r="Z412" s="37" t="str">
        <f t="shared" si="106"/>
        <v>returned</v>
      </c>
      <c r="AA412" s="37" t="str">
        <f t="shared" si="107"/>
        <v>On Time</v>
      </c>
      <c r="AB412" s="37" t="str">
        <f t="shared" si="110"/>
        <v>0</v>
      </c>
      <c r="AC412" s="37">
        <f t="shared" si="111"/>
        <v>0</v>
      </c>
      <c r="AD412" s="45">
        <f t="shared" si="109"/>
        <v>0.513971210838273</v>
      </c>
      <c r="AE412" s="46"/>
      <c r="AF412" s="46" t="s">
        <v>118</v>
      </c>
      <c r="AG412" s="37" t="str">
        <f t="shared" si="108"/>
        <v>no</v>
      </c>
      <c r="AH412" s="37" t="str">
        <f t="array" ref="AH412">_xlfn.IFS(LOWER(AG412)="n","no",LOWER(AG412)="y","yes",TRUE,LOWER(AG412))</f>
        <v>no</v>
      </c>
      <c r="AI412" s="46" t="s">
        <v>1478</v>
      </c>
    </row>
    <row r="413" spans="1:35">
      <c r="A413" s="37" t="s">
        <v>1861</v>
      </c>
      <c r="B413" s="38" t="s">
        <v>4779</v>
      </c>
      <c r="C413" s="39">
        <f t="shared" si="96"/>
        <v>45336</v>
      </c>
      <c r="D413" s="40" t="s">
        <v>222</v>
      </c>
      <c r="E413" s="37" t="str" cm="1">
        <f t="array" ref="E413">_xlfn.IFS(D413="delhi","north",D413="mumbai","west",D413="bengaluru","south",D413="chennai","south",D413="kolkata","east",TRUE,"west")</f>
        <v>west</v>
      </c>
      <c r="F413" s="37" t="s">
        <v>156</v>
      </c>
      <c r="G413" s="37" t="str">
        <f t="shared" si="97"/>
        <v>xpressbees</v>
      </c>
      <c r="H413" s="37" t="s">
        <v>147</v>
      </c>
      <c r="I413" s="37" t="str">
        <f t="shared" si="98"/>
        <v>road</v>
      </c>
      <c r="J413" s="37" t="s">
        <v>205</v>
      </c>
      <c r="K413" s="37" t="str">
        <f t="shared" si="99"/>
        <v>furniture</v>
      </c>
      <c r="L413" s="37" t="s">
        <v>380</v>
      </c>
      <c r="M413" s="37" t="str">
        <f t="shared" si="100"/>
        <v>east</v>
      </c>
      <c r="N413" s="37" t="s">
        <v>294</v>
      </c>
      <c r="O413" s="41" t="str">
        <f t="shared" si="101"/>
        <v>Yes</v>
      </c>
      <c r="P413" s="41">
        <v>48.1</v>
      </c>
      <c r="Q413" s="41">
        <v>841</v>
      </c>
      <c r="R413" s="42">
        <f t="shared" si="102"/>
        <v>17.4844074844075</v>
      </c>
      <c r="S413" s="37">
        <v>8</v>
      </c>
      <c r="T413" s="37" t="s">
        <v>1864</v>
      </c>
      <c r="U413" s="43" t="str">
        <f t="shared" si="103"/>
        <v>21/02/2024</v>
      </c>
      <c r="V413" s="43">
        <f t="shared" si="104"/>
        <v>45343</v>
      </c>
      <c r="W413" s="44">
        <f t="array" ref="W413">_xlfn.IFS(TRIM(C413)="","",TRIM(V413)="","",TRUE,V413-C413)</f>
        <v>7</v>
      </c>
      <c r="X413" s="37">
        <f t="shared" si="105"/>
        <v>-1</v>
      </c>
      <c r="Y413" s="37" t="s">
        <v>219</v>
      </c>
      <c r="Z413" s="37" t="str">
        <f t="shared" si="106"/>
        <v>delivered</v>
      </c>
      <c r="AA413" s="37" t="str">
        <f t="shared" si="107"/>
        <v>On Time</v>
      </c>
      <c r="AB413" s="37" t="str">
        <f t="shared" si="110"/>
        <v>0</v>
      </c>
      <c r="AC413" s="37">
        <f t="shared" si="111"/>
        <v>0</v>
      </c>
      <c r="AD413" s="45">
        <f t="shared" si="109"/>
        <v>0.514406779661017</v>
      </c>
      <c r="AE413" s="37">
        <v>4</v>
      </c>
      <c r="AF413" s="37" t="s">
        <v>286</v>
      </c>
      <c r="AG413" s="37" t="str">
        <f t="shared" si="108"/>
        <v>yes</v>
      </c>
      <c r="AH413" s="37" t="str">
        <f t="array" ref="AH413">_xlfn.IFS(LOWER(AG413)="n","no",LOWER(AG413)="y","yes",TRUE,LOWER(AG413))</f>
        <v>yes</v>
      </c>
      <c r="AI413" s="37" t="s">
        <v>4692</v>
      </c>
    </row>
    <row r="414" spans="1:35">
      <c r="A414" s="46" t="s">
        <v>1865</v>
      </c>
      <c r="B414" s="47" t="s">
        <v>4702</v>
      </c>
      <c r="C414" s="39">
        <f t="shared" si="96"/>
        <v>45393</v>
      </c>
      <c r="D414" s="48" t="s">
        <v>366</v>
      </c>
      <c r="E414" s="37" t="str" cm="1">
        <f t="array" ref="E414">_xlfn.IFS(D414="delhi","north",D414="mumbai","west",D414="bengaluru","south",D414="chennai","south",D414="kolkata","east",TRUE,"west")</f>
        <v>east</v>
      </c>
      <c r="F414" s="46" t="s">
        <v>184</v>
      </c>
      <c r="G414" s="37" t="str">
        <f t="shared" si="97"/>
        <v>ecomexpress</v>
      </c>
      <c r="H414" s="46" t="s">
        <v>224</v>
      </c>
      <c r="I414" s="37" t="str">
        <f t="shared" si="98"/>
        <v>air</v>
      </c>
      <c r="J414" s="46" t="s">
        <v>167</v>
      </c>
      <c r="K414" s="37" t="str">
        <f t="shared" si="99"/>
        <v>pharma</v>
      </c>
      <c r="L414" s="46" t="s">
        <v>418</v>
      </c>
      <c r="M414" s="37" t="str">
        <f t="shared" si="100"/>
        <v>south</v>
      </c>
      <c r="N414" s="46" t="s">
        <v>327</v>
      </c>
      <c r="O414" s="41" t="str">
        <f t="shared" si="101"/>
        <v>Yes</v>
      </c>
      <c r="P414" s="49" t="s">
        <v>1866</v>
      </c>
      <c r="Q414" s="49" t="s">
        <v>1867</v>
      </c>
      <c r="R414" s="42">
        <f t="shared" si="102"/>
        <v>179</v>
      </c>
      <c r="S414" s="46">
        <v>4</v>
      </c>
      <c r="T414" s="46" t="s">
        <v>1074</v>
      </c>
      <c r="U414" s="43" t="str">
        <f t="shared" si="103"/>
        <v>2024-04-18</v>
      </c>
      <c r="V414" s="43">
        <f t="shared" si="104"/>
        <v>45400</v>
      </c>
      <c r="W414" s="44">
        <f t="array" ref="W414">_xlfn.IFS(TRIM(C414)="","",TRIM(V414)="","",TRUE,V414-C414)</f>
        <v>7</v>
      </c>
      <c r="X414" s="37">
        <f t="shared" si="105"/>
        <v>3</v>
      </c>
      <c r="Y414" s="46" t="s">
        <v>72</v>
      </c>
      <c r="Z414" s="37" t="str">
        <f t="shared" si="106"/>
        <v>delayed</v>
      </c>
      <c r="AA414" s="37" t="str">
        <f t="shared" si="107"/>
        <v>Late</v>
      </c>
      <c r="AB414" s="37" t="str">
        <f t="shared" si="110"/>
        <v>1</v>
      </c>
      <c r="AC414" s="37">
        <f t="shared" si="111"/>
        <v>1</v>
      </c>
      <c r="AD414" s="45">
        <f t="shared" si="109"/>
        <v>0.514843087362171</v>
      </c>
      <c r="AE414" s="46">
        <v>4</v>
      </c>
      <c r="AF414" s="46" t="s">
        <v>79</v>
      </c>
      <c r="AG414" s="37" t="str">
        <f t="shared" si="108"/>
        <v>yes</v>
      </c>
      <c r="AH414" s="37" t="str">
        <f t="array" ref="AH414">_xlfn.IFS(LOWER(AG414)="n","no",LOWER(AG414)="y","yes",TRUE,LOWER(AG414))</f>
        <v>yes</v>
      </c>
      <c r="AI414" s="46" t="s">
        <v>4692</v>
      </c>
    </row>
    <row r="415" spans="1:35">
      <c r="A415" s="37" t="s">
        <v>1868</v>
      </c>
      <c r="B415" s="38">
        <v>45357</v>
      </c>
      <c r="C415" s="39">
        <f t="shared" si="96"/>
        <v>45357</v>
      </c>
      <c r="D415" s="40" t="s">
        <v>212</v>
      </c>
      <c r="E415" s="37" t="str" cm="1">
        <f t="array" ref="E415">_xlfn.IFS(D415="delhi","north",D415="mumbai","west",D415="bengaluru","south",D415="chennai","south",D415="kolkata","east",TRUE,"west")</f>
        <v>west</v>
      </c>
      <c r="F415" s="37" t="s">
        <v>333</v>
      </c>
      <c r="G415" s="37" t="str">
        <f t="shared" si="97"/>
        <v>delhivery</v>
      </c>
      <c r="H415" s="37" t="s">
        <v>147</v>
      </c>
      <c r="I415" s="37" t="str">
        <f t="shared" si="98"/>
        <v>road</v>
      </c>
      <c r="J415" s="37" t="s">
        <v>231</v>
      </c>
      <c r="K415" s="37" t="str">
        <f t="shared" si="99"/>
        <v>furniture</v>
      </c>
      <c r="L415" s="37" t="s">
        <v>264</v>
      </c>
      <c r="M415" s="37" t="str">
        <f t="shared" si="100"/>
        <v>west</v>
      </c>
      <c r="N415" s="37" t="s">
        <v>206</v>
      </c>
      <c r="O415" s="41" t="str">
        <f t="shared" si="101"/>
        <v>Yes</v>
      </c>
      <c r="P415" s="41">
        <v>28.4</v>
      </c>
      <c r="Q415" s="41">
        <v>456</v>
      </c>
      <c r="R415" s="42">
        <f t="shared" si="102"/>
        <v>16.056338028169</v>
      </c>
      <c r="S415" s="37">
        <v>6</v>
      </c>
      <c r="T415" s="37" t="s">
        <v>913</v>
      </c>
      <c r="U415" s="43" t="str">
        <f t="shared" si="103"/>
        <v>11/03/2024</v>
      </c>
      <c r="V415" s="43">
        <f t="shared" si="104"/>
        <v>45362</v>
      </c>
      <c r="W415" s="44">
        <f t="array" ref="W415">_xlfn.IFS(TRIM(C415)="","",TRIM(V415)="","",TRUE,V415-C415)</f>
        <v>5</v>
      </c>
      <c r="X415" s="37">
        <f t="shared" si="105"/>
        <v>-1</v>
      </c>
      <c r="Y415" s="37" t="s">
        <v>163</v>
      </c>
      <c r="Z415" s="37" t="str">
        <f t="shared" si="106"/>
        <v>delivered</v>
      </c>
      <c r="AA415" s="37" t="str">
        <f t="shared" si="107"/>
        <v>On Time</v>
      </c>
      <c r="AB415" s="37" t="str">
        <f t="shared" si="110"/>
        <v>0</v>
      </c>
      <c r="AC415" s="37">
        <f t="shared" si="111"/>
        <v>0</v>
      </c>
      <c r="AD415" s="45">
        <f t="shared" si="109"/>
        <v>0.514431239388795</v>
      </c>
      <c r="AE415" s="37">
        <v>5</v>
      </c>
      <c r="AF415" s="37" t="s">
        <v>131</v>
      </c>
      <c r="AG415" s="37" t="str">
        <f t="shared" si="108"/>
        <v>n</v>
      </c>
      <c r="AH415" s="37" t="str">
        <f t="array" ref="AH415">_xlfn.IFS(LOWER(AG415)="n","no",LOWER(AG415)="y","yes",TRUE,LOWER(AG415))</f>
        <v>no</v>
      </c>
      <c r="AI415" s="37" t="s">
        <v>4692</v>
      </c>
    </row>
    <row r="416" spans="1:35">
      <c r="A416" s="46" t="s">
        <v>1871</v>
      </c>
      <c r="B416" s="47">
        <v>45454</v>
      </c>
      <c r="C416" s="39">
        <f t="shared" si="96"/>
        <v>45454</v>
      </c>
      <c r="D416" s="48" t="s">
        <v>424</v>
      </c>
      <c r="E416" s="37" t="str" cm="1">
        <f t="array" ref="E416">_xlfn.IFS(D416="delhi","north",D416="mumbai","west",D416="bengaluru","south",D416="chennai","south",D416="kolkata","east",TRUE,"west")</f>
        <v>south</v>
      </c>
      <c r="F416" s="46" t="s">
        <v>544</v>
      </c>
      <c r="G416" s="37" t="str">
        <f t="shared" si="97"/>
        <v>bluedart</v>
      </c>
      <c r="H416" s="46" t="s">
        <v>123</v>
      </c>
      <c r="I416" s="37" t="str">
        <f t="shared" si="98"/>
        <v>air</v>
      </c>
      <c r="J416" s="46" t="s">
        <v>458</v>
      </c>
      <c r="K416" s="37" t="str">
        <f t="shared" si="99"/>
        <v>electronics</v>
      </c>
      <c r="L416" s="46" t="s">
        <v>401</v>
      </c>
      <c r="M416" s="37" t="str">
        <f t="shared" si="100"/>
        <v>south</v>
      </c>
      <c r="N416" s="46" t="s">
        <v>90</v>
      </c>
      <c r="O416" s="41" t="str">
        <f t="shared" si="101"/>
        <v>Yes</v>
      </c>
      <c r="P416" s="49" t="s">
        <v>446</v>
      </c>
      <c r="Q416" s="49" t="s">
        <v>1872</v>
      </c>
      <c r="R416" s="42">
        <f t="shared" si="102"/>
        <v>79.3333333333333</v>
      </c>
      <c r="S416" s="46">
        <v>2</v>
      </c>
      <c r="T416" s="46" t="s">
        <v>1483</v>
      </c>
      <c r="U416" s="43" t="str">
        <f t="shared" si="103"/>
        <v>13/06/2024</v>
      </c>
      <c r="V416" s="43">
        <f t="shared" si="104"/>
        <v>45456</v>
      </c>
      <c r="W416" s="44">
        <f t="array" ref="W416">_xlfn.IFS(TRIM(C416)="","",TRIM(V416)="","",TRUE,V416-C416)</f>
        <v>2</v>
      </c>
      <c r="X416" s="37">
        <f t="shared" si="105"/>
        <v>0</v>
      </c>
      <c r="Y416" s="46" t="s">
        <v>117</v>
      </c>
      <c r="Z416" s="37" t="str">
        <f t="shared" si="106"/>
        <v>delivered</v>
      </c>
      <c r="AA416" s="37" t="str">
        <f t="shared" si="107"/>
        <v>On Time</v>
      </c>
      <c r="AB416" s="37" t="str">
        <f t="shared" si="110"/>
        <v>0</v>
      </c>
      <c r="AC416" s="37">
        <f t="shared" si="111"/>
        <v>0</v>
      </c>
      <c r="AD416" s="45">
        <f t="shared" si="109"/>
        <v>0.514868309260833</v>
      </c>
      <c r="AE416" s="46">
        <v>5</v>
      </c>
      <c r="AF416" s="46" t="s">
        <v>131</v>
      </c>
      <c r="AG416" s="37" t="str">
        <f t="shared" si="108"/>
        <v>n</v>
      </c>
      <c r="AH416" s="37" t="str">
        <f t="array" ref="AH416">_xlfn.IFS(LOWER(AG416)="n","no",LOWER(AG416)="y","yes",TRUE,LOWER(AG416))</f>
        <v>no</v>
      </c>
      <c r="AI416" s="46" t="s">
        <v>4692</v>
      </c>
    </row>
    <row r="417" spans="1:35">
      <c r="A417" s="37" t="s">
        <v>1873</v>
      </c>
      <c r="B417" s="38">
        <v>45316</v>
      </c>
      <c r="C417" s="39">
        <f t="shared" si="96"/>
        <v>45316</v>
      </c>
      <c r="D417" s="40" t="s">
        <v>109</v>
      </c>
      <c r="E417" s="37" t="str" cm="1">
        <f t="array" ref="E417">_xlfn.IFS(D417="delhi","north",D417="mumbai","west",D417="bengaluru","south",D417="chennai","south",D417="kolkata","east",TRUE,"west")</f>
        <v>west</v>
      </c>
      <c r="F417" s="37" t="s">
        <v>156</v>
      </c>
      <c r="G417" s="37" t="str">
        <f t="shared" si="97"/>
        <v>xpressbees</v>
      </c>
      <c r="H417" s="37" t="s">
        <v>110</v>
      </c>
      <c r="I417" s="37" t="str">
        <f t="shared" si="98"/>
        <v>surface</v>
      </c>
      <c r="J417" s="37" t="s">
        <v>148</v>
      </c>
      <c r="K417" s="37" t="str">
        <f t="shared" si="99"/>
        <v>electronics</v>
      </c>
      <c r="L417" s="37" t="s">
        <v>159</v>
      </c>
      <c r="M417" s="37" t="str">
        <f t="shared" si="100"/>
        <v>south</v>
      </c>
      <c r="N417" s="37" t="s">
        <v>93</v>
      </c>
      <c r="O417" s="41" t="str">
        <f t="shared" si="101"/>
        <v>Yes</v>
      </c>
      <c r="P417" s="41" t="s">
        <v>1875</v>
      </c>
      <c r="Q417" s="41">
        <v>270</v>
      </c>
      <c r="R417" s="42">
        <f t="shared" si="102"/>
        <v>40.2985074626866</v>
      </c>
      <c r="S417" s="37">
        <v>6</v>
      </c>
      <c r="T417" s="37" t="s">
        <v>211</v>
      </c>
      <c r="U417" s="43" t="str">
        <f t="shared" si="103"/>
        <v>05-feb-2024</v>
      </c>
      <c r="V417" s="43">
        <f t="shared" si="104"/>
        <v>45327</v>
      </c>
      <c r="W417" s="44">
        <f t="array" ref="W417">_xlfn.IFS(TRIM(C417)="","",TRIM(V417)="","",TRUE,V417-C417)</f>
        <v>11</v>
      </c>
      <c r="X417" s="37">
        <f t="shared" si="105"/>
        <v>5</v>
      </c>
      <c r="Y417" s="37" t="s">
        <v>72</v>
      </c>
      <c r="Z417" s="37" t="str">
        <f t="shared" si="106"/>
        <v>delayed</v>
      </c>
      <c r="AA417" s="37" t="str">
        <f t="shared" si="107"/>
        <v>Late</v>
      </c>
      <c r="AB417" s="37" t="str">
        <f t="shared" si="110"/>
        <v>1</v>
      </c>
      <c r="AC417" s="37">
        <f t="shared" si="111"/>
        <v>1</v>
      </c>
      <c r="AD417" s="45">
        <f t="shared" si="109"/>
        <v>0.51530612244898</v>
      </c>
      <c r="AE417" s="37">
        <v>5</v>
      </c>
      <c r="AF417" s="37" t="s">
        <v>118</v>
      </c>
      <c r="AG417" s="37" t="str">
        <f t="shared" si="108"/>
        <v>no</v>
      </c>
      <c r="AH417" s="37" t="str">
        <f t="array" ref="AH417">_xlfn.IFS(LOWER(AG417)="n","no",LOWER(AG417)="y","yes",TRUE,LOWER(AG417))</f>
        <v>no</v>
      </c>
      <c r="AI417" s="37" t="s">
        <v>4692</v>
      </c>
    </row>
    <row r="418" spans="1:35">
      <c r="A418" s="46" t="s">
        <v>1876</v>
      </c>
      <c r="B418" s="47">
        <v>45465</v>
      </c>
      <c r="C418" s="39">
        <f t="shared" si="96"/>
        <v>45465</v>
      </c>
      <c r="D418" s="48" t="s">
        <v>340</v>
      </c>
      <c r="E418" s="37" t="str" cm="1">
        <f t="array" ref="E418">_xlfn.IFS(D418="delhi","north",D418="mumbai","west",D418="bengaluru","south",D418="chennai","south",D418="kolkata","east",TRUE,"west")</f>
        <v>north</v>
      </c>
      <c r="F418" s="46" t="s">
        <v>223</v>
      </c>
      <c r="G418" s="37" t="str">
        <f t="shared" si="97"/>
        <v>xpressbees</v>
      </c>
      <c r="H418" s="46" t="s">
        <v>42</v>
      </c>
      <c r="I418" s="37" t="str">
        <f t="shared" si="98"/>
        <v>surface</v>
      </c>
      <c r="J418" s="46" t="s">
        <v>283</v>
      </c>
      <c r="K418" s="37" t="str">
        <f t="shared" si="99"/>
        <v>pharma</v>
      </c>
      <c r="L418" s="46" t="s">
        <v>168</v>
      </c>
      <c r="M418" s="37" t="str">
        <f t="shared" si="100"/>
        <v>west</v>
      </c>
      <c r="N418" s="46" t="s">
        <v>206</v>
      </c>
      <c r="O418" s="41" t="str">
        <f t="shared" si="101"/>
        <v>Yes</v>
      </c>
      <c r="P418" s="49" t="s">
        <v>1877</v>
      </c>
      <c r="Q418" s="49" t="s">
        <v>1534</v>
      </c>
      <c r="R418" s="42">
        <f t="shared" si="102"/>
        <v>99.4117647058824</v>
      </c>
      <c r="S418" s="46">
        <v>6</v>
      </c>
      <c r="T418" s="46" t="s">
        <v>1659</v>
      </c>
      <c r="U418" s="43" t="str">
        <f t="shared" si="103"/>
        <v>27/06/2024</v>
      </c>
      <c r="V418" s="43">
        <f t="shared" si="104"/>
        <v>45470</v>
      </c>
      <c r="W418" s="44">
        <f t="array" ref="W418">_xlfn.IFS(TRIM(C418)="","",TRIM(V418)="","",TRUE,V418-C418)</f>
        <v>5</v>
      </c>
      <c r="X418" s="37">
        <f t="shared" si="105"/>
        <v>-1</v>
      </c>
      <c r="Y418" s="46" t="s">
        <v>219</v>
      </c>
      <c r="Z418" s="37" t="str">
        <f t="shared" si="106"/>
        <v>delivered</v>
      </c>
      <c r="AA418" s="37" t="str">
        <f t="shared" si="107"/>
        <v>On Time</v>
      </c>
      <c r="AB418" s="37" t="str">
        <f t="shared" si="110"/>
        <v>0</v>
      </c>
      <c r="AC418" s="37">
        <f t="shared" si="111"/>
        <v>0</v>
      </c>
      <c r="AD418" s="45">
        <f t="shared" si="109"/>
        <v>0.514893617021277</v>
      </c>
      <c r="AE418" s="46">
        <v>3</v>
      </c>
      <c r="AF418" s="46" t="s">
        <v>106</v>
      </c>
      <c r="AG418" s="37" t="str">
        <f t="shared" si="108"/>
        <v>yes</v>
      </c>
      <c r="AH418" s="37" t="str">
        <f t="array" ref="AH418">_xlfn.IFS(LOWER(AG418)="n","no",LOWER(AG418)="y","yes",TRUE,LOWER(AG418))</f>
        <v>yes</v>
      </c>
      <c r="AI418" s="46" t="s">
        <v>4692</v>
      </c>
    </row>
    <row r="419" spans="1:35">
      <c r="A419" s="37" t="s">
        <v>1878</v>
      </c>
      <c r="B419" s="38">
        <v>45379</v>
      </c>
      <c r="C419" s="39">
        <f t="shared" si="96"/>
        <v>45379</v>
      </c>
      <c r="D419" s="40" t="s">
        <v>4699</v>
      </c>
      <c r="E419" s="37" t="str" cm="1">
        <f t="array" ref="E419">_xlfn.IFS(D419="delhi","north",D419="mumbai","west",D419="bengaluru","south",D419="chennai","south",D419="kolkata","east",TRUE,"west")</f>
        <v>west</v>
      </c>
      <c r="F419" s="37" t="s">
        <v>919</v>
      </c>
      <c r="G419" s="37" t="str">
        <f t="shared" si="97"/>
        <v>xpressbees</v>
      </c>
      <c r="H419" s="37" t="s">
        <v>110</v>
      </c>
      <c r="I419" s="37" t="str">
        <f t="shared" si="98"/>
        <v>surface</v>
      </c>
      <c r="J419" s="37" t="s">
        <v>237</v>
      </c>
      <c r="K419" s="37" t="str">
        <f t="shared" si="99"/>
        <v>automotiveparts</v>
      </c>
      <c r="L419" s="37" t="s">
        <v>334</v>
      </c>
      <c r="M419" s="37" t="str">
        <f t="shared" si="100"/>
        <v>north</v>
      </c>
      <c r="N419" s="37" t="s">
        <v>215</v>
      </c>
      <c r="O419" s="41" t="str">
        <f t="shared" si="101"/>
        <v>Yes</v>
      </c>
      <c r="P419" s="41">
        <v>31.8</v>
      </c>
      <c r="Q419" s="41" t="s">
        <v>1880</v>
      </c>
      <c r="R419" s="42">
        <f t="shared" si="102"/>
        <v>25.9119496855346</v>
      </c>
      <c r="S419" s="37">
        <v>6</v>
      </c>
      <c r="T419" s="37" t="s">
        <v>1881</v>
      </c>
      <c r="U419" s="43" t="str">
        <f t="shared" si="103"/>
        <v>06/04/2024</v>
      </c>
      <c r="V419" s="43">
        <f t="shared" si="104"/>
        <v>45388</v>
      </c>
      <c r="W419" s="44">
        <f t="array" ref="W419">_xlfn.IFS(TRIM(C419)="","",TRIM(V419)="","",TRUE,V419-C419)</f>
        <v>9</v>
      </c>
      <c r="X419" s="37">
        <f t="shared" si="105"/>
        <v>3</v>
      </c>
      <c r="Y419" s="37" t="s">
        <v>143</v>
      </c>
      <c r="Z419" s="37" t="str">
        <f t="shared" si="106"/>
        <v>delayed</v>
      </c>
      <c r="AA419" s="37" t="str">
        <f t="shared" si="107"/>
        <v>Late</v>
      </c>
      <c r="AB419" s="37" t="str">
        <f t="shared" si="110"/>
        <v>1</v>
      </c>
      <c r="AC419" s="37">
        <f t="shared" si="111"/>
        <v>1</v>
      </c>
      <c r="AD419" s="45">
        <f t="shared" si="109"/>
        <v>0.515332197614991</v>
      </c>
      <c r="AE419" s="37">
        <v>2</v>
      </c>
      <c r="AF419" s="37" t="s">
        <v>106</v>
      </c>
      <c r="AG419" s="37" t="str">
        <f t="shared" si="108"/>
        <v>yes</v>
      </c>
      <c r="AH419" s="37" t="str">
        <f t="array" ref="AH419">_xlfn.IFS(LOWER(AG419)="n","no",LOWER(AG419)="y","yes",TRUE,LOWER(AG419))</f>
        <v>yes</v>
      </c>
      <c r="AI419" s="37" t="s">
        <v>4692</v>
      </c>
    </row>
    <row r="420" spans="1:35">
      <c r="A420" s="46" t="s">
        <v>1882</v>
      </c>
      <c r="B420" s="47">
        <v>45451</v>
      </c>
      <c r="C420" s="39">
        <f t="shared" si="96"/>
        <v>45451</v>
      </c>
      <c r="D420" s="48" t="s">
        <v>243</v>
      </c>
      <c r="E420" s="37" t="str" cm="1">
        <f t="array" ref="E420">_xlfn.IFS(D420="delhi","north",D420="mumbai","west",D420="bengaluru","south",D420="chennai","south",D420="kolkata","east",TRUE,"west")</f>
        <v>west</v>
      </c>
      <c r="F420" s="46" t="s">
        <v>98</v>
      </c>
      <c r="G420" s="37" t="str">
        <f t="shared" si="97"/>
        <v>dtdc</v>
      </c>
      <c r="H420" s="46" t="s">
        <v>185</v>
      </c>
      <c r="I420" s="37" t="str">
        <f t="shared" si="98"/>
        <v>surface</v>
      </c>
      <c r="J420" s="46" t="s">
        <v>158</v>
      </c>
      <c r="K420" s="37" t="str">
        <f t="shared" si="99"/>
        <v>pharma</v>
      </c>
      <c r="L420" s="46" t="s">
        <v>112</v>
      </c>
      <c r="M420" s="37" t="str">
        <f t="shared" si="100"/>
        <v>north</v>
      </c>
      <c r="N420" s="46" t="s">
        <v>113</v>
      </c>
      <c r="O420" s="41" t="str">
        <f t="shared" si="101"/>
        <v>Yes</v>
      </c>
      <c r="P420" s="49" t="s">
        <v>999</v>
      </c>
      <c r="Q420" s="49">
        <v>236</v>
      </c>
      <c r="R420" s="42">
        <f t="shared" si="102"/>
        <v>76.1290322580645</v>
      </c>
      <c r="S420" s="46">
        <v>6</v>
      </c>
      <c r="T420" s="46" t="s">
        <v>1483</v>
      </c>
      <c r="U420" s="43" t="str">
        <f t="shared" si="103"/>
        <v>13/06/2024</v>
      </c>
      <c r="V420" s="43">
        <f t="shared" si="104"/>
        <v>45456</v>
      </c>
      <c r="W420" s="44">
        <f t="array" ref="W420">_xlfn.IFS(TRIM(C420)="","",TRIM(V420)="","",TRUE,V420-C420)</f>
        <v>5</v>
      </c>
      <c r="X420" s="37">
        <f t="shared" si="105"/>
        <v>-1</v>
      </c>
      <c r="Y420" s="46" t="s">
        <v>105</v>
      </c>
      <c r="Z420" s="37" t="str">
        <f t="shared" si="106"/>
        <v>delivered</v>
      </c>
      <c r="AA420" s="37" t="str">
        <f t="shared" si="107"/>
        <v>On Time</v>
      </c>
      <c r="AB420" s="37" t="str">
        <f t="shared" si="110"/>
        <v>0</v>
      </c>
      <c r="AC420" s="37">
        <f t="shared" si="111"/>
        <v>0</v>
      </c>
      <c r="AD420" s="45">
        <f t="shared" si="109"/>
        <v>0.514919011082694</v>
      </c>
      <c r="AE420" s="46">
        <v>4</v>
      </c>
      <c r="AF420" s="46" t="s">
        <v>131</v>
      </c>
      <c r="AG420" s="37" t="str">
        <f t="shared" si="108"/>
        <v>n</v>
      </c>
      <c r="AH420" s="37" t="str">
        <f t="array" ref="AH420">_xlfn.IFS(LOWER(AG420)="n","no",LOWER(AG420)="y","yes",TRUE,LOWER(AG420))</f>
        <v>no</v>
      </c>
      <c r="AI420" s="46" t="s">
        <v>4692</v>
      </c>
    </row>
    <row r="421" spans="1:35">
      <c r="A421" s="37" t="s">
        <v>1883</v>
      </c>
      <c r="B421" s="38">
        <v>45299</v>
      </c>
      <c r="C421" s="39">
        <f t="shared" si="96"/>
        <v>45299</v>
      </c>
      <c r="D421" s="40" t="s">
        <v>243</v>
      </c>
      <c r="E421" s="37" t="str" cm="1">
        <f t="array" ref="E421">_xlfn.IFS(D421="delhi","north",D421="mumbai","west",D421="bengaluru","south",D421="chennai","south",D421="kolkata","east",TRUE,"west")</f>
        <v>west</v>
      </c>
      <c r="F421" s="37" t="s">
        <v>122</v>
      </c>
      <c r="G421" s="37" t="str">
        <f t="shared" si="97"/>
        <v>delhivery</v>
      </c>
      <c r="H421" s="37" t="s">
        <v>244</v>
      </c>
      <c r="I421" s="37" t="str">
        <f t="shared" si="98"/>
        <v>air</v>
      </c>
      <c r="J421" s="37" t="s">
        <v>237</v>
      </c>
      <c r="K421" s="37" t="str">
        <f t="shared" si="99"/>
        <v>automotiveparts</v>
      </c>
      <c r="L421" s="37" t="s">
        <v>125</v>
      </c>
      <c r="M421" s="37" t="str">
        <f t="shared" si="100"/>
        <v>east</v>
      </c>
      <c r="N421" s="37" t="s">
        <v>396</v>
      </c>
      <c r="O421" s="41" t="str">
        <f t="shared" si="101"/>
        <v>Yes</v>
      </c>
      <c r="P421" s="41">
        <v>14.9</v>
      </c>
      <c r="Q421" s="41">
        <v>847</v>
      </c>
      <c r="R421" s="42">
        <f t="shared" si="102"/>
        <v>56.8456375838926</v>
      </c>
      <c r="S421" s="37">
        <v>4</v>
      </c>
      <c r="T421" s="37" t="s">
        <v>774</v>
      </c>
      <c r="U421" s="43" t="str">
        <f t="shared" si="103"/>
        <v>13/01/2024</v>
      </c>
      <c r="V421" s="43">
        <f t="shared" si="104"/>
        <v>45304</v>
      </c>
      <c r="W421" s="44">
        <f t="array" ref="W421">_xlfn.IFS(TRIM(C421)="","",TRIM(V421)="","",TRUE,V421-C421)</f>
        <v>5</v>
      </c>
      <c r="X421" s="37">
        <f t="shared" si="105"/>
        <v>1</v>
      </c>
      <c r="Y421" s="37" t="s">
        <v>200</v>
      </c>
      <c r="Z421" s="37" t="str">
        <f t="shared" si="106"/>
        <v>delayed</v>
      </c>
      <c r="AA421" s="37" t="str">
        <f t="shared" si="107"/>
        <v>Late</v>
      </c>
      <c r="AB421" s="37" t="str">
        <f t="shared" si="110"/>
        <v>1</v>
      </c>
      <c r="AC421" s="37">
        <f t="shared" si="111"/>
        <v>1</v>
      </c>
      <c r="AD421" s="45">
        <f t="shared" si="109"/>
        <v>0.515358361774744</v>
      </c>
      <c r="AE421" s="37">
        <v>5</v>
      </c>
      <c r="AF421" s="37" t="s">
        <v>118</v>
      </c>
      <c r="AG421" s="37" t="str">
        <f t="shared" si="108"/>
        <v>no</v>
      </c>
      <c r="AH421" s="37" t="str">
        <f t="array" ref="AH421">_xlfn.IFS(LOWER(AG421)="n","no",LOWER(AG421)="y","yes",TRUE,LOWER(AG421))</f>
        <v>no</v>
      </c>
      <c r="AI421" s="37" t="s">
        <v>4692</v>
      </c>
    </row>
    <row r="422" spans="1:35">
      <c r="A422" s="46" t="s">
        <v>1885</v>
      </c>
      <c r="B422" s="47">
        <v>45368</v>
      </c>
      <c r="C422" s="39">
        <f t="shared" si="96"/>
        <v>45368</v>
      </c>
      <c r="D422" s="48" t="s">
        <v>121</v>
      </c>
      <c r="E422" s="37" t="str" cm="1">
        <f t="array" ref="E422">_xlfn.IFS(D422="delhi","north",D422="mumbai","west",D422="bengaluru","south",D422="chennai","south",D422="kolkata","east",TRUE,"west")</f>
        <v>west</v>
      </c>
      <c r="F422" s="46" t="s">
        <v>352</v>
      </c>
      <c r="G422" s="37" t="str">
        <f t="shared" si="97"/>
        <v>delhivery</v>
      </c>
      <c r="H422" s="46" t="s">
        <v>224</v>
      </c>
      <c r="I422" s="37" t="str">
        <f t="shared" si="98"/>
        <v>air</v>
      </c>
      <c r="J422" s="46" t="s">
        <v>1014</v>
      </c>
      <c r="K422" s="37" t="str">
        <f t="shared" si="99"/>
        <v>pharma</v>
      </c>
      <c r="L422" s="46" t="s">
        <v>197</v>
      </c>
      <c r="M422" s="37" t="str">
        <f t="shared" si="100"/>
        <v>south</v>
      </c>
      <c r="N422" s="46" t="s">
        <v>90</v>
      </c>
      <c r="O422" s="41" t="str">
        <f t="shared" si="101"/>
        <v>Yes</v>
      </c>
      <c r="P422" s="49">
        <v>4</v>
      </c>
      <c r="Q422" s="49">
        <v>350</v>
      </c>
      <c r="R422" s="42">
        <f t="shared" si="102"/>
        <v>87.5</v>
      </c>
      <c r="S422" s="46">
        <v>4</v>
      </c>
      <c r="T422" s="46" t="s">
        <v>1169</v>
      </c>
      <c r="U422" s="43" t="str">
        <f t="shared" si="103"/>
        <v>27-mar-2024</v>
      </c>
      <c r="V422" s="43">
        <f t="shared" si="104"/>
        <v>45378</v>
      </c>
      <c r="W422" s="44">
        <f t="array" ref="W422">_xlfn.IFS(TRIM(C422)="","",TRIM(V422)="","",TRUE,V422-C422)</f>
        <v>10</v>
      </c>
      <c r="X422" s="37">
        <f t="shared" si="105"/>
        <v>6</v>
      </c>
      <c r="Y422" s="46" t="s">
        <v>172</v>
      </c>
      <c r="Z422" s="37" t="str">
        <f t="shared" si="106"/>
        <v>delayed</v>
      </c>
      <c r="AA422" s="37" t="str">
        <f t="shared" si="107"/>
        <v>Late</v>
      </c>
      <c r="AB422" s="37" t="str">
        <f t="shared" si="110"/>
        <v>1</v>
      </c>
      <c r="AC422" s="37">
        <f t="shared" si="111"/>
        <v>1</v>
      </c>
      <c r="AD422" s="45">
        <f t="shared" si="109"/>
        <v>0.514944491887276</v>
      </c>
      <c r="AE422" s="46">
        <v>2</v>
      </c>
      <c r="AF422" s="46" t="s">
        <v>191</v>
      </c>
      <c r="AG422" s="37" t="str">
        <f t="shared" si="108"/>
        <v>no</v>
      </c>
      <c r="AH422" s="37" t="str">
        <f t="array" ref="AH422">_xlfn.IFS(LOWER(AG422)="n","no",LOWER(AG422)="y","yes",TRUE,LOWER(AG422))</f>
        <v>no</v>
      </c>
      <c r="AI422" s="46" t="s">
        <v>4692</v>
      </c>
    </row>
    <row r="423" spans="1:35">
      <c r="A423" s="37" t="s">
        <v>1887</v>
      </c>
      <c r="B423" s="38">
        <v>45354</v>
      </c>
      <c r="C423" s="39">
        <f t="shared" si="96"/>
        <v>45354</v>
      </c>
      <c r="D423" s="40" t="s">
        <v>424</v>
      </c>
      <c r="E423" s="37" t="str" cm="1">
        <f t="array" ref="E423">_xlfn.IFS(D423="delhi","north",D423="mumbai","west",D423="bengaluru","south",D423="chennai","south",D423="kolkata","east",TRUE,"west")</f>
        <v>south</v>
      </c>
      <c r="F423" s="37" t="s">
        <v>98</v>
      </c>
      <c r="G423" s="37" t="str">
        <f t="shared" si="97"/>
        <v>dtdc</v>
      </c>
      <c r="H423" s="37" t="s">
        <v>123</v>
      </c>
      <c r="I423" s="37" t="str">
        <f t="shared" si="98"/>
        <v>air</v>
      </c>
      <c r="J423" s="37" t="s">
        <v>245</v>
      </c>
      <c r="K423" s="37" t="str">
        <f t="shared" si="99"/>
        <v>electronics</v>
      </c>
      <c r="L423" s="37" t="s">
        <v>89</v>
      </c>
      <c r="M423" s="37" t="str">
        <f t="shared" si="100"/>
        <v>west</v>
      </c>
      <c r="N423" s="37" t="s">
        <v>278</v>
      </c>
      <c r="O423" s="41" t="str">
        <f t="shared" si="101"/>
        <v>Yes</v>
      </c>
      <c r="P423" s="41"/>
      <c r="Q423" s="41" t="s">
        <v>1888</v>
      </c>
      <c r="R423" s="42" t="str">
        <f t="shared" si="102"/>
        <v/>
      </c>
      <c r="S423" s="37">
        <v>4</v>
      </c>
      <c r="T423" s="37" t="s">
        <v>959</v>
      </c>
      <c r="U423" s="43" t="str">
        <f t="shared" si="103"/>
        <v>2024-03-15</v>
      </c>
      <c r="V423" s="43">
        <f t="shared" si="104"/>
        <v>45366</v>
      </c>
      <c r="W423" s="44">
        <f t="array" ref="W423">_xlfn.IFS(TRIM(C423)="","",TRIM(V423)="","",TRUE,V423-C423)</f>
        <v>12</v>
      </c>
      <c r="X423" s="37">
        <f t="shared" si="105"/>
        <v>8</v>
      </c>
      <c r="Y423" s="37" t="s">
        <v>817</v>
      </c>
      <c r="Z423" s="37" t="str">
        <f t="shared" si="106"/>
        <v>returned</v>
      </c>
      <c r="AA423" s="37" t="str">
        <f t="shared" si="107"/>
        <v>Late</v>
      </c>
      <c r="AB423" s="37" t="str">
        <f t="shared" si="110"/>
        <v>1</v>
      </c>
      <c r="AC423" s="37">
        <f t="shared" si="111"/>
        <v>1</v>
      </c>
      <c r="AD423" s="45">
        <f t="shared" si="109"/>
        <v>0.514529914529914</v>
      </c>
      <c r="AE423" s="37"/>
      <c r="AF423" s="37" t="s">
        <v>286</v>
      </c>
      <c r="AG423" s="37" t="str">
        <f t="shared" si="108"/>
        <v>yes</v>
      </c>
      <c r="AH423" s="37" t="str">
        <f t="array" ref="AH423">_xlfn.IFS(LOWER(AG423)="n","no",LOWER(AG423)="y","yes",TRUE,LOWER(AG423))</f>
        <v>yes</v>
      </c>
      <c r="AI423" s="37" t="s">
        <v>1478</v>
      </c>
    </row>
    <row r="424" spans="1:35">
      <c r="A424" s="46" t="s">
        <v>1889</v>
      </c>
      <c r="B424" s="47" t="s">
        <v>4780</v>
      </c>
      <c r="C424" s="39">
        <f t="shared" si="96"/>
        <v>45399</v>
      </c>
      <c r="D424" s="48" t="s">
        <v>212</v>
      </c>
      <c r="E424" s="37" t="str" cm="1">
        <f t="array" ref="E424">_xlfn.IFS(D424="delhi","north",D424="mumbai","west",D424="bengaluru","south",D424="chennai","south",D424="kolkata","east",TRUE,"west")</f>
        <v>west</v>
      </c>
      <c r="F424" s="46" t="s">
        <v>230</v>
      </c>
      <c r="G424" s="37" t="str">
        <f t="shared" si="97"/>
        <v>dtdc</v>
      </c>
      <c r="H424" s="46" t="s">
        <v>185</v>
      </c>
      <c r="I424" s="37" t="str">
        <f t="shared" si="98"/>
        <v>surface</v>
      </c>
      <c r="J424" s="46" t="s">
        <v>498</v>
      </c>
      <c r="K424" s="37" t="str">
        <f t="shared" si="99"/>
        <v>apparel</v>
      </c>
      <c r="L424" s="46" t="s">
        <v>125</v>
      </c>
      <c r="M424" s="37" t="str">
        <f t="shared" si="100"/>
        <v>east</v>
      </c>
      <c r="N424" s="46" t="s">
        <v>91</v>
      </c>
      <c r="O424" s="41" t="str">
        <f t="shared" si="101"/>
        <v>Yes</v>
      </c>
      <c r="P424" s="49" t="s">
        <v>328</v>
      </c>
      <c r="Q424" s="49">
        <v>285</v>
      </c>
      <c r="R424" s="42">
        <f t="shared" si="102"/>
        <v>50.8928571428571</v>
      </c>
      <c r="S424" s="46">
        <v>6</v>
      </c>
      <c r="T424" s="46" t="s">
        <v>1892</v>
      </c>
      <c r="U424" s="43" t="str">
        <f t="shared" si="103"/>
        <v>01-may-2024</v>
      </c>
      <c r="V424" s="43">
        <f t="shared" si="104"/>
        <v>45413</v>
      </c>
      <c r="W424" s="44">
        <f t="array" ref="W424">_xlfn.IFS(TRIM(C424)="","",TRIM(V424)="","",TRUE,V424-C424)</f>
        <v>14</v>
      </c>
      <c r="X424" s="37">
        <f t="shared" si="105"/>
        <v>8</v>
      </c>
      <c r="Y424" s="46" t="s">
        <v>200</v>
      </c>
      <c r="Z424" s="37" t="str">
        <f t="shared" si="106"/>
        <v>delayed</v>
      </c>
      <c r="AA424" s="37" t="str">
        <f t="shared" si="107"/>
        <v>Late</v>
      </c>
      <c r="AB424" s="37" t="str">
        <f t="shared" si="110"/>
        <v>1</v>
      </c>
      <c r="AC424" s="37">
        <f t="shared" si="111"/>
        <v>1</v>
      </c>
      <c r="AD424" s="45">
        <f t="shared" si="109"/>
        <v>0.514114627887083</v>
      </c>
      <c r="AE424" s="46">
        <v>1</v>
      </c>
      <c r="AF424" s="46" t="s">
        <v>131</v>
      </c>
      <c r="AG424" s="37" t="str">
        <f t="shared" si="108"/>
        <v>n</v>
      </c>
      <c r="AH424" s="37" t="str">
        <f t="array" ref="AH424">_xlfn.IFS(LOWER(AG424)="n","no",LOWER(AG424)="y","yes",TRUE,LOWER(AG424))</f>
        <v>no</v>
      </c>
      <c r="AI424" s="46" t="s">
        <v>4692</v>
      </c>
    </row>
    <row r="425" spans="1:35">
      <c r="A425" s="37" t="s">
        <v>1893</v>
      </c>
      <c r="B425" s="38">
        <v>45422</v>
      </c>
      <c r="C425" s="39">
        <f t="shared" si="96"/>
        <v>45422</v>
      </c>
      <c r="D425" s="40" t="s">
        <v>4704</v>
      </c>
      <c r="E425" s="37" t="str" cm="1">
        <f t="array" ref="E425">_xlfn.IFS(D425="delhi","north",D425="mumbai","west",D425="bengaluru","south",D425="chennai","south",D425="kolkata","east",TRUE,"west")</f>
        <v>west</v>
      </c>
      <c r="F425" s="37" t="s">
        <v>223</v>
      </c>
      <c r="G425" s="37" t="str">
        <f t="shared" si="97"/>
        <v>xpressbees</v>
      </c>
      <c r="H425" s="37" t="s">
        <v>147</v>
      </c>
      <c r="I425" s="37" t="str">
        <f t="shared" si="98"/>
        <v>road</v>
      </c>
      <c r="J425" s="37" t="s">
        <v>664</v>
      </c>
      <c r="K425" s="37" t="str">
        <f t="shared" si="99"/>
        <v>grocery&amp;fmcg</v>
      </c>
      <c r="L425" s="37" t="s">
        <v>257</v>
      </c>
      <c r="M425" s="37" t="str">
        <f t="shared" si="100"/>
        <v>west</v>
      </c>
      <c r="N425" s="37" t="s">
        <v>88</v>
      </c>
      <c r="O425" s="41" t="str">
        <f t="shared" si="101"/>
        <v>Yes</v>
      </c>
      <c r="P425" s="41">
        <v>5</v>
      </c>
      <c r="Q425" s="41">
        <v>275</v>
      </c>
      <c r="R425" s="42">
        <f t="shared" si="102"/>
        <v>55</v>
      </c>
      <c r="S425" s="37">
        <v>8</v>
      </c>
      <c r="T425" s="37" t="s">
        <v>1895</v>
      </c>
      <c r="U425" s="43" t="str">
        <f t="shared" si="103"/>
        <v>2024-05-17</v>
      </c>
      <c r="V425" s="43">
        <f t="shared" si="104"/>
        <v>45429</v>
      </c>
      <c r="W425" s="44">
        <f t="array" ref="W425">_xlfn.IFS(TRIM(C425)="","",TRIM(V425)="","",TRUE,V425-C425)</f>
        <v>7</v>
      </c>
      <c r="X425" s="37">
        <f t="shared" si="105"/>
        <v>-1</v>
      </c>
      <c r="Y425" s="37" t="s">
        <v>219</v>
      </c>
      <c r="Z425" s="37" t="str">
        <f t="shared" si="106"/>
        <v>delivered</v>
      </c>
      <c r="AA425" s="37" t="str">
        <f t="shared" si="107"/>
        <v>On Time</v>
      </c>
      <c r="AB425" s="37" t="str">
        <f t="shared" si="110"/>
        <v>0</v>
      </c>
      <c r="AC425" s="37">
        <f t="shared" si="111"/>
        <v>0</v>
      </c>
      <c r="AD425" s="45">
        <f t="shared" si="109"/>
        <v>0.513698630136986</v>
      </c>
      <c r="AE425" s="37">
        <v>2</v>
      </c>
      <c r="AF425" s="37" t="s">
        <v>181</v>
      </c>
      <c r="AG425" s="37" t="str">
        <f t="shared" si="108"/>
        <v>y</v>
      </c>
      <c r="AH425" s="37" t="str">
        <f t="array" ref="AH425">_xlfn.IFS(LOWER(AG425)="n","no",LOWER(AG425)="y","yes",TRUE,LOWER(AG425))</f>
        <v>yes</v>
      </c>
      <c r="AI425" s="37" t="s">
        <v>4692</v>
      </c>
    </row>
    <row r="426" spans="1:35">
      <c r="A426" s="46" t="s">
        <v>1896</v>
      </c>
      <c r="B426" s="47">
        <v>45318</v>
      </c>
      <c r="C426" s="39">
        <f t="shared" si="96"/>
        <v>45318</v>
      </c>
      <c r="D426" s="48" t="s">
        <v>366</v>
      </c>
      <c r="E426" s="37" t="str" cm="1">
        <f t="array" ref="E426">_xlfn.IFS(D426="delhi","north",D426="mumbai","west",D426="bengaluru","south",D426="chennai","south",D426="kolkata","east",TRUE,"west")</f>
        <v>east</v>
      </c>
      <c r="F426" s="46" t="s">
        <v>204</v>
      </c>
      <c r="G426" s="37" t="str">
        <f t="shared" si="97"/>
        <v>delhivery</v>
      </c>
      <c r="H426" s="46" t="s">
        <v>147</v>
      </c>
      <c r="I426" s="37" t="str">
        <f t="shared" si="98"/>
        <v>road</v>
      </c>
      <c r="J426" s="46" t="s">
        <v>47</v>
      </c>
      <c r="K426" s="37" t="str">
        <f t="shared" si="99"/>
        <v>electronics</v>
      </c>
      <c r="L426" s="46" t="s">
        <v>92</v>
      </c>
      <c r="M426" s="37" t="str">
        <f t="shared" si="100"/>
        <v>east</v>
      </c>
      <c r="N426" s="46" t="s">
        <v>294</v>
      </c>
      <c r="O426" s="41" t="str">
        <f t="shared" si="101"/>
        <v>Yes</v>
      </c>
      <c r="P426" s="49">
        <v>2.9</v>
      </c>
      <c r="Q426" s="49">
        <v>96</v>
      </c>
      <c r="R426" s="42">
        <f t="shared" si="102"/>
        <v>33.1034482758621</v>
      </c>
      <c r="S426" s="46">
        <v>6</v>
      </c>
      <c r="T426" s="46" t="s">
        <v>332</v>
      </c>
      <c r="U426" s="43" t="str">
        <f t="shared" si="103"/>
        <v>04/02/2024</v>
      </c>
      <c r="V426" s="43">
        <f t="shared" si="104"/>
        <v>45326</v>
      </c>
      <c r="W426" s="44">
        <f t="array" ref="W426">_xlfn.IFS(TRIM(C426)="","",TRIM(V426)="","",TRUE,V426-C426)</f>
        <v>8</v>
      </c>
      <c r="X426" s="37">
        <f t="shared" si="105"/>
        <v>2</v>
      </c>
      <c r="Y426" s="46" t="s">
        <v>172</v>
      </c>
      <c r="Z426" s="37" t="str">
        <f t="shared" si="106"/>
        <v>delayed</v>
      </c>
      <c r="AA426" s="37" t="str">
        <f t="shared" si="107"/>
        <v>Late</v>
      </c>
      <c r="AB426" s="37" t="str">
        <f t="shared" si="110"/>
        <v>1</v>
      </c>
      <c r="AC426" s="37">
        <f t="shared" si="111"/>
        <v>1</v>
      </c>
      <c r="AD426" s="45">
        <f t="shared" si="109"/>
        <v>0.51413881748072</v>
      </c>
      <c r="AE426" s="46">
        <v>5</v>
      </c>
      <c r="AF426" s="46" t="s">
        <v>131</v>
      </c>
      <c r="AG426" s="37" t="str">
        <f t="shared" si="108"/>
        <v>n</v>
      </c>
      <c r="AH426" s="37" t="str">
        <f t="array" ref="AH426">_xlfn.IFS(LOWER(AG426)="n","no",LOWER(AG426)="y","yes",TRUE,LOWER(AG426))</f>
        <v>no</v>
      </c>
      <c r="AI426" s="46" t="s">
        <v>4692</v>
      </c>
    </row>
    <row r="427" spans="1:35">
      <c r="A427" s="37" t="s">
        <v>1900</v>
      </c>
      <c r="B427" s="38">
        <v>45423</v>
      </c>
      <c r="C427" s="39">
        <f t="shared" si="96"/>
        <v>45423</v>
      </c>
      <c r="D427" s="40" t="s">
        <v>212</v>
      </c>
      <c r="E427" s="37" t="str" cm="1">
        <f t="array" ref="E427">_xlfn.IFS(D427="delhi","north",D427="mumbai","west",D427="bengaluru","south",D427="chennai","south",D427="kolkata","east",TRUE,"west")</f>
        <v>west</v>
      </c>
      <c r="F427" s="37" t="s">
        <v>204</v>
      </c>
      <c r="G427" s="37" t="str">
        <f t="shared" si="97"/>
        <v>delhivery</v>
      </c>
      <c r="H427" s="37" t="s">
        <v>176</v>
      </c>
      <c r="I427" s="37" t="str">
        <f t="shared" si="98"/>
        <v>road</v>
      </c>
      <c r="J427" s="37" t="s">
        <v>319</v>
      </c>
      <c r="K427" s="37" t="str">
        <f t="shared" si="99"/>
        <v>electronics</v>
      </c>
      <c r="L427" s="37" t="s">
        <v>112</v>
      </c>
      <c r="M427" s="37" t="str">
        <f t="shared" si="100"/>
        <v>north</v>
      </c>
      <c r="N427" s="37" t="s">
        <v>215</v>
      </c>
      <c r="O427" s="41" t="str">
        <f t="shared" si="101"/>
        <v>Yes</v>
      </c>
      <c r="P427" s="41">
        <v>2.1</v>
      </c>
      <c r="Q427" s="41" t="s">
        <v>1299</v>
      </c>
      <c r="R427" s="42">
        <f t="shared" si="102"/>
        <v>75.7142857142857</v>
      </c>
      <c r="S427" s="37">
        <v>8</v>
      </c>
      <c r="T427" s="37" t="s">
        <v>423</v>
      </c>
      <c r="U427" s="43" t="str">
        <f t="shared" si="103"/>
        <v>20-may-2024</v>
      </c>
      <c r="V427" s="43">
        <f t="shared" si="104"/>
        <v>45432</v>
      </c>
      <c r="W427" s="44">
        <f t="array" ref="W427">_xlfn.IFS(TRIM(C427)="","",TRIM(V427)="","",TRUE,V427-C427)</f>
        <v>9</v>
      </c>
      <c r="X427" s="37">
        <f t="shared" si="105"/>
        <v>1</v>
      </c>
      <c r="Y427" s="37" t="s">
        <v>200</v>
      </c>
      <c r="Z427" s="37" t="str">
        <f t="shared" si="106"/>
        <v>delayed</v>
      </c>
      <c r="AA427" s="37" t="str">
        <f t="shared" si="107"/>
        <v>Late</v>
      </c>
      <c r="AB427" s="37" t="str">
        <f t="shared" si="110"/>
        <v>1</v>
      </c>
      <c r="AC427" s="37">
        <f t="shared" si="111"/>
        <v>1</v>
      </c>
      <c r="AD427" s="45">
        <f t="shared" si="109"/>
        <v>0.513722126929674</v>
      </c>
      <c r="AE427" s="37">
        <v>3</v>
      </c>
      <c r="AF427" s="37" t="s">
        <v>131</v>
      </c>
      <c r="AG427" s="37" t="str">
        <f t="shared" si="108"/>
        <v>n</v>
      </c>
      <c r="AH427" s="37" t="str">
        <f t="array" ref="AH427">_xlfn.IFS(LOWER(AG427)="n","no",LOWER(AG427)="y","yes",TRUE,LOWER(AG427))</f>
        <v>no</v>
      </c>
      <c r="AI427" s="37" t="s">
        <v>4692</v>
      </c>
    </row>
    <row r="428" spans="1:35">
      <c r="A428" s="46" t="s">
        <v>1902</v>
      </c>
      <c r="B428" s="47">
        <v>45446</v>
      </c>
      <c r="C428" s="39">
        <f t="shared" si="96"/>
        <v>45446</v>
      </c>
      <c r="D428" s="48" t="s">
        <v>109</v>
      </c>
      <c r="E428" s="37" t="str" cm="1">
        <f t="array" ref="E428">_xlfn.IFS(D428="delhi","north",D428="mumbai","west",D428="bengaluru","south",D428="chennai","south",D428="kolkata","east",TRUE,"west")</f>
        <v>west</v>
      </c>
      <c r="F428" s="46" t="s">
        <v>146</v>
      </c>
      <c r="G428" s="37" t="str">
        <f t="shared" si="97"/>
        <v>ecomexpress</v>
      </c>
      <c r="H428" s="46" t="s">
        <v>99</v>
      </c>
      <c r="I428" s="37" t="str">
        <f t="shared" si="98"/>
        <v>air</v>
      </c>
      <c r="J428" s="46" t="s">
        <v>271</v>
      </c>
      <c r="K428" s="37" t="str">
        <f t="shared" si="99"/>
        <v>electronics</v>
      </c>
      <c r="L428" s="46" t="s">
        <v>334</v>
      </c>
      <c r="M428" s="37" t="str">
        <f t="shared" si="100"/>
        <v>north</v>
      </c>
      <c r="N428" s="46" t="s">
        <v>113</v>
      </c>
      <c r="O428" s="41" t="str">
        <f t="shared" si="101"/>
        <v>Yes</v>
      </c>
      <c r="P428" s="49">
        <v>8.1</v>
      </c>
      <c r="Q428" s="49" t="s">
        <v>1904</v>
      </c>
      <c r="R428" s="42">
        <f t="shared" si="102"/>
        <v>63.0864197530864</v>
      </c>
      <c r="S428" s="46">
        <v>4</v>
      </c>
      <c r="T428" s="46" t="s">
        <v>1072</v>
      </c>
      <c r="U428" s="43" t="str">
        <f t="shared" si="103"/>
        <v>08/06/2024</v>
      </c>
      <c r="V428" s="43">
        <f t="shared" si="104"/>
        <v>45451</v>
      </c>
      <c r="W428" s="44">
        <f t="array" ref="W428">_xlfn.IFS(TRIM(C428)="","",TRIM(V428)="","",TRUE,V428-C428)</f>
        <v>5</v>
      </c>
      <c r="X428" s="37">
        <f t="shared" si="105"/>
        <v>1</v>
      </c>
      <c r="Y428" s="46" t="s">
        <v>200</v>
      </c>
      <c r="Z428" s="37" t="str">
        <f t="shared" si="106"/>
        <v>delayed</v>
      </c>
      <c r="AA428" s="37" t="str">
        <f t="shared" si="107"/>
        <v>Late</v>
      </c>
      <c r="AB428" s="37" t="str">
        <f t="shared" si="110"/>
        <v>1</v>
      </c>
      <c r="AC428" s="37">
        <f t="shared" si="111"/>
        <v>1</v>
      </c>
      <c r="AD428" s="45">
        <f t="shared" si="109"/>
        <v>0.513304721030043</v>
      </c>
      <c r="AE428" s="46">
        <v>1</v>
      </c>
      <c r="AF428" s="46" t="s">
        <v>181</v>
      </c>
      <c r="AG428" s="37" t="str">
        <f t="shared" si="108"/>
        <v>y</v>
      </c>
      <c r="AH428" s="37" t="str">
        <f t="array" ref="AH428">_xlfn.IFS(LOWER(AG428)="n","no",LOWER(AG428)="y","yes",TRUE,LOWER(AG428))</f>
        <v>yes</v>
      </c>
      <c r="AI428" s="46" t="s">
        <v>4692</v>
      </c>
    </row>
    <row r="429" spans="1:35">
      <c r="A429" s="37" t="s">
        <v>1905</v>
      </c>
      <c r="B429" s="38">
        <v>45364</v>
      </c>
      <c r="C429" s="39">
        <f t="shared" si="96"/>
        <v>45364</v>
      </c>
      <c r="D429" s="40" t="s">
        <v>121</v>
      </c>
      <c r="E429" s="37" t="str" cm="1">
        <f t="array" ref="E429">_xlfn.IFS(D429="delhi","north",D429="mumbai","west",D429="bengaluru","south",D429="chennai","south",D429="kolkata","east",TRUE,"west")</f>
        <v>west</v>
      </c>
      <c r="F429" s="37" t="s">
        <v>184</v>
      </c>
      <c r="G429" s="37" t="str">
        <f t="shared" si="97"/>
        <v>ecomexpress</v>
      </c>
      <c r="H429" s="37" t="s">
        <v>157</v>
      </c>
      <c r="I429" s="37" t="str">
        <f t="shared" si="98"/>
        <v>surface</v>
      </c>
      <c r="J429" s="37" t="s">
        <v>368</v>
      </c>
      <c r="K429" s="37" t="str">
        <f t="shared" si="99"/>
        <v>furniture</v>
      </c>
      <c r="L429" s="37" t="s">
        <v>197</v>
      </c>
      <c r="M429" s="37" t="str">
        <f t="shared" si="100"/>
        <v>south</v>
      </c>
      <c r="N429" s="37" t="s">
        <v>327</v>
      </c>
      <c r="O429" s="41" t="str">
        <f t="shared" si="101"/>
        <v>Yes</v>
      </c>
      <c r="P429" s="41">
        <v>23.8</v>
      </c>
      <c r="Q429" s="41">
        <v>715</v>
      </c>
      <c r="R429" s="42">
        <f t="shared" si="102"/>
        <v>30.0420168067227</v>
      </c>
      <c r="S429" s="37">
        <v>6</v>
      </c>
      <c r="T429" s="37" t="s">
        <v>1908</v>
      </c>
      <c r="U429" s="43" t="str">
        <f t="shared" si="103"/>
        <v>2024-03-27</v>
      </c>
      <c r="V429" s="43">
        <f t="shared" si="104"/>
        <v>45378</v>
      </c>
      <c r="W429" s="44">
        <f t="array" ref="W429">_xlfn.IFS(TRIM(C429)="","",TRIM(V429)="","",TRUE,V429-C429)</f>
        <v>14</v>
      </c>
      <c r="X429" s="37">
        <f t="shared" si="105"/>
        <v>8</v>
      </c>
      <c r="Y429" s="37" t="s">
        <v>172</v>
      </c>
      <c r="Z429" s="37" t="str">
        <f t="shared" si="106"/>
        <v>delayed</v>
      </c>
      <c r="AA429" s="37" t="str">
        <f t="shared" si="107"/>
        <v>Late</v>
      </c>
      <c r="AB429" s="37" t="str">
        <f t="shared" si="110"/>
        <v>1</v>
      </c>
      <c r="AC429" s="37">
        <f t="shared" si="111"/>
        <v>1</v>
      </c>
      <c r="AD429" s="45">
        <f t="shared" si="109"/>
        <v>0.512886597938144</v>
      </c>
      <c r="AE429" s="37">
        <v>3</v>
      </c>
      <c r="AF429" s="37" t="s">
        <v>131</v>
      </c>
      <c r="AG429" s="37" t="str">
        <f t="shared" si="108"/>
        <v>n</v>
      </c>
      <c r="AH429" s="37" t="str">
        <f t="array" ref="AH429">_xlfn.IFS(LOWER(AG429)="n","no",LOWER(AG429)="y","yes",TRUE,LOWER(AG429))</f>
        <v>no</v>
      </c>
      <c r="AI429" s="37" t="s">
        <v>4692</v>
      </c>
    </row>
    <row r="430" spans="1:35">
      <c r="A430" s="46" t="s">
        <v>1909</v>
      </c>
      <c r="B430" s="47">
        <v>45342</v>
      </c>
      <c r="C430" s="39">
        <f t="shared" si="96"/>
        <v>45342</v>
      </c>
      <c r="D430" s="48" t="s">
        <v>166</v>
      </c>
      <c r="E430" s="37" t="str" cm="1">
        <f t="array" ref="E430">_xlfn.IFS(D430="delhi","north",D430="mumbai","west",D430="bengaluru","south",D430="chennai","south",D430="kolkata","east",TRUE,"west")</f>
        <v>west</v>
      </c>
      <c r="F430" s="46" t="s">
        <v>204</v>
      </c>
      <c r="G430" s="37" t="str">
        <f t="shared" si="97"/>
        <v>delhivery</v>
      </c>
      <c r="H430" s="46" t="s">
        <v>440</v>
      </c>
      <c r="I430" s="37" t="str">
        <f t="shared" si="98"/>
        <v>road</v>
      </c>
      <c r="J430" s="46" t="s">
        <v>271</v>
      </c>
      <c r="K430" s="37" t="str">
        <f t="shared" si="99"/>
        <v>electronics</v>
      </c>
      <c r="L430" s="46" t="s">
        <v>302</v>
      </c>
      <c r="M430" s="37" t="str">
        <f t="shared" si="100"/>
        <v>east</v>
      </c>
      <c r="N430" s="46" t="s">
        <v>396</v>
      </c>
      <c r="O430" s="41" t="str">
        <f t="shared" si="101"/>
        <v>Yes</v>
      </c>
      <c r="P430" s="49" t="s">
        <v>1910</v>
      </c>
      <c r="Q430" s="49" t="s">
        <v>1911</v>
      </c>
      <c r="R430" s="42">
        <f t="shared" si="102"/>
        <v>13.6792452830189</v>
      </c>
      <c r="S430" s="46">
        <v>6</v>
      </c>
      <c r="T430" s="46" t="s">
        <v>1010</v>
      </c>
      <c r="U430" s="43" t="str">
        <f t="shared" si="103"/>
        <v>02-mar-2024</v>
      </c>
      <c r="V430" s="43">
        <f t="shared" si="104"/>
        <v>45353</v>
      </c>
      <c r="W430" s="44">
        <f t="array" ref="W430">_xlfn.IFS(TRIM(C430)="","",TRIM(V430)="","",TRUE,V430-C430)</f>
        <v>11</v>
      </c>
      <c r="X430" s="37">
        <f t="shared" si="105"/>
        <v>5</v>
      </c>
      <c r="Y430" s="46" t="s">
        <v>72</v>
      </c>
      <c r="Z430" s="37" t="str">
        <f t="shared" si="106"/>
        <v>delayed</v>
      </c>
      <c r="AA430" s="37" t="str">
        <f t="shared" si="107"/>
        <v>Late</v>
      </c>
      <c r="AB430" s="37" t="str">
        <f t="shared" si="110"/>
        <v>1</v>
      </c>
      <c r="AC430" s="37">
        <f t="shared" si="111"/>
        <v>1</v>
      </c>
      <c r="AD430" s="45">
        <f t="shared" si="109"/>
        <v>0.512467755803955</v>
      </c>
      <c r="AE430" s="46">
        <v>3</v>
      </c>
      <c r="AF430" s="46" t="s">
        <v>131</v>
      </c>
      <c r="AG430" s="37" t="str">
        <f t="shared" si="108"/>
        <v>n</v>
      </c>
      <c r="AH430" s="37" t="str">
        <f t="array" ref="AH430">_xlfn.IFS(LOWER(AG430)="n","no",LOWER(AG430)="y","yes",TRUE,LOWER(AG430))</f>
        <v>no</v>
      </c>
      <c r="AI430" s="46" t="s">
        <v>4692</v>
      </c>
    </row>
    <row r="431" spans="1:35">
      <c r="A431" s="37" t="s">
        <v>1912</v>
      </c>
      <c r="B431" s="38" t="s">
        <v>4743</v>
      </c>
      <c r="C431" s="39">
        <f t="shared" si="96"/>
        <v>45328</v>
      </c>
      <c r="D431" s="40" t="s">
        <v>4699</v>
      </c>
      <c r="E431" s="37" t="str" cm="1">
        <f t="array" ref="E431">_xlfn.IFS(D431="delhi","north",D431="mumbai","west",D431="bengaluru","south",D431="chennai","south",D431="kolkata","east",TRUE,"west")</f>
        <v>west</v>
      </c>
      <c r="F431" s="37" t="s">
        <v>184</v>
      </c>
      <c r="G431" s="37" t="str">
        <f t="shared" si="97"/>
        <v>ecomexpress</v>
      </c>
      <c r="H431" s="37" t="s">
        <v>110</v>
      </c>
      <c r="I431" s="37" t="str">
        <f t="shared" si="98"/>
        <v>surface</v>
      </c>
      <c r="J431" s="37" t="s">
        <v>664</v>
      </c>
      <c r="K431" s="37" t="str">
        <f t="shared" si="99"/>
        <v>grocery&amp;fmcg</v>
      </c>
      <c r="L431" s="37" t="s">
        <v>112</v>
      </c>
      <c r="M431" s="37" t="str">
        <f t="shared" si="100"/>
        <v>north</v>
      </c>
      <c r="N431" s="37" t="s">
        <v>215</v>
      </c>
      <c r="O431" s="41" t="str">
        <f t="shared" si="101"/>
        <v>Yes</v>
      </c>
      <c r="P431" s="41">
        <v>6.1</v>
      </c>
      <c r="Q431" s="41">
        <v>328</v>
      </c>
      <c r="R431" s="42">
        <f t="shared" si="102"/>
        <v>53.7704918032787</v>
      </c>
      <c r="S431" s="37">
        <v>6</v>
      </c>
      <c r="T431" s="37" t="s">
        <v>1914</v>
      </c>
      <c r="U431" s="43" t="str">
        <f t="shared" si="103"/>
        <v>12-feb-2024</v>
      </c>
      <c r="V431" s="43">
        <f t="shared" si="104"/>
        <v>45334</v>
      </c>
      <c r="W431" s="44">
        <f t="array" ref="W431">_xlfn.IFS(TRIM(C431)="","",TRIM(V431)="","",TRUE,V431-C431)</f>
        <v>6</v>
      </c>
      <c r="X431" s="37">
        <f t="shared" si="105"/>
        <v>0</v>
      </c>
      <c r="Y431" s="37" t="s">
        <v>105</v>
      </c>
      <c r="Z431" s="37" t="str">
        <f t="shared" si="106"/>
        <v>delivered</v>
      </c>
      <c r="AA431" s="37" t="str">
        <f t="shared" si="107"/>
        <v>On Time</v>
      </c>
      <c r="AB431" s="37" t="str">
        <f t="shared" si="110"/>
        <v>0</v>
      </c>
      <c r="AC431" s="37">
        <f t="shared" si="111"/>
        <v>0</v>
      </c>
      <c r="AD431" s="45">
        <f t="shared" si="109"/>
        <v>0.512048192771084</v>
      </c>
      <c r="AE431" s="37">
        <v>5</v>
      </c>
      <c r="AF431" s="37" t="s">
        <v>152</v>
      </c>
      <c r="AG431" s="37" t="str">
        <f t="shared" si="108"/>
        <v>no</v>
      </c>
      <c r="AH431" s="37" t="str">
        <f t="array" ref="AH431">_xlfn.IFS(LOWER(AG431)="n","no",LOWER(AG431)="y","yes",TRUE,LOWER(AG431))</f>
        <v>no</v>
      </c>
      <c r="AI431" s="37" t="s">
        <v>4692</v>
      </c>
    </row>
    <row r="432" spans="1:35">
      <c r="A432" s="46" t="s">
        <v>1915</v>
      </c>
      <c r="B432" s="47">
        <v>45456</v>
      </c>
      <c r="C432" s="39">
        <f t="shared" si="96"/>
        <v>45456</v>
      </c>
      <c r="D432" s="48" t="s">
        <v>366</v>
      </c>
      <c r="E432" s="37" t="str" cm="1">
        <f t="array" ref="E432">_xlfn.IFS(D432="delhi","north",D432="mumbai","west",D432="bengaluru","south",D432="chennai","south",D432="kolkata","east",TRUE,"west")</f>
        <v>east</v>
      </c>
      <c r="F432" s="46" t="s">
        <v>204</v>
      </c>
      <c r="G432" s="37" t="str">
        <f t="shared" si="97"/>
        <v>delhivery</v>
      </c>
      <c r="H432" s="46" t="s">
        <v>244</v>
      </c>
      <c r="I432" s="37" t="str">
        <f t="shared" si="98"/>
        <v>air</v>
      </c>
      <c r="J432" s="46" t="s">
        <v>664</v>
      </c>
      <c r="K432" s="37" t="str">
        <f t="shared" si="99"/>
        <v>grocery&amp;fmcg</v>
      </c>
      <c r="L432" s="46" t="s">
        <v>112</v>
      </c>
      <c r="M432" s="37" t="str">
        <f t="shared" si="100"/>
        <v>north</v>
      </c>
      <c r="N432" s="46" t="s">
        <v>113</v>
      </c>
      <c r="O432" s="41" t="str">
        <f t="shared" si="101"/>
        <v>Yes</v>
      </c>
      <c r="P432" s="49">
        <v>11.9</v>
      </c>
      <c r="Q432" s="49">
        <v>719</v>
      </c>
      <c r="R432" s="42">
        <f t="shared" si="102"/>
        <v>60.4201680672269</v>
      </c>
      <c r="S432" s="46">
        <v>4</v>
      </c>
      <c r="T432" s="46" t="s">
        <v>1917</v>
      </c>
      <c r="U432" s="43" t="str">
        <f t="shared" si="103"/>
        <v>2024-06-17</v>
      </c>
      <c r="V432" s="43">
        <f t="shared" si="104"/>
        <v>45460</v>
      </c>
      <c r="W432" s="44">
        <f t="array" ref="W432">_xlfn.IFS(TRIM(C432)="","",TRIM(V432)="","",TRUE,V432-C432)</f>
        <v>4</v>
      </c>
      <c r="X432" s="37">
        <f t="shared" si="105"/>
        <v>0</v>
      </c>
      <c r="Y432" s="46" t="s">
        <v>219</v>
      </c>
      <c r="Z432" s="37" t="str">
        <f t="shared" si="106"/>
        <v>delivered</v>
      </c>
      <c r="AA432" s="37" t="str">
        <f t="shared" si="107"/>
        <v>On Time</v>
      </c>
      <c r="AB432" s="37" t="str">
        <f t="shared" si="110"/>
        <v>0</v>
      </c>
      <c r="AC432" s="37">
        <f t="shared" si="111"/>
        <v>0</v>
      </c>
      <c r="AD432" s="45">
        <f t="shared" si="109"/>
        <v>0.512489233419466</v>
      </c>
      <c r="AE432" s="46">
        <v>5</v>
      </c>
      <c r="AF432" s="46" t="s">
        <v>152</v>
      </c>
      <c r="AG432" s="37" t="str">
        <f t="shared" si="108"/>
        <v>no</v>
      </c>
      <c r="AH432" s="37" t="str">
        <f t="array" ref="AH432">_xlfn.IFS(LOWER(AG432)="n","no",LOWER(AG432)="y","yes",TRUE,LOWER(AG432))</f>
        <v>no</v>
      </c>
      <c r="AI432" s="46" t="s">
        <v>4692</v>
      </c>
    </row>
    <row r="433" spans="1:35">
      <c r="A433" s="37" t="s">
        <v>1918</v>
      </c>
      <c r="B433" s="38">
        <v>45339</v>
      </c>
      <c r="C433" s="39">
        <f t="shared" si="96"/>
        <v>45339</v>
      </c>
      <c r="D433" s="40" t="s">
        <v>300</v>
      </c>
      <c r="E433" s="37" t="str" cm="1">
        <f t="array" ref="E433">_xlfn.IFS(D433="delhi","north",D433="mumbai","west",D433="bengaluru","south",D433="chennai","south",D433="kolkata","east",TRUE,"west")</f>
        <v>west</v>
      </c>
      <c r="F433" s="37" t="s">
        <v>544</v>
      </c>
      <c r="G433" s="37" t="str">
        <f t="shared" si="97"/>
        <v>bluedart</v>
      </c>
      <c r="H433" s="37" t="s">
        <v>195</v>
      </c>
      <c r="I433" s="37" t="str">
        <f t="shared" si="98"/>
        <v>road</v>
      </c>
      <c r="J433" s="37" t="s">
        <v>186</v>
      </c>
      <c r="K433" s="37" t="str">
        <f t="shared" si="99"/>
        <v>automotiveparts</v>
      </c>
      <c r="L433" s="37" t="s">
        <v>168</v>
      </c>
      <c r="M433" s="37" t="str">
        <f t="shared" si="100"/>
        <v>west</v>
      </c>
      <c r="N433" s="37" t="s">
        <v>187</v>
      </c>
      <c r="O433" s="41" t="str">
        <f t="shared" si="101"/>
        <v>Yes</v>
      </c>
      <c r="P433" s="41">
        <v>16.2</v>
      </c>
      <c r="Q433" s="41">
        <v>361</v>
      </c>
      <c r="R433" s="42">
        <f t="shared" si="102"/>
        <v>22.283950617284</v>
      </c>
      <c r="S433" s="37">
        <v>8</v>
      </c>
      <c r="T433" s="37" t="s">
        <v>1921</v>
      </c>
      <c r="U433" s="43" t="str">
        <f t="shared" si="103"/>
        <v>26-feb-2024</v>
      </c>
      <c r="V433" s="43">
        <f t="shared" si="104"/>
        <v>45348</v>
      </c>
      <c r="W433" s="44">
        <f t="array" ref="W433">_xlfn.IFS(TRIM(C433)="","",TRIM(V433)="","",TRUE,V433-C433)</f>
        <v>9</v>
      </c>
      <c r="X433" s="37">
        <f t="shared" si="105"/>
        <v>1</v>
      </c>
      <c r="Y433" s="37" t="s">
        <v>143</v>
      </c>
      <c r="Z433" s="37" t="str">
        <f t="shared" si="106"/>
        <v>delayed</v>
      </c>
      <c r="AA433" s="37" t="str">
        <f t="shared" si="107"/>
        <v>Late</v>
      </c>
      <c r="AB433" s="37" t="str">
        <f t="shared" si="110"/>
        <v>1</v>
      </c>
      <c r="AC433" s="37">
        <f t="shared" si="111"/>
        <v>1</v>
      </c>
      <c r="AD433" s="45">
        <f t="shared" si="109"/>
        <v>0.512931034482759</v>
      </c>
      <c r="AE433" s="37">
        <v>2</v>
      </c>
      <c r="AF433" s="37" t="s">
        <v>106</v>
      </c>
      <c r="AG433" s="37" t="str">
        <f t="shared" si="108"/>
        <v>yes</v>
      </c>
      <c r="AH433" s="37" t="str">
        <f t="array" ref="AH433">_xlfn.IFS(LOWER(AG433)="n","no",LOWER(AG433)="y","yes",TRUE,LOWER(AG433))</f>
        <v>yes</v>
      </c>
      <c r="AI433" s="37" t="s">
        <v>4692</v>
      </c>
    </row>
    <row r="434" spans="1:35">
      <c r="A434" s="46" t="s">
        <v>1922</v>
      </c>
      <c r="B434" s="47">
        <v>45326</v>
      </c>
      <c r="C434" s="39">
        <f t="shared" si="96"/>
        <v>45326</v>
      </c>
      <c r="D434" s="48" t="s">
        <v>633</v>
      </c>
      <c r="E434" s="37" t="str" cm="1">
        <f t="array" ref="E434">_xlfn.IFS(D434="delhi","north",D434="mumbai","west",D434="bengaluru","south",D434="chennai","south",D434="kolkata","east",TRUE,"west")</f>
        <v>south</v>
      </c>
      <c r="F434" s="46" t="s">
        <v>136</v>
      </c>
      <c r="G434" s="37" t="str">
        <f t="shared" si="97"/>
        <v>bluedart</v>
      </c>
      <c r="H434" s="46" t="s">
        <v>176</v>
      </c>
      <c r="I434" s="37" t="str">
        <f t="shared" si="98"/>
        <v>road</v>
      </c>
      <c r="J434" s="46" t="s">
        <v>47</v>
      </c>
      <c r="K434" s="37" t="str">
        <f t="shared" si="99"/>
        <v>electronics</v>
      </c>
      <c r="L434" s="46" t="s">
        <v>302</v>
      </c>
      <c r="M434" s="37" t="str">
        <f t="shared" si="100"/>
        <v>east</v>
      </c>
      <c r="N434" s="46" t="s">
        <v>396</v>
      </c>
      <c r="O434" s="41" t="str">
        <f t="shared" si="101"/>
        <v>Yes</v>
      </c>
      <c r="P434" s="49">
        <v>14.8</v>
      </c>
      <c r="Q434" s="49" t="s">
        <v>1924</v>
      </c>
      <c r="R434" s="42">
        <f t="shared" si="102"/>
        <v>25.0675675675676</v>
      </c>
      <c r="S434" s="46">
        <v>8</v>
      </c>
      <c r="T434" s="46" t="s">
        <v>722</v>
      </c>
      <c r="U434" s="43" t="str">
        <f t="shared" si="103"/>
        <v>12/02/2024</v>
      </c>
      <c r="V434" s="43">
        <f t="shared" si="104"/>
        <v>45334</v>
      </c>
      <c r="W434" s="44">
        <f t="array" ref="W434">_xlfn.IFS(TRIM(C434)="","",TRIM(V434)="","",TRUE,V434-C434)</f>
        <v>8</v>
      </c>
      <c r="X434" s="37">
        <f t="shared" si="105"/>
        <v>0</v>
      </c>
      <c r="Y434" s="46" t="s">
        <v>117</v>
      </c>
      <c r="Z434" s="37" t="str">
        <f t="shared" si="106"/>
        <v>delivered</v>
      </c>
      <c r="AA434" s="37" t="str">
        <f t="shared" si="107"/>
        <v>On Time</v>
      </c>
      <c r="AB434" s="37" t="str">
        <f t="shared" si="110"/>
        <v>0</v>
      </c>
      <c r="AC434" s="37">
        <f t="shared" si="111"/>
        <v>0</v>
      </c>
      <c r="AD434" s="45">
        <f t="shared" si="109"/>
        <v>0.51251078515962</v>
      </c>
      <c r="AE434" s="46">
        <v>5</v>
      </c>
      <c r="AF434" s="46" t="s">
        <v>191</v>
      </c>
      <c r="AG434" s="37" t="str">
        <f t="shared" si="108"/>
        <v>no</v>
      </c>
      <c r="AH434" s="37" t="str">
        <f t="array" ref="AH434">_xlfn.IFS(LOWER(AG434)="n","no",LOWER(AG434)="y","yes",TRUE,LOWER(AG434))</f>
        <v>no</v>
      </c>
      <c r="AI434" s="46" t="s">
        <v>4692</v>
      </c>
    </row>
    <row r="435" spans="1:35">
      <c r="A435" s="37" t="s">
        <v>1925</v>
      </c>
      <c r="B435" s="38" t="s">
        <v>4744</v>
      </c>
      <c r="C435" s="39">
        <f t="shared" si="96"/>
        <v>45463</v>
      </c>
      <c r="D435" s="40" t="s">
        <v>4705</v>
      </c>
      <c r="E435" s="37" t="str" cm="1">
        <f t="array" ref="E435">_xlfn.IFS(D435="delhi","north",D435="mumbai","west",D435="bengaluru","south",D435="chennai","south",D435="kolkata","east",TRUE,"west")</f>
        <v>west</v>
      </c>
      <c r="F435" s="37" t="s">
        <v>175</v>
      </c>
      <c r="G435" s="37" t="str">
        <f t="shared" si="97"/>
        <v>ecomexpress</v>
      </c>
      <c r="H435" s="37" t="s">
        <v>345</v>
      </c>
      <c r="I435" s="37" t="str">
        <f t="shared" si="98"/>
        <v>surface</v>
      </c>
      <c r="J435" s="37" t="s">
        <v>385</v>
      </c>
      <c r="K435" s="37" t="str">
        <f t="shared" si="99"/>
        <v>furniture</v>
      </c>
      <c r="L435" s="37" t="s">
        <v>101</v>
      </c>
      <c r="M435" s="37" t="str">
        <f t="shared" si="100"/>
        <v>west</v>
      </c>
      <c r="N435" s="37" t="s">
        <v>187</v>
      </c>
      <c r="O435" s="41" t="str">
        <f t="shared" si="101"/>
        <v>Yes</v>
      </c>
      <c r="P435" s="41">
        <v>56</v>
      </c>
      <c r="Q435" s="50">
        <v>1422</v>
      </c>
      <c r="R435" s="42">
        <f t="shared" si="102"/>
        <v>25.3928571428571</v>
      </c>
      <c r="S435" s="37">
        <v>6</v>
      </c>
      <c r="T435" s="37" t="s">
        <v>1120</v>
      </c>
      <c r="U435" s="43" t="str">
        <f t="shared" si="103"/>
        <v>03/07/2024</v>
      </c>
      <c r="V435" s="43">
        <f t="shared" si="104"/>
        <v>45476</v>
      </c>
      <c r="W435" s="44">
        <f t="array" ref="W435">_xlfn.IFS(TRIM(C435)="","",TRIM(V435)="","",TRUE,V435-C435)</f>
        <v>13</v>
      </c>
      <c r="X435" s="37">
        <f t="shared" si="105"/>
        <v>7</v>
      </c>
      <c r="Y435" s="37" t="s">
        <v>143</v>
      </c>
      <c r="Z435" s="37" t="str">
        <f t="shared" si="106"/>
        <v>delayed</v>
      </c>
      <c r="AA435" s="37" t="str">
        <f t="shared" si="107"/>
        <v>Late</v>
      </c>
      <c r="AB435" s="37" t="str">
        <f t="shared" si="110"/>
        <v>1</v>
      </c>
      <c r="AC435" s="37">
        <f t="shared" si="111"/>
        <v>1</v>
      </c>
      <c r="AD435" s="45">
        <f t="shared" si="109"/>
        <v>0.512953367875648</v>
      </c>
      <c r="AE435" s="37">
        <v>4</v>
      </c>
      <c r="AF435" s="37" t="s">
        <v>131</v>
      </c>
      <c r="AG435" s="37" t="str">
        <f t="shared" si="108"/>
        <v>n</v>
      </c>
      <c r="AH435" s="37" t="str">
        <f t="array" ref="AH435">_xlfn.IFS(LOWER(AG435)="n","no",LOWER(AG435)="y","yes",TRUE,LOWER(AG435))</f>
        <v>no</v>
      </c>
      <c r="AI435" s="37" t="s">
        <v>4692</v>
      </c>
    </row>
    <row r="436" spans="1:35">
      <c r="A436" s="46" t="s">
        <v>1928</v>
      </c>
      <c r="B436" s="47">
        <v>45408</v>
      </c>
      <c r="C436" s="39">
        <f t="shared" si="96"/>
        <v>45408</v>
      </c>
      <c r="D436" s="48" t="s">
        <v>300</v>
      </c>
      <c r="E436" s="37" t="str" cm="1">
        <f t="array" ref="E436">_xlfn.IFS(D436="delhi","north",D436="mumbai","west",D436="bengaluru","south",D436="chennai","south",D436="kolkata","east",TRUE,"west")</f>
        <v>west</v>
      </c>
      <c r="F436" s="46" t="s">
        <v>175</v>
      </c>
      <c r="G436" s="37" t="str">
        <f t="shared" si="97"/>
        <v>ecomexpress</v>
      </c>
      <c r="H436" s="46" t="s">
        <v>176</v>
      </c>
      <c r="I436" s="37" t="str">
        <f t="shared" si="98"/>
        <v>road</v>
      </c>
      <c r="J436" s="46" t="s">
        <v>353</v>
      </c>
      <c r="K436" s="37" t="str">
        <f t="shared" si="99"/>
        <v>automotiveparts</v>
      </c>
      <c r="L436" s="46" t="s">
        <v>112</v>
      </c>
      <c r="M436" s="37" t="str">
        <f t="shared" si="100"/>
        <v>north</v>
      </c>
      <c r="N436" s="46" t="s">
        <v>113</v>
      </c>
      <c r="O436" s="41" t="str">
        <f t="shared" si="101"/>
        <v>Yes</v>
      </c>
      <c r="P436" s="49">
        <v>17.9</v>
      </c>
      <c r="Q436" s="49" t="s">
        <v>1930</v>
      </c>
      <c r="R436" s="42">
        <f t="shared" si="102"/>
        <v>24.5810055865922</v>
      </c>
      <c r="S436" s="46">
        <v>8</v>
      </c>
      <c r="T436" s="46" t="s">
        <v>1931</v>
      </c>
      <c r="U436" s="43" t="str">
        <f t="shared" si="103"/>
        <v>09/05/2024</v>
      </c>
      <c r="V436" s="43">
        <f t="shared" si="104"/>
        <v>45421</v>
      </c>
      <c r="W436" s="44">
        <f t="array" ref="W436">_xlfn.IFS(TRIM(C436)="","",TRIM(V436)="","",TRUE,V436-C436)</f>
        <v>13</v>
      </c>
      <c r="X436" s="37">
        <f t="shared" si="105"/>
        <v>5</v>
      </c>
      <c r="Y436" s="46" t="s">
        <v>172</v>
      </c>
      <c r="Z436" s="37" t="str">
        <f t="shared" si="106"/>
        <v>delayed</v>
      </c>
      <c r="AA436" s="37" t="str">
        <f t="shared" si="107"/>
        <v>Late</v>
      </c>
      <c r="AB436" s="37" t="str">
        <f t="shared" si="110"/>
        <v>1</v>
      </c>
      <c r="AC436" s="37">
        <f t="shared" si="111"/>
        <v>1</v>
      </c>
      <c r="AD436" s="45">
        <f t="shared" si="109"/>
        <v>0.512532411408816</v>
      </c>
      <c r="AE436" s="46">
        <v>2</v>
      </c>
      <c r="AF436" s="46" t="s">
        <v>181</v>
      </c>
      <c r="AG436" s="37" t="str">
        <f t="shared" si="108"/>
        <v>y</v>
      </c>
      <c r="AH436" s="37" t="str">
        <f t="array" ref="AH436">_xlfn.IFS(LOWER(AG436)="n","no",LOWER(AG436)="y","yes",TRUE,LOWER(AG436))</f>
        <v>yes</v>
      </c>
      <c r="AI436" s="46" t="s">
        <v>4692</v>
      </c>
    </row>
    <row r="437" spans="1:35">
      <c r="A437" s="37" t="s">
        <v>1932</v>
      </c>
      <c r="B437" s="38">
        <v>45374</v>
      </c>
      <c r="C437" s="39">
        <f t="shared" si="96"/>
        <v>45374</v>
      </c>
      <c r="D437" s="40" t="s">
        <v>109</v>
      </c>
      <c r="E437" s="37" t="str" cm="1">
        <f t="array" ref="E437">_xlfn.IFS(D437="delhi","north",D437="mumbai","west",D437="bengaluru","south",D437="chennai","south",D437="kolkata","east",TRUE,"west")</f>
        <v>west</v>
      </c>
      <c r="F437" s="37" t="s">
        <v>312</v>
      </c>
      <c r="G437" s="37" t="str">
        <f t="shared" si="97"/>
        <v>bluedart</v>
      </c>
      <c r="H437" s="37" t="s">
        <v>123</v>
      </c>
      <c r="I437" s="37" t="str">
        <f t="shared" si="98"/>
        <v>air</v>
      </c>
      <c r="J437" s="37" t="s">
        <v>425</v>
      </c>
      <c r="K437" s="37" t="str">
        <f t="shared" si="99"/>
        <v>automotiveparts</v>
      </c>
      <c r="L437" s="37" t="s">
        <v>264</v>
      </c>
      <c r="M437" s="37" t="str">
        <f t="shared" si="100"/>
        <v>west</v>
      </c>
      <c r="N437" s="37" t="s">
        <v>187</v>
      </c>
      <c r="O437" s="41" t="str">
        <f t="shared" si="101"/>
        <v>Yes</v>
      </c>
      <c r="P437" s="41">
        <v>6.4</v>
      </c>
      <c r="Q437" s="41">
        <v>281</v>
      </c>
      <c r="R437" s="42">
        <f t="shared" si="102"/>
        <v>43.90625</v>
      </c>
      <c r="S437" s="37">
        <v>2</v>
      </c>
      <c r="T437" s="37" t="s">
        <v>694</v>
      </c>
      <c r="U437" s="43" t="str">
        <f t="shared" si="103"/>
        <v>26/03/2024</v>
      </c>
      <c r="V437" s="43">
        <f t="shared" si="104"/>
        <v>45377</v>
      </c>
      <c r="W437" s="44">
        <f t="array" ref="W437">_xlfn.IFS(TRIM(C437)="","",TRIM(V437)="","",TRUE,V437-C437)</f>
        <v>3</v>
      </c>
      <c r="X437" s="37">
        <f t="shared" si="105"/>
        <v>1</v>
      </c>
      <c r="Y437" s="37" t="s">
        <v>172</v>
      </c>
      <c r="Z437" s="37" t="str">
        <f t="shared" si="106"/>
        <v>delayed</v>
      </c>
      <c r="AA437" s="37" t="str">
        <f t="shared" si="107"/>
        <v>Late</v>
      </c>
      <c r="AB437" s="37" t="str">
        <f t="shared" si="110"/>
        <v>1</v>
      </c>
      <c r="AC437" s="37">
        <f t="shared" si="111"/>
        <v>1</v>
      </c>
      <c r="AD437" s="45">
        <f t="shared" si="109"/>
        <v>0.512110726643599</v>
      </c>
      <c r="AE437" s="37">
        <v>4</v>
      </c>
      <c r="AF437" s="37" t="s">
        <v>181</v>
      </c>
      <c r="AG437" s="37" t="str">
        <f t="shared" si="108"/>
        <v>y</v>
      </c>
      <c r="AH437" s="37" t="str">
        <f t="array" ref="AH437">_xlfn.IFS(LOWER(AG437)="n","no",LOWER(AG437)="y","yes",TRUE,LOWER(AG437))</f>
        <v>yes</v>
      </c>
      <c r="AI437" s="37" t="s">
        <v>4692</v>
      </c>
    </row>
    <row r="438" spans="1:35">
      <c r="A438" s="46" t="s">
        <v>1935</v>
      </c>
      <c r="B438" s="47">
        <v>45356</v>
      </c>
      <c r="C438" s="39">
        <f t="shared" si="96"/>
        <v>45356</v>
      </c>
      <c r="D438" s="48" t="s">
        <v>633</v>
      </c>
      <c r="E438" s="37" t="str" cm="1">
        <f t="array" ref="E438">_xlfn.IFS(D438="delhi","north",D438="mumbai","west",D438="bengaluru","south",D438="chennai","south",D438="kolkata","east",TRUE,"west")</f>
        <v>south</v>
      </c>
      <c r="F438" s="46" t="s">
        <v>37</v>
      </c>
      <c r="G438" s="37" t="str">
        <f t="shared" si="97"/>
        <v>bluedart</v>
      </c>
      <c r="H438" s="46" t="s">
        <v>224</v>
      </c>
      <c r="I438" s="37" t="str">
        <f t="shared" si="98"/>
        <v>air</v>
      </c>
      <c r="J438" s="46" t="s">
        <v>283</v>
      </c>
      <c r="K438" s="37" t="str">
        <f t="shared" si="99"/>
        <v>pharma</v>
      </c>
      <c r="L438" s="46" t="s">
        <v>51</v>
      </c>
      <c r="M438" s="37" t="str">
        <f t="shared" si="100"/>
        <v>south</v>
      </c>
      <c r="N438" s="46" t="s">
        <v>54</v>
      </c>
      <c r="O438" s="41" t="str">
        <f t="shared" si="101"/>
        <v>Yes</v>
      </c>
      <c r="P438" s="49">
        <v>2</v>
      </c>
      <c r="Q438" s="49">
        <v>120</v>
      </c>
      <c r="R438" s="42">
        <f t="shared" si="102"/>
        <v>60</v>
      </c>
      <c r="S438" s="46">
        <v>2</v>
      </c>
      <c r="T438" s="46" t="s">
        <v>501</v>
      </c>
      <c r="U438" s="43" t="str">
        <f t="shared" si="103"/>
        <v>06-mar-2024</v>
      </c>
      <c r="V438" s="43">
        <f t="shared" si="104"/>
        <v>45357</v>
      </c>
      <c r="W438" s="44">
        <f t="array" ref="W438">_xlfn.IFS(TRIM(C438)="","",TRIM(V438)="","",TRUE,V438-C438)</f>
        <v>1</v>
      </c>
      <c r="X438" s="37">
        <f t="shared" si="105"/>
        <v>-1</v>
      </c>
      <c r="Y438" s="46" t="s">
        <v>219</v>
      </c>
      <c r="Z438" s="37" t="str">
        <f t="shared" si="106"/>
        <v>delivered</v>
      </c>
      <c r="AA438" s="37" t="str">
        <f t="shared" si="107"/>
        <v>On Time</v>
      </c>
      <c r="AB438" s="37" t="str">
        <f t="shared" si="110"/>
        <v>0</v>
      </c>
      <c r="AC438" s="37">
        <f t="shared" si="111"/>
        <v>0</v>
      </c>
      <c r="AD438" s="45">
        <f t="shared" si="109"/>
        <v>0.511688311688312</v>
      </c>
      <c r="AE438" s="46">
        <v>5</v>
      </c>
      <c r="AF438" s="46" t="s">
        <v>286</v>
      </c>
      <c r="AG438" s="37" t="str">
        <f t="shared" si="108"/>
        <v>yes</v>
      </c>
      <c r="AH438" s="37" t="str">
        <f t="array" ref="AH438">_xlfn.IFS(LOWER(AG438)="n","no",LOWER(AG438)="y","yes",TRUE,LOWER(AG438))</f>
        <v>yes</v>
      </c>
      <c r="AI438" s="46" t="s">
        <v>4692</v>
      </c>
    </row>
    <row r="439" spans="1:35">
      <c r="A439" s="37" t="s">
        <v>1936</v>
      </c>
      <c r="B439" s="38">
        <v>45353</v>
      </c>
      <c r="C439" s="39">
        <f t="shared" si="96"/>
        <v>45353</v>
      </c>
      <c r="D439" s="40" t="s">
        <v>366</v>
      </c>
      <c r="E439" s="37" t="str" cm="1">
        <f t="array" ref="E439">_xlfn.IFS(D439="delhi","north",D439="mumbai","west",D439="bengaluru","south",D439="chennai","south",D439="kolkata","east",TRUE,"west")</f>
        <v>east</v>
      </c>
      <c r="F439" s="37" t="s">
        <v>270</v>
      </c>
      <c r="G439" s="37" t="str">
        <f t="shared" si="97"/>
        <v>ecomexpress</v>
      </c>
      <c r="H439" s="37" t="s">
        <v>345</v>
      </c>
      <c r="I439" s="37" t="str">
        <f t="shared" si="98"/>
        <v>surface</v>
      </c>
      <c r="J439" s="37" t="s">
        <v>612</v>
      </c>
      <c r="K439" s="37" t="str">
        <f t="shared" si="99"/>
        <v>grocery&amp;fmcg</v>
      </c>
      <c r="L439" s="37" t="s">
        <v>92</v>
      </c>
      <c r="M439" s="37" t="str">
        <f t="shared" si="100"/>
        <v>east</v>
      </c>
      <c r="N439" s="37" t="s">
        <v>91</v>
      </c>
      <c r="O439" s="41" t="str">
        <f t="shared" si="101"/>
        <v>Yes</v>
      </c>
      <c r="P439" s="41" t="s">
        <v>534</v>
      </c>
      <c r="Q439" s="41">
        <v>93</v>
      </c>
      <c r="R439" s="42">
        <f t="shared" si="102"/>
        <v>23.8461538461538</v>
      </c>
      <c r="S439" s="37">
        <v>4</v>
      </c>
      <c r="T439" s="37" t="s">
        <v>309</v>
      </c>
      <c r="U439" s="43" t="str">
        <f t="shared" si="103"/>
        <v>08/03/2024</v>
      </c>
      <c r="V439" s="43">
        <f t="shared" si="104"/>
        <v>45359</v>
      </c>
      <c r="W439" s="44">
        <f t="array" ref="W439">_xlfn.IFS(TRIM(C439)="","",TRIM(V439)="","",TRUE,V439-C439)</f>
        <v>6</v>
      </c>
      <c r="X439" s="37">
        <f t="shared" si="105"/>
        <v>2</v>
      </c>
      <c r="Y439" s="37" t="s">
        <v>143</v>
      </c>
      <c r="Z439" s="37" t="str">
        <f t="shared" si="106"/>
        <v>delayed</v>
      </c>
      <c r="AA439" s="37" t="str">
        <f t="shared" si="107"/>
        <v>Late</v>
      </c>
      <c r="AB439" s="37" t="str">
        <f t="shared" si="110"/>
        <v>1</v>
      </c>
      <c r="AC439" s="37">
        <f t="shared" si="111"/>
        <v>1</v>
      </c>
      <c r="AD439" s="45">
        <f t="shared" si="109"/>
        <v>0.512131715771231</v>
      </c>
      <c r="AE439" s="37">
        <v>5</v>
      </c>
      <c r="AF439" s="37" t="s">
        <v>106</v>
      </c>
      <c r="AG439" s="37" t="str">
        <f t="shared" si="108"/>
        <v>yes</v>
      </c>
      <c r="AH439" s="37" t="str">
        <f t="array" ref="AH439">_xlfn.IFS(LOWER(AG439)="n","no",LOWER(AG439)="y","yes",TRUE,LOWER(AG439))</f>
        <v>yes</v>
      </c>
      <c r="AI439" s="37" t="s">
        <v>4692</v>
      </c>
    </row>
    <row r="440" spans="1:35">
      <c r="A440" s="46" t="s">
        <v>1938</v>
      </c>
      <c r="B440" s="47" t="s">
        <v>4781</v>
      </c>
      <c r="C440" s="39">
        <f t="shared" si="96"/>
        <v>45335</v>
      </c>
      <c r="D440" s="48" t="s">
        <v>4695</v>
      </c>
      <c r="E440" s="37" t="str" cm="1">
        <f t="array" ref="E440">_xlfn.IFS(D440="delhi","north",D440="mumbai","west",D440="bengaluru","south",D440="chennai","south",D440="kolkata","east",TRUE,"west")</f>
        <v>west</v>
      </c>
      <c r="F440" s="46" t="s">
        <v>194</v>
      </c>
      <c r="G440" s="37" t="str">
        <f t="shared" si="97"/>
        <v>xpressbees</v>
      </c>
      <c r="H440" s="46" t="s">
        <v>325</v>
      </c>
      <c r="I440" s="37" t="str">
        <f t="shared" si="98"/>
        <v>air</v>
      </c>
      <c r="J440" s="46" t="s">
        <v>148</v>
      </c>
      <c r="K440" s="37" t="str">
        <f t="shared" si="99"/>
        <v>electronics</v>
      </c>
      <c r="L440" s="46" t="s">
        <v>112</v>
      </c>
      <c r="M440" s="37" t="str">
        <f t="shared" si="100"/>
        <v>north</v>
      </c>
      <c r="N440" s="46" t="s">
        <v>354</v>
      </c>
      <c r="O440" s="41" t="str">
        <f t="shared" si="101"/>
        <v>Yes</v>
      </c>
      <c r="P440" s="49" t="s">
        <v>1939</v>
      </c>
      <c r="Q440" s="49" t="s">
        <v>1940</v>
      </c>
      <c r="R440" s="42">
        <f t="shared" si="102"/>
        <v>67.125</v>
      </c>
      <c r="S440" s="46">
        <v>4</v>
      </c>
      <c r="T440" s="46" t="s">
        <v>1353</v>
      </c>
      <c r="U440" s="43" t="str">
        <f t="shared" si="103"/>
        <v>2024-02-17</v>
      </c>
      <c r="V440" s="43">
        <f t="shared" si="104"/>
        <v>45339</v>
      </c>
      <c r="W440" s="44">
        <f t="array" ref="W440">_xlfn.IFS(TRIM(C440)="","",TRIM(V440)="","",TRUE,V440-C440)</f>
        <v>4</v>
      </c>
      <c r="X440" s="37">
        <f t="shared" si="105"/>
        <v>0</v>
      </c>
      <c r="Y440" s="46" t="s">
        <v>219</v>
      </c>
      <c r="Z440" s="37" t="str">
        <f t="shared" si="106"/>
        <v>delivered</v>
      </c>
      <c r="AA440" s="37" t="str">
        <f t="shared" si="107"/>
        <v>On Time</v>
      </c>
      <c r="AB440" s="37" t="str">
        <f t="shared" si="110"/>
        <v>0</v>
      </c>
      <c r="AC440" s="37">
        <f t="shared" si="111"/>
        <v>0</v>
      </c>
      <c r="AD440" s="45">
        <f t="shared" si="109"/>
        <v>0.511708586296618</v>
      </c>
      <c r="AE440" s="46">
        <v>2</v>
      </c>
      <c r="AF440" s="46" t="s">
        <v>131</v>
      </c>
      <c r="AG440" s="37" t="str">
        <f t="shared" si="108"/>
        <v>n</v>
      </c>
      <c r="AH440" s="37" t="str">
        <f t="array" ref="AH440">_xlfn.IFS(LOWER(AG440)="n","no",LOWER(AG440)="y","yes",TRUE,LOWER(AG440))</f>
        <v>no</v>
      </c>
      <c r="AI440" s="46" t="s">
        <v>4692</v>
      </c>
    </row>
    <row r="441" spans="1:35">
      <c r="A441" s="37" t="s">
        <v>1941</v>
      </c>
      <c r="B441" s="38">
        <v>45360</v>
      </c>
      <c r="C441" s="39">
        <f t="shared" si="96"/>
        <v>45360</v>
      </c>
      <c r="D441" s="40" t="s">
        <v>366</v>
      </c>
      <c r="E441" s="37" t="str" cm="1">
        <f t="array" ref="E441">_xlfn.IFS(D441="delhi","north",D441="mumbai","west",D441="bengaluru","south",D441="chennai","south",D441="kolkata","east",TRUE,"west")</f>
        <v>east</v>
      </c>
      <c r="F441" s="37" t="s">
        <v>194</v>
      </c>
      <c r="G441" s="37" t="str">
        <f t="shared" si="97"/>
        <v>xpressbees</v>
      </c>
      <c r="H441" s="37" t="s">
        <v>244</v>
      </c>
      <c r="I441" s="37" t="str">
        <f t="shared" si="98"/>
        <v>air</v>
      </c>
      <c r="J441" s="37" t="s">
        <v>158</v>
      </c>
      <c r="K441" s="37" t="str">
        <f t="shared" si="99"/>
        <v>pharma</v>
      </c>
      <c r="L441" s="37" t="s">
        <v>51</v>
      </c>
      <c r="M441" s="37" t="str">
        <f t="shared" si="100"/>
        <v>south</v>
      </c>
      <c r="N441" s="37" t="s">
        <v>90</v>
      </c>
      <c r="O441" s="41" t="str">
        <f t="shared" si="101"/>
        <v>Yes</v>
      </c>
      <c r="P441" s="41">
        <v>3.7</v>
      </c>
      <c r="Q441" s="41">
        <v>353</v>
      </c>
      <c r="R441" s="42">
        <f t="shared" si="102"/>
        <v>95.4054054054054</v>
      </c>
      <c r="S441" s="37">
        <v>4</v>
      </c>
      <c r="T441" s="37" t="s">
        <v>835</v>
      </c>
      <c r="U441" s="43" t="str">
        <f t="shared" si="103"/>
        <v>13/03/2024</v>
      </c>
      <c r="V441" s="43">
        <f t="shared" si="104"/>
        <v>45364</v>
      </c>
      <c r="W441" s="44">
        <f t="array" ref="W441">_xlfn.IFS(TRIM(C441)="","",TRIM(V441)="","",TRUE,V441-C441)</f>
        <v>4</v>
      </c>
      <c r="X441" s="37">
        <f t="shared" si="105"/>
        <v>0</v>
      </c>
      <c r="Y441" s="37" t="s">
        <v>219</v>
      </c>
      <c r="Z441" s="37" t="str">
        <f t="shared" si="106"/>
        <v>delivered</v>
      </c>
      <c r="AA441" s="37" t="str">
        <f t="shared" si="107"/>
        <v>On Time</v>
      </c>
      <c r="AB441" s="37" t="str">
        <f t="shared" si="110"/>
        <v>0</v>
      </c>
      <c r="AC441" s="37">
        <f t="shared" si="111"/>
        <v>0</v>
      </c>
      <c r="AD441" s="45">
        <f t="shared" si="109"/>
        <v>0.512152777777778</v>
      </c>
      <c r="AE441" s="37">
        <v>3</v>
      </c>
      <c r="AF441" s="37" t="s">
        <v>106</v>
      </c>
      <c r="AG441" s="37" t="str">
        <f t="shared" si="108"/>
        <v>yes</v>
      </c>
      <c r="AH441" s="37" t="str">
        <f t="array" ref="AH441">_xlfn.IFS(LOWER(AG441)="n","no",LOWER(AG441)="y","yes",TRUE,LOWER(AG441))</f>
        <v>yes</v>
      </c>
      <c r="AI441" s="37" t="s">
        <v>4692</v>
      </c>
    </row>
    <row r="442" spans="1:35">
      <c r="A442" s="46" t="s">
        <v>1943</v>
      </c>
      <c r="B442" s="47">
        <v>45408</v>
      </c>
      <c r="C442" s="39">
        <f t="shared" si="96"/>
        <v>45408</v>
      </c>
      <c r="D442" s="48" t="s">
        <v>366</v>
      </c>
      <c r="E442" s="37" t="str" cm="1">
        <f t="array" ref="E442">_xlfn.IFS(D442="delhi","north",D442="mumbai","west",D442="bengaluru","south",D442="chennai","south",D442="kolkata","east",TRUE,"west")</f>
        <v>east</v>
      </c>
      <c r="F442" s="46" t="s">
        <v>367</v>
      </c>
      <c r="G442" s="37" t="str">
        <f t="shared" si="97"/>
        <v>dtdc</v>
      </c>
      <c r="H442" s="46" t="s">
        <v>110</v>
      </c>
      <c r="I442" s="37" t="str">
        <f t="shared" si="98"/>
        <v>surface</v>
      </c>
      <c r="J442" s="46" t="s">
        <v>100</v>
      </c>
      <c r="K442" s="37" t="str">
        <f t="shared" si="99"/>
        <v>electronics</v>
      </c>
      <c r="L442" s="46" t="s">
        <v>302</v>
      </c>
      <c r="M442" s="37" t="str">
        <f t="shared" si="100"/>
        <v>east</v>
      </c>
      <c r="N442" s="46" t="s">
        <v>126</v>
      </c>
      <c r="O442" s="41" t="str">
        <f t="shared" si="101"/>
        <v>Yes</v>
      </c>
      <c r="P442" s="49">
        <v>8.9</v>
      </c>
      <c r="Q442" s="49">
        <v>201</v>
      </c>
      <c r="R442" s="42">
        <f t="shared" si="102"/>
        <v>22.5842696629213</v>
      </c>
      <c r="S442" s="46">
        <v>4</v>
      </c>
      <c r="T442" s="46" t="s">
        <v>1945</v>
      </c>
      <c r="U442" s="43" t="str">
        <f t="shared" si="103"/>
        <v>30-apr-2024</v>
      </c>
      <c r="V442" s="43">
        <f t="shared" si="104"/>
        <v>45412</v>
      </c>
      <c r="W442" s="44">
        <f t="array" ref="W442">_xlfn.IFS(TRIM(C442)="","",TRIM(V442)="","",TRUE,V442-C442)</f>
        <v>4</v>
      </c>
      <c r="X442" s="37">
        <f t="shared" si="105"/>
        <v>0</v>
      </c>
      <c r="Y442" s="46" t="s">
        <v>105</v>
      </c>
      <c r="Z442" s="37" t="str">
        <f t="shared" si="106"/>
        <v>delivered</v>
      </c>
      <c r="AA442" s="37" t="str">
        <f t="shared" si="107"/>
        <v>On Time</v>
      </c>
      <c r="AB442" s="37" t="str">
        <f t="shared" si="110"/>
        <v>0</v>
      </c>
      <c r="AC442" s="37">
        <f t="shared" si="111"/>
        <v>0</v>
      </c>
      <c r="AD442" s="45">
        <f t="shared" si="109"/>
        <v>0.5125977410947</v>
      </c>
      <c r="AE442" s="46">
        <v>3</v>
      </c>
      <c r="AF442" s="46" t="s">
        <v>152</v>
      </c>
      <c r="AG442" s="37" t="str">
        <f t="shared" si="108"/>
        <v>no</v>
      </c>
      <c r="AH442" s="37" t="str">
        <f t="array" ref="AH442">_xlfn.IFS(LOWER(AG442)="n","no",LOWER(AG442)="y","yes",TRUE,LOWER(AG442))</f>
        <v>no</v>
      </c>
      <c r="AI442" s="46" t="s">
        <v>4692</v>
      </c>
    </row>
    <row r="443" spans="1:35">
      <c r="A443" s="37" t="s">
        <v>1946</v>
      </c>
      <c r="B443" s="38">
        <v>45343</v>
      </c>
      <c r="C443" s="39">
        <f t="shared" si="96"/>
        <v>45343</v>
      </c>
      <c r="D443" s="40" t="s">
        <v>633</v>
      </c>
      <c r="E443" s="37" t="str" cm="1">
        <f t="array" ref="E443">_xlfn.IFS(D443="delhi","north",D443="mumbai","west",D443="bengaluru","south",D443="chennai","south",D443="kolkata","east",TRUE,"west")</f>
        <v>south</v>
      </c>
      <c r="F443" s="37" t="s">
        <v>156</v>
      </c>
      <c r="G443" s="37" t="str">
        <f t="shared" si="97"/>
        <v>xpressbees</v>
      </c>
      <c r="H443" s="37" t="s">
        <v>42</v>
      </c>
      <c r="I443" s="37" t="str">
        <f t="shared" si="98"/>
        <v>surface</v>
      </c>
      <c r="J443" s="37" t="s">
        <v>245</v>
      </c>
      <c r="K443" s="37" t="str">
        <f t="shared" si="99"/>
        <v>electronics</v>
      </c>
      <c r="L443" s="37" t="s">
        <v>334</v>
      </c>
      <c r="M443" s="37" t="str">
        <f t="shared" si="100"/>
        <v>north</v>
      </c>
      <c r="N443" s="37" t="s">
        <v>215</v>
      </c>
      <c r="O443" s="41" t="str">
        <f t="shared" si="101"/>
        <v>Yes</v>
      </c>
      <c r="P443" s="41">
        <v>3.6</v>
      </c>
      <c r="Q443" s="41">
        <v>258</v>
      </c>
      <c r="R443" s="42">
        <f t="shared" si="102"/>
        <v>71.6666666666667</v>
      </c>
      <c r="S443" s="37">
        <v>6</v>
      </c>
      <c r="T443" s="37" t="s">
        <v>899</v>
      </c>
      <c r="U443" s="43" t="str">
        <f t="shared" si="103"/>
        <v>28/02/2024</v>
      </c>
      <c r="V443" s="43">
        <f t="shared" si="104"/>
        <v>45350</v>
      </c>
      <c r="W443" s="44">
        <f t="array" ref="W443">_xlfn.IFS(TRIM(C443)="","",TRIM(V443)="","",TRUE,V443-C443)</f>
        <v>7</v>
      </c>
      <c r="X443" s="37">
        <f t="shared" si="105"/>
        <v>1</v>
      </c>
      <c r="Y443" s="37" t="s">
        <v>337</v>
      </c>
      <c r="Z443" s="37" t="str">
        <f t="shared" si="106"/>
        <v>damaged</v>
      </c>
      <c r="AA443" s="37" t="str">
        <f t="shared" si="107"/>
        <v>Late</v>
      </c>
      <c r="AB443" s="37" t="str">
        <f t="shared" si="110"/>
        <v>1</v>
      </c>
      <c r="AC443" s="37">
        <f t="shared" si="111"/>
        <v>1</v>
      </c>
      <c r="AD443" s="45">
        <f t="shared" si="109"/>
        <v>0.51304347826087</v>
      </c>
      <c r="AE443" s="37"/>
      <c r="AF443" s="37" t="s">
        <v>79</v>
      </c>
      <c r="AG443" s="37" t="str">
        <f t="shared" si="108"/>
        <v>yes</v>
      </c>
      <c r="AH443" s="37" t="str">
        <f t="array" ref="AH443">_xlfn.IFS(LOWER(AG443)="n","no",LOWER(AG443)="y","yes",TRUE,LOWER(AG443))</f>
        <v>yes</v>
      </c>
      <c r="AI443" s="37" t="s">
        <v>132</v>
      </c>
    </row>
    <row r="444" spans="1:35">
      <c r="A444" s="46" t="s">
        <v>1948</v>
      </c>
      <c r="B444" s="47">
        <v>45310</v>
      </c>
      <c r="C444" s="39">
        <f t="shared" si="96"/>
        <v>45310</v>
      </c>
      <c r="D444" s="48" t="s">
        <v>121</v>
      </c>
      <c r="E444" s="37" t="str" cm="1">
        <f t="array" ref="E444">_xlfn.IFS(D444="delhi","north",D444="mumbai","west",D444="bengaluru","south",D444="chennai","south",D444="kolkata","east",TRUE,"west")</f>
        <v>west</v>
      </c>
      <c r="F444" s="46" t="s">
        <v>367</v>
      </c>
      <c r="G444" s="37" t="str">
        <f t="shared" si="97"/>
        <v>dtdc</v>
      </c>
      <c r="H444" s="46" t="s">
        <v>110</v>
      </c>
      <c r="I444" s="37" t="str">
        <f t="shared" si="98"/>
        <v>surface</v>
      </c>
      <c r="J444" s="46" t="s">
        <v>271</v>
      </c>
      <c r="K444" s="37" t="str">
        <f t="shared" si="99"/>
        <v>electronics</v>
      </c>
      <c r="L444" s="46" t="s">
        <v>159</v>
      </c>
      <c r="M444" s="37" t="str">
        <f t="shared" si="100"/>
        <v>south</v>
      </c>
      <c r="N444" s="46" t="s">
        <v>93</v>
      </c>
      <c r="O444" s="41" t="str">
        <f t="shared" si="101"/>
        <v>Yes</v>
      </c>
      <c r="P444" s="49">
        <v>3.8</v>
      </c>
      <c r="Q444" s="49">
        <v>247</v>
      </c>
      <c r="R444" s="42">
        <f t="shared" si="102"/>
        <v>65</v>
      </c>
      <c r="S444" s="46">
        <v>6</v>
      </c>
      <c r="T444" s="46" t="s">
        <v>1897</v>
      </c>
      <c r="U444" s="43" t="str">
        <f t="shared" si="103"/>
        <v>2024-01-27</v>
      </c>
      <c r="V444" s="43">
        <f t="shared" si="104"/>
        <v>45318</v>
      </c>
      <c r="W444" s="44">
        <f t="array" ref="W444">_xlfn.IFS(TRIM(C444)="","",TRIM(V444)="","",TRUE,V444-C444)</f>
        <v>8</v>
      </c>
      <c r="X444" s="37">
        <f t="shared" si="105"/>
        <v>2</v>
      </c>
      <c r="Y444" s="46" t="s">
        <v>72</v>
      </c>
      <c r="Z444" s="37" t="str">
        <f t="shared" si="106"/>
        <v>delayed</v>
      </c>
      <c r="AA444" s="37" t="str">
        <f t="shared" si="107"/>
        <v>Late</v>
      </c>
      <c r="AB444" s="37" t="str">
        <f t="shared" si="110"/>
        <v>1</v>
      </c>
      <c r="AC444" s="37">
        <f t="shared" si="111"/>
        <v>1</v>
      </c>
      <c r="AD444" s="45">
        <f t="shared" si="109"/>
        <v>0.512619669277633</v>
      </c>
      <c r="AE444" s="46">
        <v>5</v>
      </c>
      <c r="AF444" s="46" t="s">
        <v>79</v>
      </c>
      <c r="AG444" s="37" t="str">
        <f t="shared" si="108"/>
        <v>yes</v>
      </c>
      <c r="AH444" s="37" t="str">
        <f t="array" ref="AH444">_xlfn.IFS(LOWER(AG444)="n","no",LOWER(AG444)="y","yes",TRUE,LOWER(AG444))</f>
        <v>yes</v>
      </c>
      <c r="AI444" s="46" t="s">
        <v>4692</v>
      </c>
    </row>
    <row r="445" spans="1:35">
      <c r="A445" s="37" t="s">
        <v>1950</v>
      </c>
      <c r="B445" s="38">
        <v>45435</v>
      </c>
      <c r="C445" s="39">
        <f t="shared" si="96"/>
        <v>45435</v>
      </c>
      <c r="D445" s="40" t="s">
        <v>633</v>
      </c>
      <c r="E445" s="37" t="str" cm="1">
        <f t="array" ref="E445">_xlfn.IFS(D445="delhi","north",D445="mumbai","west",D445="bengaluru","south",D445="chennai","south",D445="kolkata","east",TRUE,"west")</f>
        <v>south</v>
      </c>
      <c r="F445" s="37" t="s">
        <v>367</v>
      </c>
      <c r="G445" s="37" t="str">
        <f t="shared" si="97"/>
        <v>dtdc</v>
      </c>
      <c r="H445" s="37" t="s">
        <v>345</v>
      </c>
      <c r="I445" s="37" t="str">
        <f t="shared" si="98"/>
        <v>surface</v>
      </c>
      <c r="J445" s="37" t="s">
        <v>326</v>
      </c>
      <c r="K445" s="37" t="str">
        <f t="shared" si="99"/>
        <v>apparel</v>
      </c>
      <c r="L445" s="37" t="s">
        <v>112</v>
      </c>
      <c r="M445" s="37" t="str">
        <f t="shared" si="100"/>
        <v>north</v>
      </c>
      <c r="N445" s="37" t="s">
        <v>113</v>
      </c>
      <c r="O445" s="41" t="str">
        <f t="shared" si="101"/>
        <v>Yes</v>
      </c>
      <c r="P445" s="41">
        <v>4.5</v>
      </c>
      <c r="Q445" s="41" t="s">
        <v>1951</v>
      </c>
      <c r="R445" s="42">
        <f t="shared" si="102"/>
        <v>52.6666666666667</v>
      </c>
      <c r="S445" s="37">
        <v>6</v>
      </c>
      <c r="T445" s="37" t="s">
        <v>1952</v>
      </c>
      <c r="U445" s="43" t="str">
        <f t="shared" si="103"/>
        <v>30/05/2024</v>
      </c>
      <c r="V445" s="43">
        <f t="shared" si="104"/>
        <v>45442</v>
      </c>
      <c r="W445" s="44">
        <f t="array" ref="W445">_xlfn.IFS(TRIM(C445)="","",TRIM(V445)="","",TRUE,V445-C445)</f>
        <v>7</v>
      </c>
      <c r="X445" s="37">
        <f t="shared" si="105"/>
        <v>1</v>
      </c>
      <c r="Y445" s="37" t="s">
        <v>624</v>
      </c>
      <c r="Z445" s="37" t="str">
        <f t="shared" si="106"/>
        <v>returned</v>
      </c>
      <c r="AA445" s="37" t="str">
        <f t="shared" si="107"/>
        <v>Late</v>
      </c>
      <c r="AB445" s="37" t="str">
        <f t="shared" si="110"/>
        <v>1</v>
      </c>
      <c r="AC445" s="37">
        <f t="shared" si="111"/>
        <v>1</v>
      </c>
      <c r="AD445" s="45">
        <f t="shared" si="109"/>
        <v>0.51219512195122</v>
      </c>
      <c r="AE445" s="37"/>
      <c r="AF445" s="37" t="s">
        <v>118</v>
      </c>
      <c r="AG445" s="37" t="str">
        <f t="shared" si="108"/>
        <v>no</v>
      </c>
      <c r="AH445" s="37" t="str">
        <f t="array" ref="AH445">_xlfn.IFS(LOWER(AG445)="n","no",LOWER(AG445)="y","yes",TRUE,LOWER(AG445))</f>
        <v>no</v>
      </c>
      <c r="AI445" s="37" t="s">
        <v>625</v>
      </c>
    </row>
    <row r="446" spans="1:35">
      <c r="A446" s="46" t="s">
        <v>1953</v>
      </c>
      <c r="B446" s="47">
        <v>45455</v>
      </c>
      <c r="C446" s="39">
        <f t="shared" si="96"/>
        <v>45455</v>
      </c>
      <c r="D446" s="48" t="s">
        <v>424</v>
      </c>
      <c r="E446" s="37" t="str" cm="1">
        <f t="array" ref="E446">_xlfn.IFS(D446="delhi","north",D446="mumbai","west",D446="bengaluru","south",D446="chennai","south",D446="kolkata","east",TRUE,"west")</f>
        <v>south</v>
      </c>
      <c r="F446" s="46" t="s">
        <v>146</v>
      </c>
      <c r="G446" s="37" t="str">
        <f t="shared" si="97"/>
        <v>ecomexpress</v>
      </c>
      <c r="H446" s="46" t="s">
        <v>244</v>
      </c>
      <c r="I446" s="37" t="str">
        <f t="shared" si="98"/>
        <v>air</v>
      </c>
      <c r="J446" s="46" t="s">
        <v>458</v>
      </c>
      <c r="K446" s="37" t="str">
        <f t="shared" si="99"/>
        <v>electronics</v>
      </c>
      <c r="L446" s="46" t="s">
        <v>51</v>
      </c>
      <c r="M446" s="37" t="str">
        <f t="shared" si="100"/>
        <v>south</v>
      </c>
      <c r="N446" s="46" t="s">
        <v>327</v>
      </c>
      <c r="O446" s="41" t="str">
        <f t="shared" si="101"/>
        <v>Yes</v>
      </c>
      <c r="P446" s="49">
        <v>14.6</v>
      </c>
      <c r="Q446" s="49">
        <v>685</v>
      </c>
      <c r="R446" s="42">
        <f t="shared" si="102"/>
        <v>46.9178082191781</v>
      </c>
      <c r="S446" s="46">
        <v>2</v>
      </c>
      <c r="T446" s="46" t="s">
        <v>636</v>
      </c>
      <c r="U446" s="43" t="str">
        <f t="shared" si="103"/>
        <v>2024-06-14</v>
      </c>
      <c r="V446" s="43">
        <f t="shared" si="104"/>
        <v>45457</v>
      </c>
      <c r="W446" s="44">
        <f t="array" ref="W446">_xlfn.IFS(TRIM(C446)="","",TRIM(V446)="","",TRUE,V446-C446)</f>
        <v>2</v>
      </c>
      <c r="X446" s="37">
        <f t="shared" si="105"/>
        <v>0</v>
      </c>
      <c r="Y446" s="46" t="s">
        <v>1513</v>
      </c>
      <c r="Z446" s="37" t="str">
        <f t="shared" si="106"/>
        <v>damaged</v>
      </c>
      <c r="AA446" s="37" t="str">
        <f t="shared" si="107"/>
        <v>On Time</v>
      </c>
      <c r="AB446" s="37" t="str">
        <f t="shared" si="110"/>
        <v>0</v>
      </c>
      <c r="AC446" s="37">
        <f t="shared" si="111"/>
        <v>0</v>
      </c>
      <c r="AD446" s="45">
        <f t="shared" si="109"/>
        <v>0.51176983435048</v>
      </c>
      <c r="AE446" s="46"/>
      <c r="AF446" s="46" t="s">
        <v>152</v>
      </c>
      <c r="AG446" s="37" t="str">
        <f t="shared" si="108"/>
        <v>no</v>
      </c>
      <c r="AH446" s="37" t="str">
        <f t="array" ref="AH446">_xlfn.IFS(LOWER(AG446)="n","no",LOWER(AG446)="y","yes",TRUE,LOWER(AG446))</f>
        <v>no</v>
      </c>
      <c r="AI446" s="46" t="s">
        <v>132</v>
      </c>
    </row>
    <row r="447" spans="1:35">
      <c r="A447" s="37" t="s">
        <v>1956</v>
      </c>
      <c r="B447" s="38">
        <v>45339</v>
      </c>
      <c r="C447" s="39">
        <f t="shared" si="96"/>
        <v>45339</v>
      </c>
      <c r="D447" s="40" t="s">
        <v>109</v>
      </c>
      <c r="E447" s="37" t="str" cm="1">
        <f t="array" ref="E447">_xlfn.IFS(D447="delhi","north",D447="mumbai","west",D447="bengaluru","south",D447="chennai","south",D447="kolkata","east",TRUE,"west")</f>
        <v>west</v>
      </c>
      <c r="F447" s="37" t="s">
        <v>175</v>
      </c>
      <c r="G447" s="37" t="str">
        <f t="shared" si="97"/>
        <v>ecomexpress</v>
      </c>
      <c r="H447" s="37" t="s">
        <v>137</v>
      </c>
      <c r="I447" s="37" t="str">
        <f t="shared" si="98"/>
        <v>road</v>
      </c>
      <c r="J447" s="37" t="s">
        <v>425</v>
      </c>
      <c r="K447" s="37" t="str">
        <f t="shared" si="99"/>
        <v>automotiveparts</v>
      </c>
      <c r="L447" s="37" t="s">
        <v>168</v>
      </c>
      <c r="M447" s="37" t="str">
        <f t="shared" si="100"/>
        <v>west</v>
      </c>
      <c r="N447" s="37" t="s">
        <v>278</v>
      </c>
      <c r="O447" s="41" t="str">
        <f t="shared" si="101"/>
        <v>Yes</v>
      </c>
      <c r="P447" s="41">
        <v>22</v>
      </c>
      <c r="Q447" s="41">
        <v>312</v>
      </c>
      <c r="R447" s="42">
        <f t="shared" si="102"/>
        <v>14.1818181818182</v>
      </c>
      <c r="S447" s="37">
        <v>6</v>
      </c>
      <c r="T447" s="37" t="s">
        <v>1538</v>
      </c>
      <c r="U447" s="43" t="str">
        <f t="shared" si="103"/>
        <v>24/02/2024</v>
      </c>
      <c r="V447" s="43">
        <f t="shared" si="104"/>
        <v>45346</v>
      </c>
      <c r="W447" s="44">
        <f t="array" ref="W447">_xlfn.IFS(TRIM(C447)="","",TRIM(V447)="","",TRUE,V447-C447)</f>
        <v>7</v>
      </c>
      <c r="X447" s="37">
        <f t="shared" si="105"/>
        <v>1</v>
      </c>
      <c r="Y447" s="37" t="s">
        <v>143</v>
      </c>
      <c r="Z447" s="37" t="str">
        <f t="shared" si="106"/>
        <v>delayed</v>
      </c>
      <c r="AA447" s="37" t="str">
        <f t="shared" si="107"/>
        <v>Late</v>
      </c>
      <c r="AB447" s="37" t="str">
        <f t="shared" si="110"/>
        <v>1</v>
      </c>
      <c r="AC447" s="37">
        <f t="shared" si="111"/>
        <v>1</v>
      </c>
      <c r="AD447" s="45">
        <f t="shared" si="109"/>
        <v>0.512216404886562</v>
      </c>
      <c r="AE447" s="37">
        <v>2</v>
      </c>
      <c r="AF447" s="37" t="s">
        <v>106</v>
      </c>
      <c r="AG447" s="37" t="str">
        <f t="shared" si="108"/>
        <v>yes</v>
      </c>
      <c r="AH447" s="37" t="str">
        <f t="array" ref="AH447">_xlfn.IFS(LOWER(AG447)="n","no",LOWER(AG447)="y","yes",TRUE,LOWER(AG447))</f>
        <v>yes</v>
      </c>
      <c r="AI447" s="37" t="s">
        <v>4692</v>
      </c>
    </row>
    <row r="448" spans="1:35">
      <c r="A448" s="46" t="s">
        <v>1959</v>
      </c>
      <c r="B448" s="47">
        <v>45317</v>
      </c>
      <c r="C448" s="39">
        <f t="shared" si="96"/>
        <v>45317</v>
      </c>
      <c r="D448" s="48" t="s">
        <v>109</v>
      </c>
      <c r="E448" s="37" t="str" cm="1">
        <f t="array" ref="E448">_xlfn.IFS(D448="delhi","north",D448="mumbai","west",D448="bengaluru","south",D448="chennai","south",D448="kolkata","east",TRUE,"west")</f>
        <v>west</v>
      </c>
      <c r="F448" s="46" t="s">
        <v>122</v>
      </c>
      <c r="G448" s="37" t="str">
        <f t="shared" si="97"/>
        <v>delhivery</v>
      </c>
      <c r="H448" s="46" t="s">
        <v>195</v>
      </c>
      <c r="I448" s="37" t="str">
        <f t="shared" si="98"/>
        <v>road</v>
      </c>
      <c r="J448" s="46" t="s">
        <v>237</v>
      </c>
      <c r="K448" s="37" t="str">
        <f t="shared" si="99"/>
        <v>automotiveparts</v>
      </c>
      <c r="L448" s="46" t="s">
        <v>264</v>
      </c>
      <c r="M448" s="37" t="str">
        <f t="shared" si="100"/>
        <v>west</v>
      </c>
      <c r="N448" s="46" t="s">
        <v>278</v>
      </c>
      <c r="O448" s="41" t="str">
        <f t="shared" si="101"/>
        <v>Yes</v>
      </c>
      <c r="P448" s="49" t="s">
        <v>1176</v>
      </c>
      <c r="Q448" s="49">
        <v>325</v>
      </c>
      <c r="R448" s="42">
        <f t="shared" si="102"/>
        <v>16.9270833333333</v>
      </c>
      <c r="S448" s="46">
        <v>6</v>
      </c>
      <c r="T448" s="46" t="s">
        <v>1961</v>
      </c>
      <c r="U448" s="43" t="str">
        <f t="shared" si="103"/>
        <v>07/02/2024</v>
      </c>
      <c r="V448" s="43">
        <f t="shared" si="104"/>
        <v>45329</v>
      </c>
      <c r="W448" s="44">
        <f t="array" ref="W448">_xlfn.IFS(TRIM(C448)="","",TRIM(V448)="","",TRUE,V448-C448)</f>
        <v>12</v>
      </c>
      <c r="X448" s="37">
        <f t="shared" si="105"/>
        <v>6</v>
      </c>
      <c r="Y448" s="46" t="s">
        <v>143</v>
      </c>
      <c r="Z448" s="37" t="str">
        <f t="shared" si="106"/>
        <v>delayed</v>
      </c>
      <c r="AA448" s="37" t="str">
        <f t="shared" si="107"/>
        <v>Late</v>
      </c>
      <c r="AB448" s="37" t="str">
        <f t="shared" si="110"/>
        <v>1</v>
      </c>
      <c r="AC448" s="37">
        <f t="shared" si="111"/>
        <v>1</v>
      </c>
      <c r="AD448" s="45">
        <f t="shared" si="109"/>
        <v>0.5117903930131</v>
      </c>
      <c r="AE448" s="46">
        <v>5</v>
      </c>
      <c r="AF448" s="46" t="s">
        <v>191</v>
      </c>
      <c r="AG448" s="37" t="str">
        <f t="shared" si="108"/>
        <v>no</v>
      </c>
      <c r="AH448" s="37" t="str">
        <f t="array" ref="AH448">_xlfn.IFS(LOWER(AG448)="n","no",LOWER(AG448)="y","yes",TRUE,LOWER(AG448))</f>
        <v>no</v>
      </c>
      <c r="AI448" s="46" t="s">
        <v>4692</v>
      </c>
    </row>
    <row r="449" spans="1:35">
      <c r="A449" s="37" t="s">
        <v>1962</v>
      </c>
      <c r="B449" s="38" t="s">
        <v>4723</v>
      </c>
      <c r="C449" s="39">
        <f t="shared" si="96"/>
        <v>45409</v>
      </c>
      <c r="D449" s="40" t="s">
        <v>366</v>
      </c>
      <c r="E449" s="37" t="str" cm="1">
        <f t="array" ref="E449">_xlfn.IFS(D449="delhi","north",D449="mumbai","west",D449="bengaluru","south",D449="chennai","south",D449="kolkata","east",TRUE,"west")</f>
        <v>east</v>
      </c>
      <c r="F449" s="37" t="s">
        <v>270</v>
      </c>
      <c r="G449" s="37" t="str">
        <f t="shared" si="97"/>
        <v>ecomexpress</v>
      </c>
      <c r="H449" s="37" t="s">
        <v>110</v>
      </c>
      <c r="I449" s="37" t="str">
        <f t="shared" si="98"/>
        <v>surface</v>
      </c>
      <c r="J449" s="37" t="s">
        <v>385</v>
      </c>
      <c r="K449" s="37" t="str">
        <f t="shared" si="99"/>
        <v>furniture</v>
      </c>
      <c r="L449" s="37" t="s">
        <v>401</v>
      </c>
      <c r="M449" s="37" t="str">
        <f t="shared" si="100"/>
        <v>south</v>
      </c>
      <c r="N449" s="37" t="s">
        <v>54</v>
      </c>
      <c r="O449" s="41" t="str">
        <f t="shared" si="101"/>
        <v>Yes</v>
      </c>
      <c r="P449" s="41" t="s">
        <v>1963</v>
      </c>
      <c r="Q449" s="41" t="s">
        <v>1964</v>
      </c>
      <c r="R449" s="42">
        <f t="shared" si="102"/>
        <v>33.4355828220859</v>
      </c>
      <c r="S449" s="37">
        <v>6</v>
      </c>
      <c r="T449" s="37" t="s">
        <v>435</v>
      </c>
      <c r="U449" s="43" t="str">
        <f t="shared" si="103"/>
        <v>04-may-2024</v>
      </c>
      <c r="V449" s="43">
        <f t="shared" si="104"/>
        <v>45416</v>
      </c>
      <c r="W449" s="44">
        <f t="array" ref="W449">_xlfn.IFS(TRIM(C449)="","",TRIM(V449)="","",TRUE,V449-C449)</f>
        <v>7</v>
      </c>
      <c r="X449" s="37">
        <f t="shared" si="105"/>
        <v>1</v>
      </c>
      <c r="Y449" s="37" t="s">
        <v>72</v>
      </c>
      <c r="Z449" s="37" t="str">
        <f t="shared" si="106"/>
        <v>delayed</v>
      </c>
      <c r="AA449" s="37" t="str">
        <f t="shared" si="107"/>
        <v>Late</v>
      </c>
      <c r="AB449" s="37" t="str">
        <f t="shared" si="110"/>
        <v>1</v>
      </c>
      <c r="AC449" s="37">
        <f t="shared" si="111"/>
        <v>1</v>
      </c>
      <c r="AD449" s="45">
        <f t="shared" si="109"/>
        <v>0.511363636363636</v>
      </c>
      <c r="AE449" s="37">
        <v>3</v>
      </c>
      <c r="AF449" s="37" t="s">
        <v>106</v>
      </c>
      <c r="AG449" s="37" t="str">
        <f t="shared" si="108"/>
        <v>yes</v>
      </c>
      <c r="AH449" s="37" t="str">
        <f t="array" ref="AH449">_xlfn.IFS(LOWER(AG449)="n","no",LOWER(AG449)="y","yes",TRUE,LOWER(AG449))</f>
        <v>yes</v>
      </c>
      <c r="AI449" s="37" t="s">
        <v>4692</v>
      </c>
    </row>
    <row r="450" spans="1:35">
      <c r="A450" s="46" t="s">
        <v>1965</v>
      </c>
      <c r="B450" s="47" t="s">
        <v>4781</v>
      </c>
      <c r="C450" s="39">
        <f t="shared" ref="C450:C513" si="112">IF(ISNUMBER(B450),B450,DATE(RIGHT(TRIM(B450),4),MID(TRIM(B450),4,2),LEFT(TRIM(B450),2)))</f>
        <v>45335</v>
      </c>
      <c r="D450" s="48" t="s">
        <v>424</v>
      </c>
      <c r="E450" s="37" t="str" cm="1">
        <f t="array" ref="E450">_xlfn.IFS(D450="delhi","north",D450="mumbai","west",D450="bengaluru","south",D450="chennai","south",D450="kolkata","east",TRUE,"west")</f>
        <v>south</v>
      </c>
      <c r="F450" s="46" t="s">
        <v>37</v>
      </c>
      <c r="G450" s="37" t="str">
        <f t="shared" ref="G450:G513" si="113">SUBSTITUTE(LOWER(F450)," ","")</f>
        <v>bluedart</v>
      </c>
      <c r="H450" s="46" t="s">
        <v>137</v>
      </c>
      <c r="I450" s="37" t="str">
        <f t="shared" ref="I450:I513" si="114">SUBSTITUTE(LOWER(H450)," ","")</f>
        <v>road</v>
      </c>
      <c r="J450" s="46" t="s">
        <v>231</v>
      </c>
      <c r="K450" s="37" t="str">
        <f t="shared" ref="K450:K513" si="115">SUBSTITUTE(LOWER(J450)," ","")</f>
        <v>furniture</v>
      </c>
      <c r="L450" s="46" t="s">
        <v>168</v>
      </c>
      <c r="M450" s="37" t="str">
        <f t="shared" ref="M450:M513" si="116">SUBSTITUTE(LOWER(L450)," ","")</f>
        <v>west</v>
      </c>
      <c r="N450" s="46" t="s">
        <v>206</v>
      </c>
      <c r="O450" s="41" t="str">
        <f t="shared" ref="O450:O513" si="117">IF(OR(D450="",M450=""),"",IF(D450=M450,"No","Yes"))</f>
        <v>Yes</v>
      </c>
      <c r="P450" s="49">
        <v>42.3</v>
      </c>
      <c r="Q450" s="49">
        <v>743</v>
      </c>
      <c r="R450" s="42">
        <f t="shared" ref="R450:R513" si="118">IF(OR(Q450="",P450="",P450=0),"",Q450/P450)</f>
        <v>17.565011820331</v>
      </c>
      <c r="S450" s="46">
        <v>8</v>
      </c>
      <c r="T450" s="46" t="s">
        <v>1864</v>
      </c>
      <c r="U450" s="43" t="str">
        <f t="shared" ref="U450:U513" si="119">SUBSTITUTE(LOWER(T450)," ","")</f>
        <v>21/02/2024</v>
      </c>
      <c r="V450" s="43">
        <f t="shared" ref="V450:V513" si="120">DATEVALUE(TEXT(U450,"yyyy-mm-dd"))</f>
        <v>45343</v>
      </c>
      <c r="W450" s="44">
        <f t="array" ref="W450">_xlfn.IFS(TRIM(C450)="","",TRIM(V450)="","",TRUE,V450-C450)</f>
        <v>8</v>
      </c>
      <c r="X450" s="37">
        <f t="shared" ref="X450:X513" si="121">IF(OR(W450="",S450=""),"",W450-S450)</f>
        <v>0</v>
      </c>
      <c r="Y450" s="46" t="s">
        <v>163</v>
      </c>
      <c r="Z450" s="37" t="str">
        <f t="shared" ref="Z450:Z513" si="122">SUBSTITUTE(LOWER(Y450)," ","")</f>
        <v>delivered</v>
      </c>
      <c r="AA450" s="37" t="str">
        <f t="shared" ref="AA450:AA513" si="123">IF(Z450="In-Transit","N/A",IF(X450="","",IF(X450&gt;0,"Late","On Time")))</f>
        <v>On Time</v>
      </c>
      <c r="AB450" s="37" t="str">
        <f t="shared" si="110"/>
        <v>0</v>
      </c>
      <c r="AC450" s="37">
        <f t="shared" si="111"/>
        <v>0</v>
      </c>
      <c r="AD450" s="45">
        <f t="shared" si="109"/>
        <v>0.510936132983377</v>
      </c>
      <c r="AE450" s="46">
        <v>4</v>
      </c>
      <c r="AF450" s="46" t="s">
        <v>118</v>
      </c>
      <c r="AG450" s="37" t="str">
        <f t="shared" ref="AG450:AG513" si="124">SUBSTITUTE(LOWER(AF450)," ","")</f>
        <v>no</v>
      </c>
      <c r="AH450" s="37" t="str">
        <f t="array" ref="AH450">_xlfn.IFS(LOWER(AG450)="n","no",LOWER(AG450)="y","yes",TRUE,LOWER(AG450))</f>
        <v>no</v>
      </c>
      <c r="AI450" s="46" t="s">
        <v>4692</v>
      </c>
    </row>
    <row r="451" spans="1:35">
      <c r="A451" s="37" t="s">
        <v>1967</v>
      </c>
      <c r="B451" s="38" t="s">
        <v>4782</v>
      </c>
      <c r="C451" s="39">
        <f t="shared" si="112"/>
        <v>45438</v>
      </c>
      <c r="D451" s="40" t="s">
        <v>4699</v>
      </c>
      <c r="E451" s="37" t="str" cm="1">
        <f t="array" ref="E451">_xlfn.IFS(D451="delhi","north",D451="mumbai","west",D451="bengaluru","south",D451="chennai","south",D451="kolkata","east",TRUE,"west")</f>
        <v>west</v>
      </c>
      <c r="F451" s="37" t="s">
        <v>223</v>
      </c>
      <c r="G451" s="37" t="str">
        <f t="shared" si="113"/>
        <v>xpressbees</v>
      </c>
      <c r="H451" s="37" t="s">
        <v>123</v>
      </c>
      <c r="I451" s="37" t="str">
        <f t="shared" si="114"/>
        <v>air</v>
      </c>
      <c r="J451" s="37" t="s">
        <v>498</v>
      </c>
      <c r="K451" s="37" t="str">
        <f t="shared" si="115"/>
        <v>apparel</v>
      </c>
      <c r="L451" s="37" t="s">
        <v>139</v>
      </c>
      <c r="M451" s="37" t="str">
        <f t="shared" si="116"/>
        <v>north</v>
      </c>
      <c r="N451" s="37" t="s">
        <v>215</v>
      </c>
      <c r="O451" s="41" t="str">
        <f t="shared" si="117"/>
        <v>Yes</v>
      </c>
      <c r="P451" s="41">
        <v>6.3</v>
      </c>
      <c r="Q451" s="41">
        <v>486</v>
      </c>
      <c r="R451" s="42">
        <f t="shared" si="118"/>
        <v>77.1428571428571</v>
      </c>
      <c r="S451" s="37">
        <v>4</v>
      </c>
      <c r="T451" s="37" t="s">
        <v>1236</v>
      </c>
      <c r="U451" s="43" t="str">
        <f t="shared" si="119"/>
        <v>30-may-2024</v>
      </c>
      <c r="V451" s="43">
        <f t="shared" si="120"/>
        <v>45442</v>
      </c>
      <c r="W451" s="44">
        <f t="array" ref="W451">_xlfn.IFS(TRIM(C451)="","",TRIM(V451)="","",TRUE,V451-C451)</f>
        <v>4</v>
      </c>
      <c r="X451" s="37">
        <f t="shared" si="121"/>
        <v>0</v>
      </c>
      <c r="Y451" s="37" t="s">
        <v>117</v>
      </c>
      <c r="Z451" s="37" t="str">
        <f t="shared" si="122"/>
        <v>delivered</v>
      </c>
      <c r="AA451" s="37" t="str">
        <f t="shared" si="123"/>
        <v>On Time</v>
      </c>
      <c r="AB451" s="37" t="str">
        <f t="shared" si="110"/>
        <v>0</v>
      </c>
      <c r="AC451" s="37">
        <f t="shared" si="111"/>
        <v>0</v>
      </c>
      <c r="AD451" s="45">
        <f t="shared" ref="AD451:AD514" si="125">COUNTIF(AC451:AC2050,1)/COUNT(AC451:AC2050)</f>
        <v>0.51138353765324</v>
      </c>
      <c r="AE451" s="37">
        <v>5</v>
      </c>
      <c r="AF451" s="37" t="s">
        <v>181</v>
      </c>
      <c r="AG451" s="37" t="str">
        <f t="shared" si="124"/>
        <v>y</v>
      </c>
      <c r="AH451" s="37" t="str">
        <f t="array" ref="AH451">_xlfn.IFS(LOWER(AG451)="n","no",LOWER(AG451)="y","yes",TRUE,LOWER(AG451))</f>
        <v>yes</v>
      </c>
      <c r="AI451" s="37" t="s">
        <v>4692</v>
      </c>
    </row>
    <row r="452" spans="1:35">
      <c r="A452" s="46" t="s">
        <v>1970</v>
      </c>
      <c r="B452" s="47">
        <v>45307</v>
      </c>
      <c r="C452" s="39">
        <f t="shared" si="112"/>
        <v>45307</v>
      </c>
      <c r="D452" s="48" t="s">
        <v>166</v>
      </c>
      <c r="E452" s="37" t="str" cm="1">
        <f t="array" ref="E452">_xlfn.IFS(D452="delhi","north",D452="mumbai","west",D452="bengaluru","south",D452="chennai","south",D452="kolkata","east",TRUE,"west")</f>
        <v>west</v>
      </c>
      <c r="F452" s="46" t="s">
        <v>156</v>
      </c>
      <c r="G452" s="37" t="str">
        <f t="shared" si="113"/>
        <v>xpressbees</v>
      </c>
      <c r="H452" s="46" t="s">
        <v>244</v>
      </c>
      <c r="I452" s="37" t="str">
        <f t="shared" si="114"/>
        <v>air</v>
      </c>
      <c r="J452" s="46" t="s">
        <v>205</v>
      </c>
      <c r="K452" s="37" t="str">
        <f t="shared" si="115"/>
        <v>furniture</v>
      </c>
      <c r="L452" s="46" t="s">
        <v>334</v>
      </c>
      <c r="M452" s="37" t="str">
        <f t="shared" si="116"/>
        <v>north</v>
      </c>
      <c r="N452" s="46" t="s">
        <v>32</v>
      </c>
      <c r="O452" s="41" t="str">
        <f t="shared" si="117"/>
        <v>Yes</v>
      </c>
      <c r="P452" s="49">
        <v>58</v>
      </c>
      <c r="Q452" s="49" t="s">
        <v>1973</v>
      </c>
      <c r="R452" s="42">
        <f t="shared" si="118"/>
        <v>47.7413793103448</v>
      </c>
      <c r="S452" s="46">
        <v>4</v>
      </c>
      <c r="T452" s="46" t="s">
        <v>967</v>
      </c>
      <c r="U452" s="43" t="str">
        <f t="shared" si="119"/>
        <v>2024-01-20</v>
      </c>
      <c r="V452" s="43">
        <f t="shared" si="120"/>
        <v>45311</v>
      </c>
      <c r="W452" s="44">
        <f t="array" ref="W452">_xlfn.IFS(TRIM(C452)="","",TRIM(V452)="","",TRUE,V452-C452)</f>
        <v>4</v>
      </c>
      <c r="X452" s="37">
        <f t="shared" si="121"/>
        <v>0</v>
      </c>
      <c r="Y452" s="46" t="s">
        <v>163</v>
      </c>
      <c r="Z452" s="37" t="str">
        <f t="shared" si="122"/>
        <v>delivered</v>
      </c>
      <c r="AA452" s="37" t="str">
        <f t="shared" si="123"/>
        <v>On Time</v>
      </c>
      <c r="AB452" s="37" t="str">
        <f t="shared" si="110"/>
        <v>0</v>
      </c>
      <c r="AC452" s="37">
        <f t="shared" si="111"/>
        <v>0</v>
      </c>
      <c r="AD452" s="45">
        <f t="shared" si="125"/>
        <v>0.511831726555653</v>
      </c>
      <c r="AE452" s="46">
        <v>4</v>
      </c>
      <c r="AF452" s="46" t="s">
        <v>79</v>
      </c>
      <c r="AG452" s="37" t="str">
        <f t="shared" si="124"/>
        <v>yes</v>
      </c>
      <c r="AH452" s="37" t="str">
        <f t="array" ref="AH452">_xlfn.IFS(LOWER(AG452)="n","no",LOWER(AG452)="y","yes",TRUE,LOWER(AG452))</f>
        <v>yes</v>
      </c>
      <c r="AI452" s="46" t="s">
        <v>4692</v>
      </c>
    </row>
    <row r="453" spans="1:35">
      <c r="A453" s="37" t="s">
        <v>1974</v>
      </c>
      <c r="B453" s="38">
        <v>45455</v>
      </c>
      <c r="C453" s="39">
        <f t="shared" si="112"/>
        <v>45455</v>
      </c>
      <c r="D453" s="40" t="s">
        <v>633</v>
      </c>
      <c r="E453" s="37" t="str" cm="1">
        <f t="array" ref="E453">_xlfn.IFS(D453="delhi","north",D453="mumbai","west",D453="bengaluru","south",D453="chennai","south",D453="kolkata","east",TRUE,"west")</f>
        <v>south</v>
      </c>
      <c r="F453" s="37" t="s">
        <v>37</v>
      </c>
      <c r="G453" s="37" t="str">
        <f t="shared" si="113"/>
        <v>bluedart</v>
      </c>
      <c r="H453" s="37" t="s">
        <v>147</v>
      </c>
      <c r="I453" s="37" t="str">
        <f t="shared" si="114"/>
        <v>road</v>
      </c>
      <c r="J453" s="37" t="s">
        <v>177</v>
      </c>
      <c r="K453" s="37" t="str">
        <f t="shared" si="115"/>
        <v>pharma</v>
      </c>
      <c r="L453" s="37" t="s">
        <v>87</v>
      </c>
      <c r="M453" s="37" t="str">
        <f t="shared" si="116"/>
        <v>north</v>
      </c>
      <c r="N453" s="37" t="s">
        <v>32</v>
      </c>
      <c r="O453" s="41" t="str">
        <f t="shared" si="117"/>
        <v>Yes</v>
      </c>
      <c r="P453" s="41">
        <v>3.3</v>
      </c>
      <c r="Q453" s="41">
        <v>222</v>
      </c>
      <c r="R453" s="42">
        <f t="shared" si="118"/>
        <v>67.2727272727273</v>
      </c>
      <c r="S453" s="37">
        <v>8</v>
      </c>
      <c r="T453" s="37" t="s">
        <v>1127</v>
      </c>
      <c r="U453" s="43" t="str">
        <f t="shared" si="119"/>
        <v>20/06/2024</v>
      </c>
      <c r="V453" s="43">
        <f t="shared" si="120"/>
        <v>45463</v>
      </c>
      <c r="W453" s="44">
        <f t="array" ref="W453">_xlfn.IFS(TRIM(C453)="","",TRIM(V453)="","",TRUE,V453-C453)</f>
        <v>8</v>
      </c>
      <c r="X453" s="37">
        <f t="shared" si="121"/>
        <v>0</v>
      </c>
      <c r="Y453" s="37" t="s">
        <v>219</v>
      </c>
      <c r="Z453" s="37" t="str">
        <f t="shared" si="122"/>
        <v>delivered</v>
      </c>
      <c r="AA453" s="37" t="str">
        <f t="shared" si="123"/>
        <v>On Time</v>
      </c>
      <c r="AB453" s="37" t="str">
        <f t="shared" si="110"/>
        <v>0</v>
      </c>
      <c r="AC453" s="37">
        <f t="shared" si="111"/>
        <v>0</v>
      </c>
      <c r="AD453" s="45">
        <f t="shared" si="125"/>
        <v>0.512280701754386</v>
      </c>
      <c r="AE453" s="37">
        <v>4</v>
      </c>
      <c r="AF453" s="37" t="s">
        <v>286</v>
      </c>
      <c r="AG453" s="37" t="str">
        <f t="shared" si="124"/>
        <v>yes</v>
      </c>
      <c r="AH453" s="37" t="str">
        <f t="array" ref="AH453">_xlfn.IFS(LOWER(AG453)="n","no",LOWER(AG453)="y","yes",TRUE,LOWER(AG453))</f>
        <v>yes</v>
      </c>
      <c r="AI453" s="37" t="s">
        <v>4692</v>
      </c>
    </row>
    <row r="454" spans="1:35">
      <c r="A454" s="46" t="s">
        <v>1976</v>
      </c>
      <c r="B454" s="47">
        <v>45306</v>
      </c>
      <c r="C454" s="39">
        <f t="shared" si="112"/>
        <v>45306</v>
      </c>
      <c r="D454" s="48" t="s">
        <v>222</v>
      </c>
      <c r="E454" s="37" t="str" cm="1">
        <f t="array" ref="E454">_xlfn.IFS(D454="delhi","north",D454="mumbai","west",D454="bengaluru","south",D454="chennai","south",D454="kolkata","east",TRUE,"west")</f>
        <v>west</v>
      </c>
      <c r="F454" s="46" t="s">
        <v>919</v>
      </c>
      <c r="G454" s="37" t="str">
        <f t="shared" si="113"/>
        <v>xpressbees</v>
      </c>
      <c r="H454" s="46" t="s">
        <v>110</v>
      </c>
      <c r="I454" s="37" t="str">
        <f t="shared" si="114"/>
        <v>surface</v>
      </c>
      <c r="J454" s="46" t="s">
        <v>138</v>
      </c>
      <c r="K454" s="37" t="str">
        <f t="shared" si="115"/>
        <v>apparel</v>
      </c>
      <c r="L454" s="46" t="s">
        <v>418</v>
      </c>
      <c r="M454" s="37" t="str">
        <f t="shared" si="116"/>
        <v>south</v>
      </c>
      <c r="N454" s="46" t="s">
        <v>93</v>
      </c>
      <c r="O454" s="41" t="str">
        <f t="shared" si="117"/>
        <v>Yes</v>
      </c>
      <c r="P454" s="49">
        <v>1.7</v>
      </c>
      <c r="Q454" s="49">
        <v>185</v>
      </c>
      <c r="R454" s="42">
        <f t="shared" si="118"/>
        <v>108.823529411765</v>
      </c>
      <c r="S454" s="46">
        <v>6</v>
      </c>
      <c r="T454" s="46" t="s">
        <v>96</v>
      </c>
      <c r="U454" s="43" t="str">
        <f t="shared" si="119"/>
        <v>22/01/2024</v>
      </c>
      <c r="V454" s="43">
        <f t="shared" si="120"/>
        <v>45313</v>
      </c>
      <c r="W454" s="44">
        <f t="array" ref="W454">_xlfn.IFS(TRIM(C454)="","",TRIM(V454)="","",TRUE,V454-C454)</f>
        <v>7</v>
      </c>
      <c r="X454" s="37">
        <f t="shared" si="121"/>
        <v>1</v>
      </c>
      <c r="Y454" s="46" t="s">
        <v>72</v>
      </c>
      <c r="Z454" s="37" t="str">
        <f t="shared" si="122"/>
        <v>delayed</v>
      </c>
      <c r="AA454" s="37" t="str">
        <f t="shared" si="123"/>
        <v>Late</v>
      </c>
      <c r="AB454" s="37" t="str">
        <f t="shared" ref="AB454:AB517" si="126">IF(Z454="In-Transit","N/A",IF(X454="","",IF(X454&gt;0,"1","0")))</f>
        <v>1</v>
      </c>
      <c r="AC454" s="37">
        <f t="shared" si="111"/>
        <v>1</v>
      </c>
      <c r="AD454" s="45">
        <f t="shared" si="125"/>
        <v>0.512730465320457</v>
      </c>
      <c r="AE454" s="46">
        <v>4</v>
      </c>
      <c r="AF454" s="46" t="s">
        <v>131</v>
      </c>
      <c r="AG454" s="37" t="str">
        <f t="shared" si="124"/>
        <v>n</v>
      </c>
      <c r="AH454" s="37" t="str">
        <f t="array" ref="AH454">_xlfn.IFS(LOWER(AG454)="n","no",LOWER(AG454)="y","yes",TRUE,LOWER(AG454))</f>
        <v>no</v>
      </c>
      <c r="AI454" s="46" t="s">
        <v>4692</v>
      </c>
    </row>
    <row r="455" spans="1:35">
      <c r="A455" s="37" t="s">
        <v>1977</v>
      </c>
      <c r="B455" s="38">
        <v>45294</v>
      </c>
      <c r="C455" s="39">
        <f t="shared" si="112"/>
        <v>45294</v>
      </c>
      <c r="D455" s="40" t="s">
        <v>212</v>
      </c>
      <c r="E455" s="37" t="str" cm="1">
        <f t="array" ref="E455">_xlfn.IFS(D455="delhi","north",D455="mumbai","west",D455="bengaluru","south",D455="chennai","south",D455="kolkata","east",TRUE,"west")</f>
        <v>west</v>
      </c>
      <c r="F455" s="37" t="s">
        <v>544</v>
      </c>
      <c r="G455" s="37" t="str">
        <f t="shared" si="113"/>
        <v>bluedart</v>
      </c>
      <c r="H455" s="37" t="s">
        <v>195</v>
      </c>
      <c r="I455" s="37" t="str">
        <f t="shared" si="114"/>
        <v>road</v>
      </c>
      <c r="J455" s="37" t="s">
        <v>214</v>
      </c>
      <c r="K455" s="37" t="str">
        <f t="shared" si="115"/>
        <v>grocery&amp;fmcg</v>
      </c>
      <c r="L455" s="37" t="s">
        <v>87</v>
      </c>
      <c r="M455" s="37" t="str">
        <f t="shared" si="116"/>
        <v>north</v>
      </c>
      <c r="N455" s="37" t="s">
        <v>113</v>
      </c>
      <c r="O455" s="41" t="str">
        <f t="shared" si="117"/>
        <v>Yes</v>
      </c>
      <c r="P455" s="41" t="s">
        <v>1231</v>
      </c>
      <c r="Q455" s="41" t="s">
        <v>1979</v>
      </c>
      <c r="R455" s="42">
        <f t="shared" si="118"/>
        <v>23.6363636363636</v>
      </c>
      <c r="S455" s="37">
        <v>8</v>
      </c>
      <c r="T455" s="37" t="s">
        <v>1085</v>
      </c>
      <c r="U455" s="43" t="str">
        <f t="shared" si="119"/>
        <v>11-jan-2024</v>
      </c>
      <c r="V455" s="43">
        <f t="shared" si="120"/>
        <v>45302</v>
      </c>
      <c r="W455" s="44">
        <f t="array" ref="W455">_xlfn.IFS(TRIM(C455)="","",TRIM(V455)="","",TRUE,V455-C455)</f>
        <v>8</v>
      </c>
      <c r="X455" s="37">
        <f t="shared" si="121"/>
        <v>0</v>
      </c>
      <c r="Y455" s="37" t="s">
        <v>117</v>
      </c>
      <c r="Z455" s="37" t="str">
        <f t="shared" si="122"/>
        <v>delivered</v>
      </c>
      <c r="AA455" s="37" t="str">
        <f t="shared" si="123"/>
        <v>On Time</v>
      </c>
      <c r="AB455" s="37" t="str">
        <f t="shared" si="126"/>
        <v>0</v>
      </c>
      <c r="AC455" s="37">
        <f t="shared" ref="AC455:AC518" si="127">IF(TRIM(AB455&amp;"")="","",VALUE(TRIM(AB455&amp;"")))</f>
        <v>0</v>
      </c>
      <c r="AD455" s="45">
        <f t="shared" si="125"/>
        <v>0.512302284710018</v>
      </c>
      <c r="AE455" s="37">
        <v>4</v>
      </c>
      <c r="AF455" s="37" t="s">
        <v>152</v>
      </c>
      <c r="AG455" s="37" t="str">
        <f t="shared" si="124"/>
        <v>no</v>
      </c>
      <c r="AH455" s="37" t="str">
        <f t="array" ref="AH455">_xlfn.IFS(LOWER(AG455)="n","no",LOWER(AG455)="y","yes",TRUE,LOWER(AG455))</f>
        <v>no</v>
      </c>
      <c r="AI455" s="37" t="s">
        <v>4692</v>
      </c>
    </row>
    <row r="456" spans="1:35">
      <c r="A456" s="46" t="s">
        <v>1980</v>
      </c>
      <c r="B456" s="47">
        <v>45296</v>
      </c>
      <c r="C456" s="39">
        <f t="shared" si="112"/>
        <v>45296</v>
      </c>
      <c r="D456" s="48" t="s">
        <v>109</v>
      </c>
      <c r="E456" s="37" t="str" cm="1">
        <f t="array" ref="E456">_xlfn.IFS(D456="delhi","north",D456="mumbai","west",D456="bengaluru","south",D456="chennai","south",D456="kolkata","east",TRUE,"west")</f>
        <v>west</v>
      </c>
      <c r="F456" s="46" t="s">
        <v>312</v>
      </c>
      <c r="G456" s="37" t="str">
        <f t="shared" si="113"/>
        <v>bluedart</v>
      </c>
      <c r="H456" s="46" t="s">
        <v>137</v>
      </c>
      <c r="I456" s="37" t="str">
        <f t="shared" si="114"/>
        <v>road</v>
      </c>
      <c r="J456" s="46" t="s">
        <v>167</v>
      </c>
      <c r="K456" s="37" t="str">
        <f t="shared" si="115"/>
        <v>pharma</v>
      </c>
      <c r="L456" s="46" t="s">
        <v>92</v>
      </c>
      <c r="M456" s="37" t="str">
        <f t="shared" si="116"/>
        <v>east</v>
      </c>
      <c r="N456" s="46" t="s">
        <v>91</v>
      </c>
      <c r="O456" s="41" t="str">
        <f t="shared" si="117"/>
        <v>Yes</v>
      </c>
      <c r="P456" s="49" t="s">
        <v>1326</v>
      </c>
      <c r="Q456" s="49">
        <v>163</v>
      </c>
      <c r="R456" s="42">
        <f t="shared" si="118"/>
        <v>74.0909090909091</v>
      </c>
      <c r="S456" s="46">
        <v>8</v>
      </c>
      <c r="T456" s="46" t="s">
        <v>142</v>
      </c>
      <c r="U456" s="43" t="str">
        <f t="shared" si="119"/>
        <v>22-jan-2024</v>
      </c>
      <c r="V456" s="43">
        <f t="shared" si="120"/>
        <v>45313</v>
      </c>
      <c r="W456" s="44">
        <f t="array" ref="W456">_xlfn.IFS(TRIM(C456)="","",TRIM(V456)="","",TRUE,V456-C456)</f>
        <v>17</v>
      </c>
      <c r="X456" s="37">
        <f t="shared" si="121"/>
        <v>9</v>
      </c>
      <c r="Y456" s="46" t="s">
        <v>72</v>
      </c>
      <c r="Z456" s="37" t="str">
        <f t="shared" si="122"/>
        <v>delayed</v>
      </c>
      <c r="AA456" s="37" t="str">
        <f t="shared" si="123"/>
        <v>Late</v>
      </c>
      <c r="AB456" s="37" t="str">
        <f t="shared" si="126"/>
        <v>1</v>
      </c>
      <c r="AC456" s="37">
        <f t="shared" si="127"/>
        <v>1</v>
      </c>
      <c r="AD456" s="45">
        <f t="shared" si="125"/>
        <v>0.512752858399296</v>
      </c>
      <c r="AE456" s="46">
        <v>3</v>
      </c>
      <c r="AF456" s="46" t="s">
        <v>118</v>
      </c>
      <c r="AG456" s="37" t="str">
        <f t="shared" si="124"/>
        <v>no</v>
      </c>
      <c r="AH456" s="37" t="str">
        <f t="array" ref="AH456">_xlfn.IFS(LOWER(AG456)="n","no",LOWER(AG456)="y","yes",TRUE,LOWER(AG456))</f>
        <v>no</v>
      </c>
      <c r="AI456" s="46" t="s">
        <v>4692</v>
      </c>
    </row>
    <row r="457" spans="1:35">
      <c r="A457" s="37" t="s">
        <v>1982</v>
      </c>
      <c r="B457" s="38" t="s">
        <v>4783</v>
      </c>
      <c r="C457" s="39">
        <f t="shared" si="112"/>
        <v>45366</v>
      </c>
      <c r="D457" s="40" t="s">
        <v>633</v>
      </c>
      <c r="E457" s="37" t="str" cm="1">
        <f t="array" ref="E457">_xlfn.IFS(D457="delhi","north",D457="mumbai","west",D457="bengaluru","south",D457="chennai","south",D457="kolkata","east",TRUE,"west")</f>
        <v>south</v>
      </c>
      <c r="F457" s="37" t="s">
        <v>270</v>
      </c>
      <c r="G457" s="37" t="str">
        <f t="shared" si="113"/>
        <v>ecomexpress</v>
      </c>
      <c r="H457" s="37" t="s">
        <v>157</v>
      </c>
      <c r="I457" s="37" t="str">
        <f t="shared" si="114"/>
        <v>surface</v>
      </c>
      <c r="J457" s="37" t="s">
        <v>1701</v>
      </c>
      <c r="K457" s="37" t="str">
        <f t="shared" si="115"/>
        <v>grocery&amp;fmcg</v>
      </c>
      <c r="L457" s="37" t="s">
        <v>168</v>
      </c>
      <c r="M457" s="37" t="str">
        <f t="shared" si="116"/>
        <v>west</v>
      </c>
      <c r="N457" s="37" t="s">
        <v>88</v>
      </c>
      <c r="O457" s="41" t="str">
        <f t="shared" si="117"/>
        <v>Yes</v>
      </c>
      <c r="P457" s="41">
        <v>12.5</v>
      </c>
      <c r="Q457" s="41" t="s">
        <v>1983</v>
      </c>
      <c r="R457" s="42">
        <f t="shared" si="118"/>
        <v>33.36</v>
      </c>
      <c r="S457" s="37">
        <v>6</v>
      </c>
      <c r="T457" s="37" t="s">
        <v>1984</v>
      </c>
      <c r="U457" s="43" t="str">
        <f t="shared" si="119"/>
        <v>20-mar-2024</v>
      </c>
      <c r="V457" s="43">
        <f t="shared" si="120"/>
        <v>45371</v>
      </c>
      <c r="W457" s="44">
        <f t="array" ref="W457">_xlfn.IFS(TRIM(C457)="","",TRIM(V457)="","",TRUE,V457-C457)</f>
        <v>5</v>
      </c>
      <c r="X457" s="37">
        <f t="shared" si="121"/>
        <v>-1</v>
      </c>
      <c r="Y457" s="37" t="s">
        <v>163</v>
      </c>
      <c r="Z457" s="37" t="str">
        <f t="shared" si="122"/>
        <v>delivered</v>
      </c>
      <c r="AA457" s="37" t="str">
        <f t="shared" si="123"/>
        <v>On Time</v>
      </c>
      <c r="AB457" s="37" t="str">
        <f t="shared" si="126"/>
        <v>0</v>
      </c>
      <c r="AC457" s="37">
        <f t="shared" si="127"/>
        <v>0</v>
      </c>
      <c r="AD457" s="45">
        <f t="shared" si="125"/>
        <v>0.512323943661972</v>
      </c>
      <c r="AE457" s="37">
        <v>3</v>
      </c>
      <c r="AF457" s="37" t="s">
        <v>152</v>
      </c>
      <c r="AG457" s="37" t="str">
        <f t="shared" si="124"/>
        <v>no</v>
      </c>
      <c r="AH457" s="37" t="str">
        <f t="array" ref="AH457">_xlfn.IFS(LOWER(AG457)="n","no",LOWER(AG457)="y","yes",TRUE,LOWER(AG457))</f>
        <v>no</v>
      </c>
      <c r="AI457" s="37" t="s">
        <v>4692</v>
      </c>
    </row>
    <row r="458" spans="1:35">
      <c r="A458" s="46" t="s">
        <v>1985</v>
      </c>
      <c r="B458" s="47" t="s">
        <v>4746</v>
      </c>
      <c r="C458" s="39">
        <f t="shared" si="112"/>
        <v>45406</v>
      </c>
      <c r="D458" s="48" t="s">
        <v>633</v>
      </c>
      <c r="E458" s="37" t="str" cm="1">
        <f t="array" ref="E458">_xlfn.IFS(D458="delhi","north",D458="mumbai","west",D458="bengaluru","south",D458="chennai","south",D458="kolkata","east",TRUE,"west")</f>
        <v>south</v>
      </c>
      <c r="F458" s="46" t="s">
        <v>352</v>
      </c>
      <c r="G458" s="37" t="str">
        <f t="shared" si="113"/>
        <v>delhivery</v>
      </c>
      <c r="H458" s="46" t="s">
        <v>224</v>
      </c>
      <c r="I458" s="37" t="str">
        <f t="shared" si="114"/>
        <v>air</v>
      </c>
      <c r="J458" s="46" t="s">
        <v>319</v>
      </c>
      <c r="K458" s="37" t="str">
        <f t="shared" si="115"/>
        <v>electronics</v>
      </c>
      <c r="L458" s="46" t="s">
        <v>418</v>
      </c>
      <c r="M458" s="37" t="str">
        <f t="shared" si="116"/>
        <v>south</v>
      </c>
      <c r="N458" s="46" t="s">
        <v>93</v>
      </c>
      <c r="O458" s="41" t="str">
        <f t="shared" si="117"/>
        <v>Yes</v>
      </c>
      <c r="P458" s="49">
        <v>14.3</v>
      </c>
      <c r="Q458" s="49">
        <v>671</v>
      </c>
      <c r="R458" s="42">
        <f t="shared" si="118"/>
        <v>46.9230769230769</v>
      </c>
      <c r="S458" s="46">
        <v>2</v>
      </c>
      <c r="T458" s="46" t="s">
        <v>918</v>
      </c>
      <c r="U458" s="43" t="str">
        <f t="shared" si="119"/>
        <v>27/04/2024</v>
      </c>
      <c r="V458" s="43">
        <f t="shared" si="120"/>
        <v>45409</v>
      </c>
      <c r="W458" s="44">
        <f t="array" ref="W458">_xlfn.IFS(TRIM(C458)="","",TRIM(V458)="","",TRUE,V458-C458)</f>
        <v>3</v>
      </c>
      <c r="X458" s="37">
        <f t="shared" si="121"/>
        <v>1</v>
      </c>
      <c r="Y458" s="46" t="s">
        <v>817</v>
      </c>
      <c r="Z458" s="37" t="str">
        <f t="shared" si="122"/>
        <v>returned</v>
      </c>
      <c r="AA458" s="37" t="str">
        <f t="shared" si="123"/>
        <v>Late</v>
      </c>
      <c r="AB458" s="37" t="str">
        <f t="shared" si="126"/>
        <v>1</v>
      </c>
      <c r="AC458" s="37">
        <f t="shared" si="127"/>
        <v>1</v>
      </c>
      <c r="AD458" s="45">
        <f t="shared" si="125"/>
        <v>0.512775330396476</v>
      </c>
      <c r="AE458" s="46"/>
      <c r="AF458" s="46" t="s">
        <v>181</v>
      </c>
      <c r="AG458" s="37" t="str">
        <f t="shared" si="124"/>
        <v>y</v>
      </c>
      <c r="AH458" s="37" t="str">
        <f t="array" ref="AH458">_xlfn.IFS(LOWER(AG458)="n","no",LOWER(AG458)="y","yes",TRUE,LOWER(AG458))</f>
        <v>yes</v>
      </c>
      <c r="AI458" s="46" t="s">
        <v>625</v>
      </c>
    </row>
    <row r="459" spans="1:35">
      <c r="A459" s="37" t="s">
        <v>1988</v>
      </c>
      <c r="B459" s="38">
        <v>45378</v>
      </c>
      <c r="C459" s="39">
        <f t="shared" si="112"/>
        <v>45378</v>
      </c>
      <c r="D459" s="40" t="s">
        <v>4694</v>
      </c>
      <c r="E459" s="37" t="str" cm="1">
        <f t="array" ref="E459">_xlfn.IFS(D459="delhi","north",D459="mumbai","west",D459="bengaluru","south",D459="chennai","south",D459="kolkata","east",TRUE,"west")</f>
        <v>west</v>
      </c>
      <c r="F459" s="37" t="s">
        <v>919</v>
      </c>
      <c r="G459" s="37" t="str">
        <f t="shared" si="113"/>
        <v>xpressbees</v>
      </c>
      <c r="H459" s="37" t="s">
        <v>345</v>
      </c>
      <c r="I459" s="37" t="str">
        <f t="shared" si="114"/>
        <v>surface</v>
      </c>
      <c r="J459" s="37" t="s">
        <v>582</v>
      </c>
      <c r="K459" s="37" t="str">
        <f t="shared" si="115"/>
        <v>grocery&amp;fmcg</v>
      </c>
      <c r="L459" s="37" t="s">
        <v>89</v>
      </c>
      <c r="M459" s="37" t="str">
        <f t="shared" si="116"/>
        <v>west</v>
      </c>
      <c r="N459" s="37" t="s">
        <v>206</v>
      </c>
      <c r="O459" s="41" t="str">
        <f t="shared" si="117"/>
        <v>Yes</v>
      </c>
      <c r="P459" s="41">
        <v>2.9</v>
      </c>
      <c r="Q459" s="41">
        <v>190</v>
      </c>
      <c r="R459" s="42">
        <f t="shared" si="118"/>
        <v>65.5172413793103</v>
      </c>
      <c r="S459" s="37">
        <v>6</v>
      </c>
      <c r="T459" s="37" t="s">
        <v>1991</v>
      </c>
      <c r="U459" s="43" t="str">
        <f t="shared" si="119"/>
        <v>2024-04-01</v>
      </c>
      <c r="V459" s="43">
        <f t="shared" si="120"/>
        <v>45383</v>
      </c>
      <c r="W459" s="44">
        <f t="array" ref="W459">_xlfn.IFS(TRIM(C459)="","",TRIM(V459)="","",TRUE,V459-C459)</f>
        <v>5</v>
      </c>
      <c r="X459" s="37">
        <f t="shared" si="121"/>
        <v>-1</v>
      </c>
      <c r="Y459" s="37" t="s">
        <v>219</v>
      </c>
      <c r="Z459" s="37" t="str">
        <f t="shared" si="122"/>
        <v>delivered</v>
      </c>
      <c r="AA459" s="37" t="str">
        <f t="shared" si="123"/>
        <v>On Time</v>
      </c>
      <c r="AB459" s="37" t="str">
        <f t="shared" si="126"/>
        <v>0</v>
      </c>
      <c r="AC459" s="37">
        <f t="shared" si="127"/>
        <v>0</v>
      </c>
      <c r="AD459" s="45">
        <f t="shared" si="125"/>
        <v>0.512345679012346</v>
      </c>
      <c r="AE459" s="37">
        <v>4</v>
      </c>
      <c r="AF459" s="37" t="s">
        <v>152</v>
      </c>
      <c r="AG459" s="37" t="str">
        <f t="shared" si="124"/>
        <v>no</v>
      </c>
      <c r="AH459" s="37" t="str">
        <f t="array" ref="AH459">_xlfn.IFS(LOWER(AG459)="n","no",LOWER(AG459)="y","yes",TRUE,LOWER(AG459))</f>
        <v>no</v>
      </c>
      <c r="AI459" s="37" t="s">
        <v>4692</v>
      </c>
    </row>
    <row r="460" spans="1:35">
      <c r="A460" s="46" t="s">
        <v>1992</v>
      </c>
      <c r="B460" s="47" t="s">
        <v>4733</v>
      </c>
      <c r="C460" s="39">
        <f t="shared" si="112"/>
        <v>45356</v>
      </c>
      <c r="D460" s="48" t="s">
        <v>366</v>
      </c>
      <c r="E460" s="37" t="str" cm="1">
        <f t="array" ref="E460">_xlfn.IFS(D460="delhi","north",D460="mumbai","west",D460="bengaluru","south",D460="chennai","south",D460="kolkata","east",TRUE,"west")</f>
        <v>east</v>
      </c>
      <c r="F460" s="46" t="s">
        <v>122</v>
      </c>
      <c r="G460" s="37" t="str">
        <f t="shared" si="113"/>
        <v>delhivery</v>
      </c>
      <c r="H460" s="46" t="s">
        <v>110</v>
      </c>
      <c r="I460" s="37" t="str">
        <f t="shared" si="114"/>
        <v>surface</v>
      </c>
      <c r="J460" s="46" t="s">
        <v>271</v>
      </c>
      <c r="K460" s="37" t="str">
        <f t="shared" si="115"/>
        <v>electronics</v>
      </c>
      <c r="L460" s="46" t="s">
        <v>334</v>
      </c>
      <c r="M460" s="37" t="str">
        <f t="shared" si="116"/>
        <v>north</v>
      </c>
      <c r="N460" s="46" t="s">
        <v>113</v>
      </c>
      <c r="O460" s="41" t="str">
        <f t="shared" si="117"/>
        <v>Yes</v>
      </c>
      <c r="P460" s="49">
        <v>1.4</v>
      </c>
      <c r="Q460" s="49" t="s">
        <v>1994</v>
      </c>
      <c r="R460" s="42">
        <f t="shared" si="118"/>
        <v>143.571428571429</v>
      </c>
      <c r="S460" s="46">
        <v>6</v>
      </c>
      <c r="T460" s="46" t="s">
        <v>1377</v>
      </c>
      <c r="U460" s="43" t="str">
        <f t="shared" si="119"/>
        <v>12/03/2024</v>
      </c>
      <c r="V460" s="43">
        <f t="shared" si="120"/>
        <v>45363</v>
      </c>
      <c r="W460" s="44">
        <f t="array" ref="W460">_xlfn.IFS(TRIM(C460)="","",TRIM(V460)="","",TRUE,V460-C460)</f>
        <v>7</v>
      </c>
      <c r="X460" s="37">
        <f t="shared" si="121"/>
        <v>1</v>
      </c>
      <c r="Y460" s="46" t="s">
        <v>1513</v>
      </c>
      <c r="Z460" s="37" t="str">
        <f t="shared" si="122"/>
        <v>damaged</v>
      </c>
      <c r="AA460" s="37" t="str">
        <f t="shared" si="123"/>
        <v>Late</v>
      </c>
      <c r="AB460" s="37" t="str">
        <f t="shared" si="126"/>
        <v>1</v>
      </c>
      <c r="AC460" s="37">
        <f t="shared" si="127"/>
        <v>1</v>
      </c>
      <c r="AD460" s="45">
        <f t="shared" si="125"/>
        <v>0.512797881729921</v>
      </c>
      <c r="AE460" s="46"/>
      <c r="AF460" s="46" t="s">
        <v>152</v>
      </c>
      <c r="AG460" s="37" t="str">
        <f t="shared" si="124"/>
        <v>no</v>
      </c>
      <c r="AH460" s="37" t="str">
        <f t="array" ref="AH460">_xlfn.IFS(LOWER(AG460)="n","no",LOWER(AG460)="y","yes",TRUE,LOWER(AG460))</f>
        <v>no</v>
      </c>
      <c r="AI460" s="46" t="s">
        <v>759</v>
      </c>
    </row>
    <row r="461" spans="1:35">
      <c r="A461" s="37" t="s">
        <v>1995</v>
      </c>
      <c r="B461" s="38">
        <v>45328</v>
      </c>
      <c r="C461" s="39">
        <f t="shared" si="112"/>
        <v>45328</v>
      </c>
      <c r="D461" s="40" t="s">
        <v>212</v>
      </c>
      <c r="E461" s="37" t="str" cm="1">
        <f t="array" ref="E461">_xlfn.IFS(D461="delhi","north",D461="mumbai","west",D461="bengaluru","south",D461="chennai","south",D461="kolkata","east",TRUE,"west")</f>
        <v>west</v>
      </c>
      <c r="F461" s="37" t="s">
        <v>312</v>
      </c>
      <c r="G461" s="37" t="str">
        <f t="shared" si="113"/>
        <v>bluedart</v>
      </c>
      <c r="H461" s="37" t="s">
        <v>440</v>
      </c>
      <c r="I461" s="37" t="str">
        <f t="shared" si="114"/>
        <v>road</v>
      </c>
      <c r="J461" s="37" t="s">
        <v>277</v>
      </c>
      <c r="K461" s="37" t="str">
        <f t="shared" si="115"/>
        <v>apparel</v>
      </c>
      <c r="L461" s="37" t="s">
        <v>101</v>
      </c>
      <c r="M461" s="37" t="str">
        <f t="shared" si="116"/>
        <v>west</v>
      </c>
      <c r="N461" s="37" t="s">
        <v>88</v>
      </c>
      <c r="O461" s="41" t="str">
        <f t="shared" si="117"/>
        <v>Yes</v>
      </c>
      <c r="P461" s="41">
        <v>4.1</v>
      </c>
      <c r="Q461" s="41" t="s">
        <v>432</v>
      </c>
      <c r="R461" s="42">
        <f t="shared" si="118"/>
        <v>19.5121951219512</v>
      </c>
      <c r="S461" s="37">
        <v>6</v>
      </c>
      <c r="T461" s="37" t="s">
        <v>1115</v>
      </c>
      <c r="U461" s="43" t="str">
        <f t="shared" si="119"/>
        <v>13/02/2024</v>
      </c>
      <c r="V461" s="43">
        <f t="shared" si="120"/>
        <v>45335</v>
      </c>
      <c r="W461" s="44">
        <f t="array" ref="W461">_xlfn.IFS(TRIM(C461)="","",TRIM(V461)="","",TRUE,V461-C461)</f>
        <v>7</v>
      </c>
      <c r="X461" s="37">
        <f t="shared" si="121"/>
        <v>1</v>
      </c>
      <c r="Y461" s="37" t="s">
        <v>143</v>
      </c>
      <c r="Z461" s="37" t="str">
        <f t="shared" si="122"/>
        <v>delayed</v>
      </c>
      <c r="AA461" s="37" t="str">
        <f t="shared" si="123"/>
        <v>Late</v>
      </c>
      <c r="AB461" s="37" t="str">
        <f t="shared" si="126"/>
        <v>1</v>
      </c>
      <c r="AC461" s="37">
        <f t="shared" si="127"/>
        <v>1</v>
      </c>
      <c r="AD461" s="45">
        <f t="shared" si="125"/>
        <v>0.512367491166078</v>
      </c>
      <c r="AE461" s="37">
        <v>4</v>
      </c>
      <c r="AF461" s="37" t="s">
        <v>152</v>
      </c>
      <c r="AG461" s="37" t="str">
        <f t="shared" si="124"/>
        <v>no</v>
      </c>
      <c r="AH461" s="37" t="str">
        <f t="array" ref="AH461">_xlfn.IFS(LOWER(AG461)="n","no",LOWER(AG461)="y","yes",TRUE,LOWER(AG461))</f>
        <v>no</v>
      </c>
      <c r="AI461" s="37" t="s">
        <v>4692</v>
      </c>
    </row>
    <row r="462" spans="1:35">
      <c r="A462" s="46" t="s">
        <v>1997</v>
      </c>
      <c r="B462" s="47">
        <v>45329</v>
      </c>
      <c r="C462" s="39">
        <f t="shared" si="112"/>
        <v>45329</v>
      </c>
      <c r="D462" s="48" t="s">
        <v>109</v>
      </c>
      <c r="E462" s="37" t="str" cm="1">
        <f t="array" ref="E462">_xlfn.IFS(D462="delhi","north",D462="mumbai","west",D462="bengaluru","south",D462="chennai","south",D462="kolkata","east",TRUE,"west")</f>
        <v>west</v>
      </c>
      <c r="F462" s="46" t="s">
        <v>230</v>
      </c>
      <c r="G462" s="37" t="str">
        <f t="shared" si="113"/>
        <v>dtdc</v>
      </c>
      <c r="H462" s="46" t="s">
        <v>137</v>
      </c>
      <c r="I462" s="37" t="str">
        <f t="shared" si="114"/>
        <v>road</v>
      </c>
      <c r="J462" s="46" t="s">
        <v>158</v>
      </c>
      <c r="K462" s="37" t="str">
        <f t="shared" si="115"/>
        <v>pharma</v>
      </c>
      <c r="L462" s="46" t="s">
        <v>380</v>
      </c>
      <c r="M462" s="37" t="str">
        <f t="shared" si="116"/>
        <v>east</v>
      </c>
      <c r="N462" s="46" t="s">
        <v>91</v>
      </c>
      <c r="O462" s="41" t="str">
        <f t="shared" si="117"/>
        <v>Yes</v>
      </c>
      <c r="P462" s="49">
        <v>1.9</v>
      </c>
      <c r="Q462" s="49">
        <v>192</v>
      </c>
      <c r="R462" s="42">
        <f t="shared" si="118"/>
        <v>101.052631578947</v>
      </c>
      <c r="S462" s="46">
        <v>8</v>
      </c>
      <c r="T462" s="46" t="s">
        <v>2001</v>
      </c>
      <c r="U462" s="43" t="str">
        <f t="shared" si="119"/>
        <v>2024-02-14</v>
      </c>
      <c r="V462" s="43">
        <f t="shared" si="120"/>
        <v>45336</v>
      </c>
      <c r="W462" s="44">
        <f t="array" ref="W462">_xlfn.IFS(TRIM(C462)="","",TRIM(V462)="","",TRUE,V462-C462)</f>
        <v>7</v>
      </c>
      <c r="X462" s="37">
        <f t="shared" si="121"/>
        <v>-1</v>
      </c>
      <c r="Y462" s="46" t="s">
        <v>163</v>
      </c>
      <c r="Z462" s="37" t="str">
        <f t="shared" si="122"/>
        <v>delivered</v>
      </c>
      <c r="AA462" s="37" t="str">
        <f t="shared" si="123"/>
        <v>On Time</v>
      </c>
      <c r="AB462" s="37" t="str">
        <f t="shared" si="126"/>
        <v>0</v>
      </c>
      <c r="AC462" s="37">
        <f t="shared" si="127"/>
        <v>0</v>
      </c>
      <c r="AD462" s="45">
        <f t="shared" si="125"/>
        <v>0.511936339522546</v>
      </c>
      <c r="AE462" s="46">
        <v>5</v>
      </c>
      <c r="AF462" s="46" t="s">
        <v>79</v>
      </c>
      <c r="AG462" s="37" t="str">
        <f t="shared" si="124"/>
        <v>yes</v>
      </c>
      <c r="AH462" s="37" t="str">
        <f t="array" ref="AH462">_xlfn.IFS(LOWER(AG462)="n","no",LOWER(AG462)="y","yes",TRUE,LOWER(AG462))</f>
        <v>yes</v>
      </c>
      <c r="AI462" s="46" t="s">
        <v>4692</v>
      </c>
    </row>
    <row r="463" spans="1:35">
      <c r="A463" s="37" t="s">
        <v>2002</v>
      </c>
      <c r="B463" s="38" t="s">
        <v>4716</v>
      </c>
      <c r="C463" s="39">
        <f t="shared" si="112"/>
        <v>45467</v>
      </c>
      <c r="D463" s="40" t="s">
        <v>166</v>
      </c>
      <c r="E463" s="37" t="str" cm="1">
        <f t="array" ref="E463">_xlfn.IFS(D463="delhi","north",D463="mumbai","west",D463="bengaluru","south",D463="chennai","south",D463="kolkata","east",TRUE,"west")</f>
        <v>west</v>
      </c>
      <c r="F463" s="37" t="s">
        <v>37</v>
      </c>
      <c r="G463" s="37" t="str">
        <f t="shared" si="113"/>
        <v>bluedart</v>
      </c>
      <c r="H463" s="37" t="s">
        <v>185</v>
      </c>
      <c r="I463" s="37" t="str">
        <f t="shared" si="114"/>
        <v>surface</v>
      </c>
      <c r="J463" s="37" t="s">
        <v>425</v>
      </c>
      <c r="K463" s="37" t="str">
        <f t="shared" si="115"/>
        <v>automotiveparts</v>
      </c>
      <c r="L463" s="37" t="s">
        <v>125</v>
      </c>
      <c r="M463" s="37" t="str">
        <f t="shared" si="116"/>
        <v>east</v>
      </c>
      <c r="N463" s="37" t="s">
        <v>396</v>
      </c>
      <c r="O463" s="41" t="str">
        <f t="shared" si="117"/>
        <v>Yes</v>
      </c>
      <c r="P463" s="41">
        <v>21.9</v>
      </c>
      <c r="Q463" s="41">
        <v>462</v>
      </c>
      <c r="R463" s="42">
        <f t="shared" si="118"/>
        <v>21.0958904109589</v>
      </c>
      <c r="S463" s="37">
        <v>4</v>
      </c>
      <c r="T463" s="37" t="s">
        <v>2005</v>
      </c>
      <c r="U463" s="43" t="str">
        <f t="shared" si="119"/>
        <v>30/06/2024</v>
      </c>
      <c r="V463" s="43">
        <f t="shared" si="120"/>
        <v>45473</v>
      </c>
      <c r="W463" s="44">
        <f t="array" ref="W463">_xlfn.IFS(TRIM(C463)="","",TRIM(V463)="","",TRUE,V463-C463)</f>
        <v>6</v>
      </c>
      <c r="X463" s="37">
        <f t="shared" si="121"/>
        <v>2</v>
      </c>
      <c r="Y463" s="37" t="s">
        <v>72</v>
      </c>
      <c r="Z463" s="37" t="str">
        <f t="shared" si="122"/>
        <v>delayed</v>
      </c>
      <c r="AA463" s="37" t="str">
        <f t="shared" si="123"/>
        <v>Late</v>
      </c>
      <c r="AB463" s="37" t="str">
        <f t="shared" si="126"/>
        <v>1</v>
      </c>
      <c r="AC463" s="37">
        <f t="shared" si="127"/>
        <v>1</v>
      </c>
      <c r="AD463" s="45">
        <f t="shared" si="125"/>
        <v>0.512389380530973</v>
      </c>
      <c r="AE463" s="37">
        <v>2</v>
      </c>
      <c r="AF463" s="37" t="s">
        <v>191</v>
      </c>
      <c r="AG463" s="37" t="str">
        <f t="shared" si="124"/>
        <v>no</v>
      </c>
      <c r="AH463" s="37" t="str">
        <f t="array" ref="AH463">_xlfn.IFS(LOWER(AG463)="n","no",LOWER(AG463)="y","yes",TRUE,LOWER(AG463))</f>
        <v>no</v>
      </c>
      <c r="AI463" s="37" t="s">
        <v>4692</v>
      </c>
    </row>
    <row r="464" spans="1:35">
      <c r="A464" s="46" t="s">
        <v>2006</v>
      </c>
      <c r="B464" s="47">
        <v>45394</v>
      </c>
      <c r="C464" s="39">
        <f t="shared" si="112"/>
        <v>45394</v>
      </c>
      <c r="D464" s="48" t="s">
        <v>300</v>
      </c>
      <c r="E464" s="37" t="str" cm="1">
        <f t="array" ref="E464">_xlfn.IFS(D464="delhi","north",D464="mumbai","west",D464="bengaluru","south",D464="chennai","south",D464="kolkata","east",TRUE,"west")</f>
        <v>west</v>
      </c>
      <c r="F464" s="46" t="s">
        <v>122</v>
      </c>
      <c r="G464" s="37" t="str">
        <f t="shared" si="113"/>
        <v>delhivery</v>
      </c>
      <c r="H464" s="46" t="s">
        <v>137</v>
      </c>
      <c r="I464" s="37" t="str">
        <f t="shared" si="114"/>
        <v>road</v>
      </c>
      <c r="J464" s="46" t="s">
        <v>111</v>
      </c>
      <c r="K464" s="37" t="str">
        <f t="shared" si="115"/>
        <v>grocery&amp;fmcg</v>
      </c>
      <c r="L464" s="46" t="s">
        <v>101</v>
      </c>
      <c r="M464" s="37" t="str">
        <f t="shared" si="116"/>
        <v>west</v>
      </c>
      <c r="N464" s="46" t="s">
        <v>206</v>
      </c>
      <c r="O464" s="41" t="str">
        <f t="shared" si="117"/>
        <v>Yes</v>
      </c>
      <c r="P464" s="49" t="s">
        <v>1522</v>
      </c>
      <c r="Q464" s="49">
        <v>434</v>
      </c>
      <c r="R464" s="42">
        <f t="shared" si="118"/>
        <v>22.4870466321244</v>
      </c>
      <c r="S464" s="46">
        <v>8</v>
      </c>
      <c r="T464" s="46" t="s">
        <v>1528</v>
      </c>
      <c r="U464" s="43" t="str">
        <f t="shared" si="119"/>
        <v>20-apr-2024</v>
      </c>
      <c r="V464" s="43">
        <f t="shared" si="120"/>
        <v>45402</v>
      </c>
      <c r="W464" s="44">
        <f t="array" ref="W464">_xlfn.IFS(TRIM(C464)="","",TRIM(V464)="","",TRUE,V464-C464)</f>
        <v>8</v>
      </c>
      <c r="X464" s="37">
        <f t="shared" si="121"/>
        <v>0</v>
      </c>
      <c r="Y464" s="46" t="s">
        <v>163</v>
      </c>
      <c r="Z464" s="37" t="str">
        <f t="shared" si="122"/>
        <v>delivered</v>
      </c>
      <c r="AA464" s="37" t="str">
        <f t="shared" si="123"/>
        <v>On Time</v>
      </c>
      <c r="AB464" s="37" t="str">
        <f t="shared" si="126"/>
        <v>0</v>
      </c>
      <c r="AC464" s="37">
        <f t="shared" si="127"/>
        <v>0</v>
      </c>
      <c r="AD464" s="45">
        <f t="shared" si="125"/>
        <v>0.511957484499557</v>
      </c>
      <c r="AE464" s="46">
        <v>5</v>
      </c>
      <c r="AF464" s="46" t="s">
        <v>131</v>
      </c>
      <c r="AG464" s="37" t="str">
        <f t="shared" si="124"/>
        <v>n</v>
      </c>
      <c r="AH464" s="37" t="str">
        <f t="array" ref="AH464">_xlfn.IFS(LOWER(AG464)="n","no",LOWER(AG464)="y","yes",TRUE,LOWER(AG464))</f>
        <v>no</v>
      </c>
      <c r="AI464" s="46" t="s">
        <v>4692</v>
      </c>
    </row>
    <row r="465" spans="1:35">
      <c r="A465" s="37" t="s">
        <v>2009</v>
      </c>
      <c r="B465" s="38" t="s">
        <v>4719</v>
      </c>
      <c r="C465" s="39">
        <f t="shared" si="112"/>
        <v>45430</v>
      </c>
      <c r="D465" s="40" t="s">
        <v>4705</v>
      </c>
      <c r="E465" s="37" t="str" cm="1">
        <f t="array" ref="E465">_xlfn.IFS(D465="delhi","north",D465="mumbai","west",D465="bengaluru","south",D465="chennai","south",D465="kolkata","east",TRUE,"west")</f>
        <v>west</v>
      </c>
      <c r="F465" s="37" t="s">
        <v>184</v>
      </c>
      <c r="G465" s="37" t="str">
        <f t="shared" si="113"/>
        <v>ecomexpress</v>
      </c>
      <c r="H465" s="37" t="s">
        <v>110</v>
      </c>
      <c r="I465" s="37" t="str">
        <f t="shared" si="114"/>
        <v>surface</v>
      </c>
      <c r="J465" s="37" t="s">
        <v>1701</v>
      </c>
      <c r="K465" s="37" t="str">
        <f t="shared" si="115"/>
        <v>grocery&amp;fmcg</v>
      </c>
      <c r="L465" s="37" t="s">
        <v>302</v>
      </c>
      <c r="M465" s="37" t="str">
        <f t="shared" si="116"/>
        <v>east</v>
      </c>
      <c r="N465" s="37" t="s">
        <v>396</v>
      </c>
      <c r="O465" s="41" t="str">
        <f t="shared" si="117"/>
        <v>Yes</v>
      </c>
      <c r="P465" s="41">
        <v>5.7</v>
      </c>
      <c r="Q465" s="41">
        <v>335</v>
      </c>
      <c r="R465" s="42">
        <f t="shared" si="118"/>
        <v>58.7719298245614</v>
      </c>
      <c r="S465" s="37">
        <v>6</v>
      </c>
      <c r="T465" s="37" t="s">
        <v>383</v>
      </c>
      <c r="U465" s="43" t="str">
        <f t="shared" si="119"/>
        <v>24/05/2024</v>
      </c>
      <c r="V465" s="43">
        <f t="shared" si="120"/>
        <v>45436</v>
      </c>
      <c r="W465" s="44">
        <f t="array" ref="W465">_xlfn.IFS(TRIM(C465)="","",TRIM(V465)="","",TRUE,V465-C465)</f>
        <v>6</v>
      </c>
      <c r="X465" s="37">
        <f t="shared" si="121"/>
        <v>0</v>
      </c>
      <c r="Y465" s="37" t="s">
        <v>624</v>
      </c>
      <c r="Z465" s="37" t="str">
        <f t="shared" si="122"/>
        <v>returned</v>
      </c>
      <c r="AA465" s="37" t="str">
        <f t="shared" si="123"/>
        <v>On Time</v>
      </c>
      <c r="AB465" s="37" t="str">
        <f t="shared" si="126"/>
        <v>0</v>
      </c>
      <c r="AC465" s="37">
        <f t="shared" si="127"/>
        <v>0</v>
      </c>
      <c r="AD465" s="45">
        <f t="shared" si="125"/>
        <v>0.512411347517731</v>
      </c>
      <c r="AE465" s="37"/>
      <c r="AF465" s="37" t="s">
        <v>106</v>
      </c>
      <c r="AG465" s="37" t="str">
        <f t="shared" si="124"/>
        <v>yes</v>
      </c>
      <c r="AH465" s="37" t="str">
        <f t="array" ref="AH465">_xlfn.IFS(LOWER(AG465)="n","no",LOWER(AG465)="y","yes",TRUE,LOWER(AG465))</f>
        <v>yes</v>
      </c>
      <c r="AI465" s="37" t="s">
        <v>625</v>
      </c>
    </row>
    <row r="466" spans="1:35">
      <c r="A466" s="46" t="s">
        <v>2010</v>
      </c>
      <c r="B466" s="47">
        <v>45453</v>
      </c>
      <c r="C466" s="39">
        <f t="shared" si="112"/>
        <v>45453</v>
      </c>
      <c r="D466" s="48" t="s">
        <v>4699</v>
      </c>
      <c r="E466" s="37" t="str" cm="1">
        <f t="array" ref="E466">_xlfn.IFS(D466="delhi","north",D466="mumbai","west",D466="bengaluru","south",D466="chennai","south",D466="kolkata","east",TRUE,"west")</f>
        <v>west</v>
      </c>
      <c r="F466" s="46" t="s">
        <v>156</v>
      </c>
      <c r="G466" s="37" t="str">
        <f t="shared" si="113"/>
        <v>xpressbees</v>
      </c>
      <c r="H466" s="46" t="s">
        <v>157</v>
      </c>
      <c r="I466" s="37" t="str">
        <f t="shared" si="114"/>
        <v>surface</v>
      </c>
      <c r="J466" s="46" t="s">
        <v>100</v>
      </c>
      <c r="K466" s="37" t="str">
        <f t="shared" si="115"/>
        <v>electronics</v>
      </c>
      <c r="L466" s="46" t="s">
        <v>92</v>
      </c>
      <c r="M466" s="37" t="str">
        <f t="shared" si="116"/>
        <v>east</v>
      </c>
      <c r="N466" s="46" t="s">
        <v>396</v>
      </c>
      <c r="O466" s="41" t="str">
        <f t="shared" si="117"/>
        <v>Yes</v>
      </c>
      <c r="P466" s="49">
        <v>3</v>
      </c>
      <c r="Q466" s="49">
        <v>275</v>
      </c>
      <c r="R466" s="42">
        <f t="shared" si="118"/>
        <v>91.6666666666667</v>
      </c>
      <c r="S466" s="46">
        <v>6</v>
      </c>
      <c r="T466" s="46" t="s">
        <v>1083</v>
      </c>
      <c r="U466" s="43" t="str">
        <f t="shared" si="119"/>
        <v>17/06/2024</v>
      </c>
      <c r="V466" s="43">
        <f t="shared" si="120"/>
        <v>45460</v>
      </c>
      <c r="W466" s="44">
        <f t="array" ref="W466">_xlfn.IFS(TRIM(C466)="","",TRIM(V466)="","",TRUE,V466-C466)</f>
        <v>7</v>
      </c>
      <c r="X466" s="37">
        <f t="shared" si="121"/>
        <v>1</v>
      </c>
      <c r="Y466" s="46" t="s">
        <v>143</v>
      </c>
      <c r="Z466" s="37" t="str">
        <f t="shared" si="122"/>
        <v>delayed</v>
      </c>
      <c r="AA466" s="37" t="str">
        <f t="shared" si="123"/>
        <v>Late</v>
      </c>
      <c r="AB466" s="37" t="str">
        <f t="shared" si="126"/>
        <v>1</v>
      </c>
      <c r="AC466" s="37">
        <f t="shared" si="127"/>
        <v>1</v>
      </c>
      <c r="AD466" s="45">
        <f t="shared" si="125"/>
        <v>0.512866015971606</v>
      </c>
      <c r="AE466" s="46">
        <v>1</v>
      </c>
      <c r="AF466" s="46" t="s">
        <v>152</v>
      </c>
      <c r="AG466" s="37" t="str">
        <f t="shared" si="124"/>
        <v>no</v>
      </c>
      <c r="AH466" s="37" t="str">
        <f t="array" ref="AH466">_xlfn.IFS(LOWER(AG466)="n","no",LOWER(AG466)="y","yes",TRUE,LOWER(AG466))</f>
        <v>no</v>
      </c>
      <c r="AI466" s="46" t="s">
        <v>4692</v>
      </c>
    </row>
    <row r="467" spans="1:35">
      <c r="A467" s="37" t="s">
        <v>2011</v>
      </c>
      <c r="B467" s="38" t="s">
        <v>4784</v>
      </c>
      <c r="C467" s="39">
        <f t="shared" si="112"/>
        <v>45470</v>
      </c>
      <c r="D467" s="40" t="s">
        <v>4712</v>
      </c>
      <c r="E467" s="37" t="str" cm="1">
        <f t="array" ref="E467">_xlfn.IFS(D467="delhi","north",D467="mumbai","west",D467="bengaluru","south",D467="chennai","south",D467="kolkata","east",TRUE,"west")</f>
        <v>west</v>
      </c>
      <c r="F467" s="37" t="s">
        <v>184</v>
      </c>
      <c r="G467" s="37" t="str">
        <f t="shared" si="113"/>
        <v>ecomexpress</v>
      </c>
      <c r="H467" s="37" t="s">
        <v>224</v>
      </c>
      <c r="I467" s="37" t="str">
        <f t="shared" si="114"/>
        <v>air</v>
      </c>
      <c r="J467" s="37" t="s">
        <v>533</v>
      </c>
      <c r="K467" s="37" t="str">
        <f t="shared" si="115"/>
        <v>pharma</v>
      </c>
      <c r="L467" s="37" t="s">
        <v>89</v>
      </c>
      <c r="M467" s="37" t="str">
        <f t="shared" si="116"/>
        <v>west</v>
      </c>
      <c r="N467" s="37" t="s">
        <v>88</v>
      </c>
      <c r="O467" s="41" t="str">
        <f t="shared" si="117"/>
        <v>Yes</v>
      </c>
      <c r="P467" s="41">
        <v>3.7</v>
      </c>
      <c r="Q467" s="41">
        <v>315</v>
      </c>
      <c r="R467" s="42">
        <f t="shared" si="118"/>
        <v>85.1351351351351</v>
      </c>
      <c r="S467" s="37">
        <v>4</v>
      </c>
      <c r="T467" s="37" t="s">
        <v>2014</v>
      </c>
      <c r="U467" s="43" t="str">
        <f t="shared" si="119"/>
        <v>01/07/2024</v>
      </c>
      <c r="V467" s="43">
        <f t="shared" si="120"/>
        <v>45474</v>
      </c>
      <c r="W467" s="44">
        <f t="array" ref="W467">_xlfn.IFS(TRIM(C467)="","",TRIM(V467)="","",TRUE,V467-C467)</f>
        <v>4</v>
      </c>
      <c r="X467" s="37">
        <f t="shared" si="121"/>
        <v>0</v>
      </c>
      <c r="Y467" s="37" t="s">
        <v>219</v>
      </c>
      <c r="Z467" s="37" t="str">
        <f t="shared" si="122"/>
        <v>delivered</v>
      </c>
      <c r="AA467" s="37" t="str">
        <f t="shared" si="123"/>
        <v>On Time</v>
      </c>
      <c r="AB467" s="37" t="str">
        <f t="shared" si="126"/>
        <v>0</v>
      </c>
      <c r="AC467" s="37">
        <f t="shared" si="127"/>
        <v>0</v>
      </c>
      <c r="AD467" s="45">
        <f t="shared" si="125"/>
        <v>0.512433392539964</v>
      </c>
      <c r="AE467" s="37">
        <v>4</v>
      </c>
      <c r="AF467" s="37" t="s">
        <v>131</v>
      </c>
      <c r="AG467" s="37" t="str">
        <f t="shared" si="124"/>
        <v>n</v>
      </c>
      <c r="AH467" s="37" t="str">
        <f t="array" ref="AH467">_xlfn.IFS(LOWER(AG467)="n","no",LOWER(AG467)="y","yes",TRUE,LOWER(AG467))</f>
        <v>no</v>
      </c>
      <c r="AI467" s="37" t="s">
        <v>4692</v>
      </c>
    </row>
    <row r="468" spans="1:35">
      <c r="A468" s="46" t="s">
        <v>2015</v>
      </c>
      <c r="B468" s="47">
        <v>45331</v>
      </c>
      <c r="C468" s="39">
        <f t="shared" si="112"/>
        <v>45331</v>
      </c>
      <c r="D468" s="48" t="s">
        <v>340</v>
      </c>
      <c r="E468" s="37" t="str" cm="1">
        <f t="array" ref="E468">_xlfn.IFS(D468="delhi","north",D468="mumbai","west",D468="bengaluru","south",D468="chennai","south",D468="kolkata","east",TRUE,"west")</f>
        <v>north</v>
      </c>
      <c r="F468" s="46" t="s">
        <v>270</v>
      </c>
      <c r="G468" s="37" t="str">
        <f t="shared" si="113"/>
        <v>ecomexpress</v>
      </c>
      <c r="H468" s="46" t="s">
        <v>345</v>
      </c>
      <c r="I468" s="37" t="str">
        <f t="shared" si="114"/>
        <v>surface</v>
      </c>
      <c r="J468" s="46" t="s">
        <v>368</v>
      </c>
      <c r="K468" s="37" t="str">
        <f t="shared" si="115"/>
        <v>furniture</v>
      </c>
      <c r="L468" s="46" t="s">
        <v>89</v>
      </c>
      <c r="M468" s="37" t="str">
        <f t="shared" si="116"/>
        <v>west</v>
      </c>
      <c r="N468" s="46" t="s">
        <v>206</v>
      </c>
      <c r="O468" s="41" t="str">
        <f t="shared" si="117"/>
        <v>Yes</v>
      </c>
      <c r="P468" s="49" t="s">
        <v>2016</v>
      </c>
      <c r="Q468" s="49" t="s">
        <v>2017</v>
      </c>
      <c r="R468" s="42">
        <f t="shared" si="118"/>
        <v>27.0555555555556</v>
      </c>
      <c r="S468" s="46">
        <v>6</v>
      </c>
      <c r="T468" s="46" t="s">
        <v>2018</v>
      </c>
      <c r="U468" s="43" t="str">
        <f t="shared" si="119"/>
        <v>16/02/2024</v>
      </c>
      <c r="V468" s="43">
        <f t="shared" si="120"/>
        <v>45338</v>
      </c>
      <c r="W468" s="44">
        <f t="array" ref="W468">_xlfn.IFS(TRIM(C468)="","",TRIM(V468)="","",TRUE,V468-C468)</f>
        <v>7</v>
      </c>
      <c r="X468" s="37">
        <f t="shared" si="121"/>
        <v>1</v>
      </c>
      <c r="Y468" s="46" t="s">
        <v>200</v>
      </c>
      <c r="Z468" s="37" t="str">
        <f t="shared" si="122"/>
        <v>delayed</v>
      </c>
      <c r="AA468" s="37" t="str">
        <f t="shared" si="123"/>
        <v>Late</v>
      </c>
      <c r="AB468" s="37" t="str">
        <f t="shared" si="126"/>
        <v>1</v>
      </c>
      <c r="AC468" s="37">
        <f t="shared" si="127"/>
        <v>1</v>
      </c>
      <c r="AD468" s="45">
        <f t="shared" si="125"/>
        <v>0.512888888888889</v>
      </c>
      <c r="AE468" s="46">
        <v>3</v>
      </c>
      <c r="AF468" s="46" t="s">
        <v>118</v>
      </c>
      <c r="AG468" s="37" t="str">
        <f t="shared" si="124"/>
        <v>no</v>
      </c>
      <c r="AH468" s="37" t="str">
        <f t="array" ref="AH468">_xlfn.IFS(LOWER(AG468)="n","no",LOWER(AG468)="y","yes",TRUE,LOWER(AG468))</f>
        <v>no</v>
      </c>
      <c r="AI468" s="46" t="s">
        <v>4692</v>
      </c>
    </row>
    <row r="469" spans="1:35">
      <c r="A469" s="37" t="s">
        <v>2019</v>
      </c>
      <c r="B469" s="38">
        <v>45358</v>
      </c>
      <c r="C469" s="39">
        <f t="shared" si="112"/>
        <v>45358</v>
      </c>
      <c r="D469" s="40" t="s">
        <v>109</v>
      </c>
      <c r="E469" s="37" t="str" cm="1">
        <f t="array" ref="E469">_xlfn.IFS(D469="delhi","north",D469="mumbai","west",D469="bengaluru","south",D469="chennai","south",D469="kolkata","east",TRUE,"west")</f>
        <v>west</v>
      </c>
      <c r="F469" s="37" t="s">
        <v>175</v>
      </c>
      <c r="G469" s="37" t="str">
        <f t="shared" si="113"/>
        <v>ecomexpress</v>
      </c>
      <c r="H469" s="37" t="s">
        <v>345</v>
      </c>
      <c r="I469" s="37" t="str">
        <f t="shared" si="114"/>
        <v>surface</v>
      </c>
      <c r="J469" s="37" t="s">
        <v>245</v>
      </c>
      <c r="K469" s="37" t="str">
        <f t="shared" si="115"/>
        <v>electronics</v>
      </c>
      <c r="L469" s="37" t="s">
        <v>87</v>
      </c>
      <c r="M469" s="37" t="str">
        <f t="shared" si="116"/>
        <v>north</v>
      </c>
      <c r="N469" s="37" t="s">
        <v>354</v>
      </c>
      <c r="O469" s="41" t="str">
        <f t="shared" si="117"/>
        <v>Yes</v>
      </c>
      <c r="P469" s="41" t="s">
        <v>1829</v>
      </c>
      <c r="Q469" s="41">
        <v>337</v>
      </c>
      <c r="R469" s="42">
        <f t="shared" si="118"/>
        <v>58.1034482758621</v>
      </c>
      <c r="S469" s="37">
        <v>6</v>
      </c>
      <c r="T469" s="37" t="s">
        <v>667</v>
      </c>
      <c r="U469" s="43" t="str">
        <f t="shared" si="119"/>
        <v>14/03/2024</v>
      </c>
      <c r="V469" s="43">
        <f t="shared" si="120"/>
        <v>45365</v>
      </c>
      <c r="W469" s="44">
        <f t="array" ref="W469">_xlfn.IFS(TRIM(C469)="","",TRIM(V469)="","",TRUE,V469-C469)</f>
        <v>7</v>
      </c>
      <c r="X469" s="37">
        <f t="shared" si="121"/>
        <v>1</v>
      </c>
      <c r="Y469" s="37" t="s">
        <v>143</v>
      </c>
      <c r="Z469" s="37" t="str">
        <f t="shared" si="122"/>
        <v>delayed</v>
      </c>
      <c r="AA469" s="37" t="str">
        <f t="shared" si="123"/>
        <v>Late</v>
      </c>
      <c r="AB469" s="37" t="str">
        <f t="shared" si="126"/>
        <v>1</v>
      </c>
      <c r="AC469" s="37">
        <f t="shared" si="127"/>
        <v>1</v>
      </c>
      <c r="AD469" s="45">
        <f t="shared" si="125"/>
        <v>0.512455516014235</v>
      </c>
      <c r="AE469" s="37">
        <v>4</v>
      </c>
      <c r="AF469" s="37" t="s">
        <v>118</v>
      </c>
      <c r="AG469" s="37" t="str">
        <f t="shared" si="124"/>
        <v>no</v>
      </c>
      <c r="AH469" s="37" t="str">
        <f t="array" ref="AH469">_xlfn.IFS(LOWER(AG469)="n","no",LOWER(AG469)="y","yes",TRUE,LOWER(AG469))</f>
        <v>no</v>
      </c>
      <c r="AI469" s="37" t="s">
        <v>4692</v>
      </c>
    </row>
    <row r="470" spans="1:35">
      <c r="A470" s="46" t="s">
        <v>2022</v>
      </c>
      <c r="B470" s="47">
        <v>45414</v>
      </c>
      <c r="C470" s="39">
        <f t="shared" si="112"/>
        <v>45414</v>
      </c>
      <c r="D470" s="48" t="s">
        <v>135</v>
      </c>
      <c r="E470" s="37" t="str" cm="1">
        <f t="array" ref="E470">_xlfn.IFS(D470="delhi","north",D470="mumbai","west",D470="bengaluru","south",D470="chennai","south",D470="kolkata","east",TRUE,"west")</f>
        <v>west</v>
      </c>
      <c r="F470" s="46" t="s">
        <v>37</v>
      </c>
      <c r="G470" s="37" t="str">
        <f t="shared" si="113"/>
        <v>bluedart</v>
      </c>
      <c r="H470" s="46" t="s">
        <v>325</v>
      </c>
      <c r="I470" s="37" t="str">
        <f t="shared" si="114"/>
        <v>air</v>
      </c>
      <c r="J470" s="46" t="s">
        <v>277</v>
      </c>
      <c r="K470" s="37" t="str">
        <f t="shared" si="115"/>
        <v>apparel</v>
      </c>
      <c r="L470" s="46" t="s">
        <v>302</v>
      </c>
      <c r="M470" s="37" t="str">
        <f t="shared" si="116"/>
        <v>east</v>
      </c>
      <c r="N470" s="46" t="s">
        <v>294</v>
      </c>
      <c r="O470" s="41" t="str">
        <f t="shared" si="117"/>
        <v>Yes</v>
      </c>
      <c r="P470" s="49">
        <v>5.2</v>
      </c>
      <c r="Q470" s="49" t="s">
        <v>2023</v>
      </c>
      <c r="R470" s="42">
        <f t="shared" si="118"/>
        <v>74.2307692307692</v>
      </c>
      <c r="S470" s="46">
        <v>4</v>
      </c>
      <c r="T470" s="46" t="s">
        <v>2024</v>
      </c>
      <c r="U470" s="43" t="str">
        <f t="shared" si="119"/>
        <v>07/05/2024</v>
      </c>
      <c r="V470" s="43">
        <f t="shared" si="120"/>
        <v>45419</v>
      </c>
      <c r="W470" s="44">
        <f t="array" ref="W470">_xlfn.IFS(TRIM(C470)="","",TRIM(V470)="","",TRUE,V470-C470)</f>
        <v>5</v>
      </c>
      <c r="X470" s="37">
        <f t="shared" si="121"/>
        <v>1</v>
      </c>
      <c r="Y470" s="46" t="s">
        <v>172</v>
      </c>
      <c r="Z470" s="37" t="str">
        <f t="shared" si="122"/>
        <v>delayed</v>
      </c>
      <c r="AA470" s="37" t="str">
        <f t="shared" si="123"/>
        <v>Late</v>
      </c>
      <c r="AB470" s="37" t="str">
        <f t="shared" si="126"/>
        <v>1</v>
      </c>
      <c r="AC470" s="37">
        <f t="shared" si="127"/>
        <v>1</v>
      </c>
      <c r="AD470" s="45">
        <f t="shared" si="125"/>
        <v>0.512021371326803</v>
      </c>
      <c r="AE470" s="46">
        <v>4</v>
      </c>
      <c r="AF470" s="46" t="s">
        <v>131</v>
      </c>
      <c r="AG470" s="37" t="str">
        <f t="shared" si="124"/>
        <v>n</v>
      </c>
      <c r="AH470" s="37" t="str">
        <f t="array" ref="AH470">_xlfn.IFS(LOWER(AG470)="n","no",LOWER(AG470)="y","yes",TRUE,LOWER(AG470))</f>
        <v>no</v>
      </c>
      <c r="AI470" s="46" t="s">
        <v>4692</v>
      </c>
    </row>
    <row r="471" spans="1:35">
      <c r="A471" s="37" t="s">
        <v>2025</v>
      </c>
      <c r="B471" s="38" t="s">
        <v>4749</v>
      </c>
      <c r="C471" s="39">
        <f t="shared" si="112"/>
        <v>45376</v>
      </c>
      <c r="D471" s="40" t="s">
        <v>366</v>
      </c>
      <c r="E471" s="37" t="str" cm="1">
        <f t="array" ref="E471">_xlfn.IFS(D471="delhi","north",D471="mumbai","west",D471="bengaluru","south",D471="chennai","south",D471="kolkata","east",TRUE,"west")</f>
        <v>east</v>
      </c>
      <c r="F471" s="37" t="s">
        <v>184</v>
      </c>
      <c r="G471" s="37" t="str">
        <f t="shared" si="113"/>
        <v>ecomexpress</v>
      </c>
      <c r="H471" s="37" t="s">
        <v>244</v>
      </c>
      <c r="I471" s="37" t="str">
        <f t="shared" si="114"/>
        <v>air</v>
      </c>
      <c r="J471" s="37" t="s">
        <v>277</v>
      </c>
      <c r="K471" s="37" t="str">
        <f t="shared" si="115"/>
        <v>apparel</v>
      </c>
      <c r="L471" s="37" t="s">
        <v>101</v>
      </c>
      <c r="M471" s="37" t="str">
        <f t="shared" si="116"/>
        <v>west</v>
      </c>
      <c r="N471" s="37" t="s">
        <v>187</v>
      </c>
      <c r="O471" s="41" t="str">
        <f t="shared" si="117"/>
        <v>Yes</v>
      </c>
      <c r="P471" s="41">
        <v>1.7</v>
      </c>
      <c r="Q471" s="41" t="s">
        <v>2027</v>
      </c>
      <c r="R471" s="42">
        <f t="shared" si="118"/>
        <v>148.823529411765</v>
      </c>
      <c r="S471" s="37">
        <v>4</v>
      </c>
      <c r="T471" s="37" t="s">
        <v>1592</v>
      </c>
      <c r="U471" s="43" t="str">
        <f t="shared" si="119"/>
        <v>03/04/2024</v>
      </c>
      <c r="V471" s="43">
        <f t="shared" si="120"/>
        <v>45385</v>
      </c>
      <c r="W471" s="44">
        <f t="array" ref="W471">_xlfn.IFS(TRIM(C471)="","",TRIM(V471)="","",TRUE,V471-C471)</f>
        <v>9</v>
      </c>
      <c r="X471" s="37">
        <f t="shared" si="121"/>
        <v>5</v>
      </c>
      <c r="Y471" s="37" t="s">
        <v>72</v>
      </c>
      <c r="Z471" s="37" t="str">
        <f t="shared" si="122"/>
        <v>delayed</v>
      </c>
      <c r="AA471" s="37" t="str">
        <f t="shared" si="123"/>
        <v>Late</v>
      </c>
      <c r="AB471" s="37" t="str">
        <f t="shared" si="126"/>
        <v>1</v>
      </c>
      <c r="AC471" s="37">
        <f t="shared" si="127"/>
        <v>1</v>
      </c>
      <c r="AD471" s="45">
        <f t="shared" si="125"/>
        <v>0.511586452762923</v>
      </c>
      <c r="AE471" s="37">
        <v>2</v>
      </c>
      <c r="AF471" s="37" t="s">
        <v>106</v>
      </c>
      <c r="AG471" s="37" t="str">
        <f t="shared" si="124"/>
        <v>yes</v>
      </c>
      <c r="AH471" s="37" t="str">
        <f t="array" ref="AH471">_xlfn.IFS(LOWER(AG471)="n","no",LOWER(AG471)="y","yes",TRUE,LOWER(AG471))</f>
        <v>yes</v>
      </c>
      <c r="AI471" s="37" t="s">
        <v>4692</v>
      </c>
    </row>
    <row r="472" spans="1:35">
      <c r="A472" s="46" t="s">
        <v>2028</v>
      </c>
      <c r="B472" s="47">
        <v>45329</v>
      </c>
      <c r="C472" s="39">
        <f t="shared" si="112"/>
        <v>45329</v>
      </c>
      <c r="D472" s="48" t="s">
        <v>340</v>
      </c>
      <c r="E472" s="37" t="str" cm="1">
        <f t="array" ref="E472">_xlfn.IFS(D472="delhi","north",D472="mumbai","west",D472="bengaluru","south",D472="chennai","south",D472="kolkata","east",TRUE,"west")</f>
        <v>north</v>
      </c>
      <c r="F472" s="46" t="s">
        <v>194</v>
      </c>
      <c r="G472" s="37" t="str">
        <f t="shared" si="113"/>
        <v>xpressbees</v>
      </c>
      <c r="H472" s="46" t="s">
        <v>110</v>
      </c>
      <c r="I472" s="37" t="str">
        <f t="shared" si="114"/>
        <v>surface</v>
      </c>
      <c r="J472" s="46" t="s">
        <v>353</v>
      </c>
      <c r="K472" s="37" t="str">
        <f t="shared" si="115"/>
        <v>automotiveparts</v>
      </c>
      <c r="L472" s="46" t="s">
        <v>139</v>
      </c>
      <c r="M472" s="37" t="str">
        <f t="shared" si="116"/>
        <v>north</v>
      </c>
      <c r="N472" s="46" t="s">
        <v>113</v>
      </c>
      <c r="O472" s="41" t="str">
        <f t="shared" si="117"/>
        <v>Yes</v>
      </c>
      <c r="P472" s="49">
        <v>14.3</v>
      </c>
      <c r="Q472" s="49">
        <v>341</v>
      </c>
      <c r="R472" s="42">
        <f t="shared" si="118"/>
        <v>23.8461538461538</v>
      </c>
      <c r="S472" s="46">
        <v>4</v>
      </c>
      <c r="T472" s="46" t="s">
        <v>2030</v>
      </c>
      <c r="U472" s="43" t="str">
        <f t="shared" si="119"/>
        <v>17/02/2024</v>
      </c>
      <c r="V472" s="43">
        <f t="shared" si="120"/>
        <v>45339</v>
      </c>
      <c r="W472" s="44">
        <f t="array" ref="W472">_xlfn.IFS(TRIM(C472)="","",TRIM(V472)="","",TRUE,V472-C472)</f>
        <v>10</v>
      </c>
      <c r="X472" s="37">
        <f t="shared" si="121"/>
        <v>6</v>
      </c>
      <c r="Y472" s="46" t="s">
        <v>72</v>
      </c>
      <c r="Z472" s="37" t="str">
        <f t="shared" si="122"/>
        <v>delayed</v>
      </c>
      <c r="AA472" s="37" t="str">
        <f t="shared" si="123"/>
        <v>Late</v>
      </c>
      <c r="AB472" s="37" t="str">
        <f t="shared" si="126"/>
        <v>1</v>
      </c>
      <c r="AC472" s="37">
        <f t="shared" si="127"/>
        <v>1</v>
      </c>
      <c r="AD472" s="45">
        <f t="shared" si="125"/>
        <v>0.511150758251561</v>
      </c>
      <c r="AE472" s="46">
        <v>1</v>
      </c>
      <c r="AF472" s="46" t="s">
        <v>118</v>
      </c>
      <c r="AG472" s="37" t="str">
        <f t="shared" si="124"/>
        <v>no</v>
      </c>
      <c r="AH472" s="37" t="str">
        <f t="array" ref="AH472">_xlfn.IFS(LOWER(AG472)="n","no",LOWER(AG472)="y","yes",TRUE,LOWER(AG472))</f>
        <v>no</v>
      </c>
      <c r="AI472" s="46" t="s">
        <v>4692</v>
      </c>
    </row>
    <row r="473" spans="1:35">
      <c r="A473" s="37" t="s">
        <v>2031</v>
      </c>
      <c r="B473" s="38">
        <v>45447</v>
      </c>
      <c r="C473" s="39">
        <f t="shared" si="112"/>
        <v>45447</v>
      </c>
      <c r="D473" s="40" t="s">
        <v>4704</v>
      </c>
      <c r="E473" s="37" t="str" cm="1">
        <f t="array" ref="E473">_xlfn.IFS(D473="delhi","north",D473="mumbai","west",D473="bengaluru","south",D473="chennai","south",D473="kolkata","east",TRUE,"west")</f>
        <v>west</v>
      </c>
      <c r="F473" s="37" t="s">
        <v>194</v>
      </c>
      <c r="G473" s="37" t="str">
        <f t="shared" si="113"/>
        <v>xpressbees</v>
      </c>
      <c r="H473" s="37" t="s">
        <v>345</v>
      </c>
      <c r="I473" s="37" t="str">
        <f t="shared" si="114"/>
        <v>surface</v>
      </c>
      <c r="J473" s="37" t="s">
        <v>664</v>
      </c>
      <c r="K473" s="37" t="str">
        <f t="shared" si="115"/>
        <v>grocery&amp;fmcg</v>
      </c>
      <c r="L473" s="37" t="s">
        <v>302</v>
      </c>
      <c r="M473" s="37" t="str">
        <f t="shared" si="116"/>
        <v>east</v>
      </c>
      <c r="N473" s="37" t="s">
        <v>396</v>
      </c>
      <c r="O473" s="41" t="str">
        <f t="shared" si="117"/>
        <v>Yes</v>
      </c>
      <c r="P473" s="41" t="s">
        <v>2032</v>
      </c>
      <c r="Q473" s="41">
        <v>174</v>
      </c>
      <c r="R473" s="42">
        <f t="shared" si="118"/>
        <v>32.8301886792453</v>
      </c>
      <c r="S473" s="37">
        <v>4</v>
      </c>
      <c r="T473" s="37" t="s">
        <v>2034</v>
      </c>
      <c r="U473" s="43" t="str">
        <f t="shared" si="119"/>
        <v>2024-06-07</v>
      </c>
      <c r="V473" s="43">
        <f t="shared" si="120"/>
        <v>45450</v>
      </c>
      <c r="W473" s="44">
        <f t="array" ref="W473">_xlfn.IFS(TRIM(C473)="","",TRIM(V473)="","",TRUE,V473-C473)</f>
        <v>3</v>
      </c>
      <c r="X473" s="37">
        <f t="shared" si="121"/>
        <v>-1</v>
      </c>
      <c r="Y473" s="37" t="s">
        <v>117</v>
      </c>
      <c r="Z473" s="37" t="str">
        <f t="shared" si="122"/>
        <v>delivered</v>
      </c>
      <c r="AA473" s="37" t="str">
        <f t="shared" si="123"/>
        <v>On Time</v>
      </c>
      <c r="AB473" s="37" t="str">
        <f t="shared" si="126"/>
        <v>0</v>
      </c>
      <c r="AC473" s="37">
        <f t="shared" si="127"/>
        <v>0</v>
      </c>
      <c r="AD473" s="45">
        <f t="shared" si="125"/>
        <v>0.510714285714286</v>
      </c>
      <c r="AE473" s="37">
        <v>4</v>
      </c>
      <c r="AF473" s="37" t="s">
        <v>131</v>
      </c>
      <c r="AG473" s="37" t="str">
        <f t="shared" si="124"/>
        <v>n</v>
      </c>
      <c r="AH473" s="37" t="str">
        <f t="array" ref="AH473">_xlfn.IFS(LOWER(AG473)="n","no",LOWER(AG473)="y","yes",TRUE,LOWER(AG473))</f>
        <v>no</v>
      </c>
      <c r="AI473" s="37" t="s">
        <v>4692</v>
      </c>
    </row>
    <row r="474" spans="1:35">
      <c r="A474" s="46" t="s">
        <v>2035</v>
      </c>
      <c r="B474" s="47">
        <v>45297</v>
      </c>
      <c r="C474" s="39">
        <f t="shared" si="112"/>
        <v>45297</v>
      </c>
      <c r="D474" s="48" t="s">
        <v>243</v>
      </c>
      <c r="E474" s="37" t="str" cm="1">
        <f t="array" ref="E474">_xlfn.IFS(D474="delhi","north",D474="mumbai","west",D474="bengaluru","south",D474="chennai","south",D474="kolkata","east",TRUE,"west")</f>
        <v>west</v>
      </c>
      <c r="F474" s="46" t="s">
        <v>194</v>
      </c>
      <c r="G474" s="37" t="str">
        <f t="shared" si="113"/>
        <v>xpressbees</v>
      </c>
      <c r="H474" s="46" t="s">
        <v>176</v>
      </c>
      <c r="I474" s="37" t="str">
        <f t="shared" si="114"/>
        <v>road</v>
      </c>
      <c r="J474" s="46" t="s">
        <v>734</v>
      </c>
      <c r="K474" s="37" t="str">
        <f t="shared" si="115"/>
        <v>grocery&amp;fmcg</v>
      </c>
      <c r="L474" s="46" t="s">
        <v>380</v>
      </c>
      <c r="M474" s="37" t="str">
        <f t="shared" si="116"/>
        <v>east</v>
      </c>
      <c r="N474" s="46" t="s">
        <v>294</v>
      </c>
      <c r="O474" s="41" t="str">
        <f t="shared" si="117"/>
        <v>Yes</v>
      </c>
      <c r="P474" s="49">
        <v>8.7</v>
      </c>
      <c r="Q474" s="49" t="s">
        <v>2037</v>
      </c>
      <c r="R474" s="42">
        <f t="shared" si="118"/>
        <v>32.9885057471264</v>
      </c>
      <c r="S474" s="46">
        <v>8</v>
      </c>
      <c r="T474" s="46" t="s">
        <v>991</v>
      </c>
      <c r="U474" s="43" t="str">
        <f t="shared" si="119"/>
        <v>20/01/2024</v>
      </c>
      <c r="V474" s="43">
        <f t="shared" si="120"/>
        <v>45311</v>
      </c>
      <c r="W474" s="44">
        <f t="array" ref="W474">_xlfn.IFS(TRIM(C474)="","",TRIM(V474)="","",TRUE,V474-C474)</f>
        <v>14</v>
      </c>
      <c r="X474" s="37">
        <f t="shared" si="121"/>
        <v>6</v>
      </c>
      <c r="Y474" s="46" t="s">
        <v>72</v>
      </c>
      <c r="Z474" s="37" t="str">
        <f t="shared" si="122"/>
        <v>delayed</v>
      </c>
      <c r="AA474" s="37" t="str">
        <f t="shared" si="123"/>
        <v>Late</v>
      </c>
      <c r="AB474" s="37" t="str">
        <f t="shared" si="126"/>
        <v>1</v>
      </c>
      <c r="AC474" s="37">
        <f t="shared" si="127"/>
        <v>1</v>
      </c>
      <c r="AD474" s="45">
        <f t="shared" si="125"/>
        <v>0.511170688114388</v>
      </c>
      <c r="AE474" s="46">
        <v>3</v>
      </c>
      <c r="AF474" s="46" t="s">
        <v>131</v>
      </c>
      <c r="AG474" s="37" t="str">
        <f t="shared" si="124"/>
        <v>n</v>
      </c>
      <c r="AH474" s="37" t="str">
        <f t="array" ref="AH474">_xlfn.IFS(LOWER(AG474)="n","no",LOWER(AG474)="y","yes",TRUE,LOWER(AG474))</f>
        <v>no</v>
      </c>
      <c r="AI474" s="46" t="s">
        <v>4692</v>
      </c>
    </row>
    <row r="475" spans="1:35">
      <c r="A475" s="37" t="s">
        <v>2038</v>
      </c>
      <c r="B475" s="38">
        <v>45394</v>
      </c>
      <c r="C475" s="39">
        <f t="shared" si="112"/>
        <v>45394</v>
      </c>
      <c r="D475" s="40" t="s">
        <v>135</v>
      </c>
      <c r="E475" s="37" t="str" cm="1">
        <f t="array" ref="E475">_xlfn.IFS(D475="delhi","north",D475="mumbai","west",D475="bengaluru","south",D475="chennai","south",D475="kolkata","east",TRUE,"west")</f>
        <v>west</v>
      </c>
      <c r="F475" s="37" t="s">
        <v>919</v>
      </c>
      <c r="G475" s="37" t="str">
        <f t="shared" si="113"/>
        <v>xpressbees</v>
      </c>
      <c r="H475" s="37" t="s">
        <v>325</v>
      </c>
      <c r="I475" s="37" t="str">
        <f t="shared" si="114"/>
        <v>air</v>
      </c>
      <c r="J475" s="37" t="s">
        <v>47</v>
      </c>
      <c r="K475" s="37" t="str">
        <f t="shared" si="115"/>
        <v>electronics</v>
      </c>
      <c r="L475" s="37" t="s">
        <v>159</v>
      </c>
      <c r="M475" s="37" t="str">
        <f t="shared" si="116"/>
        <v>south</v>
      </c>
      <c r="N475" s="37" t="s">
        <v>54</v>
      </c>
      <c r="O475" s="41" t="str">
        <f t="shared" si="117"/>
        <v>Yes</v>
      </c>
      <c r="P475" s="41">
        <v>6.6</v>
      </c>
      <c r="Q475" s="41">
        <v>435</v>
      </c>
      <c r="R475" s="42">
        <f t="shared" si="118"/>
        <v>65.9090909090909</v>
      </c>
      <c r="S475" s="37">
        <v>4</v>
      </c>
      <c r="T475" s="37" t="s">
        <v>2040</v>
      </c>
      <c r="U475" s="43" t="str">
        <f t="shared" si="119"/>
        <v>16/04/2024</v>
      </c>
      <c r="V475" s="43">
        <f t="shared" si="120"/>
        <v>45398</v>
      </c>
      <c r="W475" s="44">
        <f t="array" ref="W475">_xlfn.IFS(TRIM(C475)="","",TRIM(V475)="","",TRUE,V475-C475)</f>
        <v>4</v>
      </c>
      <c r="X475" s="37">
        <f t="shared" si="121"/>
        <v>0</v>
      </c>
      <c r="Y475" s="37" t="s">
        <v>2041</v>
      </c>
      <c r="Z475" s="37" t="str">
        <f t="shared" si="122"/>
        <v>returned</v>
      </c>
      <c r="AA475" s="37" t="str">
        <f t="shared" si="123"/>
        <v>On Time</v>
      </c>
      <c r="AB475" s="37" t="str">
        <f t="shared" si="126"/>
        <v>0</v>
      </c>
      <c r="AC475" s="37">
        <f t="shared" si="127"/>
        <v>0</v>
      </c>
      <c r="AD475" s="45">
        <f t="shared" si="125"/>
        <v>0.510733452593918</v>
      </c>
      <c r="AE475" s="37"/>
      <c r="AF475" s="37" t="s">
        <v>79</v>
      </c>
      <c r="AG475" s="37" t="str">
        <f t="shared" si="124"/>
        <v>yes</v>
      </c>
      <c r="AH475" s="37" t="str">
        <f t="array" ref="AH475">_xlfn.IFS(LOWER(AG475)="n","no",LOWER(AG475)="y","yes",TRUE,LOWER(AG475))</f>
        <v>yes</v>
      </c>
      <c r="AI475" s="37" t="s">
        <v>83</v>
      </c>
    </row>
    <row r="476" spans="1:35">
      <c r="A476" s="46" t="s">
        <v>2042</v>
      </c>
      <c r="B476" s="47">
        <v>45391</v>
      </c>
      <c r="C476" s="39">
        <f t="shared" si="112"/>
        <v>45391</v>
      </c>
      <c r="D476" s="48" t="s">
        <v>109</v>
      </c>
      <c r="E476" s="37" t="str" cm="1">
        <f t="array" ref="E476">_xlfn.IFS(D476="delhi","north",D476="mumbai","west",D476="bengaluru","south",D476="chennai","south",D476="kolkata","east",TRUE,"west")</f>
        <v>west</v>
      </c>
      <c r="F476" s="46" t="s">
        <v>175</v>
      </c>
      <c r="G476" s="37" t="str">
        <f t="shared" si="113"/>
        <v>ecomexpress</v>
      </c>
      <c r="H476" s="46" t="s">
        <v>440</v>
      </c>
      <c r="I476" s="37" t="str">
        <f t="shared" si="114"/>
        <v>road</v>
      </c>
      <c r="J476" s="46" t="s">
        <v>360</v>
      </c>
      <c r="K476" s="37" t="str">
        <f t="shared" si="115"/>
        <v>furniture</v>
      </c>
      <c r="L476" s="46" t="s">
        <v>159</v>
      </c>
      <c r="M476" s="37" t="str">
        <f t="shared" si="116"/>
        <v>south</v>
      </c>
      <c r="N476" s="46" t="s">
        <v>327</v>
      </c>
      <c r="O476" s="41" t="str">
        <f t="shared" si="117"/>
        <v>Yes</v>
      </c>
      <c r="P476" s="49">
        <v>71.3</v>
      </c>
      <c r="Q476" s="49" t="s">
        <v>2044</v>
      </c>
      <c r="R476" s="42">
        <f t="shared" si="118"/>
        <v>16.4936886395512</v>
      </c>
      <c r="S476" s="46">
        <v>8</v>
      </c>
      <c r="T476" s="46" t="s">
        <v>1028</v>
      </c>
      <c r="U476" s="43" t="str">
        <f t="shared" si="119"/>
        <v>18/04/2024</v>
      </c>
      <c r="V476" s="43">
        <f t="shared" si="120"/>
        <v>45400</v>
      </c>
      <c r="W476" s="44">
        <f t="array" ref="W476">_xlfn.IFS(TRIM(C476)="","",TRIM(V476)="","",TRUE,V476-C476)</f>
        <v>9</v>
      </c>
      <c r="X476" s="37">
        <f t="shared" si="121"/>
        <v>1</v>
      </c>
      <c r="Y476" s="46" t="s">
        <v>72</v>
      </c>
      <c r="Z476" s="37" t="str">
        <f t="shared" si="122"/>
        <v>delayed</v>
      </c>
      <c r="AA476" s="37" t="str">
        <f t="shared" si="123"/>
        <v>Late</v>
      </c>
      <c r="AB476" s="37" t="str">
        <f t="shared" si="126"/>
        <v>1</v>
      </c>
      <c r="AC476" s="37">
        <f t="shared" si="127"/>
        <v>1</v>
      </c>
      <c r="AD476" s="45">
        <f t="shared" si="125"/>
        <v>0.511190689346464</v>
      </c>
      <c r="AE476" s="46">
        <v>3</v>
      </c>
      <c r="AF476" s="46" t="s">
        <v>181</v>
      </c>
      <c r="AG476" s="37" t="str">
        <f t="shared" si="124"/>
        <v>y</v>
      </c>
      <c r="AH476" s="37" t="str">
        <f t="array" ref="AH476">_xlfn.IFS(LOWER(AG476)="n","no",LOWER(AG476)="y","yes",TRUE,LOWER(AG476))</f>
        <v>yes</v>
      </c>
      <c r="AI476" s="46" t="s">
        <v>4692</v>
      </c>
    </row>
    <row r="477" spans="1:35">
      <c r="A477" s="46" t="s">
        <v>2045</v>
      </c>
      <c r="B477" s="47">
        <v>45432</v>
      </c>
      <c r="C477" s="39">
        <f t="shared" si="112"/>
        <v>45432</v>
      </c>
      <c r="D477" s="48" t="s">
        <v>340</v>
      </c>
      <c r="E477" s="37" t="str" cm="1">
        <f t="array" ref="E477">_xlfn.IFS(D477="delhi","north",D477="mumbai","west",D477="bengaluru","south",D477="chennai","south",D477="kolkata","east",TRUE,"west")</f>
        <v>north</v>
      </c>
      <c r="F477" s="46" t="s">
        <v>146</v>
      </c>
      <c r="G477" s="37" t="str">
        <f t="shared" si="113"/>
        <v>ecomexpress</v>
      </c>
      <c r="H477" s="46" t="s">
        <v>176</v>
      </c>
      <c r="I477" s="37" t="str">
        <f t="shared" si="114"/>
        <v>road</v>
      </c>
      <c r="J477" s="46" t="s">
        <v>313</v>
      </c>
      <c r="K477" s="37" t="str">
        <f t="shared" si="115"/>
        <v>automotiveparts</v>
      </c>
      <c r="L477" s="46" t="s">
        <v>346</v>
      </c>
      <c r="M477" s="37" t="str">
        <f t="shared" si="116"/>
        <v>north</v>
      </c>
      <c r="N477" s="46" t="s">
        <v>113</v>
      </c>
      <c r="O477" s="41" t="str">
        <f t="shared" si="117"/>
        <v>Yes</v>
      </c>
      <c r="P477" s="49">
        <v>10.1</v>
      </c>
      <c r="Q477" s="49">
        <v>140</v>
      </c>
      <c r="R477" s="42">
        <f t="shared" si="118"/>
        <v>13.8613861386139</v>
      </c>
      <c r="S477" s="46">
        <v>6</v>
      </c>
      <c r="T477" s="46" t="s">
        <v>450</v>
      </c>
      <c r="U477" s="43" t="str">
        <f t="shared" si="119"/>
        <v>26/05/2024</v>
      </c>
      <c r="V477" s="43">
        <f t="shared" si="120"/>
        <v>45438</v>
      </c>
      <c r="W477" s="44">
        <f t="array" ref="W477">_xlfn.IFS(TRIM(C477)="","",TRIM(V477)="","",TRUE,V477-C477)</f>
        <v>6</v>
      </c>
      <c r="X477" s="37">
        <f t="shared" si="121"/>
        <v>0</v>
      </c>
      <c r="Y477" s="46" t="s">
        <v>117</v>
      </c>
      <c r="Z477" s="37" t="str">
        <f t="shared" si="122"/>
        <v>delivered</v>
      </c>
      <c r="AA477" s="37" t="str">
        <f t="shared" si="123"/>
        <v>On Time</v>
      </c>
      <c r="AB477" s="37" t="str">
        <f t="shared" si="126"/>
        <v>0</v>
      </c>
      <c r="AC477" s="37">
        <f t="shared" si="127"/>
        <v>0</v>
      </c>
      <c r="AD477" s="45">
        <f t="shared" si="125"/>
        <v>0.510752688172043</v>
      </c>
      <c r="AE477" s="46">
        <v>2</v>
      </c>
      <c r="AF477" s="46" t="s">
        <v>106</v>
      </c>
      <c r="AG477" s="37" t="str">
        <f t="shared" si="124"/>
        <v>yes</v>
      </c>
      <c r="AH477" s="37" t="str">
        <f t="array" ref="AH477">_xlfn.IFS(LOWER(AG477)="n","no",LOWER(AG477)="y","yes",TRUE,LOWER(AG477))</f>
        <v>yes</v>
      </c>
      <c r="AI477" s="46" t="s">
        <v>4692</v>
      </c>
    </row>
    <row r="478" spans="1:35">
      <c r="A478" s="37" t="s">
        <v>2049</v>
      </c>
      <c r="B478" s="38" t="s">
        <v>4778</v>
      </c>
      <c r="C478" s="39">
        <f t="shared" si="112"/>
        <v>45362</v>
      </c>
      <c r="D478" s="40" t="s">
        <v>121</v>
      </c>
      <c r="E478" s="37" t="str" cm="1">
        <f t="array" ref="E478">_xlfn.IFS(D478="delhi","north",D478="mumbai","west",D478="bengaluru","south",D478="chennai","south",D478="kolkata","east",TRUE,"west")</f>
        <v>west</v>
      </c>
      <c r="F478" s="37" t="s">
        <v>184</v>
      </c>
      <c r="G478" s="37" t="str">
        <f t="shared" si="113"/>
        <v>ecomexpress</v>
      </c>
      <c r="H478" s="37" t="s">
        <v>110</v>
      </c>
      <c r="I478" s="37" t="str">
        <f t="shared" si="114"/>
        <v>surface</v>
      </c>
      <c r="J478" s="37" t="s">
        <v>263</v>
      </c>
      <c r="K478" s="37" t="str">
        <f t="shared" si="115"/>
        <v>apparel</v>
      </c>
      <c r="L478" s="37" t="s">
        <v>125</v>
      </c>
      <c r="M478" s="37" t="str">
        <f t="shared" si="116"/>
        <v>east</v>
      </c>
      <c r="N478" s="37" t="s">
        <v>91</v>
      </c>
      <c r="O478" s="41" t="str">
        <f t="shared" si="117"/>
        <v>Yes</v>
      </c>
      <c r="P478" s="41">
        <v>1.2</v>
      </c>
      <c r="Q478" s="41" t="s">
        <v>2050</v>
      </c>
      <c r="R478" s="42">
        <f t="shared" si="118"/>
        <v>185</v>
      </c>
      <c r="S478" s="37">
        <v>6</v>
      </c>
      <c r="T478" s="37" t="s">
        <v>1380</v>
      </c>
      <c r="U478" s="43" t="str">
        <f t="shared" si="119"/>
        <v>16/03/2024</v>
      </c>
      <c r="V478" s="43">
        <f t="shared" si="120"/>
        <v>45367</v>
      </c>
      <c r="W478" s="44">
        <f t="array" ref="W478">_xlfn.IFS(TRIM(C478)="","",TRIM(V478)="","",TRUE,V478-C478)</f>
        <v>5</v>
      </c>
      <c r="X478" s="37">
        <f t="shared" si="121"/>
        <v>-1</v>
      </c>
      <c r="Y478" s="37" t="s">
        <v>163</v>
      </c>
      <c r="Z478" s="37" t="str">
        <f t="shared" si="122"/>
        <v>delivered</v>
      </c>
      <c r="AA478" s="37" t="str">
        <f t="shared" si="123"/>
        <v>On Time</v>
      </c>
      <c r="AB478" s="37" t="str">
        <f t="shared" si="126"/>
        <v>0</v>
      </c>
      <c r="AC478" s="37">
        <f t="shared" si="127"/>
        <v>0</v>
      </c>
      <c r="AD478" s="45">
        <f t="shared" si="125"/>
        <v>0.511210762331839</v>
      </c>
      <c r="AE478" s="37">
        <v>4</v>
      </c>
      <c r="AF478" s="37" t="s">
        <v>106</v>
      </c>
      <c r="AG478" s="37" t="str">
        <f t="shared" si="124"/>
        <v>yes</v>
      </c>
      <c r="AH478" s="37" t="str">
        <f t="array" ref="AH478">_xlfn.IFS(LOWER(AG478)="n","no",LOWER(AG478)="y","yes",TRUE,LOWER(AG478))</f>
        <v>yes</v>
      </c>
      <c r="AI478" s="37" t="s">
        <v>4692</v>
      </c>
    </row>
    <row r="479" spans="1:35">
      <c r="A479" s="46" t="s">
        <v>2051</v>
      </c>
      <c r="B479" s="47">
        <v>45298</v>
      </c>
      <c r="C479" s="39">
        <f t="shared" si="112"/>
        <v>45298</v>
      </c>
      <c r="D479" s="48" t="s">
        <v>4712</v>
      </c>
      <c r="E479" s="37" t="str" cm="1">
        <f t="array" ref="E479">_xlfn.IFS(D479="delhi","north",D479="mumbai","west",D479="bengaluru","south",D479="chennai","south",D479="kolkata","east",TRUE,"west")</f>
        <v>west</v>
      </c>
      <c r="F479" s="46" t="s">
        <v>136</v>
      </c>
      <c r="G479" s="37" t="str">
        <f t="shared" si="113"/>
        <v>bluedart</v>
      </c>
      <c r="H479" s="46" t="s">
        <v>157</v>
      </c>
      <c r="I479" s="37" t="str">
        <f t="shared" si="114"/>
        <v>surface</v>
      </c>
      <c r="J479" s="46" t="s">
        <v>186</v>
      </c>
      <c r="K479" s="37" t="str">
        <f t="shared" si="115"/>
        <v>automotiveparts</v>
      </c>
      <c r="L479" s="46" t="s">
        <v>346</v>
      </c>
      <c r="M479" s="37" t="str">
        <f t="shared" si="116"/>
        <v>north</v>
      </c>
      <c r="N479" s="46" t="s">
        <v>113</v>
      </c>
      <c r="O479" s="41" t="str">
        <f t="shared" si="117"/>
        <v>Yes</v>
      </c>
      <c r="P479" s="49">
        <v>29.3</v>
      </c>
      <c r="Q479" s="49">
        <v>778</v>
      </c>
      <c r="R479" s="42">
        <f t="shared" si="118"/>
        <v>26.5529010238908</v>
      </c>
      <c r="S479" s="46">
        <v>6</v>
      </c>
      <c r="T479" s="46" t="s">
        <v>2055</v>
      </c>
      <c r="U479" s="43" t="str">
        <f t="shared" si="119"/>
        <v>21/01/2024</v>
      </c>
      <c r="V479" s="43">
        <f t="shared" si="120"/>
        <v>45312</v>
      </c>
      <c r="W479" s="44">
        <f t="array" ref="W479">_xlfn.IFS(TRIM(C479)="","",TRIM(V479)="","",TRUE,V479-C479)</f>
        <v>14</v>
      </c>
      <c r="X479" s="37">
        <f t="shared" si="121"/>
        <v>8</v>
      </c>
      <c r="Y479" s="46" t="s">
        <v>72</v>
      </c>
      <c r="Z479" s="37" t="str">
        <f t="shared" si="122"/>
        <v>delayed</v>
      </c>
      <c r="AA479" s="37" t="str">
        <f t="shared" si="123"/>
        <v>Late</v>
      </c>
      <c r="AB479" s="37" t="str">
        <f t="shared" si="126"/>
        <v>1</v>
      </c>
      <c r="AC479" s="37">
        <f t="shared" si="127"/>
        <v>1</v>
      </c>
      <c r="AD479" s="45">
        <f t="shared" si="125"/>
        <v>0.511669658886894</v>
      </c>
      <c r="AE479" s="46">
        <v>5</v>
      </c>
      <c r="AF479" s="46" t="s">
        <v>152</v>
      </c>
      <c r="AG479" s="37" t="str">
        <f t="shared" si="124"/>
        <v>no</v>
      </c>
      <c r="AH479" s="37" t="str">
        <f t="array" ref="AH479">_xlfn.IFS(LOWER(AG479)="n","no",LOWER(AG479)="y","yes",TRUE,LOWER(AG479))</f>
        <v>no</v>
      </c>
      <c r="AI479" s="46" t="s">
        <v>4692</v>
      </c>
    </row>
    <row r="480" spans="1:35">
      <c r="A480" s="37" t="s">
        <v>2056</v>
      </c>
      <c r="B480" s="38" t="s">
        <v>4785</v>
      </c>
      <c r="C480" s="39">
        <f t="shared" si="112"/>
        <v>45292</v>
      </c>
      <c r="D480" s="40" t="s">
        <v>4695</v>
      </c>
      <c r="E480" s="37" t="str" cm="1">
        <f t="array" ref="E480">_xlfn.IFS(D480="delhi","north",D480="mumbai","west",D480="bengaluru","south",D480="chennai","south",D480="kolkata","east",TRUE,"west")</f>
        <v>west</v>
      </c>
      <c r="F480" s="37" t="s">
        <v>213</v>
      </c>
      <c r="G480" s="37" t="str">
        <f t="shared" si="113"/>
        <v>dtdc</v>
      </c>
      <c r="H480" s="37" t="s">
        <v>99</v>
      </c>
      <c r="I480" s="37" t="str">
        <f t="shared" si="114"/>
        <v>air</v>
      </c>
      <c r="J480" s="37" t="s">
        <v>158</v>
      </c>
      <c r="K480" s="37" t="str">
        <f t="shared" si="115"/>
        <v>pharma</v>
      </c>
      <c r="L480" s="37" t="s">
        <v>197</v>
      </c>
      <c r="M480" s="37" t="str">
        <f t="shared" si="116"/>
        <v>south</v>
      </c>
      <c r="N480" s="37" t="s">
        <v>90</v>
      </c>
      <c r="O480" s="41" t="str">
        <f t="shared" si="117"/>
        <v>Yes</v>
      </c>
      <c r="P480" s="41" t="s">
        <v>577</v>
      </c>
      <c r="Q480" s="41">
        <v>226</v>
      </c>
      <c r="R480" s="42">
        <f t="shared" si="118"/>
        <v>113</v>
      </c>
      <c r="S480" s="37">
        <v>4</v>
      </c>
      <c r="T480" s="37" t="s">
        <v>2059</v>
      </c>
      <c r="U480" s="43" t="str">
        <f t="shared" si="119"/>
        <v>14/01/2024</v>
      </c>
      <c r="V480" s="43">
        <f t="shared" si="120"/>
        <v>45305</v>
      </c>
      <c r="W480" s="44">
        <f t="array" ref="W480">_xlfn.IFS(TRIM(C480)="","",TRIM(V480)="","",TRUE,V480-C480)</f>
        <v>13</v>
      </c>
      <c r="X480" s="37">
        <f t="shared" si="121"/>
        <v>9</v>
      </c>
      <c r="Y480" s="37" t="s">
        <v>200</v>
      </c>
      <c r="Z480" s="37" t="str">
        <f t="shared" si="122"/>
        <v>delayed</v>
      </c>
      <c r="AA480" s="37" t="str">
        <f t="shared" si="123"/>
        <v>Late</v>
      </c>
      <c r="AB480" s="37" t="str">
        <f t="shared" si="126"/>
        <v>1</v>
      </c>
      <c r="AC480" s="37">
        <f t="shared" si="127"/>
        <v>1</v>
      </c>
      <c r="AD480" s="45">
        <f t="shared" si="125"/>
        <v>0.511230907457323</v>
      </c>
      <c r="AE480" s="37">
        <v>1</v>
      </c>
      <c r="AF480" s="37" t="s">
        <v>79</v>
      </c>
      <c r="AG480" s="37" t="str">
        <f t="shared" si="124"/>
        <v>yes</v>
      </c>
      <c r="AH480" s="37" t="str">
        <f t="array" ref="AH480">_xlfn.IFS(LOWER(AG480)="n","no",LOWER(AG480)="y","yes",TRUE,LOWER(AG480))</f>
        <v>yes</v>
      </c>
      <c r="AI480" s="37" t="s">
        <v>4692</v>
      </c>
    </row>
    <row r="481" spans="1:35">
      <c r="A481" s="46" t="s">
        <v>2060</v>
      </c>
      <c r="B481" s="47">
        <v>45451</v>
      </c>
      <c r="C481" s="39">
        <f t="shared" si="112"/>
        <v>45451</v>
      </c>
      <c r="D481" s="48" t="s">
        <v>109</v>
      </c>
      <c r="E481" s="37" t="str" cm="1">
        <f t="array" ref="E481">_xlfn.IFS(D481="delhi","north",D481="mumbai","west",D481="bengaluru","south",D481="chennai","south",D481="kolkata","east",TRUE,"west")</f>
        <v>west</v>
      </c>
      <c r="F481" s="46" t="s">
        <v>919</v>
      </c>
      <c r="G481" s="37" t="str">
        <f t="shared" si="113"/>
        <v>xpressbees</v>
      </c>
      <c r="H481" s="46" t="s">
        <v>157</v>
      </c>
      <c r="I481" s="37" t="str">
        <f t="shared" si="114"/>
        <v>surface</v>
      </c>
      <c r="J481" s="46" t="s">
        <v>111</v>
      </c>
      <c r="K481" s="37" t="str">
        <f t="shared" si="115"/>
        <v>grocery&amp;fmcg</v>
      </c>
      <c r="L481" s="46" t="s">
        <v>101</v>
      </c>
      <c r="M481" s="37" t="str">
        <f t="shared" si="116"/>
        <v>west</v>
      </c>
      <c r="N481" s="46" t="s">
        <v>278</v>
      </c>
      <c r="O481" s="41" t="str">
        <f t="shared" si="117"/>
        <v>Yes</v>
      </c>
      <c r="P481" s="49" t="s">
        <v>2061</v>
      </c>
      <c r="Q481" s="49" t="s">
        <v>2062</v>
      </c>
      <c r="R481" s="42">
        <f t="shared" si="118"/>
        <v>22.5301204819277</v>
      </c>
      <c r="S481" s="46">
        <v>4</v>
      </c>
      <c r="T481" s="46" t="s">
        <v>2063</v>
      </c>
      <c r="U481" s="43" t="str">
        <f t="shared" si="119"/>
        <v>2024-06-13</v>
      </c>
      <c r="V481" s="43">
        <f t="shared" si="120"/>
        <v>45456</v>
      </c>
      <c r="W481" s="44">
        <f t="array" ref="W481">_xlfn.IFS(TRIM(C481)="","",TRIM(V481)="","",TRUE,V481-C481)</f>
        <v>5</v>
      </c>
      <c r="X481" s="37">
        <f t="shared" si="121"/>
        <v>1</v>
      </c>
      <c r="Y481" s="46" t="s">
        <v>200</v>
      </c>
      <c r="Z481" s="37" t="str">
        <f t="shared" si="122"/>
        <v>delayed</v>
      </c>
      <c r="AA481" s="37" t="str">
        <f t="shared" si="123"/>
        <v>Late</v>
      </c>
      <c r="AB481" s="37" t="str">
        <f t="shared" si="126"/>
        <v>1</v>
      </c>
      <c r="AC481" s="37">
        <f t="shared" si="127"/>
        <v>1</v>
      </c>
      <c r="AD481" s="45">
        <f t="shared" si="125"/>
        <v>0.510791366906475</v>
      </c>
      <c r="AE481" s="46">
        <v>1</v>
      </c>
      <c r="AF481" s="46" t="s">
        <v>152</v>
      </c>
      <c r="AG481" s="37" t="str">
        <f t="shared" si="124"/>
        <v>no</v>
      </c>
      <c r="AH481" s="37" t="str">
        <f t="array" ref="AH481">_xlfn.IFS(LOWER(AG481)="n","no",LOWER(AG481)="y","yes",TRUE,LOWER(AG481))</f>
        <v>no</v>
      </c>
      <c r="AI481" s="46" t="s">
        <v>4692</v>
      </c>
    </row>
    <row r="482" spans="1:35">
      <c r="A482" s="37" t="s">
        <v>2064</v>
      </c>
      <c r="B482" s="38" t="s">
        <v>4734</v>
      </c>
      <c r="C482" s="39">
        <f t="shared" si="112"/>
        <v>45454</v>
      </c>
      <c r="D482" s="40" t="s">
        <v>340</v>
      </c>
      <c r="E482" s="37" t="str" cm="1">
        <f t="array" ref="E482">_xlfn.IFS(D482="delhi","north",D482="mumbai","west",D482="bengaluru","south",D482="chennai","south",D482="kolkata","east",TRUE,"west")</f>
        <v>north</v>
      </c>
      <c r="F482" s="37" t="s">
        <v>184</v>
      </c>
      <c r="G482" s="37" t="str">
        <f t="shared" si="113"/>
        <v>ecomexpress</v>
      </c>
      <c r="H482" s="37" t="s">
        <v>110</v>
      </c>
      <c r="I482" s="37" t="str">
        <f t="shared" si="114"/>
        <v>surface</v>
      </c>
      <c r="J482" s="37" t="s">
        <v>205</v>
      </c>
      <c r="K482" s="37" t="str">
        <f t="shared" si="115"/>
        <v>furniture</v>
      </c>
      <c r="L482" s="37" t="s">
        <v>334</v>
      </c>
      <c r="M482" s="37" t="str">
        <f t="shared" si="116"/>
        <v>north</v>
      </c>
      <c r="N482" s="37" t="s">
        <v>215</v>
      </c>
      <c r="O482" s="41" t="str">
        <f t="shared" si="117"/>
        <v>Yes</v>
      </c>
      <c r="P482" s="41">
        <v>57.5</v>
      </c>
      <c r="Q482" s="41" t="s">
        <v>2066</v>
      </c>
      <c r="R482" s="42">
        <f t="shared" si="118"/>
        <v>22.0521739130435</v>
      </c>
      <c r="S482" s="37">
        <v>4</v>
      </c>
      <c r="T482" s="37" t="s">
        <v>433</v>
      </c>
      <c r="U482" s="43" t="str">
        <f t="shared" si="119"/>
        <v>2024-06-15</v>
      </c>
      <c r="V482" s="43">
        <f t="shared" si="120"/>
        <v>45458</v>
      </c>
      <c r="W482" s="44">
        <f t="array" ref="W482">_xlfn.IFS(TRIM(C482)="","",TRIM(V482)="","",TRUE,V482-C482)</f>
        <v>4</v>
      </c>
      <c r="X482" s="37">
        <f t="shared" si="121"/>
        <v>0</v>
      </c>
      <c r="Y482" s="37" t="s">
        <v>105</v>
      </c>
      <c r="Z482" s="37" t="str">
        <f t="shared" si="122"/>
        <v>delivered</v>
      </c>
      <c r="AA482" s="37" t="str">
        <f t="shared" si="123"/>
        <v>On Time</v>
      </c>
      <c r="AB482" s="37" t="str">
        <f t="shared" si="126"/>
        <v>0</v>
      </c>
      <c r="AC482" s="37">
        <f t="shared" si="127"/>
        <v>0</v>
      </c>
      <c r="AD482" s="45">
        <f t="shared" si="125"/>
        <v>0.51035103510351</v>
      </c>
      <c r="AE482" s="37">
        <v>4</v>
      </c>
      <c r="AF482" s="37" t="s">
        <v>131</v>
      </c>
      <c r="AG482" s="37" t="str">
        <f t="shared" si="124"/>
        <v>n</v>
      </c>
      <c r="AH482" s="37" t="str">
        <f t="array" ref="AH482">_xlfn.IFS(LOWER(AG482)="n","no",LOWER(AG482)="y","yes",TRUE,LOWER(AG482))</f>
        <v>no</v>
      </c>
      <c r="AI482" s="37" t="s">
        <v>4692</v>
      </c>
    </row>
    <row r="483" spans="1:35">
      <c r="A483" s="46" t="s">
        <v>2067</v>
      </c>
      <c r="B483" s="47">
        <v>45468</v>
      </c>
      <c r="C483" s="39">
        <f t="shared" si="112"/>
        <v>45468</v>
      </c>
      <c r="D483" s="48" t="s">
        <v>243</v>
      </c>
      <c r="E483" s="37" t="str" cm="1">
        <f t="array" ref="E483">_xlfn.IFS(D483="delhi","north",D483="mumbai","west",D483="bengaluru","south",D483="chennai","south",D483="kolkata","east",TRUE,"west")</f>
        <v>west</v>
      </c>
      <c r="F483" s="46" t="s">
        <v>270</v>
      </c>
      <c r="G483" s="37" t="str">
        <f t="shared" si="113"/>
        <v>ecomexpress</v>
      </c>
      <c r="H483" s="46" t="s">
        <v>42</v>
      </c>
      <c r="I483" s="37" t="str">
        <f t="shared" si="114"/>
        <v>surface</v>
      </c>
      <c r="J483" s="46" t="s">
        <v>271</v>
      </c>
      <c r="K483" s="37" t="str">
        <f t="shared" si="115"/>
        <v>electronics</v>
      </c>
      <c r="L483" s="46" t="s">
        <v>51</v>
      </c>
      <c r="M483" s="37" t="str">
        <f t="shared" si="116"/>
        <v>south</v>
      </c>
      <c r="N483" s="46" t="s">
        <v>54</v>
      </c>
      <c r="O483" s="41" t="str">
        <f t="shared" si="117"/>
        <v>Yes</v>
      </c>
      <c r="P483" s="49">
        <v>3.3</v>
      </c>
      <c r="Q483" s="49" t="s">
        <v>2069</v>
      </c>
      <c r="R483" s="42">
        <f t="shared" si="118"/>
        <v>34.2424242424242</v>
      </c>
      <c r="S483" s="46">
        <v>4</v>
      </c>
      <c r="T483" s="46" t="s">
        <v>1450</v>
      </c>
      <c r="U483" s="43" t="str">
        <f t="shared" si="119"/>
        <v>2024-06-28</v>
      </c>
      <c r="V483" s="43">
        <f t="shared" si="120"/>
        <v>45471</v>
      </c>
      <c r="W483" s="44">
        <f t="array" ref="W483">_xlfn.IFS(TRIM(C483)="","",TRIM(V483)="","",TRUE,V483-C483)</f>
        <v>3</v>
      </c>
      <c r="X483" s="37">
        <f t="shared" si="121"/>
        <v>-1</v>
      </c>
      <c r="Y483" s="46" t="s">
        <v>117</v>
      </c>
      <c r="Z483" s="37" t="str">
        <f t="shared" si="122"/>
        <v>delivered</v>
      </c>
      <c r="AA483" s="37" t="str">
        <f t="shared" si="123"/>
        <v>On Time</v>
      </c>
      <c r="AB483" s="37" t="str">
        <f t="shared" si="126"/>
        <v>0</v>
      </c>
      <c r="AC483" s="37">
        <f t="shared" si="127"/>
        <v>0</v>
      </c>
      <c r="AD483" s="45">
        <f t="shared" si="125"/>
        <v>0.510810810810811</v>
      </c>
      <c r="AE483" s="46">
        <v>4</v>
      </c>
      <c r="AF483" s="46" t="s">
        <v>191</v>
      </c>
      <c r="AG483" s="37" t="str">
        <f t="shared" si="124"/>
        <v>no</v>
      </c>
      <c r="AH483" s="37" t="str">
        <f t="array" ref="AH483">_xlfn.IFS(LOWER(AG483)="n","no",LOWER(AG483)="y","yes",TRUE,LOWER(AG483))</f>
        <v>no</v>
      </c>
      <c r="AI483" s="46" t="s">
        <v>4692</v>
      </c>
    </row>
    <row r="484" spans="1:35">
      <c r="A484" s="37" t="s">
        <v>2070</v>
      </c>
      <c r="B484" s="38" t="s">
        <v>4767</v>
      </c>
      <c r="C484" s="39">
        <f t="shared" si="112"/>
        <v>45471</v>
      </c>
      <c r="D484" s="40" t="s">
        <v>424</v>
      </c>
      <c r="E484" s="37" t="str" cm="1">
        <f t="array" ref="E484">_xlfn.IFS(D484="delhi","north",D484="mumbai","west",D484="bengaluru","south",D484="chennai","south",D484="kolkata","east",TRUE,"west")</f>
        <v>south</v>
      </c>
      <c r="F484" s="37" t="s">
        <v>352</v>
      </c>
      <c r="G484" s="37" t="str">
        <f t="shared" si="113"/>
        <v>delhivery</v>
      </c>
      <c r="H484" s="37" t="s">
        <v>110</v>
      </c>
      <c r="I484" s="37" t="str">
        <f t="shared" si="114"/>
        <v>surface</v>
      </c>
      <c r="J484" s="37" t="s">
        <v>360</v>
      </c>
      <c r="K484" s="37" t="str">
        <f t="shared" si="115"/>
        <v>furniture</v>
      </c>
      <c r="L484" s="37" t="s">
        <v>139</v>
      </c>
      <c r="M484" s="37" t="str">
        <f t="shared" si="116"/>
        <v>north</v>
      </c>
      <c r="N484" s="37" t="s">
        <v>215</v>
      </c>
      <c r="O484" s="41" t="str">
        <f t="shared" si="117"/>
        <v>Yes</v>
      </c>
      <c r="P484" s="41">
        <v>62.1</v>
      </c>
      <c r="Q484" s="41" t="s">
        <v>2072</v>
      </c>
      <c r="R484" s="42">
        <f t="shared" si="118"/>
        <v>24.8631239935588</v>
      </c>
      <c r="S484" s="37">
        <v>6</v>
      </c>
      <c r="T484" s="37"/>
      <c r="U484" s="43" t="str">
        <f t="shared" si="119"/>
        <v/>
      </c>
      <c r="V484" s="43" t="e">
        <f t="shared" si="120"/>
        <v>#VALUE!</v>
      </c>
      <c r="W484" s="44" t="e">
        <f t="array" ref="W484">_xlfn.IFS(TRIM(C484)="","",TRIM(V484)="","",TRUE,V484-C484)</f>
        <v>#VALUE!</v>
      </c>
      <c r="X484" s="37" t="e">
        <f t="shared" si="121"/>
        <v>#VALUE!</v>
      </c>
      <c r="Y484" s="37" t="s">
        <v>2073</v>
      </c>
      <c r="Z484" s="37" t="str">
        <f t="shared" si="122"/>
        <v>in-transit</v>
      </c>
      <c r="AA484" s="37" t="str">
        <f t="shared" si="123"/>
        <v>N/A</v>
      </c>
      <c r="AB484" s="37" t="str">
        <f t="shared" si="126"/>
        <v>N/A</v>
      </c>
      <c r="AC484" s="37" t="e">
        <f t="shared" si="127"/>
        <v>#VALUE!</v>
      </c>
      <c r="AD484" s="45">
        <f t="shared" si="125"/>
        <v>0.511271415689811</v>
      </c>
      <c r="AE484" s="37"/>
      <c r="AF484" s="37" t="s">
        <v>106</v>
      </c>
      <c r="AG484" s="37" t="str">
        <f t="shared" si="124"/>
        <v>yes</v>
      </c>
      <c r="AH484" s="37" t="str">
        <f t="array" ref="AH484">_xlfn.IFS(LOWER(AG484)="n","no",LOWER(AG484)="y","yes",TRUE,LOWER(AG484))</f>
        <v>yes</v>
      </c>
      <c r="AI484" s="37" t="s">
        <v>4692</v>
      </c>
    </row>
    <row r="485" spans="1:35">
      <c r="A485" s="46" t="s">
        <v>2074</v>
      </c>
      <c r="B485" s="47">
        <v>45451</v>
      </c>
      <c r="C485" s="39">
        <f t="shared" si="112"/>
        <v>45451</v>
      </c>
      <c r="D485" s="48" t="s">
        <v>243</v>
      </c>
      <c r="E485" s="37" t="str" cm="1">
        <f t="array" ref="E485">_xlfn.IFS(D485="delhi","north",D485="mumbai","west",D485="bengaluru","south",D485="chennai","south",D485="kolkata","east",TRUE,"west")</f>
        <v>west</v>
      </c>
      <c r="F485" s="46" t="s">
        <v>333</v>
      </c>
      <c r="G485" s="37" t="str">
        <f t="shared" si="113"/>
        <v>delhivery</v>
      </c>
      <c r="H485" s="46" t="s">
        <v>244</v>
      </c>
      <c r="I485" s="37" t="str">
        <f t="shared" si="114"/>
        <v>air</v>
      </c>
      <c r="J485" s="46" t="s">
        <v>582</v>
      </c>
      <c r="K485" s="37" t="str">
        <f t="shared" si="115"/>
        <v>grocery&amp;fmcg</v>
      </c>
      <c r="L485" s="46" t="s">
        <v>89</v>
      </c>
      <c r="M485" s="37" t="str">
        <f t="shared" si="116"/>
        <v>west</v>
      </c>
      <c r="N485" s="46" t="s">
        <v>187</v>
      </c>
      <c r="O485" s="41" t="str">
        <f t="shared" si="117"/>
        <v>Yes</v>
      </c>
      <c r="P485" s="49">
        <v>9.6</v>
      </c>
      <c r="Q485" s="49">
        <v>618</v>
      </c>
      <c r="R485" s="42">
        <f t="shared" si="118"/>
        <v>64.375</v>
      </c>
      <c r="S485" s="46">
        <v>4</v>
      </c>
      <c r="T485" s="46" t="s">
        <v>1550</v>
      </c>
      <c r="U485" s="43" t="str">
        <f t="shared" si="119"/>
        <v>18-jun-2024</v>
      </c>
      <c r="V485" s="43">
        <f t="shared" si="120"/>
        <v>45461</v>
      </c>
      <c r="W485" s="44">
        <f t="array" ref="W485">_xlfn.IFS(TRIM(C485)="","",TRIM(V485)="","",TRUE,V485-C485)</f>
        <v>10</v>
      </c>
      <c r="X485" s="37">
        <f t="shared" si="121"/>
        <v>6</v>
      </c>
      <c r="Y485" s="46" t="s">
        <v>72</v>
      </c>
      <c r="Z485" s="37" t="str">
        <f t="shared" si="122"/>
        <v>delayed</v>
      </c>
      <c r="AA485" s="37" t="str">
        <f t="shared" si="123"/>
        <v>Late</v>
      </c>
      <c r="AB485" s="37" t="str">
        <f t="shared" si="126"/>
        <v>1</v>
      </c>
      <c r="AC485" s="37">
        <f t="shared" si="127"/>
        <v>1</v>
      </c>
      <c r="AD485" s="45">
        <f t="shared" si="125"/>
        <v>0.511271415689811</v>
      </c>
      <c r="AE485" s="46">
        <v>4</v>
      </c>
      <c r="AF485" s="46" t="s">
        <v>106</v>
      </c>
      <c r="AG485" s="37" t="str">
        <f t="shared" si="124"/>
        <v>yes</v>
      </c>
      <c r="AH485" s="37" t="str">
        <f t="array" ref="AH485">_xlfn.IFS(LOWER(AG485)="n","no",LOWER(AG485)="y","yes",TRUE,LOWER(AG485))</f>
        <v>yes</v>
      </c>
      <c r="AI485" s="46" t="s">
        <v>4692</v>
      </c>
    </row>
    <row r="486" spans="1:35">
      <c r="A486" s="37" t="s">
        <v>2076</v>
      </c>
      <c r="B486" s="38">
        <v>45359</v>
      </c>
      <c r="C486" s="39">
        <f t="shared" si="112"/>
        <v>45359</v>
      </c>
      <c r="D486" s="40" t="s">
        <v>424</v>
      </c>
      <c r="E486" s="37" t="str" cm="1">
        <f t="array" ref="E486">_xlfn.IFS(D486="delhi","north",D486="mumbai","west",D486="bengaluru","south",D486="chennai","south",D486="kolkata","east",TRUE,"west")</f>
        <v>south</v>
      </c>
      <c r="F486" s="37" t="s">
        <v>98</v>
      </c>
      <c r="G486" s="37" t="str">
        <f t="shared" si="113"/>
        <v>dtdc</v>
      </c>
      <c r="H486" s="37" t="s">
        <v>176</v>
      </c>
      <c r="I486" s="37" t="str">
        <f t="shared" si="114"/>
        <v>road</v>
      </c>
      <c r="J486" s="37" t="s">
        <v>158</v>
      </c>
      <c r="K486" s="37" t="str">
        <f t="shared" si="115"/>
        <v>pharma</v>
      </c>
      <c r="L486" s="37" t="s">
        <v>346</v>
      </c>
      <c r="M486" s="37" t="str">
        <f t="shared" si="116"/>
        <v>north</v>
      </c>
      <c r="N486" s="37" t="s">
        <v>113</v>
      </c>
      <c r="O486" s="41" t="str">
        <f t="shared" si="117"/>
        <v>Yes</v>
      </c>
      <c r="P486" s="41" t="s">
        <v>1326</v>
      </c>
      <c r="Q486" s="41">
        <v>238</v>
      </c>
      <c r="R486" s="42">
        <f t="shared" si="118"/>
        <v>108.181818181818</v>
      </c>
      <c r="S486" s="37">
        <v>8</v>
      </c>
      <c r="T486" s="37" t="s">
        <v>940</v>
      </c>
      <c r="U486" s="43" t="str">
        <f t="shared" si="119"/>
        <v>2024-03-17</v>
      </c>
      <c r="V486" s="43">
        <f t="shared" si="120"/>
        <v>45368</v>
      </c>
      <c r="W486" s="44">
        <f t="array" ref="W486">_xlfn.IFS(TRIM(C486)="","",TRIM(V486)="","",TRUE,V486-C486)</f>
        <v>9</v>
      </c>
      <c r="X486" s="37">
        <f t="shared" si="121"/>
        <v>1</v>
      </c>
      <c r="Y486" s="37" t="s">
        <v>143</v>
      </c>
      <c r="Z486" s="37" t="str">
        <f t="shared" si="122"/>
        <v>delayed</v>
      </c>
      <c r="AA486" s="37" t="str">
        <f t="shared" si="123"/>
        <v>Late</v>
      </c>
      <c r="AB486" s="37" t="str">
        <f t="shared" si="126"/>
        <v>1</v>
      </c>
      <c r="AC486" s="37">
        <f t="shared" si="127"/>
        <v>1</v>
      </c>
      <c r="AD486" s="45">
        <f t="shared" si="125"/>
        <v>0.510830324909747</v>
      </c>
      <c r="AE486" s="37">
        <v>3</v>
      </c>
      <c r="AF486" s="37" t="s">
        <v>286</v>
      </c>
      <c r="AG486" s="37" t="str">
        <f t="shared" si="124"/>
        <v>yes</v>
      </c>
      <c r="AH486" s="37" t="str">
        <f t="array" ref="AH486">_xlfn.IFS(LOWER(AG486)="n","no",LOWER(AG486)="y","yes",TRUE,LOWER(AG486))</f>
        <v>yes</v>
      </c>
      <c r="AI486" s="37" t="s">
        <v>4692</v>
      </c>
    </row>
    <row r="487" spans="1:35">
      <c r="A487" s="46" t="s">
        <v>2078</v>
      </c>
      <c r="B487" s="47" t="s">
        <v>4786</v>
      </c>
      <c r="C487" s="39">
        <f t="shared" si="112"/>
        <v>45403</v>
      </c>
      <c r="D487" s="48" t="s">
        <v>4695</v>
      </c>
      <c r="E487" s="37" t="str" cm="1">
        <f t="array" ref="E487">_xlfn.IFS(D487="delhi","north",D487="mumbai","west",D487="bengaluru","south",D487="chennai","south",D487="kolkata","east",TRUE,"west")</f>
        <v>west</v>
      </c>
      <c r="F487" s="46" t="s">
        <v>194</v>
      </c>
      <c r="G487" s="37" t="str">
        <f t="shared" si="113"/>
        <v>xpressbees</v>
      </c>
      <c r="H487" s="46" t="s">
        <v>185</v>
      </c>
      <c r="I487" s="37" t="str">
        <f t="shared" si="114"/>
        <v>surface</v>
      </c>
      <c r="J487" s="46" t="s">
        <v>47</v>
      </c>
      <c r="K487" s="37" t="str">
        <f t="shared" si="115"/>
        <v>electronics</v>
      </c>
      <c r="L487" s="46" t="s">
        <v>101</v>
      </c>
      <c r="M487" s="37" t="str">
        <f t="shared" si="116"/>
        <v>west</v>
      </c>
      <c r="N487" s="46" t="s">
        <v>278</v>
      </c>
      <c r="O487" s="41" t="str">
        <f t="shared" si="117"/>
        <v>Yes</v>
      </c>
      <c r="P487" s="49" t="s">
        <v>2079</v>
      </c>
      <c r="Q487" s="49" t="s">
        <v>753</v>
      </c>
      <c r="R487" s="42">
        <f t="shared" si="118"/>
        <v>22.4705882352941</v>
      </c>
      <c r="S487" s="46">
        <v>4</v>
      </c>
      <c r="T487" s="46" t="s">
        <v>2080</v>
      </c>
      <c r="U487" s="43" t="str">
        <f t="shared" si="119"/>
        <v>2024-04-25</v>
      </c>
      <c r="V487" s="43">
        <f t="shared" si="120"/>
        <v>45407</v>
      </c>
      <c r="W487" s="44">
        <f t="array" ref="W487">_xlfn.IFS(TRIM(C487)="","",TRIM(V487)="","",TRUE,V487-C487)</f>
        <v>4</v>
      </c>
      <c r="X487" s="37">
        <f t="shared" si="121"/>
        <v>0</v>
      </c>
      <c r="Y487" s="46" t="s">
        <v>219</v>
      </c>
      <c r="Z487" s="37" t="str">
        <f t="shared" si="122"/>
        <v>delivered</v>
      </c>
      <c r="AA487" s="37" t="str">
        <f t="shared" si="123"/>
        <v>On Time</v>
      </c>
      <c r="AB487" s="37" t="str">
        <f t="shared" si="126"/>
        <v>0</v>
      </c>
      <c r="AC487" s="37">
        <f t="shared" si="127"/>
        <v>0</v>
      </c>
      <c r="AD487" s="45">
        <f t="shared" si="125"/>
        <v>0.510388437217706</v>
      </c>
      <c r="AE487" s="46">
        <v>4</v>
      </c>
      <c r="AF487" s="46" t="s">
        <v>191</v>
      </c>
      <c r="AG487" s="37" t="str">
        <f t="shared" si="124"/>
        <v>no</v>
      </c>
      <c r="AH487" s="37" t="str">
        <f t="array" ref="AH487">_xlfn.IFS(LOWER(AG487)="n","no",LOWER(AG487)="y","yes",TRUE,LOWER(AG487))</f>
        <v>no</v>
      </c>
      <c r="AI487" s="46" t="s">
        <v>4692</v>
      </c>
    </row>
    <row r="488" spans="1:35">
      <c r="A488" s="37" t="s">
        <v>2081</v>
      </c>
      <c r="B488" s="38">
        <v>45326</v>
      </c>
      <c r="C488" s="39">
        <f t="shared" si="112"/>
        <v>45326</v>
      </c>
      <c r="D488" s="40" t="s">
        <v>121</v>
      </c>
      <c r="E488" s="37" t="str" cm="1">
        <f t="array" ref="E488">_xlfn.IFS(D488="delhi","north",D488="mumbai","west",D488="bengaluru","south",D488="chennai","south",D488="kolkata","east",TRUE,"west")</f>
        <v>west</v>
      </c>
      <c r="F488" s="37" t="s">
        <v>312</v>
      </c>
      <c r="G488" s="37" t="str">
        <f t="shared" si="113"/>
        <v>bluedart</v>
      </c>
      <c r="H488" s="37" t="s">
        <v>99</v>
      </c>
      <c r="I488" s="37" t="str">
        <f t="shared" si="114"/>
        <v>air</v>
      </c>
      <c r="J488" s="37" t="s">
        <v>167</v>
      </c>
      <c r="K488" s="37" t="str">
        <f t="shared" si="115"/>
        <v>pharma</v>
      </c>
      <c r="L488" s="37" t="s">
        <v>51</v>
      </c>
      <c r="M488" s="37" t="str">
        <f t="shared" si="116"/>
        <v>south</v>
      </c>
      <c r="N488" s="37" t="s">
        <v>90</v>
      </c>
      <c r="O488" s="41" t="str">
        <f t="shared" si="117"/>
        <v>Yes</v>
      </c>
      <c r="P488" s="41">
        <v>3.5</v>
      </c>
      <c r="Q488" s="41" t="s">
        <v>2083</v>
      </c>
      <c r="R488" s="42">
        <f t="shared" si="118"/>
        <v>87.4285714285714</v>
      </c>
      <c r="S488" s="37">
        <v>4</v>
      </c>
      <c r="T488" s="37" t="s">
        <v>1309</v>
      </c>
      <c r="U488" s="43" t="str">
        <f t="shared" si="119"/>
        <v>08-feb-2024</v>
      </c>
      <c r="V488" s="43">
        <f t="shared" si="120"/>
        <v>45330</v>
      </c>
      <c r="W488" s="44">
        <f t="array" ref="W488">_xlfn.IFS(TRIM(C488)="","",TRIM(V488)="","",TRUE,V488-C488)</f>
        <v>4</v>
      </c>
      <c r="X488" s="37">
        <f t="shared" si="121"/>
        <v>0</v>
      </c>
      <c r="Y488" s="37" t="s">
        <v>105</v>
      </c>
      <c r="Z488" s="37" t="str">
        <f t="shared" si="122"/>
        <v>delivered</v>
      </c>
      <c r="AA488" s="37" t="str">
        <f t="shared" si="123"/>
        <v>On Time</v>
      </c>
      <c r="AB488" s="37" t="str">
        <f t="shared" si="126"/>
        <v>0</v>
      </c>
      <c r="AC488" s="37">
        <f t="shared" si="127"/>
        <v>0</v>
      </c>
      <c r="AD488" s="45">
        <f t="shared" si="125"/>
        <v>0.510849909584087</v>
      </c>
      <c r="AE488" s="37">
        <v>2</v>
      </c>
      <c r="AF488" s="37" t="s">
        <v>79</v>
      </c>
      <c r="AG488" s="37" t="str">
        <f t="shared" si="124"/>
        <v>yes</v>
      </c>
      <c r="AH488" s="37" t="str">
        <f t="array" ref="AH488">_xlfn.IFS(LOWER(AG488)="n","no",LOWER(AG488)="y","yes",TRUE,LOWER(AG488))</f>
        <v>yes</v>
      </c>
      <c r="AI488" s="37" t="s">
        <v>4692</v>
      </c>
    </row>
    <row r="489" spans="1:35">
      <c r="A489" s="46" t="s">
        <v>2084</v>
      </c>
      <c r="B489" s="47" t="s">
        <v>4787</v>
      </c>
      <c r="C489" s="39">
        <f t="shared" si="112"/>
        <v>45436</v>
      </c>
      <c r="D489" s="48" t="s">
        <v>340</v>
      </c>
      <c r="E489" s="37" t="str" cm="1">
        <f t="array" ref="E489">_xlfn.IFS(D489="delhi","north",D489="mumbai","west",D489="bengaluru","south",D489="chennai","south",D489="kolkata","east",TRUE,"west")</f>
        <v>north</v>
      </c>
      <c r="F489" s="46" t="s">
        <v>919</v>
      </c>
      <c r="G489" s="37" t="str">
        <f t="shared" si="113"/>
        <v>xpressbees</v>
      </c>
      <c r="H489" s="46" t="s">
        <v>123</v>
      </c>
      <c r="I489" s="37" t="str">
        <f t="shared" si="114"/>
        <v>air</v>
      </c>
      <c r="J489" s="46" t="s">
        <v>498</v>
      </c>
      <c r="K489" s="37" t="str">
        <f t="shared" si="115"/>
        <v>apparel</v>
      </c>
      <c r="L489" s="46" t="s">
        <v>197</v>
      </c>
      <c r="M489" s="37" t="str">
        <f t="shared" si="116"/>
        <v>south</v>
      </c>
      <c r="N489" s="46" t="s">
        <v>54</v>
      </c>
      <c r="O489" s="41" t="str">
        <f t="shared" si="117"/>
        <v>Yes</v>
      </c>
      <c r="P489" s="49">
        <v>7.6</v>
      </c>
      <c r="Q489" s="49">
        <v>523</v>
      </c>
      <c r="R489" s="42">
        <f t="shared" si="118"/>
        <v>68.8157894736842</v>
      </c>
      <c r="S489" s="46">
        <v>4</v>
      </c>
      <c r="T489" s="46" t="s">
        <v>1064</v>
      </c>
      <c r="U489" s="43" t="str">
        <f t="shared" si="119"/>
        <v>2024-05-29</v>
      </c>
      <c r="V489" s="43">
        <f t="shared" si="120"/>
        <v>45441</v>
      </c>
      <c r="W489" s="44">
        <f t="array" ref="W489">_xlfn.IFS(TRIM(C489)="","",TRIM(V489)="","",TRUE,V489-C489)</f>
        <v>5</v>
      </c>
      <c r="X489" s="37">
        <f t="shared" si="121"/>
        <v>1</v>
      </c>
      <c r="Y489" s="46" t="s">
        <v>172</v>
      </c>
      <c r="Z489" s="37" t="str">
        <f t="shared" si="122"/>
        <v>delayed</v>
      </c>
      <c r="AA489" s="37" t="str">
        <f t="shared" si="123"/>
        <v>Late</v>
      </c>
      <c r="AB489" s="37" t="str">
        <f t="shared" si="126"/>
        <v>1</v>
      </c>
      <c r="AC489" s="37">
        <f t="shared" si="127"/>
        <v>1</v>
      </c>
      <c r="AD489" s="45">
        <f t="shared" si="125"/>
        <v>0.51131221719457</v>
      </c>
      <c r="AE489" s="46">
        <v>4</v>
      </c>
      <c r="AF489" s="46" t="s">
        <v>286</v>
      </c>
      <c r="AG489" s="37" t="str">
        <f t="shared" si="124"/>
        <v>yes</v>
      </c>
      <c r="AH489" s="37" t="str">
        <f t="array" ref="AH489">_xlfn.IFS(LOWER(AG489)="n","no",LOWER(AG489)="y","yes",TRUE,LOWER(AG489))</f>
        <v>yes</v>
      </c>
      <c r="AI489" s="46" t="s">
        <v>4692</v>
      </c>
    </row>
    <row r="490" spans="1:35">
      <c r="A490" s="37" t="s">
        <v>2086</v>
      </c>
      <c r="B490" s="38">
        <v>45435</v>
      </c>
      <c r="C490" s="39">
        <f t="shared" si="112"/>
        <v>45435</v>
      </c>
      <c r="D490" s="40" t="s">
        <v>109</v>
      </c>
      <c r="E490" s="37" t="str" cm="1">
        <f t="array" ref="E490">_xlfn.IFS(D490="delhi","north",D490="mumbai","west",D490="bengaluru","south",D490="chennai","south",D490="kolkata","east",TRUE,"west")</f>
        <v>west</v>
      </c>
      <c r="F490" s="37" t="s">
        <v>98</v>
      </c>
      <c r="G490" s="37" t="str">
        <f t="shared" si="113"/>
        <v>dtdc</v>
      </c>
      <c r="H490" s="37" t="s">
        <v>185</v>
      </c>
      <c r="I490" s="37" t="str">
        <f t="shared" si="114"/>
        <v>surface</v>
      </c>
      <c r="J490" s="37" t="s">
        <v>111</v>
      </c>
      <c r="K490" s="37" t="str">
        <f t="shared" si="115"/>
        <v>grocery&amp;fmcg</v>
      </c>
      <c r="L490" s="37" t="s">
        <v>101</v>
      </c>
      <c r="M490" s="37" t="str">
        <f t="shared" si="116"/>
        <v>west</v>
      </c>
      <c r="N490" s="37" t="s">
        <v>187</v>
      </c>
      <c r="O490" s="41" t="str">
        <f t="shared" si="117"/>
        <v>Yes</v>
      </c>
      <c r="P490" s="41">
        <v>3.9</v>
      </c>
      <c r="Q490" s="41">
        <v>127</v>
      </c>
      <c r="R490" s="42">
        <f t="shared" si="118"/>
        <v>32.5641025641026</v>
      </c>
      <c r="S490" s="37">
        <v>4</v>
      </c>
      <c r="T490" s="37" t="s">
        <v>450</v>
      </c>
      <c r="U490" s="43" t="str">
        <f t="shared" si="119"/>
        <v>26/05/2024</v>
      </c>
      <c r="V490" s="43">
        <f t="shared" si="120"/>
        <v>45438</v>
      </c>
      <c r="W490" s="44">
        <f t="array" ref="W490">_xlfn.IFS(TRIM(C490)="","",TRIM(V490)="","",TRUE,V490-C490)</f>
        <v>3</v>
      </c>
      <c r="X490" s="37">
        <f t="shared" si="121"/>
        <v>-1</v>
      </c>
      <c r="Y490" s="37" t="s">
        <v>219</v>
      </c>
      <c r="Z490" s="37" t="str">
        <f t="shared" si="122"/>
        <v>delivered</v>
      </c>
      <c r="AA490" s="37" t="str">
        <f t="shared" si="123"/>
        <v>On Time</v>
      </c>
      <c r="AB490" s="37" t="str">
        <f t="shared" si="126"/>
        <v>0</v>
      </c>
      <c r="AC490" s="37">
        <f t="shared" si="127"/>
        <v>0</v>
      </c>
      <c r="AD490" s="45">
        <f t="shared" si="125"/>
        <v>0.510869565217391</v>
      </c>
      <c r="AE490" s="37">
        <v>4</v>
      </c>
      <c r="AF490" s="37" t="s">
        <v>106</v>
      </c>
      <c r="AG490" s="37" t="str">
        <f t="shared" si="124"/>
        <v>yes</v>
      </c>
      <c r="AH490" s="37" t="str">
        <f t="array" ref="AH490">_xlfn.IFS(LOWER(AG490)="n","no",LOWER(AG490)="y","yes",TRUE,LOWER(AG490))</f>
        <v>yes</v>
      </c>
      <c r="AI490" s="37" t="s">
        <v>4692</v>
      </c>
    </row>
    <row r="491" spans="1:35">
      <c r="A491" s="46" t="s">
        <v>2089</v>
      </c>
      <c r="B491" s="47">
        <v>45317</v>
      </c>
      <c r="C491" s="39">
        <f t="shared" si="112"/>
        <v>45317</v>
      </c>
      <c r="D491" s="48" t="s">
        <v>424</v>
      </c>
      <c r="E491" s="37" t="str" cm="1">
        <f t="array" ref="E491">_xlfn.IFS(D491="delhi","north",D491="mumbai","west",D491="bengaluru","south",D491="chennai","south",D491="kolkata","east",TRUE,"west")</f>
        <v>south</v>
      </c>
      <c r="F491" s="46" t="s">
        <v>544</v>
      </c>
      <c r="G491" s="37" t="str">
        <f t="shared" si="113"/>
        <v>bluedart</v>
      </c>
      <c r="H491" s="46" t="s">
        <v>157</v>
      </c>
      <c r="I491" s="37" t="str">
        <f t="shared" si="114"/>
        <v>surface</v>
      </c>
      <c r="J491" s="46" t="s">
        <v>360</v>
      </c>
      <c r="K491" s="37" t="str">
        <f t="shared" si="115"/>
        <v>furniture</v>
      </c>
      <c r="L491" s="46" t="s">
        <v>346</v>
      </c>
      <c r="M491" s="37" t="str">
        <f t="shared" si="116"/>
        <v>north</v>
      </c>
      <c r="N491" s="46" t="s">
        <v>113</v>
      </c>
      <c r="O491" s="41" t="str">
        <f t="shared" si="117"/>
        <v>Yes</v>
      </c>
      <c r="P491" s="49">
        <v>15.9</v>
      </c>
      <c r="Q491" s="49" t="s">
        <v>2091</v>
      </c>
      <c r="R491" s="42">
        <f t="shared" si="118"/>
        <v>32.9559748427673</v>
      </c>
      <c r="S491" s="46">
        <v>6</v>
      </c>
      <c r="T491" s="46" t="s">
        <v>2092</v>
      </c>
      <c r="U491" s="43" t="str">
        <f t="shared" si="119"/>
        <v>01/02/2024</v>
      </c>
      <c r="V491" s="43">
        <f t="shared" si="120"/>
        <v>45323</v>
      </c>
      <c r="W491" s="44">
        <f t="array" ref="W491">_xlfn.IFS(TRIM(C491)="","",TRIM(V491)="","",TRUE,V491-C491)</f>
        <v>6</v>
      </c>
      <c r="X491" s="37">
        <f t="shared" si="121"/>
        <v>0</v>
      </c>
      <c r="Y491" s="46" t="s">
        <v>219</v>
      </c>
      <c r="Z491" s="37" t="str">
        <f t="shared" si="122"/>
        <v>delivered</v>
      </c>
      <c r="AA491" s="37" t="str">
        <f t="shared" si="123"/>
        <v>On Time</v>
      </c>
      <c r="AB491" s="37" t="str">
        <f t="shared" si="126"/>
        <v>0</v>
      </c>
      <c r="AC491" s="37">
        <f t="shared" si="127"/>
        <v>0</v>
      </c>
      <c r="AD491" s="45">
        <f t="shared" si="125"/>
        <v>0.511332728921124</v>
      </c>
      <c r="AE491" s="46">
        <v>3</v>
      </c>
      <c r="AF491" s="46" t="s">
        <v>106</v>
      </c>
      <c r="AG491" s="37" t="str">
        <f t="shared" si="124"/>
        <v>yes</v>
      </c>
      <c r="AH491" s="37" t="str">
        <f t="array" ref="AH491">_xlfn.IFS(LOWER(AG491)="n","no",LOWER(AG491)="y","yes",TRUE,LOWER(AG491))</f>
        <v>yes</v>
      </c>
      <c r="AI491" s="46" t="s">
        <v>4692</v>
      </c>
    </row>
    <row r="492" spans="1:35">
      <c r="A492" s="37" t="s">
        <v>2093</v>
      </c>
      <c r="B492" s="38">
        <v>45353</v>
      </c>
      <c r="C492" s="39">
        <f t="shared" si="112"/>
        <v>45353</v>
      </c>
      <c r="D492" s="40" t="s">
        <v>4712</v>
      </c>
      <c r="E492" s="37" t="str" cm="1">
        <f t="array" ref="E492">_xlfn.IFS(D492="delhi","north",D492="mumbai","west",D492="bengaluru","south",D492="chennai","south",D492="kolkata","east",TRUE,"west")</f>
        <v>west</v>
      </c>
      <c r="F492" s="37" t="s">
        <v>156</v>
      </c>
      <c r="G492" s="37" t="str">
        <f t="shared" si="113"/>
        <v>xpressbees</v>
      </c>
      <c r="H492" s="37" t="s">
        <v>110</v>
      </c>
      <c r="I492" s="37" t="str">
        <f t="shared" si="114"/>
        <v>surface</v>
      </c>
      <c r="J492" s="37" t="s">
        <v>277</v>
      </c>
      <c r="K492" s="37" t="str">
        <f t="shared" si="115"/>
        <v>apparel</v>
      </c>
      <c r="L492" s="37" t="s">
        <v>346</v>
      </c>
      <c r="M492" s="37" t="str">
        <f t="shared" si="116"/>
        <v>north</v>
      </c>
      <c r="N492" s="37" t="s">
        <v>354</v>
      </c>
      <c r="O492" s="41" t="str">
        <f t="shared" si="117"/>
        <v>Yes</v>
      </c>
      <c r="P492" s="41">
        <v>6.5</v>
      </c>
      <c r="Q492" s="41">
        <v>301</v>
      </c>
      <c r="R492" s="42">
        <f t="shared" si="118"/>
        <v>46.3076923076923</v>
      </c>
      <c r="S492" s="37">
        <v>6</v>
      </c>
      <c r="T492" s="37" t="s">
        <v>805</v>
      </c>
      <c r="U492" s="43" t="str">
        <f t="shared" si="119"/>
        <v>10/03/2024</v>
      </c>
      <c r="V492" s="43">
        <f t="shared" si="120"/>
        <v>45361</v>
      </c>
      <c r="W492" s="44">
        <f t="array" ref="W492">_xlfn.IFS(TRIM(C492)="","",TRIM(V492)="","",TRUE,V492-C492)</f>
        <v>8</v>
      </c>
      <c r="X492" s="37">
        <f t="shared" si="121"/>
        <v>2</v>
      </c>
      <c r="Y492" s="37" t="s">
        <v>172</v>
      </c>
      <c r="Z492" s="37" t="str">
        <f t="shared" si="122"/>
        <v>delayed</v>
      </c>
      <c r="AA492" s="37" t="str">
        <f t="shared" si="123"/>
        <v>Late</v>
      </c>
      <c r="AB492" s="37" t="str">
        <f t="shared" si="126"/>
        <v>1</v>
      </c>
      <c r="AC492" s="37">
        <f t="shared" si="127"/>
        <v>1</v>
      </c>
      <c r="AD492" s="45">
        <f t="shared" si="125"/>
        <v>0.511796733212341</v>
      </c>
      <c r="AE492" s="37">
        <v>1</v>
      </c>
      <c r="AF492" s="37" t="s">
        <v>106</v>
      </c>
      <c r="AG492" s="37" t="str">
        <f t="shared" si="124"/>
        <v>yes</v>
      </c>
      <c r="AH492" s="37" t="str">
        <f t="array" ref="AH492">_xlfn.IFS(LOWER(AG492)="n","no",LOWER(AG492)="y","yes",TRUE,LOWER(AG492))</f>
        <v>yes</v>
      </c>
      <c r="AI492" s="37" t="s">
        <v>4692</v>
      </c>
    </row>
    <row r="493" spans="1:35">
      <c r="A493" s="46" t="s">
        <v>2095</v>
      </c>
      <c r="B493" s="47">
        <v>45392</v>
      </c>
      <c r="C493" s="39">
        <f t="shared" si="112"/>
        <v>45392</v>
      </c>
      <c r="D493" s="48" t="s">
        <v>340</v>
      </c>
      <c r="E493" s="37" t="str" cm="1">
        <f t="array" ref="E493">_xlfn.IFS(D493="delhi","north",D493="mumbai","west",D493="bengaluru","south",D493="chennai","south",D493="kolkata","east",TRUE,"west")</f>
        <v>north</v>
      </c>
      <c r="F493" s="46" t="s">
        <v>98</v>
      </c>
      <c r="G493" s="37" t="str">
        <f t="shared" si="113"/>
        <v>dtdc</v>
      </c>
      <c r="H493" s="46" t="s">
        <v>345</v>
      </c>
      <c r="I493" s="37" t="str">
        <f t="shared" si="114"/>
        <v>surface</v>
      </c>
      <c r="J493" s="46" t="s">
        <v>283</v>
      </c>
      <c r="K493" s="37" t="str">
        <f t="shared" si="115"/>
        <v>pharma</v>
      </c>
      <c r="L493" s="46" t="s">
        <v>470</v>
      </c>
      <c r="M493" s="37" t="str">
        <f t="shared" si="116"/>
        <v>east</v>
      </c>
      <c r="N493" s="46" t="s">
        <v>294</v>
      </c>
      <c r="O493" s="41" t="str">
        <f t="shared" si="117"/>
        <v>Yes</v>
      </c>
      <c r="P493" s="49">
        <v>3.4</v>
      </c>
      <c r="Q493" s="49">
        <v>262</v>
      </c>
      <c r="R493" s="42">
        <f t="shared" si="118"/>
        <v>77.0588235294118</v>
      </c>
      <c r="S493" s="46">
        <v>6</v>
      </c>
      <c r="T493" s="46" t="s">
        <v>1074</v>
      </c>
      <c r="U493" s="43" t="str">
        <f t="shared" si="119"/>
        <v>2024-04-18</v>
      </c>
      <c r="V493" s="43">
        <f t="shared" si="120"/>
        <v>45400</v>
      </c>
      <c r="W493" s="44">
        <f t="array" ref="W493">_xlfn.IFS(TRIM(C493)="","",TRIM(V493)="","",TRUE,V493-C493)</f>
        <v>8</v>
      </c>
      <c r="X493" s="37">
        <f t="shared" si="121"/>
        <v>2</v>
      </c>
      <c r="Y493" s="46" t="s">
        <v>200</v>
      </c>
      <c r="Z493" s="37" t="str">
        <f t="shared" si="122"/>
        <v>delayed</v>
      </c>
      <c r="AA493" s="37" t="str">
        <f t="shared" si="123"/>
        <v>Late</v>
      </c>
      <c r="AB493" s="37" t="str">
        <f t="shared" si="126"/>
        <v>1</v>
      </c>
      <c r="AC493" s="37">
        <f t="shared" si="127"/>
        <v>1</v>
      </c>
      <c r="AD493" s="45">
        <f t="shared" si="125"/>
        <v>0.511353315168029</v>
      </c>
      <c r="AE493" s="46">
        <v>4</v>
      </c>
      <c r="AF493" s="46" t="s">
        <v>79</v>
      </c>
      <c r="AG493" s="37" t="str">
        <f t="shared" si="124"/>
        <v>yes</v>
      </c>
      <c r="AH493" s="37" t="str">
        <f t="array" ref="AH493">_xlfn.IFS(LOWER(AG493)="n","no",LOWER(AG493)="y","yes",TRUE,LOWER(AG493))</f>
        <v>yes</v>
      </c>
      <c r="AI493" s="46" t="s">
        <v>4692</v>
      </c>
    </row>
    <row r="494" spans="1:35">
      <c r="A494" s="37" t="s">
        <v>2097</v>
      </c>
      <c r="B494" s="38">
        <v>45424</v>
      </c>
      <c r="C494" s="39">
        <f t="shared" si="112"/>
        <v>45424</v>
      </c>
      <c r="D494" s="40" t="s">
        <v>633</v>
      </c>
      <c r="E494" s="37" t="str" cm="1">
        <f t="array" ref="E494">_xlfn.IFS(D494="delhi","north",D494="mumbai","west",D494="bengaluru","south",D494="chennai","south",D494="kolkata","east",TRUE,"west")</f>
        <v>south</v>
      </c>
      <c r="F494" s="37" t="s">
        <v>204</v>
      </c>
      <c r="G494" s="37" t="str">
        <f t="shared" si="113"/>
        <v>delhivery</v>
      </c>
      <c r="H494" s="37" t="s">
        <v>195</v>
      </c>
      <c r="I494" s="37" t="str">
        <f t="shared" si="114"/>
        <v>road</v>
      </c>
      <c r="J494" s="37" t="s">
        <v>263</v>
      </c>
      <c r="K494" s="37" t="str">
        <f t="shared" si="115"/>
        <v>apparel</v>
      </c>
      <c r="L494" s="37" t="s">
        <v>51</v>
      </c>
      <c r="M494" s="37" t="str">
        <f t="shared" si="116"/>
        <v>south</v>
      </c>
      <c r="N494" s="37" t="s">
        <v>327</v>
      </c>
      <c r="O494" s="41" t="str">
        <f t="shared" si="117"/>
        <v>Yes</v>
      </c>
      <c r="P494" s="41" t="s">
        <v>824</v>
      </c>
      <c r="Q494" s="41">
        <v>80</v>
      </c>
      <c r="R494" s="42">
        <f t="shared" si="118"/>
        <v>21.0526315789474</v>
      </c>
      <c r="S494" s="37">
        <v>6</v>
      </c>
      <c r="T494" s="37" t="s">
        <v>750</v>
      </c>
      <c r="U494" s="43" t="str">
        <f t="shared" si="119"/>
        <v>18-may-2024</v>
      </c>
      <c r="V494" s="43">
        <f t="shared" si="120"/>
        <v>45430</v>
      </c>
      <c r="W494" s="44">
        <f t="array" ref="W494">_xlfn.IFS(TRIM(C494)="","",TRIM(V494)="","",TRUE,V494-C494)</f>
        <v>6</v>
      </c>
      <c r="X494" s="37">
        <f t="shared" si="121"/>
        <v>0</v>
      </c>
      <c r="Y494" s="37" t="s">
        <v>163</v>
      </c>
      <c r="Z494" s="37" t="str">
        <f t="shared" si="122"/>
        <v>delivered</v>
      </c>
      <c r="AA494" s="37" t="str">
        <f t="shared" si="123"/>
        <v>On Time</v>
      </c>
      <c r="AB494" s="37" t="str">
        <f t="shared" si="126"/>
        <v>0</v>
      </c>
      <c r="AC494" s="37">
        <f t="shared" si="127"/>
        <v>0</v>
      </c>
      <c r="AD494" s="45">
        <f t="shared" si="125"/>
        <v>0.510909090909091</v>
      </c>
      <c r="AE494" s="37">
        <v>4</v>
      </c>
      <c r="AF494" s="37" t="s">
        <v>118</v>
      </c>
      <c r="AG494" s="37" t="str">
        <f t="shared" si="124"/>
        <v>no</v>
      </c>
      <c r="AH494" s="37" t="str">
        <f t="array" ref="AH494">_xlfn.IFS(LOWER(AG494)="n","no",LOWER(AG494)="y","yes",TRUE,LOWER(AG494))</f>
        <v>no</v>
      </c>
      <c r="AI494" s="37" t="s">
        <v>4692</v>
      </c>
    </row>
    <row r="495" spans="1:35">
      <c r="A495" s="46" t="s">
        <v>2098</v>
      </c>
      <c r="B495" s="47">
        <v>45330</v>
      </c>
      <c r="C495" s="39">
        <f t="shared" si="112"/>
        <v>45330</v>
      </c>
      <c r="D495" s="48" t="s">
        <v>340</v>
      </c>
      <c r="E495" s="37" t="str" cm="1">
        <f t="array" ref="E495">_xlfn.IFS(D495="delhi","north",D495="mumbai","west",D495="bengaluru","south",D495="chennai","south",D495="kolkata","east",TRUE,"west")</f>
        <v>north</v>
      </c>
      <c r="F495" s="46" t="s">
        <v>122</v>
      </c>
      <c r="G495" s="37" t="str">
        <f t="shared" si="113"/>
        <v>delhivery</v>
      </c>
      <c r="H495" s="46" t="s">
        <v>345</v>
      </c>
      <c r="I495" s="37" t="str">
        <f t="shared" si="114"/>
        <v>surface</v>
      </c>
      <c r="J495" s="46" t="s">
        <v>301</v>
      </c>
      <c r="K495" s="37" t="str">
        <f t="shared" si="115"/>
        <v>furniture</v>
      </c>
      <c r="L495" s="46" t="s">
        <v>470</v>
      </c>
      <c r="M495" s="37" t="str">
        <f t="shared" si="116"/>
        <v>east</v>
      </c>
      <c r="N495" s="46" t="s">
        <v>91</v>
      </c>
      <c r="O495" s="41" t="str">
        <f t="shared" si="117"/>
        <v>Yes</v>
      </c>
      <c r="P495" s="49" t="s">
        <v>554</v>
      </c>
      <c r="Q495" s="49">
        <v>578</v>
      </c>
      <c r="R495" s="42">
        <f t="shared" si="118"/>
        <v>28.0582524271845</v>
      </c>
      <c r="S495" s="46">
        <v>6</v>
      </c>
      <c r="T495" s="46" t="s">
        <v>218</v>
      </c>
      <c r="U495" s="43" t="str">
        <f t="shared" si="119"/>
        <v>13-feb-2024</v>
      </c>
      <c r="V495" s="43">
        <f t="shared" si="120"/>
        <v>45335</v>
      </c>
      <c r="W495" s="44">
        <f t="array" ref="W495">_xlfn.IFS(TRIM(C495)="","",TRIM(V495)="","",TRUE,V495-C495)</f>
        <v>5</v>
      </c>
      <c r="X495" s="37">
        <f t="shared" si="121"/>
        <v>-1</v>
      </c>
      <c r="Y495" s="46" t="s">
        <v>163</v>
      </c>
      <c r="Z495" s="37" t="str">
        <f t="shared" si="122"/>
        <v>delivered</v>
      </c>
      <c r="AA495" s="37" t="str">
        <f t="shared" si="123"/>
        <v>On Time</v>
      </c>
      <c r="AB495" s="37" t="str">
        <f t="shared" si="126"/>
        <v>0</v>
      </c>
      <c r="AC495" s="37">
        <f t="shared" si="127"/>
        <v>0</v>
      </c>
      <c r="AD495" s="45">
        <f t="shared" si="125"/>
        <v>0.511373976342129</v>
      </c>
      <c r="AE495" s="46">
        <v>5</v>
      </c>
      <c r="AF495" s="46" t="s">
        <v>286</v>
      </c>
      <c r="AG495" s="37" t="str">
        <f t="shared" si="124"/>
        <v>yes</v>
      </c>
      <c r="AH495" s="37" t="str">
        <f t="array" ref="AH495">_xlfn.IFS(LOWER(AG495)="n","no",LOWER(AG495)="y","yes",TRUE,LOWER(AG495))</f>
        <v>yes</v>
      </c>
      <c r="AI495" s="46" t="s">
        <v>4692</v>
      </c>
    </row>
    <row r="496" spans="1:35">
      <c r="A496" s="37" t="s">
        <v>2100</v>
      </c>
      <c r="B496" s="38" t="s">
        <v>4788</v>
      </c>
      <c r="C496" s="39">
        <f t="shared" si="112"/>
        <v>45387</v>
      </c>
      <c r="D496" s="40" t="s">
        <v>212</v>
      </c>
      <c r="E496" s="37" t="str" cm="1">
        <f t="array" ref="E496">_xlfn.IFS(D496="delhi","north",D496="mumbai","west",D496="bengaluru","south",D496="chennai","south",D496="kolkata","east",TRUE,"west")</f>
        <v>west</v>
      </c>
      <c r="F496" s="37" t="s">
        <v>136</v>
      </c>
      <c r="G496" s="37" t="str">
        <f t="shared" si="113"/>
        <v>bluedart</v>
      </c>
      <c r="H496" s="37" t="s">
        <v>157</v>
      </c>
      <c r="I496" s="37" t="str">
        <f t="shared" si="114"/>
        <v>surface</v>
      </c>
      <c r="J496" s="37" t="s">
        <v>385</v>
      </c>
      <c r="K496" s="37" t="str">
        <f t="shared" si="115"/>
        <v>furniture</v>
      </c>
      <c r="L496" s="37" t="s">
        <v>418</v>
      </c>
      <c r="M496" s="37" t="str">
        <f t="shared" si="116"/>
        <v>south</v>
      </c>
      <c r="N496" s="37" t="s">
        <v>54</v>
      </c>
      <c r="O496" s="41" t="str">
        <f t="shared" si="117"/>
        <v>Yes</v>
      </c>
      <c r="P496" s="41">
        <v>19.2</v>
      </c>
      <c r="Q496" s="41" t="s">
        <v>2103</v>
      </c>
      <c r="R496" s="42">
        <f t="shared" si="118"/>
        <v>28.6979166666667</v>
      </c>
      <c r="S496" s="37">
        <v>6</v>
      </c>
      <c r="T496" s="37" t="s">
        <v>1269</v>
      </c>
      <c r="U496" s="43" t="str">
        <f t="shared" si="119"/>
        <v>12/04/2024</v>
      </c>
      <c r="V496" s="43">
        <f t="shared" si="120"/>
        <v>45394</v>
      </c>
      <c r="W496" s="44">
        <f t="array" ref="W496">_xlfn.IFS(TRIM(C496)="","",TRIM(V496)="","",TRUE,V496-C496)</f>
        <v>7</v>
      </c>
      <c r="X496" s="37">
        <f t="shared" si="121"/>
        <v>1</v>
      </c>
      <c r="Y496" s="37" t="s">
        <v>172</v>
      </c>
      <c r="Z496" s="37" t="str">
        <f t="shared" si="122"/>
        <v>delayed</v>
      </c>
      <c r="AA496" s="37" t="str">
        <f t="shared" si="123"/>
        <v>Late</v>
      </c>
      <c r="AB496" s="37" t="str">
        <f t="shared" si="126"/>
        <v>1</v>
      </c>
      <c r="AC496" s="37">
        <f t="shared" si="127"/>
        <v>1</v>
      </c>
      <c r="AD496" s="45">
        <f t="shared" si="125"/>
        <v>0.51183970856102</v>
      </c>
      <c r="AE496" s="37">
        <v>3</v>
      </c>
      <c r="AF496" s="37" t="s">
        <v>181</v>
      </c>
      <c r="AG496" s="37" t="str">
        <f t="shared" si="124"/>
        <v>y</v>
      </c>
      <c r="AH496" s="37" t="str">
        <f t="array" ref="AH496">_xlfn.IFS(LOWER(AG496)="n","no",LOWER(AG496)="y","yes",TRUE,LOWER(AG496))</f>
        <v>yes</v>
      </c>
      <c r="AI496" s="37" t="s">
        <v>4692</v>
      </c>
    </row>
    <row r="497" spans="1:35">
      <c r="A497" s="46" t="s">
        <v>2104</v>
      </c>
      <c r="B497" s="47">
        <v>45464</v>
      </c>
      <c r="C497" s="39">
        <f t="shared" si="112"/>
        <v>45464</v>
      </c>
      <c r="D497" s="48" t="s">
        <v>212</v>
      </c>
      <c r="E497" s="37" t="str" cm="1">
        <f t="array" ref="E497">_xlfn.IFS(D497="delhi","north",D497="mumbai","west",D497="bengaluru","south",D497="chennai","south",D497="kolkata","east",TRUE,"west")</f>
        <v>west</v>
      </c>
      <c r="F497" s="46" t="s">
        <v>204</v>
      </c>
      <c r="G497" s="37" t="str">
        <f t="shared" si="113"/>
        <v>delhivery</v>
      </c>
      <c r="H497" s="46" t="s">
        <v>137</v>
      </c>
      <c r="I497" s="37" t="str">
        <f t="shared" si="114"/>
        <v>road</v>
      </c>
      <c r="J497" s="46" t="s">
        <v>664</v>
      </c>
      <c r="K497" s="37" t="str">
        <f t="shared" si="115"/>
        <v>grocery&amp;fmcg</v>
      </c>
      <c r="L497" s="46" t="s">
        <v>401</v>
      </c>
      <c r="M497" s="37" t="str">
        <f t="shared" si="116"/>
        <v>south</v>
      </c>
      <c r="N497" s="46" t="s">
        <v>93</v>
      </c>
      <c r="O497" s="41" t="str">
        <f t="shared" si="117"/>
        <v>Yes</v>
      </c>
      <c r="P497" s="49" t="s">
        <v>2105</v>
      </c>
      <c r="Q497" s="49" t="s">
        <v>2106</v>
      </c>
      <c r="R497" s="42">
        <f t="shared" si="118"/>
        <v>62.1951219512195</v>
      </c>
      <c r="S497" s="46">
        <v>8</v>
      </c>
      <c r="T497" s="46" t="s">
        <v>1509</v>
      </c>
      <c r="U497" s="43" t="str">
        <f t="shared" si="119"/>
        <v>2024-06-30</v>
      </c>
      <c r="V497" s="43">
        <f t="shared" si="120"/>
        <v>45473</v>
      </c>
      <c r="W497" s="44">
        <f t="array" ref="W497">_xlfn.IFS(TRIM(C497)="","",TRIM(V497)="","",TRUE,V497-C497)</f>
        <v>9</v>
      </c>
      <c r="X497" s="37">
        <f t="shared" si="121"/>
        <v>1</v>
      </c>
      <c r="Y497" s="46" t="s">
        <v>72</v>
      </c>
      <c r="Z497" s="37" t="str">
        <f t="shared" si="122"/>
        <v>delayed</v>
      </c>
      <c r="AA497" s="37" t="str">
        <f t="shared" si="123"/>
        <v>Late</v>
      </c>
      <c r="AB497" s="37" t="str">
        <f t="shared" si="126"/>
        <v>1</v>
      </c>
      <c r="AC497" s="37">
        <f t="shared" si="127"/>
        <v>1</v>
      </c>
      <c r="AD497" s="45">
        <f t="shared" si="125"/>
        <v>0.511394712853236</v>
      </c>
      <c r="AE497" s="46">
        <v>4</v>
      </c>
      <c r="AF497" s="46" t="s">
        <v>152</v>
      </c>
      <c r="AG497" s="37" t="str">
        <f t="shared" si="124"/>
        <v>no</v>
      </c>
      <c r="AH497" s="37" t="str">
        <f t="array" ref="AH497">_xlfn.IFS(LOWER(AG497)="n","no",LOWER(AG497)="y","yes",TRUE,LOWER(AG497))</f>
        <v>no</v>
      </c>
      <c r="AI497" s="46" t="s">
        <v>4692</v>
      </c>
    </row>
    <row r="498" spans="1:35">
      <c r="A498" s="37" t="s">
        <v>2107</v>
      </c>
      <c r="B498" s="38">
        <v>45436</v>
      </c>
      <c r="C498" s="39">
        <f t="shared" si="112"/>
        <v>45436</v>
      </c>
      <c r="D498" s="40" t="s">
        <v>633</v>
      </c>
      <c r="E498" s="37" t="str" cm="1">
        <f t="array" ref="E498">_xlfn.IFS(D498="delhi","north",D498="mumbai","west",D498="bengaluru","south",D498="chennai","south",D498="kolkata","east",TRUE,"west")</f>
        <v>south</v>
      </c>
      <c r="F498" s="37" t="s">
        <v>333</v>
      </c>
      <c r="G498" s="37" t="str">
        <f t="shared" si="113"/>
        <v>delhivery</v>
      </c>
      <c r="H498" s="37" t="s">
        <v>195</v>
      </c>
      <c r="I498" s="37" t="str">
        <f t="shared" si="114"/>
        <v>road</v>
      </c>
      <c r="J498" s="37" t="s">
        <v>385</v>
      </c>
      <c r="K498" s="37" t="str">
        <f t="shared" si="115"/>
        <v>furniture</v>
      </c>
      <c r="L498" s="37" t="s">
        <v>334</v>
      </c>
      <c r="M498" s="37" t="str">
        <f t="shared" si="116"/>
        <v>north</v>
      </c>
      <c r="N498" s="37" t="s">
        <v>215</v>
      </c>
      <c r="O498" s="41" t="str">
        <f t="shared" si="117"/>
        <v>Yes</v>
      </c>
      <c r="P498" s="41">
        <v>21.3</v>
      </c>
      <c r="Q498" s="41" t="s">
        <v>2109</v>
      </c>
      <c r="R498" s="42">
        <f t="shared" si="118"/>
        <v>20.093896713615</v>
      </c>
      <c r="S498" s="37">
        <v>8</v>
      </c>
      <c r="T498" s="37" t="s">
        <v>2110</v>
      </c>
      <c r="U498" s="43" t="str">
        <f t="shared" si="119"/>
        <v>31-may-2024</v>
      </c>
      <c r="V498" s="43">
        <f t="shared" si="120"/>
        <v>45443</v>
      </c>
      <c r="W498" s="44">
        <f t="array" ref="W498">_xlfn.IFS(TRIM(C498)="","",TRIM(V498)="","",TRUE,V498-C498)</f>
        <v>7</v>
      </c>
      <c r="X498" s="37">
        <f t="shared" si="121"/>
        <v>-1</v>
      </c>
      <c r="Y498" s="37" t="s">
        <v>163</v>
      </c>
      <c r="Z498" s="37" t="str">
        <f t="shared" si="122"/>
        <v>delivered</v>
      </c>
      <c r="AA498" s="37" t="str">
        <f t="shared" si="123"/>
        <v>On Time</v>
      </c>
      <c r="AB498" s="37" t="str">
        <f t="shared" si="126"/>
        <v>0</v>
      </c>
      <c r="AC498" s="37">
        <f t="shared" si="127"/>
        <v>0</v>
      </c>
      <c r="AD498" s="45">
        <f t="shared" si="125"/>
        <v>0.510948905109489</v>
      </c>
      <c r="AE498" s="37">
        <v>4</v>
      </c>
      <c r="AF498" s="37" t="s">
        <v>118</v>
      </c>
      <c r="AG498" s="37" t="str">
        <f t="shared" si="124"/>
        <v>no</v>
      </c>
      <c r="AH498" s="37" t="str">
        <f t="array" ref="AH498">_xlfn.IFS(LOWER(AG498)="n","no",LOWER(AG498)="y","yes",TRUE,LOWER(AG498))</f>
        <v>no</v>
      </c>
      <c r="AI498" s="37" t="s">
        <v>4692</v>
      </c>
    </row>
    <row r="499" spans="1:35">
      <c r="A499" s="46" t="s">
        <v>2111</v>
      </c>
      <c r="B499" s="47">
        <v>45298</v>
      </c>
      <c r="C499" s="39">
        <f t="shared" si="112"/>
        <v>45298</v>
      </c>
      <c r="D499" s="48" t="s">
        <v>340</v>
      </c>
      <c r="E499" s="37" t="str" cm="1">
        <f t="array" ref="E499">_xlfn.IFS(D499="delhi","north",D499="mumbai","west",D499="bengaluru","south",D499="chennai","south",D499="kolkata","east",TRUE,"west")</f>
        <v>north</v>
      </c>
      <c r="F499" s="46" t="s">
        <v>122</v>
      </c>
      <c r="G499" s="37" t="str">
        <f t="shared" si="113"/>
        <v>delhivery</v>
      </c>
      <c r="H499" s="46" t="s">
        <v>224</v>
      </c>
      <c r="I499" s="37" t="str">
        <f t="shared" si="114"/>
        <v>air</v>
      </c>
      <c r="J499" s="46" t="s">
        <v>452</v>
      </c>
      <c r="K499" s="37" t="str">
        <f t="shared" si="115"/>
        <v>apparel</v>
      </c>
      <c r="L499" s="46" t="s">
        <v>168</v>
      </c>
      <c r="M499" s="37" t="str">
        <f t="shared" si="116"/>
        <v>west</v>
      </c>
      <c r="N499" s="46" t="s">
        <v>88</v>
      </c>
      <c r="O499" s="41" t="str">
        <f t="shared" si="117"/>
        <v>Yes</v>
      </c>
      <c r="P499" s="49">
        <v>5.5</v>
      </c>
      <c r="Q499" s="49">
        <v>405</v>
      </c>
      <c r="R499" s="42">
        <f t="shared" si="118"/>
        <v>73.6363636363636</v>
      </c>
      <c r="S499" s="46">
        <v>4</v>
      </c>
      <c r="T499" s="46" t="s">
        <v>1085</v>
      </c>
      <c r="U499" s="43" t="str">
        <f t="shared" si="119"/>
        <v>11-jan-2024</v>
      </c>
      <c r="V499" s="43">
        <f t="shared" si="120"/>
        <v>45302</v>
      </c>
      <c r="W499" s="44">
        <f t="array" ref="W499">_xlfn.IFS(TRIM(C499)="","",TRIM(V499)="","",TRUE,V499-C499)</f>
        <v>4</v>
      </c>
      <c r="X499" s="37">
        <f t="shared" si="121"/>
        <v>0</v>
      </c>
      <c r="Y499" s="46" t="s">
        <v>105</v>
      </c>
      <c r="Z499" s="37" t="str">
        <f t="shared" si="122"/>
        <v>delivered</v>
      </c>
      <c r="AA499" s="37" t="str">
        <f t="shared" si="123"/>
        <v>On Time</v>
      </c>
      <c r="AB499" s="37" t="str">
        <f t="shared" si="126"/>
        <v>0</v>
      </c>
      <c r="AC499" s="37">
        <f t="shared" si="127"/>
        <v>0</v>
      </c>
      <c r="AD499" s="45">
        <f t="shared" si="125"/>
        <v>0.511415525114155</v>
      </c>
      <c r="AE499" s="46">
        <v>4</v>
      </c>
      <c r="AF499" s="46" t="s">
        <v>191</v>
      </c>
      <c r="AG499" s="37" t="str">
        <f t="shared" si="124"/>
        <v>no</v>
      </c>
      <c r="AH499" s="37" t="str">
        <f t="array" ref="AH499">_xlfn.IFS(LOWER(AG499)="n","no",LOWER(AG499)="y","yes",TRUE,LOWER(AG499))</f>
        <v>no</v>
      </c>
      <c r="AI499" s="46" t="s">
        <v>4692</v>
      </c>
    </row>
    <row r="500" spans="1:35">
      <c r="A500" s="37" t="s">
        <v>2115</v>
      </c>
      <c r="B500" s="38">
        <v>45354</v>
      </c>
      <c r="C500" s="39">
        <f t="shared" si="112"/>
        <v>45354</v>
      </c>
      <c r="D500" s="40" t="s">
        <v>109</v>
      </c>
      <c r="E500" s="37" t="str" cm="1">
        <f t="array" ref="E500">_xlfn.IFS(D500="delhi","north",D500="mumbai","west",D500="bengaluru","south",D500="chennai","south",D500="kolkata","east",TRUE,"west")</f>
        <v>west</v>
      </c>
      <c r="F500" s="37" t="s">
        <v>184</v>
      </c>
      <c r="G500" s="37" t="str">
        <f t="shared" si="113"/>
        <v>ecomexpress</v>
      </c>
      <c r="H500" s="37" t="s">
        <v>123</v>
      </c>
      <c r="I500" s="37" t="str">
        <f t="shared" si="114"/>
        <v>air</v>
      </c>
      <c r="J500" s="37" t="s">
        <v>186</v>
      </c>
      <c r="K500" s="37" t="str">
        <f t="shared" si="115"/>
        <v>automotiveparts</v>
      </c>
      <c r="L500" s="37" t="s">
        <v>168</v>
      </c>
      <c r="M500" s="37" t="str">
        <f t="shared" si="116"/>
        <v>west</v>
      </c>
      <c r="N500" s="37" t="s">
        <v>206</v>
      </c>
      <c r="O500" s="41" t="str">
        <f t="shared" si="117"/>
        <v>Yes</v>
      </c>
      <c r="P500" s="41">
        <v>17.9</v>
      </c>
      <c r="Q500" s="41" t="s">
        <v>2117</v>
      </c>
      <c r="R500" s="42">
        <f t="shared" si="118"/>
        <v>46.145251396648</v>
      </c>
      <c r="S500" s="37">
        <v>2</v>
      </c>
      <c r="T500" s="37" t="s">
        <v>309</v>
      </c>
      <c r="U500" s="43" t="str">
        <f t="shared" si="119"/>
        <v>08/03/2024</v>
      </c>
      <c r="V500" s="43">
        <f t="shared" si="120"/>
        <v>45359</v>
      </c>
      <c r="W500" s="44">
        <f t="array" ref="W500">_xlfn.IFS(TRIM(C500)="","",TRIM(V500)="","",TRUE,V500-C500)</f>
        <v>5</v>
      </c>
      <c r="X500" s="37">
        <f t="shared" si="121"/>
        <v>3</v>
      </c>
      <c r="Y500" s="37" t="s">
        <v>143</v>
      </c>
      <c r="Z500" s="37" t="str">
        <f t="shared" si="122"/>
        <v>delayed</v>
      </c>
      <c r="AA500" s="37" t="str">
        <f t="shared" si="123"/>
        <v>Late</v>
      </c>
      <c r="AB500" s="37" t="str">
        <f t="shared" si="126"/>
        <v>1</v>
      </c>
      <c r="AC500" s="37">
        <f t="shared" si="127"/>
        <v>1</v>
      </c>
      <c r="AD500" s="45">
        <f t="shared" si="125"/>
        <v>0.511882998171846</v>
      </c>
      <c r="AE500" s="37">
        <v>1</v>
      </c>
      <c r="AF500" s="37" t="s">
        <v>152</v>
      </c>
      <c r="AG500" s="37" t="str">
        <f t="shared" si="124"/>
        <v>no</v>
      </c>
      <c r="AH500" s="37" t="str">
        <f t="array" ref="AH500">_xlfn.IFS(LOWER(AG500)="n","no",LOWER(AG500)="y","yes",TRUE,LOWER(AG500))</f>
        <v>no</v>
      </c>
      <c r="AI500" s="37" t="s">
        <v>4692</v>
      </c>
    </row>
    <row r="501" spans="1:35">
      <c r="A501" s="46" t="s">
        <v>2118</v>
      </c>
      <c r="B501" s="47" t="s">
        <v>4789</v>
      </c>
      <c r="C501" s="39">
        <f t="shared" si="112"/>
        <v>45324</v>
      </c>
      <c r="D501" s="48" t="s">
        <v>424</v>
      </c>
      <c r="E501" s="37" t="str" cm="1">
        <f t="array" ref="E501">_xlfn.IFS(D501="delhi","north",D501="mumbai","west",D501="bengaluru","south",D501="chennai","south",D501="kolkata","east",TRUE,"west")</f>
        <v>south</v>
      </c>
      <c r="F501" s="46" t="s">
        <v>98</v>
      </c>
      <c r="G501" s="37" t="str">
        <f t="shared" si="113"/>
        <v>dtdc</v>
      </c>
      <c r="H501" s="46" t="s">
        <v>244</v>
      </c>
      <c r="I501" s="37" t="str">
        <f t="shared" si="114"/>
        <v>air</v>
      </c>
      <c r="J501" s="46" t="s">
        <v>301</v>
      </c>
      <c r="K501" s="37" t="str">
        <f t="shared" si="115"/>
        <v>furniture</v>
      </c>
      <c r="L501" s="46" t="s">
        <v>92</v>
      </c>
      <c r="M501" s="37" t="str">
        <f t="shared" si="116"/>
        <v>east</v>
      </c>
      <c r="N501" s="46" t="s">
        <v>294</v>
      </c>
      <c r="O501" s="41" t="str">
        <f t="shared" si="117"/>
        <v>Yes</v>
      </c>
      <c r="P501" s="49">
        <v>76.5</v>
      </c>
      <c r="Q501" s="49" t="s">
        <v>2120</v>
      </c>
      <c r="R501" s="42">
        <f t="shared" si="118"/>
        <v>46.6666666666667</v>
      </c>
      <c r="S501" s="46">
        <v>4</v>
      </c>
      <c r="T501" s="46" t="s">
        <v>2121</v>
      </c>
      <c r="U501" s="43" t="str">
        <f t="shared" si="119"/>
        <v>07-feb-2024</v>
      </c>
      <c r="V501" s="43">
        <f t="shared" si="120"/>
        <v>45329</v>
      </c>
      <c r="W501" s="44">
        <f t="array" ref="W501">_xlfn.IFS(TRIM(C501)="","",TRIM(V501)="","",TRUE,V501-C501)</f>
        <v>5</v>
      </c>
      <c r="X501" s="37">
        <f t="shared" si="121"/>
        <v>1</v>
      </c>
      <c r="Y501" s="46" t="s">
        <v>143</v>
      </c>
      <c r="Z501" s="37" t="str">
        <f t="shared" si="122"/>
        <v>delayed</v>
      </c>
      <c r="AA501" s="37" t="str">
        <f t="shared" si="123"/>
        <v>Late</v>
      </c>
      <c r="AB501" s="37" t="str">
        <f t="shared" si="126"/>
        <v>1</v>
      </c>
      <c r="AC501" s="37">
        <f t="shared" si="127"/>
        <v>1</v>
      </c>
      <c r="AD501" s="45">
        <f t="shared" si="125"/>
        <v>0.511436413540714</v>
      </c>
      <c r="AE501" s="46">
        <v>2</v>
      </c>
      <c r="AF501" s="46" t="s">
        <v>79</v>
      </c>
      <c r="AG501" s="37" t="str">
        <f t="shared" si="124"/>
        <v>yes</v>
      </c>
      <c r="AH501" s="37" t="str">
        <f t="array" ref="AH501">_xlfn.IFS(LOWER(AG501)="n","no",LOWER(AG501)="y","yes",TRUE,LOWER(AG501))</f>
        <v>yes</v>
      </c>
      <c r="AI501" s="46" t="s">
        <v>4692</v>
      </c>
    </row>
    <row r="502" spans="1:35">
      <c r="A502" s="37" t="s">
        <v>2122</v>
      </c>
      <c r="B502" s="38" t="s">
        <v>4790</v>
      </c>
      <c r="C502" s="39">
        <f t="shared" si="112"/>
        <v>45423</v>
      </c>
      <c r="D502" s="40" t="s">
        <v>212</v>
      </c>
      <c r="E502" s="37" t="str" cm="1">
        <f t="array" ref="E502">_xlfn.IFS(D502="delhi","north",D502="mumbai","west",D502="bengaluru","south",D502="chennai","south",D502="kolkata","east",TRUE,"west")</f>
        <v>west</v>
      </c>
      <c r="F502" s="37" t="s">
        <v>175</v>
      </c>
      <c r="G502" s="37" t="str">
        <f t="shared" si="113"/>
        <v>ecomexpress</v>
      </c>
      <c r="H502" s="37" t="s">
        <v>123</v>
      </c>
      <c r="I502" s="37" t="str">
        <f t="shared" si="114"/>
        <v>air</v>
      </c>
      <c r="J502" s="37" t="s">
        <v>214</v>
      </c>
      <c r="K502" s="37" t="str">
        <f t="shared" si="115"/>
        <v>grocery&amp;fmcg</v>
      </c>
      <c r="L502" s="37" t="s">
        <v>470</v>
      </c>
      <c r="M502" s="37" t="str">
        <f t="shared" si="116"/>
        <v>east</v>
      </c>
      <c r="N502" s="37" t="s">
        <v>294</v>
      </c>
      <c r="O502" s="41" t="str">
        <f t="shared" si="117"/>
        <v>Yes</v>
      </c>
      <c r="P502" s="41">
        <v>10.2</v>
      </c>
      <c r="Q502" s="41">
        <v>640</v>
      </c>
      <c r="R502" s="42">
        <f t="shared" si="118"/>
        <v>62.7450980392157</v>
      </c>
      <c r="S502" s="37">
        <v>4</v>
      </c>
      <c r="T502" s="37" t="s">
        <v>717</v>
      </c>
      <c r="U502" s="43" t="str">
        <f t="shared" si="119"/>
        <v>14/05/2024</v>
      </c>
      <c r="V502" s="43">
        <f t="shared" si="120"/>
        <v>45426</v>
      </c>
      <c r="W502" s="44">
        <f t="array" ref="W502">_xlfn.IFS(TRIM(C502)="","",TRIM(V502)="","",TRUE,V502-C502)</f>
        <v>3</v>
      </c>
      <c r="X502" s="37">
        <f t="shared" si="121"/>
        <v>-1</v>
      </c>
      <c r="Y502" s="37" t="s">
        <v>219</v>
      </c>
      <c r="Z502" s="37" t="str">
        <f t="shared" si="122"/>
        <v>delivered</v>
      </c>
      <c r="AA502" s="37" t="str">
        <f t="shared" si="123"/>
        <v>On Time</v>
      </c>
      <c r="AB502" s="37" t="str">
        <f t="shared" si="126"/>
        <v>0</v>
      </c>
      <c r="AC502" s="37">
        <f t="shared" si="127"/>
        <v>0</v>
      </c>
      <c r="AD502" s="45">
        <f t="shared" si="125"/>
        <v>0.510989010989011</v>
      </c>
      <c r="AE502" s="37">
        <v>4</v>
      </c>
      <c r="AF502" s="37" t="s">
        <v>181</v>
      </c>
      <c r="AG502" s="37" t="str">
        <f t="shared" si="124"/>
        <v>y</v>
      </c>
      <c r="AH502" s="37" t="str">
        <f t="array" ref="AH502">_xlfn.IFS(LOWER(AG502)="n","no",LOWER(AG502)="y","yes",TRUE,LOWER(AG502))</f>
        <v>yes</v>
      </c>
      <c r="AI502" s="37" t="s">
        <v>4692</v>
      </c>
    </row>
    <row r="503" spans="1:35">
      <c r="A503" s="46" t="s">
        <v>2125</v>
      </c>
      <c r="B503" s="47">
        <v>45366</v>
      </c>
      <c r="C503" s="39">
        <f t="shared" si="112"/>
        <v>45366</v>
      </c>
      <c r="D503" s="48" t="s">
        <v>4694</v>
      </c>
      <c r="E503" s="37" t="str" cm="1">
        <f t="array" ref="E503">_xlfn.IFS(D503="delhi","north",D503="mumbai","west",D503="bengaluru","south",D503="chennai","south",D503="kolkata","east",TRUE,"west")</f>
        <v>west</v>
      </c>
      <c r="F503" s="46" t="s">
        <v>184</v>
      </c>
      <c r="G503" s="37" t="str">
        <f t="shared" si="113"/>
        <v>ecomexpress</v>
      </c>
      <c r="H503" s="46" t="s">
        <v>147</v>
      </c>
      <c r="I503" s="37" t="str">
        <f t="shared" si="114"/>
        <v>road</v>
      </c>
      <c r="J503" s="46" t="s">
        <v>177</v>
      </c>
      <c r="K503" s="37" t="str">
        <f t="shared" si="115"/>
        <v>pharma</v>
      </c>
      <c r="L503" s="46" t="s">
        <v>401</v>
      </c>
      <c r="M503" s="37" t="str">
        <f t="shared" si="116"/>
        <v>south</v>
      </c>
      <c r="N503" s="46" t="s">
        <v>90</v>
      </c>
      <c r="O503" s="41" t="str">
        <f t="shared" si="117"/>
        <v>Yes</v>
      </c>
      <c r="P503" s="49" t="s">
        <v>1090</v>
      </c>
      <c r="Q503" s="49">
        <v>118</v>
      </c>
      <c r="R503" s="42">
        <f t="shared" si="118"/>
        <v>27.4418604651163</v>
      </c>
      <c r="S503" s="46">
        <v>6</v>
      </c>
      <c r="T503" s="46" t="s">
        <v>2127</v>
      </c>
      <c r="U503" s="43" t="str">
        <f t="shared" si="119"/>
        <v>20/03/2024</v>
      </c>
      <c r="V503" s="43">
        <f t="shared" si="120"/>
        <v>45371</v>
      </c>
      <c r="W503" s="44">
        <f t="array" ref="W503">_xlfn.IFS(TRIM(C503)="","",TRIM(V503)="","",TRUE,V503-C503)</f>
        <v>5</v>
      </c>
      <c r="X503" s="37">
        <f t="shared" si="121"/>
        <v>-1</v>
      </c>
      <c r="Y503" s="46" t="s">
        <v>163</v>
      </c>
      <c r="Z503" s="37" t="str">
        <f t="shared" si="122"/>
        <v>delivered</v>
      </c>
      <c r="AA503" s="37" t="str">
        <f t="shared" si="123"/>
        <v>On Time</v>
      </c>
      <c r="AB503" s="37" t="str">
        <f t="shared" si="126"/>
        <v>0</v>
      </c>
      <c r="AC503" s="37">
        <f t="shared" si="127"/>
        <v>0</v>
      </c>
      <c r="AD503" s="45">
        <f t="shared" si="125"/>
        <v>0.511457378551787</v>
      </c>
      <c r="AE503" s="46">
        <v>5</v>
      </c>
      <c r="AF503" s="46" t="s">
        <v>106</v>
      </c>
      <c r="AG503" s="37" t="str">
        <f t="shared" si="124"/>
        <v>yes</v>
      </c>
      <c r="AH503" s="37" t="str">
        <f t="array" ref="AH503">_xlfn.IFS(LOWER(AG503)="n","no",LOWER(AG503)="y","yes",TRUE,LOWER(AG503))</f>
        <v>yes</v>
      </c>
      <c r="AI503" s="46" t="s">
        <v>4692</v>
      </c>
    </row>
    <row r="504" spans="1:35">
      <c r="A504" s="37" t="s">
        <v>2128</v>
      </c>
      <c r="B504" s="38" t="s">
        <v>4791</v>
      </c>
      <c r="C504" s="39">
        <f t="shared" si="112"/>
        <v>45329</v>
      </c>
      <c r="D504" s="40" t="s">
        <v>109</v>
      </c>
      <c r="E504" s="37" t="str" cm="1">
        <f t="array" ref="E504">_xlfn.IFS(D504="delhi","north",D504="mumbai","west",D504="bengaluru","south",D504="chennai","south",D504="kolkata","east",TRUE,"west")</f>
        <v>west</v>
      </c>
      <c r="F504" s="37" t="s">
        <v>270</v>
      </c>
      <c r="G504" s="37" t="str">
        <f t="shared" si="113"/>
        <v>ecomexpress</v>
      </c>
      <c r="H504" s="37" t="s">
        <v>176</v>
      </c>
      <c r="I504" s="37" t="str">
        <f t="shared" si="114"/>
        <v>road</v>
      </c>
      <c r="J504" s="37" t="s">
        <v>177</v>
      </c>
      <c r="K504" s="37" t="str">
        <f t="shared" si="115"/>
        <v>pharma</v>
      </c>
      <c r="L504" s="37" t="s">
        <v>334</v>
      </c>
      <c r="M504" s="37" t="str">
        <f t="shared" si="116"/>
        <v>north</v>
      </c>
      <c r="N504" s="37" t="s">
        <v>32</v>
      </c>
      <c r="O504" s="41" t="str">
        <f t="shared" si="117"/>
        <v>Yes</v>
      </c>
      <c r="P504" s="41" t="s">
        <v>824</v>
      </c>
      <c r="Q504" s="41">
        <v>208</v>
      </c>
      <c r="R504" s="42">
        <f t="shared" si="118"/>
        <v>54.7368421052632</v>
      </c>
      <c r="S504" s="37">
        <v>8</v>
      </c>
      <c r="T504" s="37" t="s">
        <v>495</v>
      </c>
      <c r="U504" s="43" t="str">
        <f t="shared" si="119"/>
        <v>2024-02-20</v>
      </c>
      <c r="V504" s="43">
        <f t="shared" si="120"/>
        <v>45342</v>
      </c>
      <c r="W504" s="44">
        <f t="array" ref="W504">_xlfn.IFS(TRIM(C504)="","",TRIM(V504)="","",TRUE,V504-C504)</f>
        <v>13</v>
      </c>
      <c r="X504" s="37">
        <f t="shared" si="121"/>
        <v>5</v>
      </c>
      <c r="Y504" s="37" t="s">
        <v>172</v>
      </c>
      <c r="Z504" s="37" t="str">
        <f t="shared" si="122"/>
        <v>delayed</v>
      </c>
      <c r="AA504" s="37" t="str">
        <f t="shared" si="123"/>
        <v>Late</v>
      </c>
      <c r="AB504" s="37" t="str">
        <f t="shared" si="126"/>
        <v>1</v>
      </c>
      <c r="AC504" s="37">
        <f t="shared" si="127"/>
        <v>1</v>
      </c>
      <c r="AD504" s="45">
        <f t="shared" si="125"/>
        <v>0.511926605504587</v>
      </c>
      <c r="AE504" s="37">
        <v>2</v>
      </c>
      <c r="AF504" s="37" t="s">
        <v>181</v>
      </c>
      <c r="AG504" s="37" t="str">
        <f t="shared" si="124"/>
        <v>y</v>
      </c>
      <c r="AH504" s="37" t="str">
        <f t="array" ref="AH504">_xlfn.IFS(LOWER(AG504)="n","no",LOWER(AG504)="y","yes",TRUE,LOWER(AG504))</f>
        <v>yes</v>
      </c>
      <c r="AI504" s="37" t="s">
        <v>4692</v>
      </c>
    </row>
    <row r="505" spans="1:35">
      <c r="A505" s="46" t="s">
        <v>2130</v>
      </c>
      <c r="B505" s="47">
        <v>45375</v>
      </c>
      <c r="C505" s="39">
        <f t="shared" si="112"/>
        <v>45375</v>
      </c>
      <c r="D505" s="48" t="s">
        <v>366</v>
      </c>
      <c r="E505" s="37" t="str" cm="1">
        <f t="array" ref="E505">_xlfn.IFS(D505="delhi","north",D505="mumbai","west",D505="bengaluru","south",D505="chennai","south",D505="kolkata","east",TRUE,"west")</f>
        <v>east</v>
      </c>
      <c r="F505" s="46" t="s">
        <v>367</v>
      </c>
      <c r="G505" s="37" t="str">
        <f t="shared" si="113"/>
        <v>dtdc</v>
      </c>
      <c r="H505" s="46" t="s">
        <v>157</v>
      </c>
      <c r="I505" s="37" t="str">
        <f t="shared" si="114"/>
        <v>surface</v>
      </c>
      <c r="J505" s="46" t="s">
        <v>214</v>
      </c>
      <c r="K505" s="37" t="str">
        <f t="shared" si="115"/>
        <v>grocery&amp;fmcg</v>
      </c>
      <c r="L505" s="46" t="s">
        <v>87</v>
      </c>
      <c r="M505" s="37" t="str">
        <f t="shared" si="116"/>
        <v>north</v>
      </c>
      <c r="N505" s="46" t="s">
        <v>113</v>
      </c>
      <c r="O505" s="41" t="str">
        <f t="shared" si="117"/>
        <v>Yes</v>
      </c>
      <c r="P505" s="49">
        <v>3.1</v>
      </c>
      <c r="Q505" s="49" t="s">
        <v>2131</v>
      </c>
      <c r="R505" s="42">
        <f t="shared" si="118"/>
        <v>80.9677419354839</v>
      </c>
      <c r="S505" s="46">
        <v>6</v>
      </c>
      <c r="T505" s="46" t="s">
        <v>2132</v>
      </c>
      <c r="U505" s="43" t="str">
        <f t="shared" si="119"/>
        <v>30-mar-2024</v>
      </c>
      <c r="V505" s="43">
        <f t="shared" si="120"/>
        <v>45381</v>
      </c>
      <c r="W505" s="44">
        <f t="array" ref="W505">_xlfn.IFS(TRIM(C505)="","",TRIM(V505)="","",TRUE,V505-C505)</f>
        <v>6</v>
      </c>
      <c r="X505" s="37">
        <f t="shared" si="121"/>
        <v>0</v>
      </c>
      <c r="Y505" s="46" t="s">
        <v>219</v>
      </c>
      <c r="Z505" s="37" t="str">
        <f t="shared" si="122"/>
        <v>delivered</v>
      </c>
      <c r="AA505" s="37" t="str">
        <f t="shared" si="123"/>
        <v>On Time</v>
      </c>
      <c r="AB505" s="37" t="str">
        <f t="shared" si="126"/>
        <v>0</v>
      </c>
      <c r="AC505" s="37">
        <f t="shared" si="127"/>
        <v>0</v>
      </c>
      <c r="AD505" s="45">
        <f t="shared" si="125"/>
        <v>0.51147842056933</v>
      </c>
      <c r="AE505" s="46">
        <v>5</v>
      </c>
      <c r="AF505" s="46" t="s">
        <v>131</v>
      </c>
      <c r="AG505" s="37" t="str">
        <f t="shared" si="124"/>
        <v>n</v>
      </c>
      <c r="AH505" s="37" t="str">
        <f t="array" ref="AH505">_xlfn.IFS(LOWER(AG505)="n","no",LOWER(AG505)="y","yes",TRUE,LOWER(AG505))</f>
        <v>no</v>
      </c>
      <c r="AI505" s="46" t="s">
        <v>4692</v>
      </c>
    </row>
    <row r="506" spans="1:35">
      <c r="A506" s="37" t="s">
        <v>2133</v>
      </c>
      <c r="B506" s="38">
        <v>45356</v>
      </c>
      <c r="C506" s="39">
        <f t="shared" si="112"/>
        <v>45356</v>
      </c>
      <c r="D506" s="40" t="s">
        <v>340</v>
      </c>
      <c r="E506" s="37" t="str" cm="1">
        <f t="array" ref="E506">_xlfn.IFS(D506="delhi","north",D506="mumbai","west",D506="bengaluru","south",D506="chennai","south",D506="kolkata","east",TRUE,"west")</f>
        <v>north</v>
      </c>
      <c r="F506" s="37" t="s">
        <v>98</v>
      </c>
      <c r="G506" s="37" t="str">
        <f t="shared" si="113"/>
        <v>dtdc</v>
      </c>
      <c r="H506" s="37" t="s">
        <v>42</v>
      </c>
      <c r="I506" s="37" t="str">
        <f t="shared" si="114"/>
        <v>surface</v>
      </c>
      <c r="J506" s="37" t="s">
        <v>664</v>
      </c>
      <c r="K506" s="37" t="str">
        <f t="shared" si="115"/>
        <v>grocery&amp;fmcg</v>
      </c>
      <c r="L506" s="37" t="s">
        <v>257</v>
      </c>
      <c r="M506" s="37" t="str">
        <f t="shared" si="116"/>
        <v>west</v>
      </c>
      <c r="N506" s="37" t="s">
        <v>278</v>
      </c>
      <c r="O506" s="41" t="str">
        <f t="shared" si="117"/>
        <v>Yes</v>
      </c>
      <c r="P506" s="41">
        <v>10.5</v>
      </c>
      <c r="Q506" s="41">
        <v>406</v>
      </c>
      <c r="R506" s="42">
        <f t="shared" si="118"/>
        <v>38.6666666666667</v>
      </c>
      <c r="S506" s="37">
        <v>6</v>
      </c>
      <c r="T506" s="37" t="s">
        <v>1107</v>
      </c>
      <c r="U506" s="43" t="str">
        <f t="shared" si="119"/>
        <v>10/03/2024</v>
      </c>
      <c r="V506" s="43">
        <f t="shared" si="120"/>
        <v>45361</v>
      </c>
      <c r="W506" s="44">
        <f t="array" ref="W506">_xlfn.IFS(TRIM(C506)="","",TRIM(V506)="","",TRUE,V506-C506)</f>
        <v>5</v>
      </c>
      <c r="X506" s="37">
        <f t="shared" si="121"/>
        <v>-1</v>
      </c>
      <c r="Y506" s="37" t="s">
        <v>219</v>
      </c>
      <c r="Z506" s="37" t="str">
        <f t="shared" si="122"/>
        <v>delivered</v>
      </c>
      <c r="AA506" s="37" t="str">
        <f t="shared" si="123"/>
        <v>On Time</v>
      </c>
      <c r="AB506" s="37" t="str">
        <f t="shared" si="126"/>
        <v>0</v>
      </c>
      <c r="AC506" s="37">
        <f t="shared" si="127"/>
        <v>0</v>
      </c>
      <c r="AD506" s="45">
        <f t="shared" si="125"/>
        <v>0.511948529411765</v>
      </c>
      <c r="AE506" s="37">
        <v>4</v>
      </c>
      <c r="AF506" s="37" t="s">
        <v>118</v>
      </c>
      <c r="AG506" s="37" t="str">
        <f t="shared" si="124"/>
        <v>no</v>
      </c>
      <c r="AH506" s="37" t="str">
        <f t="array" ref="AH506">_xlfn.IFS(LOWER(AG506)="n","no",LOWER(AG506)="y","yes",TRUE,LOWER(AG506))</f>
        <v>no</v>
      </c>
      <c r="AI506" s="37" t="s">
        <v>4692</v>
      </c>
    </row>
    <row r="507" spans="1:35">
      <c r="A507" s="46" t="s">
        <v>2136</v>
      </c>
      <c r="B507" s="47">
        <v>45301</v>
      </c>
      <c r="C507" s="39">
        <f t="shared" si="112"/>
        <v>45301</v>
      </c>
      <c r="D507" s="48" t="s">
        <v>243</v>
      </c>
      <c r="E507" s="37" t="str" cm="1">
        <f t="array" ref="E507">_xlfn.IFS(D507="delhi","north",D507="mumbai","west",D507="bengaluru","south",D507="chennai","south",D507="kolkata","east",TRUE,"west")</f>
        <v>west</v>
      </c>
      <c r="F507" s="46" t="s">
        <v>352</v>
      </c>
      <c r="G507" s="37" t="str">
        <f t="shared" si="113"/>
        <v>delhivery</v>
      </c>
      <c r="H507" s="46" t="s">
        <v>195</v>
      </c>
      <c r="I507" s="37" t="str">
        <f t="shared" si="114"/>
        <v>road</v>
      </c>
      <c r="J507" s="46" t="s">
        <v>385</v>
      </c>
      <c r="K507" s="37" t="str">
        <f t="shared" si="115"/>
        <v>furniture</v>
      </c>
      <c r="L507" s="46" t="s">
        <v>159</v>
      </c>
      <c r="M507" s="37" t="str">
        <f t="shared" si="116"/>
        <v>south</v>
      </c>
      <c r="N507" s="46" t="s">
        <v>327</v>
      </c>
      <c r="O507" s="41" t="str">
        <f t="shared" si="117"/>
        <v>Yes</v>
      </c>
      <c r="P507" s="49" t="s">
        <v>2138</v>
      </c>
      <c r="Q507" s="49">
        <v>870</v>
      </c>
      <c r="R507" s="42">
        <f t="shared" si="118"/>
        <v>14.572864321608</v>
      </c>
      <c r="S507" s="46">
        <v>6</v>
      </c>
      <c r="T507" s="46" t="s">
        <v>1152</v>
      </c>
      <c r="U507" s="43" t="str">
        <f t="shared" si="119"/>
        <v>2024-01-17</v>
      </c>
      <c r="V507" s="43">
        <f t="shared" si="120"/>
        <v>45308</v>
      </c>
      <c r="W507" s="44">
        <f t="array" ref="W507">_xlfn.IFS(TRIM(C507)="","",TRIM(V507)="","",TRUE,V507-C507)</f>
        <v>7</v>
      </c>
      <c r="X507" s="37">
        <f t="shared" si="121"/>
        <v>1</v>
      </c>
      <c r="Y507" s="46" t="s">
        <v>72</v>
      </c>
      <c r="Z507" s="37" t="str">
        <f t="shared" si="122"/>
        <v>delayed</v>
      </c>
      <c r="AA507" s="37" t="str">
        <f t="shared" si="123"/>
        <v>Late</v>
      </c>
      <c r="AB507" s="37" t="str">
        <f t="shared" si="126"/>
        <v>1</v>
      </c>
      <c r="AC507" s="37">
        <f t="shared" si="127"/>
        <v>1</v>
      </c>
      <c r="AD507" s="45">
        <f t="shared" si="125"/>
        <v>0.512419503219871</v>
      </c>
      <c r="AE507" s="46">
        <v>3</v>
      </c>
      <c r="AF507" s="46" t="s">
        <v>286</v>
      </c>
      <c r="AG507" s="37" t="str">
        <f t="shared" si="124"/>
        <v>yes</v>
      </c>
      <c r="AH507" s="37" t="str">
        <f t="array" ref="AH507">_xlfn.IFS(LOWER(AG507)="n","no",LOWER(AG507)="y","yes",TRUE,LOWER(AG507))</f>
        <v>yes</v>
      </c>
      <c r="AI507" s="46" t="s">
        <v>4692</v>
      </c>
    </row>
    <row r="508" spans="1:35">
      <c r="A508" s="37" t="s">
        <v>2140</v>
      </c>
      <c r="B508" s="38">
        <v>45372</v>
      </c>
      <c r="C508" s="39">
        <f t="shared" si="112"/>
        <v>45372</v>
      </c>
      <c r="D508" s="40" t="s">
        <v>633</v>
      </c>
      <c r="E508" s="37" t="str" cm="1">
        <f t="array" ref="E508">_xlfn.IFS(D508="delhi","north",D508="mumbai","west",D508="bengaluru","south",D508="chennai","south",D508="kolkata","east",TRUE,"west")</f>
        <v>south</v>
      </c>
      <c r="F508" s="37" t="s">
        <v>37</v>
      </c>
      <c r="G508" s="37" t="str">
        <f t="shared" si="113"/>
        <v>bluedart</v>
      </c>
      <c r="H508" s="37" t="s">
        <v>42</v>
      </c>
      <c r="I508" s="37" t="str">
        <f t="shared" si="114"/>
        <v>surface</v>
      </c>
      <c r="J508" s="37" t="s">
        <v>612</v>
      </c>
      <c r="K508" s="37" t="str">
        <f t="shared" si="115"/>
        <v>grocery&amp;fmcg</v>
      </c>
      <c r="L508" s="37" t="s">
        <v>168</v>
      </c>
      <c r="M508" s="37" t="str">
        <f t="shared" si="116"/>
        <v>west</v>
      </c>
      <c r="N508" s="37" t="s">
        <v>187</v>
      </c>
      <c r="O508" s="41" t="str">
        <f t="shared" si="117"/>
        <v>Yes</v>
      </c>
      <c r="P508" s="41">
        <v>17.3</v>
      </c>
      <c r="Q508" s="41" t="s">
        <v>2142</v>
      </c>
      <c r="R508" s="42">
        <f t="shared" si="118"/>
        <v>34.0462427745665</v>
      </c>
      <c r="S508" s="37">
        <v>6</v>
      </c>
      <c r="T508" s="37" t="s">
        <v>543</v>
      </c>
      <c r="U508" s="43" t="str">
        <f t="shared" si="119"/>
        <v>28/03/2024</v>
      </c>
      <c r="V508" s="43">
        <f t="shared" si="120"/>
        <v>45379</v>
      </c>
      <c r="W508" s="44">
        <f t="array" ref="W508">_xlfn.IFS(TRIM(C508)="","",TRIM(V508)="","",TRUE,V508-C508)</f>
        <v>7</v>
      </c>
      <c r="X508" s="37">
        <f t="shared" si="121"/>
        <v>1</v>
      </c>
      <c r="Y508" s="37" t="s">
        <v>143</v>
      </c>
      <c r="Z508" s="37" t="str">
        <f t="shared" si="122"/>
        <v>delayed</v>
      </c>
      <c r="AA508" s="37" t="str">
        <f t="shared" si="123"/>
        <v>Late</v>
      </c>
      <c r="AB508" s="37" t="str">
        <f t="shared" si="126"/>
        <v>1</v>
      </c>
      <c r="AC508" s="37">
        <f t="shared" si="127"/>
        <v>1</v>
      </c>
      <c r="AD508" s="45">
        <f t="shared" si="125"/>
        <v>0.511970534069982</v>
      </c>
      <c r="AE508" s="37">
        <v>4</v>
      </c>
      <c r="AF508" s="37" t="s">
        <v>181</v>
      </c>
      <c r="AG508" s="37" t="str">
        <f t="shared" si="124"/>
        <v>y</v>
      </c>
      <c r="AH508" s="37" t="str">
        <f t="array" ref="AH508">_xlfn.IFS(LOWER(AG508)="n","no",LOWER(AG508)="y","yes",TRUE,LOWER(AG508))</f>
        <v>yes</v>
      </c>
      <c r="AI508" s="37" t="s">
        <v>4692</v>
      </c>
    </row>
    <row r="509" spans="1:35">
      <c r="A509" s="46" t="s">
        <v>2143</v>
      </c>
      <c r="B509" s="47" t="s">
        <v>4697</v>
      </c>
      <c r="C509" s="39">
        <f t="shared" si="112"/>
        <v>45414</v>
      </c>
      <c r="D509" s="48" t="s">
        <v>424</v>
      </c>
      <c r="E509" s="37" t="str" cm="1">
        <f t="array" ref="E509">_xlfn.IFS(D509="delhi","north",D509="mumbai","west",D509="bengaluru","south",D509="chennai","south",D509="kolkata","east",TRUE,"west")</f>
        <v>south</v>
      </c>
      <c r="F509" s="46" t="s">
        <v>367</v>
      </c>
      <c r="G509" s="37" t="str">
        <f t="shared" si="113"/>
        <v>dtdc</v>
      </c>
      <c r="H509" s="46" t="s">
        <v>99</v>
      </c>
      <c r="I509" s="37" t="str">
        <f t="shared" si="114"/>
        <v>air</v>
      </c>
      <c r="J509" s="46" t="s">
        <v>612</v>
      </c>
      <c r="K509" s="37" t="str">
        <f t="shared" si="115"/>
        <v>grocery&amp;fmcg</v>
      </c>
      <c r="L509" s="46" t="s">
        <v>101</v>
      </c>
      <c r="M509" s="37" t="str">
        <f t="shared" si="116"/>
        <v>west</v>
      </c>
      <c r="N509" s="46" t="s">
        <v>206</v>
      </c>
      <c r="O509" s="41" t="str">
        <f t="shared" si="117"/>
        <v>Yes</v>
      </c>
      <c r="P509" s="49">
        <v>11.9</v>
      </c>
      <c r="Q509" s="49">
        <v>685</v>
      </c>
      <c r="R509" s="42">
        <f t="shared" si="118"/>
        <v>57.563025210084</v>
      </c>
      <c r="S509" s="46">
        <v>4</v>
      </c>
      <c r="T509" s="46" t="s">
        <v>729</v>
      </c>
      <c r="U509" s="43" t="str">
        <f t="shared" si="119"/>
        <v>2024-05-11</v>
      </c>
      <c r="V509" s="43">
        <f t="shared" si="120"/>
        <v>45423</v>
      </c>
      <c r="W509" s="44">
        <f t="array" ref="W509">_xlfn.IFS(TRIM(C509)="","",TRIM(V509)="","",TRUE,V509-C509)</f>
        <v>9</v>
      </c>
      <c r="X509" s="37">
        <f t="shared" si="121"/>
        <v>5</v>
      </c>
      <c r="Y509" s="46" t="s">
        <v>200</v>
      </c>
      <c r="Z509" s="37" t="str">
        <f t="shared" si="122"/>
        <v>delayed</v>
      </c>
      <c r="AA509" s="37" t="str">
        <f t="shared" si="123"/>
        <v>Late</v>
      </c>
      <c r="AB509" s="37" t="str">
        <f t="shared" si="126"/>
        <v>1</v>
      </c>
      <c r="AC509" s="37">
        <f t="shared" si="127"/>
        <v>1</v>
      </c>
      <c r="AD509" s="45">
        <f t="shared" si="125"/>
        <v>0.511520737327189</v>
      </c>
      <c r="AE509" s="46">
        <v>4</v>
      </c>
      <c r="AF509" s="46" t="s">
        <v>131</v>
      </c>
      <c r="AG509" s="37" t="str">
        <f t="shared" si="124"/>
        <v>n</v>
      </c>
      <c r="AH509" s="37" t="str">
        <f t="array" ref="AH509">_xlfn.IFS(LOWER(AG509)="n","no",LOWER(AG509)="y","yes",TRUE,LOWER(AG509))</f>
        <v>no</v>
      </c>
      <c r="AI509" s="46" t="s">
        <v>4692</v>
      </c>
    </row>
    <row r="510" spans="1:35">
      <c r="A510" s="37" t="s">
        <v>2146</v>
      </c>
      <c r="B510" s="38">
        <v>45457</v>
      </c>
      <c r="C510" s="39">
        <f t="shared" si="112"/>
        <v>45457</v>
      </c>
      <c r="D510" s="40" t="s">
        <v>212</v>
      </c>
      <c r="E510" s="37" t="str" cm="1">
        <f t="array" ref="E510">_xlfn.IFS(D510="delhi","north",D510="mumbai","west",D510="bengaluru","south",D510="chennai","south",D510="kolkata","east",TRUE,"west")</f>
        <v>west</v>
      </c>
      <c r="F510" s="37" t="s">
        <v>98</v>
      </c>
      <c r="G510" s="37" t="str">
        <f t="shared" si="113"/>
        <v>dtdc</v>
      </c>
      <c r="H510" s="37" t="s">
        <v>110</v>
      </c>
      <c r="I510" s="37" t="str">
        <f t="shared" si="114"/>
        <v>surface</v>
      </c>
      <c r="J510" s="37" t="s">
        <v>186</v>
      </c>
      <c r="K510" s="37" t="str">
        <f t="shared" si="115"/>
        <v>automotiveparts</v>
      </c>
      <c r="L510" s="37" t="s">
        <v>470</v>
      </c>
      <c r="M510" s="37" t="str">
        <f t="shared" si="116"/>
        <v>east</v>
      </c>
      <c r="N510" s="37" t="s">
        <v>396</v>
      </c>
      <c r="O510" s="41" t="str">
        <f t="shared" si="117"/>
        <v>Yes</v>
      </c>
      <c r="P510" s="41" t="s">
        <v>868</v>
      </c>
      <c r="Q510" s="41">
        <v>281</v>
      </c>
      <c r="R510" s="42">
        <f t="shared" si="118"/>
        <v>40.7246376811594</v>
      </c>
      <c r="S510" s="37">
        <v>6</v>
      </c>
      <c r="T510" s="37" t="s">
        <v>1626</v>
      </c>
      <c r="U510" s="43" t="str">
        <f t="shared" si="119"/>
        <v>2024-06-23</v>
      </c>
      <c r="V510" s="43">
        <f t="shared" si="120"/>
        <v>45466</v>
      </c>
      <c r="W510" s="44">
        <f t="array" ref="W510">_xlfn.IFS(TRIM(C510)="","",TRIM(V510)="","",TRUE,V510-C510)</f>
        <v>9</v>
      </c>
      <c r="X510" s="37">
        <f t="shared" si="121"/>
        <v>3</v>
      </c>
      <c r="Y510" s="37" t="s">
        <v>200</v>
      </c>
      <c r="Z510" s="37" t="str">
        <f t="shared" si="122"/>
        <v>delayed</v>
      </c>
      <c r="AA510" s="37" t="str">
        <f t="shared" si="123"/>
        <v>Late</v>
      </c>
      <c r="AB510" s="37" t="str">
        <f t="shared" si="126"/>
        <v>1</v>
      </c>
      <c r="AC510" s="37">
        <f t="shared" si="127"/>
        <v>1</v>
      </c>
      <c r="AD510" s="45">
        <f t="shared" si="125"/>
        <v>0.511070110701107</v>
      </c>
      <c r="AE510" s="37">
        <v>4</v>
      </c>
      <c r="AF510" s="37" t="s">
        <v>106</v>
      </c>
      <c r="AG510" s="37" t="str">
        <f t="shared" si="124"/>
        <v>yes</v>
      </c>
      <c r="AH510" s="37" t="str">
        <f t="array" ref="AH510">_xlfn.IFS(LOWER(AG510)="n","no",LOWER(AG510)="y","yes",TRUE,LOWER(AG510))</f>
        <v>yes</v>
      </c>
      <c r="AI510" s="37" t="s">
        <v>4692</v>
      </c>
    </row>
    <row r="511" spans="1:35">
      <c r="A511" s="46" t="s">
        <v>2149</v>
      </c>
      <c r="B511" s="47" t="s">
        <v>4792</v>
      </c>
      <c r="C511" s="39">
        <f t="shared" si="112"/>
        <v>45389</v>
      </c>
      <c r="D511" s="48" t="s">
        <v>212</v>
      </c>
      <c r="E511" s="37" t="str" cm="1">
        <f t="array" ref="E511">_xlfn.IFS(D511="delhi","north",D511="mumbai","west",D511="bengaluru","south",D511="chennai","south",D511="kolkata","east",TRUE,"west")</f>
        <v>west</v>
      </c>
      <c r="F511" s="46" t="s">
        <v>122</v>
      </c>
      <c r="G511" s="37" t="str">
        <f t="shared" si="113"/>
        <v>delhivery</v>
      </c>
      <c r="H511" s="46" t="s">
        <v>195</v>
      </c>
      <c r="I511" s="37" t="str">
        <f t="shared" si="114"/>
        <v>road</v>
      </c>
      <c r="J511" s="46" t="s">
        <v>277</v>
      </c>
      <c r="K511" s="37" t="str">
        <f t="shared" si="115"/>
        <v>apparel</v>
      </c>
      <c r="L511" s="46" t="s">
        <v>346</v>
      </c>
      <c r="M511" s="37" t="str">
        <f t="shared" si="116"/>
        <v>north</v>
      </c>
      <c r="N511" s="46" t="s">
        <v>32</v>
      </c>
      <c r="O511" s="41" t="str">
        <f t="shared" si="117"/>
        <v>Yes</v>
      </c>
      <c r="P511" s="49">
        <v>2.2</v>
      </c>
      <c r="Q511" s="49">
        <v>210</v>
      </c>
      <c r="R511" s="42">
        <f t="shared" si="118"/>
        <v>95.4545454545455</v>
      </c>
      <c r="S511" s="46">
        <v>8</v>
      </c>
      <c r="T511" s="46" t="s">
        <v>2152</v>
      </c>
      <c r="U511" s="43" t="str">
        <f t="shared" si="119"/>
        <v>2024-04-14</v>
      </c>
      <c r="V511" s="43">
        <f t="shared" si="120"/>
        <v>45396</v>
      </c>
      <c r="W511" s="44">
        <f t="array" ref="W511">_xlfn.IFS(TRIM(C511)="","",TRIM(V511)="","",TRUE,V511-C511)</f>
        <v>7</v>
      </c>
      <c r="X511" s="37">
        <f t="shared" si="121"/>
        <v>-1</v>
      </c>
      <c r="Y511" s="46" t="s">
        <v>163</v>
      </c>
      <c r="Z511" s="37" t="str">
        <f t="shared" si="122"/>
        <v>delivered</v>
      </c>
      <c r="AA511" s="37" t="str">
        <f t="shared" si="123"/>
        <v>On Time</v>
      </c>
      <c r="AB511" s="37" t="str">
        <f t="shared" si="126"/>
        <v>0</v>
      </c>
      <c r="AC511" s="37">
        <f t="shared" si="127"/>
        <v>0</v>
      </c>
      <c r="AD511" s="45">
        <f t="shared" si="125"/>
        <v>0.51061865189289</v>
      </c>
      <c r="AE511" s="46">
        <v>3</v>
      </c>
      <c r="AF511" s="46" t="s">
        <v>118</v>
      </c>
      <c r="AG511" s="37" t="str">
        <f t="shared" si="124"/>
        <v>no</v>
      </c>
      <c r="AH511" s="37" t="str">
        <f t="array" ref="AH511">_xlfn.IFS(LOWER(AG511)="n","no",LOWER(AG511)="y","yes",TRUE,LOWER(AG511))</f>
        <v>no</v>
      </c>
      <c r="AI511" s="46" t="s">
        <v>4692</v>
      </c>
    </row>
    <row r="512" spans="1:35">
      <c r="A512" s="37" t="s">
        <v>2153</v>
      </c>
      <c r="B512" s="38">
        <v>45409</v>
      </c>
      <c r="C512" s="39">
        <f t="shared" si="112"/>
        <v>45409</v>
      </c>
      <c r="D512" s="40" t="s">
        <v>121</v>
      </c>
      <c r="E512" s="37" t="str" cm="1">
        <f t="array" ref="E512">_xlfn.IFS(D512="delhi","north",D512="mumbai","west",D512="bengaluru","south",D512="chennai","south",D512="kolkata","east",TRUE,"west")</f>
        <v>west</v>
      </c>
      <c r="F512" s="37" t="s">
        <v>194</v>
      </c>
      <c r="G512" s="37" t="str">
        <f t="shared" si="113"/>
        <v>xpressbees</v>
      </c>
      <c r="H512" s="37" t="s">
        <v>137</v>
      </c>
      <c r="I512" s="37" t="str">
        <f t="shared" si="114"/>
        <v>road</v>
      </c>
      <c r="J512" s="37" t="s">
        <v>425</v>
      </c>
      <c r="K512" s="37" t="str">
        <f t="shared" si="115"/>
        <v>automotiveparts</v>
      </c>
      <c r="L512" s="37" t="s">
        <v>346</v>
      </c>
      <c r="M512" s="37" t="str">
        <f t="shared" si="116"/>
        <v>north</v>
      </c>
      <c r="N512" s="37" t="s">
        <v>113</v>
      </c>
      <c r="O512" s="41" t="str">
        <f t="shared" si="117"/>
        <v>Yes</v>
      </c>
      <c r="P512" s="41">
        <v>27.4</v>
      </c>
      <c r="Q512" s="41" t="s">
        <v>719</v>
      </c>
      <c r="R512" s="42">
        <f t="shared" si="118"/>
        <v>14.4160583941606</v>
      </c>
      <c r="S512" s="37">
        <v>6</v>
      </c>
      <c r="T512" s="37" t="s">
        <v>2156</v>
      </c>
      <c r="U512" s="43" t="str">
        <f t="shared" si="119"/>
        <v>04/05/2024</v>
      </c>
      <c r="V512" s="43">
        <f t="shared" si="120"/>
        <v>45416</v>
      </c>
      <c r="W512" s="44">
        <f t="array" ref="W512">_xlfn.IFS(TRIM(C512)="","",TRIM(V512)="","",TRUE,V512-C512)</f>
        <v>7</v>
      </c>
      <c r="X512" s="37">
        <f t="shared" si="121"/>
        <v>1</v>
      </c>
      <c r="Y512" s="37" t="s">
        <v>172</v>
      </c>
      <c r="Z512" s="37" t="str">
        <f t="shared" si="122"/>
        <v>delayed</v>
      </c>
      <c r="AA512" s="37" t="str">
        <f t="shared" si="123"/>
        <v>Late</v>
      </c>
      <c r="AB512" s="37" t="str">
        <f t="shared" si="126"/>
        <v>1</v>
      </c>
      <c r="AC512" s="37">
        <f t="shared" si="127"/>
        <v>1</v>
      </c>
      <c r="AD512" s="45">
        <f t="shared" si="125"/>
        <v>0.511090573012939</v>
      </c>
      <c r="AE512" s="37">
        <v>1</v>
      </c>
      <c r="AF512" s="37" t="s">
        <v>152</v>
      </c>
      <c r="AG512" s="37" t="str">
        <f t="shared" si="124"/>
        <v>no</v>
      </c>
      <c r="AH512" s="37" t="str">
        <f t="array" ref="AH512">_xlfn.IFS(LOWER(AG512)="n","no",LOWER(AG512)="y","yes",TRUE,LOWER(AG512))</f>
        <v>no</v>
      </c>
      <c r="AI512" s="37" t="s">
        <v>4692</v>
      </c>
    </row>
    <row r="513" spans="1:35">
      <c r="A513" s="46" t="s">
        <v>2157</v>
      </c>
      <c r="B513" s="47" t="s">
        <v>4706</v>
      </c>
      <c r="C513" s="39">
        <f t="shared" si="112"/>
        <v>45408</v>
      </c>
      <c r="D513" s="48" t="s">
        <v>366</v>
      </c>
      <c r="E513" s="37" t="str" cm="1">
        <f t="array" ref="E513">_xlfn.IFS(D513="delhi","north",D513="mumbai","west",D513="bengaluru","south",D513="chennai","south",D513="kolkata","east",TRUE,"west")</f>
        <v>east</v>
      </c>
      <c r="F513" s="46" t="s">
        <v>223</v>
      </c>
      <c r="G513" s="37" t="str">
        <f t="shared" si="113"/>
        <v>xpressbees</v>
      </c>
      <c r="H513" s="46" t="s">
        <v>185</v>
      </c>
      <c r="I513" s="37" t="str">
        <f t="shared" si="114"/>
        <v>surface</v>
      </c>
      <c r="J513" s="46" t="s">
        <v>111</v>
      </c>
      <c r="K513" s="37" t="str">
        <f t="shared" si="115"/>
        <v>grocery&amp;fmcg</v>
      </c>
      <c r="L513" s="46" t="s">
        <v>197</v>
      </c>
      <c r="M513" s="37" t="str">
        <f t="shared" si="116"/>
        <v>south</v>
      </c>
      <c r="N513" s="46" t="s">
        <v>327</v>
      </c>
      <c r="O513" s="41" t="str">
        <f t="shared" si="117"/>
        <v>Yes</v>
      </c>
      <c r="P513" s="49">
        <v>9.5</v>
      </c>
      <c r="Q513" s="49" t="s">
        <v>2159</v>
      </c>
      <c r="R513" s="42">
        <f t="shared" si="118"/>
        <v>34.6315789473684</v>
      </c>
      <c r="S513" s="46">
        <v>6</v>
      </c>
      <c r="T513" s="46" t="s">
        <v>2160</v>
      </c>
      <c r="U513" s="43" t="str">
        <f t="shared" si="119"/>
        <v>2024-05-05</v>
      </c>
      <c r="V513" s="43">
        <f t="shared" si="120"/>
        <v>45417</v>
      </c>
      <c r="W513" s="44">
        <f t="array" ref="W513">_xlfn.IFS(TRIM(C513)="","",TRIM(V513)="","",TRUE,V513-C513)</f>
        <v>9</v>
      </c>
      <c r="X513" s="37">
        <f t="shared" si="121"/>
        <v>3</v>
      </c>
      <c r="Y513" s="46" t="s">
        <v>143</v>
      </c>
      <c r="Z513" s="37" t="str">
        <f t="shared" si="122"/>
        <v>delayed</v>
      </c>
      <c r="AA513" s="37" t="str">
        <f t="shared" si="123"/>
        <v>Late</v>
      </c>
      <c r="AB513" s="37" t="str">
        <f t="shared" si="126"/>
        <v>1</v>
      </c>
      <c r="AC513" s="37">
        <f t="shared" si="127"/>
        <v>1</v>
      </c>
      <c r="AD513" s="45">
        <f t="shared" si="125"/>
        <v>0.51063829787234</v>
      </c>
      <c r="AE513" s="46">
        <v>3</v>
      </c>
      <c r="AF513" s="46" t="s">
        <v>131</v>
      </c>
      <c r="AG513" s="37" t="str">
        <f t="shared" si="124"/>
        <v>n</v>
      </c>
      <c r="AH513" s="37" t="str">
        <f t="array" ref="AH513">_xlfn.IFS(LOWER(AG513)="n","no",LOWER(AG513)="y","yes",TRUE,LOWER(AG513))</f>
        <v>no</v>
      </c>
      <c r="AI513" s="46" t="s">
        <v>4692</v>
      </c>
    </row>
    <row r="514" spans="1:35">
      <c r="A514" s="37" t="s">
        <v>2161</v>
      </c>
      <c r="B514" s="38">
        <v>45354</v>
      </c>
      <c r="C514" s="39">
        <f t="shared" ref="C514:C577" si="128">IF(ISNUMBER(B514),B514,DATE(RIGHT(TRIM(B514),4),MID(TRIM(B514),4,2),LEFT(TRIM(B514),2)))</f>
        <v>45354</v>
      </c>
      <c r="D514" s="40" t="s">
        <v>109</v>
      </c>
      <c r="E514" s="37" t="str" cm="1">
        <f t="array" ref="E514">_xlfn.IFS(D514="delhi","north",D514="mumbai","west",D514="bengaluru","south",D514="chennai","south",D514="kolkata","east",TRUE,"west")</f>
        <v>west</v>
      </c>
      <c r="F514" s="37" t="s">
        <v>184</v>
      </c>
      <c r="G514" s="37" t="str">
        <f t="shared" ref="G514:G577" si="129">SUBSTITUTE(LOWER(F514)," ","")</f>
        <v>ecomexpress</v>
      </c>
      <c r="H514" s="37" t="s">
        <v>110</v>
      </c>
      <c r="I514" s="37" t="str">
        <f t="shared" ref="I514:I577" si="130">SUBSTITUTE(LOWER(H514)," ","")</f>
        <v>surface</v>
      </c>
      <c r="J514" s="37" t="s">
        <v>138</v>
      </c>
      <c r="K514" s="37" t="str">
        <f t="shared" ref="K514:K577" si="131">SUBSTITUTE(LOWER(J514)," ","")</f>
        <v>apparel</v>
      </c>
      <c r="L514" s="37" t="s">
        <v>101</v>
      </c>
      <c r="M514" s="37" t="str">
        <f t="shared" ref="M514:M577" si="132">SUBSTITUTE(LOWER(L514)," ","")</f>
        <v>west</v>
      </c>
      <c r="N514" s="37" t="s">
        <v>278</v>
      </c>
      <c r="O514" s="41" t="str">
        <f t="shared" ref="O514:O577" si="133">IF(OR(D514="",M514=""),"",IF(D514=M514,"No","Yes"))</f>
        <v>Yes</v>
      </c>
      <c r="P514" s="41" t="s">
        <v>1762</v>
      </c>
      <c r="Q514" s="41">
        <v>106</v>
      </c>
      <c r="R514" s="42">
        <f t="shared" ref="R514:R577" si="134">IF(OR(Q514="",P514="",P514=0),"",Q514/P514)</f>
        <v>25.2380952380952</v>
      </c>
      <c r="S514" s="37">
        <v>4</v>
      </c>
      <c r="T514" s="37" t="s">
        <v>2020</v>
      </c>
      <c r="U514" s="43" t="str">
        <f t="shared" ref="U514:U577" si="135">SUBSTITUTE(LOWER(T514)," ","")</f>
        <v>2024-03-07</v>
      </c>
      <c r="V514" s="43">
        <f t="shared" ref="V514:V577" si="136">DATEVALUE(TEXT(U514,"yyyy-mm-dd"))</f>
        <v>45358</v>
      </c>
      <c r="W514" s="44">
        <f t="array" ref="W514">_xlfn.IFS(TRIM(C514)="","",TRIM(V514)="","",TRUE,V514-C514)</f>
        <v>4</v>
      </c>
      <c r="X514" s="37">
        <f t="shared" ref="X514:X577" si="137">IF(OR(W514="",S514=""),"",W514-S514)</f>
        <v>0</v>
      </c>
      <c r="Y514" s="37" t="s">
        <v>817</v>
      </c>
      <c r="Z514" s="37" t="str">
        <f t="shared" ref="Z514:Z577" si="138">SUBSTITUTE(LOWER(Y514)," ","")</f>
        <v>returned</v>
      </c>
      <c r="AA514" s="37" t="str">
        <f t="shared" ref="AA514:AA577" si="139">IF(Z514="In-Transit","N/A",IF(X514="","",IF(X514&gt;0,"Late","On Time")))</f>
        <v>On Time</v>
      </c>
      <c r="AB514" s="37" t="str">
        <f t="shared" si="126"/>
        <v>0</v>
      </c>
      <c r="AC514" s="37">
        <f t="shared" si="127"/>
        <v>0</v>
      </c>
      <c r="AD514" s="45">
        <f t="shared" si="125"/>
        <v>0.510185185185185</v>
      </c>
      <c r="AE514" s="37"/>
      <c r="AF514" s="37" t="s">
        <v>106</v>
      </c>
      <c r="AG514" s="37" t="str">
        <f t="shared" ref="AG514:AG577" si="140">SUBSTITUTE(LOWER(AF514)," ","")</f>
        <v>yes</v>
      </c>
      <c r="AH514" s="37" t="str">
        <f t="array" ref="AH514">_xlfn.IFS(LOWER(AG514)="n","no",LOWER(AG514)="y","yes",TRUE,LOWER(AG514))</f>
        <v>yes</v>
      </c>
      <c r="AI514" s="37" t="s">
        <v>818</v>
      </c>
    </row>
    <row r="515" spans="1:35">
      <c r="A515" s="46" t="s">
        <v>2163</v>
      </c>
      <c r="B515" s="47">
        <v>45470</v>
      </c>
      <c r="C515" s="39">
        <f t="shared" si="128"/>
        <v>45470</v>
      </c>
      <c r="D515" s="48" t="s">
        <v>424</v>
      </c>
      <c r="E515" s="37" t="str" cm="1">
        <f t="array" ref="E515">_xlfn.IFS(D515="delhi","north",D515="mumbai","west",D515="bengaluru","south",D515="chennai","south",D515="kolkata","east",TRUE,"west")</f>
        <v>south</v>
      </c>
      <c r="F515" s="46" t="s">
        <v>98</v>
      </c>
      <c r="G515" s="37" t="str">
        <f t="shared" si="129"/>
        <v>dtdc</v>
      </c>
      <c r="H515" s="46" t="s">
        <v>110</v>
      </c>
      <c r="I515" s="37" t="str">
        <f t="shared" si="130"/>
        <v>surface</v>
      </c>
      <c r="J515" s="46" t="s">
        <v>430</v>
      </c>
      <c r="K515" s="37" t="str">
        <f t="shared" si="131"/>
        <v>pharma</v>
      </c>
      <c r="L515" s="46" t="s">
        <v>257</v>
      </c>
      <c r="M515" s="37" t="str">
        <f t="shared" si="132"/>
        <v>west</v>
      </c>
      <c r="N515" s="46" t="s">
        <v>206</v>
      </c>
      <c r="O515" s="41" t="str">
        <f t="shared" si="133"/>
        <v>Yes</v>
      </c>
      <c r="P515" s="49">
        <v>5</v>
      </c>
      <c r="Q515" s="49">
        <v>320</v>
      </c>
      <c r="R515" s="42">
        <f t="shared" si="134"/>
        <v>64</v>
      </c>
      <c r="S515" s="46">
        <v>6</v>
      </c>
      <c r="T515" s="46"/>
      <c r="U515" s="43" t="str">
        <f t="shared" si="135"/>
        <v/>
      </c>
      <c r="V515" s="43" t="e">
        <f t="shared" si="136"/>
        <v>#VALUE!</v>
      </c>
      <c r="W515" s="44" t="e">
        <f t="array" ref="W515">_xlfn.IFS(TRIM(C515)="","",TRIM(V515)="","",TRUE,V515-C515)</f>
        <v>#VALUE!</v>
      </c>
      <c r="X515" s="37" t="e">
        <f t="shared" si="137"/>
        <v>#VALUE!</v>
      </c>
      <c r="Y515" s="46" t="s">
        <v>1156</v>
      </c>
      <c r="Z515" s="37" t="str">
        <f t="shared" si="138"/>
        <v>intransit</v>
      </c>
      <c r="AA515" s="37" t="e">
        <f t="shared" si="139"/>
        <v>#VALUE!</v>
      </c>
      <c r="AB515" s="37" t="e">
        <f t="shared" si="126"/>
        <v>#VALUE!</v>
      </c>
      <c r="AC515" s="37" t="e">
        <f t="shared" si="127"/>
        <v>#VALUE!</v>
      </c>
      <c r="AD515" s="45">
        <f t="shared" ref="AD515:AD578" si="141">COUNTIF(AC515:AC2114,1)/COUNT(AC515:AC2114)</f>
        <v>0.510658016682113</v>
      </c>
      <c r="AE515" s="46"/>
      <c r="AF515" s="46" t="s">
        <v>106</v>
      </c>
      <c r="AG515" s="37" t="str">
        <f t="shared" si="140"/>
        <v>yes</v>
      </c>
      <c r="AH515" s="37" t="str">
        <f t="array" ref="AH515">_xlfn.IFS(LOWER(AG515)="n","no",LOWER(AG515)="y","yes",TRUE,LOWER(AG515))</f>
        <v>yes</v>
      </c>
      <c r="AI515" s="46" t="s">
        <v>4692</v>
      </c>
    </row>
    <row r="516" spans="1:35">
      <c r="A516" s="37" t="s">
        <v>2165</v>
      </c>
      <c r="B516" s="38">
        <v>45354</v>
      </c>
      <c r="C516" s="39">
        <f t="shared" si="128"/>
        <v>45354</v>
      </c>
      <c r="D516" s="40" t="s">
        <v>4694</v>
      </c>
      <c r="E516" s="37" t="str" cm="1">
        <f t="array" ref="E516">_xlfn.IFS(D516="delhi","north",D516="mumbai","west",D516="bengaluru","south",D516="chennai","south",D516="kolkata","east",TRUE,"west")</f>
        <v>west</v>
      </c>
      <c r="F516" s="37" t="s">
        <v>213</v>
      </c>
      <c r="G516" s="37" t="str">
        <f t="shared" si="129"/>
        <v>dtdc</v>
      </c>
      <c r="H516" s="37" t="s">
        <v>325</v>
      </c>
      <c r="I516" s="37" t="str">
        <f t="shared" si="130"/>
        <v>air</v>
      </c>
      <c r="J516" s="37" t="s">
        <v>263</v>
      </c>
      <c r="K516" s="37" t="str">
        <f t="shared" si="131"/>
        <v>apparel</v>
      </c>
      <c r="L516" s="37" t="s">
        <v>470</v>
      </c>
      <c r="M516" s="37" t="str">
        <f t="shared" si="132"/>
        <v>east</v>
      </c>
      <c r="N516" s="37" t="s">
        <v>396</v>
      </c>
      <c r="O516" s="41" t="str">
        <f t="shared" si="133"/>
        <v>Yes</v>
      </c>
      <c r="P516" s="41">
        <v>0.9</v>
      </c>
      <c r="Q516" s="41">
        <v>249</v>
      </c>
      <c r="R516" s="42">
        <f t="shared" si="134"/>
        <v>276.666666666667</v>
      </c>
      <c r="S516" s="37">
        <v>4</v>
      </c>
      <c r="T516" s="37" t="s">
        <v>995</v>
      </c>
      <c r="U516" s="43" t="str">
        <f t="shared" si="135"/>
        <v>07/03/2024</v>
      </c>
      <c r="V516" s="43">
        <f t="shared" si="136"/>
        <v>45358</v>
      </c>
      <c r="W516" s="44">
        <f t="array" ref="W516">_xlfn.IFS(TRIM(C516)="","",TRIM(V516)="","",TRUE,V516-C516)</f>
        <v>4</v>
      </c>
      <c r="X516" s="37">
        <f t="shared" si="137"/>
        <v>0</v>
      </c>
      <c r="Y516" s="37" t="s">
        <v>219</v>
      </c>
      <c r="Z516" s="37" t="str">
        <f t="shared" si="138"/>
        <v>delivered</v>
      </c>
      <c r="AA516" s="37" t="str">
        <f t="shared" si="139"/>
        <v>On Time</v>
      </c>
      <c r="AB516" s="37" t="str">
        <f t="shared" si="126"/>
        <v>0</v>
      </c>
      <c r="AC516" s="37">
        <f t="shared" si="127"/>
        <v>0</v>
      </c>
      <c r="AD516" s="45">
        <f t="shared" si="141"/>
        <v>0.510658016682113</v>
      </c>
      <c r="AE516" s="37">
        <v>5</v>
      </c>
      <c r="AF516" s="37" t="s">
        <v>118</v>
      </c>
      <c r="AG516" s="37" t="str">
        <f t="shared" si="140"/>
        <v>no</v>
      </c>
      <c r="AH516" s="37" t="str">
        <f t="array" ref="AH516">_xlfn.IFS(LOWER(AG516)="n","no",LOWER(AG516)="y","yes",TRUE,LOWER(AG516))</f>
        <v>no</v>
      </c>
      <c r="AI516" s="37" t="s">
        <v>4692</v>
      </c>
    </row>
    <row r="517" spans="1:35">
      <c r="A517" s="46" t="s">
        <v>2168</v>
      </c>
      <c r="B517" s="47">
        <v>45463</v>
      </c>
      <c r="C517" s="39">
        <f t="shared" si="128"/>
        <v>45463</v>
      </c>
      <c r="D517" s="48" t="s">
        <v>424</v>
      </c>
      <c r="E517" s="37" t="str" cm="1">
        <f t="array" ref="E517">_xlfn.IFS(D517="delhi","north",D517="mumbai","west",D517="bengaluru","south",D517="chennai","south",D517="kolkata","east",TRUE,"west")</f>
        <v>south</v>
      </c>
      <c r="F517" s="46" t="s">
        <v>184</v>
      </c>
      <c r="G517" s="37" t="str">
        <f t="shared" si="129"/>
        <v>ecomexpress</v>
      </c>
      <c r="H517" s="46" t="s">
        <v>185</v>
      </c>
      <c r="I517" s="37" t="str">
        <f t="shared" si="130"/>
        <v>surface</v>
      </c>
      <c r="J517" s="46" t="s">
        <v>111</v>
      </c>
      <c r="K517" s="37" t="str">
        <f t="shared" si="131"/>
        <v>grocery&amp;fmcg</v>
      </c>
      <c r="L517" s="46" t="s">
        <v>334</v>
      </c>
      <c r="M517" s="37" t="str">
        <f t="shared" si="132"/>
        <v>north</v>
      </c>
      <c r="N517" s="46" t="s">
        <v>215</v>
      </c>
      <c r="O517" s="41" t="str">
        <f t="shared" si="133"/>
        <v>Yes</v>
      </c>
      <c r="P517" s="49">
        <v>3.2</v>
      </c>
      <c r="Q517" s="49">
        <v>206</v>
      </c>
      <c r="R517" s="42">
        <f t="shared" si="134"/>
        <v>64.375</v>
      </c>
      <c r="S517" s="46">
        <v>6</v>
      </c>
      <c r="T517" s="46" t="s">
        <v>1659</v>
      </c>
      <c r="U517" s="43" t="str">
        <f t="shared" si="135"/>
        <v>27/06/2024</v>
      </c>
      <c r="V517" s="43">
        <f t="shared" si="136"/>
        <v>45470</v>
      </c>
      <c r="W517" s="44">
        <f t="array" ref="W517">_xlfn.IFS(TRIM(C517)="","",TRIM(V517)="","",TRUE,V517-C517)</f>
        <v>7</v>
      </c>
      <c r="X517" s="37">
        <f t="shared" si="137"/>
        <v>1</v>
      </c>
      <c r="Y517" s="46" t="s">
        <v>72</v>
      </c>
      <c r="Z517" s="37" t="str">
        <f t="shared" si="138"/>
        <v>delayed</v>
      </c>
      <c r="AA517" s="37" t="str">
        <f t="shared" si="139"/>
        <v>Late</v>
      </c>
      <c r="AB517" s="37" t="str">
        <f t="shared" si="126"/>
        <v>1</v>
      </c>
      <c r="AC517" s="37">
        <f t="shared" si="127"/>
        <v>1</v>
      </c>
      <c r="AD517" s="45">
        <f t="shared" si="141"/>
        <v>0.51113172541744</v>
      </c>
      <c r="AE517" s="46">
        <v>2</v>
      </c>
      <c r="AF517" s="46" t="s">
        <v>131</v>
      </c>
      <c r="AG517" s="37" t="str">
        <f t="shared" si="140"/>
        <v>n</v>
      </c>
      <c r="AH517" s="37" t="str">
        <f t="array" ref="AH517">_xlfn.IFS(LOWER(AG517)="n","no",LOWER(AG517)="y","yes",TRUE,LOWER(AG517))</f>
        <v>no</v>
      </c>
      <c r="AI517" s="46" t="s">
        <v>4692</v>
      </c>
    </row>
    <row r="518" spans="1:35">
      <c r="A518" s="37" t="s">
        <v>2172</v>
      </c>
      <c r="B518" s="38" t="s">
        <v>4789</v>
      </c>
      <c r="C518" s="39">
        <f t="shared" si="128"/>
        <v>45324</v>
      </c>
      <c r="D518" s="40" t="s">
        <v>340</v>
      </c>
      <c r="E518" s="37" t="str" cm="1">
        <f t="array" ref="E518">_xlfn.IFS(D518="delhi","north",D518="mumbai","west",D518="bengaluru","south",D518="chennai","south",D518="kolkata","east",TRUE,"west")</f>
        <v>north</v>
      </c>
      <c r="F518" s="37" t="s">
        <v>156</v>
      </c>
      <c r="G518" s="37" t="str">
        <f t="shared" si="129"/>
        <v>xpressbees</v>
      </c>
      <c r="H518" s="37" t="s">
        <v>195</v>
      </c>
      <c r="I518" s="37" t="str">
        <f t="shared" si="130"/>
        <v>road</v>
      </c>
      <c r="J518" s="37" t="s">
        <v>301</v>
      </c>
      <c r="K518" s="37" t="str">
        <f t="shared" si="131"/>
        <v>furniture</v>
      </c>
      <c r="L518" s="37" t="s">
        <v>264</v>
      </c>
      <c r="M518" s="37" t="str">
        <f t="shared" si="132"/>
        <v>west</v>
      </c>
      <c r="N518" s="37" t="s">
        <v>88</v>
      </c>
      <c r="O518" s="41" t="str">
        <f t="shared" si="133"/>
        <v>Yes</v>
      </c>
      <c r="P518" s="41">
        <v>55.9</v>
      </c>
      <c r="Q518" s="41">
        <v>928</v>
      </c>
      <c r="R518" s="42">
        <f t="shared" si="134"/>
        <v>16.6010733452594</v>
      </c>
      <c r="S518" s="37">
        <v>8</v>
      </c>
      <c r="T518" s="37" t="s">
        <v>518</v>
      </c>
      <c r="U518" s="43" t="str">
        <f t="shared" si="135"/>
        <v>09/02/2024</v>
      </c>
      <c r="V518" s="43">
        <f t="shared" si="136"/>
        <v>45331</v>
      </c>
      <c r="W518" s="44">
        <f t="array" ref="W518">_xlfn.IFS(TRIM(C518)="","",TRIM(V518)="","",TRUE,V518-C518)</f>
        <v>7</v>
      </c>
      <c r="X518" s="37">
        <f t="shared" si="137"/>
        <v>-1</v>
      </c>
      <c r="Y518" s="37" t="s">
        <v>117</v>
      </c>
      <c r="Z518" s="37" t="str">
        <f t="shared" si="138"/>
        <v>delivered</v>
      </c>
      <c r="AA518" s="37" t="str">
        <f t="shared" si="139"/>
        <v>On Time</v>
      </c>
      <c r="AB518" s="37" t="str">
        <f t="shared" ref="AB518:AB581" si="142">IF(Z518="In-Transit","N/A",IF(X518="","",IF(X518&gt;0,"1","0")))</f>
        <v>0</v>
      </c>
      <c r="AC518" s="37">
        <f t="shared" si="127"/>
        <v>0</v>
      </c>
      <c r="AD518" s="45">
        <f t="shared" si="141"/>
        <v>0.510677808727948</v>
      </c>
      <c r="AE518" s="37">
        <v>3</v>
      </c>
      <c r="AF518" s="37" t="s">
        <v>131</v>
      </c>
      <c r="AG518" s="37" t="str">
        <f t="shared" si="140"/>
        <v>n</v>
      </c>
      <c r="AH518" s="37" t="str">
        <f t="array" ref="AH518">_xlfn.IFS(LOWER(AG518)="n","no",LOWER(AG518)="y","yes",TRUE,LOWER(AG518))</f>
        <v>no</v>
      </c>
      <c r="AI518" s="37" t="s">
        <v>4692</v>
      </c>
    </row>
    <row r="519" spans="1:35">
      <c r="A519" s="46" t="s">
        <v>2175</v>
      </c>
      <c r="B519" s="47" t="s">
        <v>4693</v>
      </c>
      <c r="C519" s="39">
        <f t="shared" si="128"/>
        <v>45453</v>
      </c>
      <c r="D519" s="48" t="s">
        <v>424</v>
      </c>
      <c r="E519" s="37" t="str" cm="1">
        <f t="array" ref="E519">_xlfn.IFS(D519="delhi","north",D519="mumbai","west",D519="bengaluru","south",D519="chennai","south",D519="kolkata","east",TRUE,"west")</f>
        <v>south</v>
      </c>
      <c r="F519" s="46" t="s">
        <v>544</v>
      </c>
      <c r="G519" s="37" t="str">
        <f t="shared" si="129"/>
        <v>bluedart</v>
      </c>
      <c r="H519" s="46" t="s">
        <v>440</v>
      </c>
      <c r="I519" s="37" t="str">
        <f t="shared" si="130"/>
        <v>road</v>
      </c>
      <c r="J519" s="46" t="s">
        <v>100</v>
      </c>
      <c r="K519" s="37" t="str">
        <f t="shared" si="131"/>
        <v>electronics</v>
      </c>
      <c r="L519" s="46" t="s">
        <v>159</v>
      </c>
      <c r="M519" s="37" t="str">
        <f t="shared" si="132"/>
        <v>south</v>
      </c>
      <c r="N519" s="46" t="s">
        <v>54</v>
      </c>
      <c r="O519" s="41" t="str">
        <f t="shared" si="133"/>
        <v>Yes</v>
      </c>
      <c r="P519" s="49">
        <v>2.3</v>
      </c>
      <c r="Q519" s="49" t="s">
        <v>432</v>
      </c>
      <c r="R519" s="42">
        <f t="shared" si="134"/>
        <v>34.7826086956522</v>
      </c>
      <c r="S519" s="46">
        <v>6</v>
      </c>
      <c r="T519" s="46" t="s">
        <v>2177</v>
      </c>
      <c r="U519" s="43" t="str">
        <f t="shared" si="135"/>
        <v>16/06/2024</v>
      </c>
      <c r="V519" s="43">
        <f t="shared" si="136"/>
        <v>45459</v>
      </c>
      <c r="W519" s="44">
        <f t="array" ref="W519">_xlfn.IFS(TRIM(C519)="","",TRIM(V519)="","",TRUE,V519-C519)</f>
        <v>6</v>
      </c>
      <c r="X519" s="37">
        <f t="shared" si="137"/>
        <v>0</v>
      </c>
      <c r="Y519" s="46" t="s">
        <v>219</v>
      </c>
      <c r="Z519" s="37" t="str">
        <f t="shared" si="138"/>
        <v>delivered</v>
      </c>
      <c r="AA519" s="37" t="str">
        <f t="shared" si="139"/>
        <v>On Time</v>
      </c>
      <c r="AB519" s="37" t="str">
        <f t="shared" si="142"/>
        <v>0</v>
      </c>
      <c r="AC519" s="37">
        <f t="shared" ref="AC519:AC582" si="143">IF(TRIM(AB519&amp;"")="","",VALUE(TRIM(AB519&amp;"")))</f>
        <v>0</v>
      </c>
      <c r="AD519" s="45">
        <f t="shared" si="141"/>
        <v>0.511152416356877</v>
      </c>
      <c r="AE519" s="46">
        <v>4</v>
      </c>
      <c r="AF519" s="46" t="s">
        <v>106</v>
      </c>
      <c r="AG519" s="37" t="str">
        <f t="shared" si="140"/>
        <v>yes</v>
      </c>
      <c r="AH519" s="37" t="str">
        <f t="array" ref="AH519">_xlfn.IFS(LOWER(AG519)="n","no",LOWER(AG519)="y","yes",TRUE,LOWER(AG519))</f>
        <v>yes</v>
      </c>
      <c r="AI519" s="46" t="s">
        <v>4692</v>
      </c>
    </row>
    <row r="520" spans="1:35">
      <c r="A520" s="37" t="s">
        <v>2178</v>
      </c>
      <c r="B520" s="38">
        <v>45434</v>
      </c>
      <c r="C520" s="39">
        <f t="shared" si="128"/>
        <v>45434</v>
      </c>
      <c r="D520" s="40" t="s">
        <v>4694</v>
      </c>
      <c r="E520" s="37" t="str" cm="1">
        <f t="array" ref="E520">_xlfn.IFS(D520="delhi","north",D520="mumbai","west",D520="bengaluru","south",D520="chennai","south",D520="kolkata","east",TRUE,"west")</f>
        <v>west</v>
      </c>
      <c r="F520" s="37" t="s">
        <v>312</v>
      </c>
      <c r="G520" s="37" t="str">
        <f t="shared" si="129"/>
        <v>bluedart</v>
      </c>
      <c r="H520" s="37" t="s">
        <v>137</v>
      </c>
      <c r="I520" s="37" t="str">
        <f t="shared" si="130"/>
        <v>road</v>
      </c>
      <c r="J520" s="37" t="s">
        <v>205</v>
      </c>
      <c r="K520" s="37" t="str">
        <f t="shared" si="131"/>
        <v>furniture</v>
      </c>
      <c r="L520" s="37" t="s">
        <v>125</v>
      </c>
      <c r="M520" s="37" t="str">
        <f t="shared" si="132"/>
        <v>east</v>
      </c>
      <c r="N520" s="37" t="s">
        <v>294</v>
      </c>
      <c r="O520" s="41" t="str">
        <f t="shared" si="133"/>
        <v>Yes</v>
      </c>
      <c r="P520" s="41">
        <v>22.4</v>
      </c>
      <c r="Q520" s="41" t="s">
        <v>2181</v>
      </c>
      <c r="R520" s="42">
        <f t="shared" si="134"/>
        <v>21.3392857142857</v>
      </c>
      <c r="S520" s="37">
        <v>8</v>
      </c>
      <c r="T520" s="37" t="s">
        <v>2182</v>
      </c>
      <c r="U520" s="43" t="str">
        <f t="shared" si="135"/>
        <v>31/05/2024</v>
      </c>
      <c r="V520" s="43">
        <f t="shared" si="136"/>
        <v>45443</v>
      </c>
      <c r="W520" s="44">
        <f t="array" ref="W520">_xlfn.IFS(TRIM(C520)="","",TRIM(V520)="","",TRUE,V520-C520)</f>
        <v>9</v>
      </c>
      <c r="X520" s="37">
        <f t="shared" si="137"/>
        <v>1</v>
      </c>
      <c r="Y520" s="37" t="s">
        <v>72</v>
      </c>
      <c r="Z520" s="37" t="str">
        <f t="shared" si="138"/>
        <v>delayed</v>
      </c>
      <c r="AA520" s="37" t="str">
        <f t="shared" si="139"/>
        <v>Late</v>
      </c>
      <c r="AB520" s="37" t="str">
        <f t="shared" si="142"/>
        <v>1</v>
      </c>
      <c r="AC520" s="37">
        <f t="shared" si="143"/>
        <v>1</v>
      </c>
      <c r="AD520" s="45">
        <f t="shared" si="141"/>
        <v>0.511627906976744</v>
      </c>
      <c r="AE520" s="37">
        <v>2</v>
      </c>
      <c r="AF520" s="37" t="s">
        <v>106</v>
      </c>
      <c r="AG520" s="37" t="str">
        <f t="shared" si="140"/>
        <v>yes</v>
      </c>
      <c r="AH520" s="37" t="str">
        <f t="array" ref="AH520">_xlfn.IFS(LOWER(AG520)="n","no",LOWER(AG520)="y","yes",TRUE,LOWER(AG520))</f>
        <v>yes</v>
      </c>
      <c r="AI520" s="37" t="s">
        <v>4692</v>
      </c>
    </row>
    <row r="521" spans="1:35">
      <c r="A521" s="46" t="s">
        <v>2183</v>
      </c>
      <c r="B521" s="47" t="s">
        <v>4767</v>
      </c>
      <c r="C521" s="39">
        <f t="shared" si="128"/>
        <v>45471</v>
      </c>
      <c r="D521" s="48" t="s">
        <v>340</v>
      </c>
      <c r="E521" s="37" t="str" cm="1">
        <f t="array" ref="E521">_xlfn.IFS(D521="delhi","north",D521="mumbai","west",D521="bengaluru","south",D521="chennai","south",D521="kolkata","east",TRUE,"west")</f>
        <v>north</v>
      </c>
      <c r="F521" s="46" t="s">
        <v>98</v>
      </c>
      <c r="G521" s="37" t="str">
        <f t="shared" si="129"/>
        <v>dtdc</v>
      </c>
      <c r="H521" s="46" t="s">
        <v>99</v>
      </c>
      <c r="I521" s="37" t="str">
        <f t="shared" si="130"/>
        <v>air</v>
      </c>
      <c r="J521" s="46" t="s">
        <v>47</v>
      </c>
      <c r="K521" s="37" t="str">
        <f t="shared" si="131"/>
        <v>electronics</v>
      </c>
      <c r="L521" s="46" t="s">
        <v>334</v>
      </c>
      <c r="M521" s="37" t="str">
        <f t="shared" si="132"/>
        <v>north</v>
      </c>
      <c r="N521" s="46" t="s">
        <v>354</v>
      </c>
      <c r="O521" s="41" t="str">
        <f t="shared" si="133"/>
        <v>Yes</v>
      </c>
      <c r="P521" s="49">
        <v>2.4</v>
      </c>
      <c r="Q521" s="49">
        <v>80</v>
      </c>
      <c r="R521" s="42">
        <f t="shared" si="134"/>
        <v>33.3333333333333</v>
      </c>
      <c r="S521" s="46">
        <v>2</v>
      </c>
      <c r="T521" s="46" t="s">
        <v>585</v>
      </c>
      <c r="U521" s="43" t="str">
        <f t="shared" si="135"/>
        <v>30/06/2024</v>
      </c>
      <c r="V521" s="43">
        <f t="shared" si="136"/>
        <v>45473</v>
      </c>
      <c r="W521" s="44">
        <f t="array" ref="W521">_xlfn.IFS(TRIM(C521)="","",TRIM(V521)="","",TRUE,V521-C521)</f>
        <v>2</v>
      </c>
      <c r="X521" s="37">
        <f t="shared" si="137"/>
        <v>0</v>
      </c>
      <c r="Y521" s="46" t="s">
        <v>117</v>
      </c>
      <c r="Z521" s="37" t="str">
        <f t="shared" si="138"/>
        <v>delivered</v>
      </c>
      <c r="AA521" s="37" t="str">
        <f t="shared" si="139"/>
        <v>On Time</v>
      </c>
      <c r="AB521" s="37" t="str">
        <f t="shared" si="142"/>
        <v>0</v>
      </c>
      <c r="AC521" s="37">
        <f t="shared" si="143"/>
        <v>0</v>
      </c>
      <c r="AD521" s="45">
        <f t="shared" si="141"/>
        <v>0.511173184357542</v>
      </c>
      <c r="AE521" s="46">
        <v>5</v>
      </c>
      <c r="AF521" s="46" t="s">
        <v>152</v>
      </c>
      <c r="AG521" s="37" t="str">
        <f t="shared" si="140"/>
        <v>no</v>
      </c>
      <c r="AH521" s="37" t="str">
        <f t="array" ref="AH521">_xlfn.IFS(LOWER(AG521)="n","no",LOWER(AG521)="y","yes",TRUE,LOWER(AG521))</f>
        <v>no</v>
      </c>
      <c r="AI521" s="46" t="s">
        <v>4692</v>
      </c>
    </row>
    <row r="522" spans="1:35">
      <c r="A522" s="37" t="s">
        <v>2184</v>
      </c>
      <c r="B522" s="38">
        <v>45364</v>
      </c>
      <c r="C522" s="39">
        <f t="shared" si="128"/>
        <v>45364</v>
      </c>
      <c r="D522" s="40" t="s">
        <v>424</v>
      </c>
      <c r="E522" s="37" t="str" cm="1">
        <f t="array" ref="E522">_xlfn.IFS(D522="delhi","north",D522="mumbai","west",D522="bengaluru","south",D522="chennai","south",D522="kolkata","east",TRUE,"west")</f>
        <v>south</v>
      </c>
      <c r="F522" s="37" t="s">
        <v>213</v>
      </c>
      <c r="G522" s="37" t="str">
        <f t="shared" si="129"/>
        <v>dtdc</v>
      </c>
      <c r="H522" s="37" t="s">
        <v>157</v>
      </c>
      <c r="I522" s="37" t="str">
        <f t="shared" si="130"/>
        <v>surface</v>
      </c>
      <c r="J522" s="37" t="s">
        <v>283</v>
      </c>
      <c r="K522" s="37" t="str">
        <f t="shared" si="131"/>
        <v>pharma</v>
      </c>
      <c r="L522" s="37" t="s">
        <v>125</v>
      </c>
      <c r="M522" s="37" t="str">
        <f t="shared" si="132"/>
        <v>east</v>
      </c>
      <c r="N522" s="37" t="s">
        <v>126</v>
      </c>
      <c r="O522" s="41" t="str">
        <f t="shared" si="133"/>
        <v>Yes</v>
      </c>
      <c r="P522" s="41">
        <v>3.2</v>
      </c>
      <c r="Q522" s="41">
        <v>219</v>
      </c>
      <c r="R522" s="42">
        <f t="shared" si="134"/>
        <v>68.4375</v>
      </c>
      <c r="S522" s="37">
        <v>6</v>
      </c>
      <c r="T522" s="37" t="s">
        <v>393</v>
      </c>
      <c r="U522" s="43" t="str">
        <f t="shared" si="135"/>
        <v>18/03/2024</v>
      </c>
      <c r="V522" s="43">
        <f t="shared" si="136"/>
        <v>45369</v>
      </c>
      <c r="W522" s="44">
        <f t="array" ref="W522">_xlfn.IFS(TRIM(C522)="","",TRIM(V522)="","",TRUE,V522-C522)</f>
        <v>5</v>
      </c>
      <c r="X522" s="37">
        <f t="shared" si="137"/>
        <v>-1</v>
      </c>
      <c r="Y522" s="37" t="s">
        <v>105</v>
      </c>
      <c r="Z522" s="37" t="str">
        <f t="shared" si="138"/>
        <v>delivered</v>
      </c>
      <c r="AA522" s="37" t="str">
        <f t="shared" si="139"/>
        <v>On Time</v>
      </c>
      <c r="AB522" s="37" t="str">
        <f t="shared" si="142"/>
        <v>0</v>
      </c>
      <c r="AC522" s="37">
        <f t="shared" si="143"/>
        <v>0</v>
      </c>
      <c r="AD522" s="45">
        <f t="shared" si="141"/>
        <v>0.511649580615098</v>
      </c>
      <c r="AE522" s="37">
        <v>3</v>
      </c>
      <c r="AF522" s="37" t="s">
        <v>286</v>
      </c>
      <c r="AG522" s="37" t="str">
        <f t="shared" si="140"/>
        <v>yes</v>
      </c>
      <c r="AH522" s="37" t="str">
        <f t="array" ref="AH522">_xlfn.IFS(LOWER(AG522)="n","no",LOWER(AG522)="y","yes",TRUE,LOWER(AG522))</f>
        <v>yes</v>
      </c>
      <c r="AI522" s="37" t="s">
        <v>4692</v>
      </c>
    </row>
    <row r="523" spans="1:35">
      <c r="A523" s="46" t="s">
        <v>2186</v>
      </c>
      <c r="B523" s="47">
        <v>45310</v>
      </c>
      <c r="C523" s="39">
        <f t="shared" si="128"/>
        <v>45310</v>
      </c>
      <c r="D523" s="48" t="s">
        <v>109</v>
      </c>
      <c r="E523" s="37" t="str" cm="1">
        <f t="array" ref="E523">_xlfn.IFS(D523="delhi","north",D523="mumbai","west",D523="bengaluru","south",D523="chennai","south",D523="kolkata","east",TRUE,"west")</f>
        <v>west</v>
      </c>
      <c r="F523" s="46" t="s">
        <v>367</v>
      </c>
      <c r="G523" s="37" t="str">
        <f t="shared" si="129"/>
        <v>dtdc</v>
      </c>
      <c r="H523" s="46" t="s">
        <v>110</v>
      </c>
      <c r="I523" s="37" t="str">
        <f t="shared" si="130"/>
        <v>surface</v>
      </c>
      <c r="J523" s="46" t="s">
        <v>425</v>
      </c>
      <c r="K523" s="37" t="str">
        <f t="shared" si="131"/>
        <v>automotiveparts</v>
      </c>
      <c r="L523" s="46" t="s">
        <v>264</v>
      </c>
      <c r="M523" s="37" t="str">
        <f t="shared" si="132"/>
        <v>west</v>
      </c>
      <c r="N523" s="46" t="s">
        <v>88</v>
      </c>
      <c r="O523" s="41" t="str">
        <f t="shared" si="133"/>
        <v>Yes</v>
      </c>
      <c r="P523" s="49" t="s">
        <v>1176</v>
      </c>
      <c r="Q523" s="49" t="s">
        <v>2187</v>
      </c>
      <c r="R523" s="42">
        <f t="shared" si="134"/>
        <v>24.2708333333333</v>
      </c>
      <c r="S523" s="46">
        <v>4</v>
      </c>
      <c r="T523" s="46" t="s">
        <v>685</v>
      </c>
      <c r="U523" s="43" t="str">
        <f t="shared" si="135"/>
        <v>27-jan-2024</v>
      </c>
      <c r="V523" s="43">
        <f t="shared" si="136"/>
        <v>45318</v>
      </c>
      <c r="W523" s="44">
        <f t="array" ref="W523">_xlfn.IFS(TRIM(C523)="","",TRIM(V523)="","",TRUE,V523-C523)</f>
        <v>8</v>
      </c>
      <c r="X523" s="37">
        <f t="shared" si="137"/>
        <v>4</v>
      </c>
      <c r="Y523" s="46" t="s">
        <v>72</v>
      </c>
      <c r="Z523" s="37" t="str">
        <f t="shared" si="138"/>
        <v>delayed</v>
      </c>
      <c r="AA523" s="37" t="str">
        <f t="shared" si="139"/>
        <v>Late</v>
      </c>
      <c r="AB523" s="37" t="str">
        <f t="shared" si="142"/>
        <v>1</v>
      </c>
      <c r="AC523" s="37">
        <f t="shared" si="143"/>
        <v>1</v>
      </c>
      <c r="AD523" s="45">
        <f t="shared" si="141"/>
        <v>0.512126865671642</v>
      </c>
      <c r="AE523" s="46">
        <v>4</v>
      </c>
      <c r="AF523" s="46" t="s">
        <v>152</v>
      </c>
      <c r="AG523" s="37" t="str">
        <f t="shared" si="140"/>
        <v>no</v>
      </c>
      <c r="AH523" s="37" t="str">
        <f t="array" ref="AH523">_xlfn.IFS(LOWER(AG523)="n","no",LOWER(AG523)="y","yes",TRUE,LOWER(AG523))</f>
        <v>no</v>
      </c>
      <c r="AI523" s="46" t="s">
        <v>4692</v>
      </c>
    </row>
    <row r="524" spans="1:35">
      <c r="A524" s="37" t="s">
        <v>2188</v>
      </c>
      <c r="B524" s="38" t="s">
        <v>4745</v>
      </c>
      <c r="C524" s="39">
        <f t="shared" si="128"/>
        <v>45422</v>
      </c>
      <c r="D524" s="40" t="s">
        <v>121</v>
      </c>
      <c r="E524" s="37" t="str" cm="1">
        <f t="array" ref="E524">_xlfn.IFS(D524="delhi","north",D524="mumbai","west",D524="bengaluru","south",D524="chennai","south",D524="kolkata","east",TRUE,"west")</f>
        <v>west</v>
      </c>
      <c r="F524" s="37" t="s">
        <v>204</v>
      </c>
      <c r="G524" s="37" t="str">
        <f t="shared" si="129"/>
        <v>delhivery</v>
      </c>
      <c r="H524" s="37" t="s">
        <v>110</v>
      </c>
      <c r="I524" s="37" t="str">
        <f t="shared" si="130"/>
        <v>surface</v>
      </c>
      <c r="J524" s="37" t="s">
        <v>158</v>
      </c>
      <c r="K524" s="37" t="str">
        <f t="shared" si="131"/>
        <v>pharma</v>
      </c>
      <c r="L524" s="37" t="s">
        <v>101</v>
      </c>
      <c r="M524" s="37" t="str">
        <f t="shared" si="132"/>
        <v>west</v>
      </c>
      <c r="N524" s="37" t="s">
        <v>187</v>
      </c>
      <c r="O524" s="41" t="str">
        <f t="shared" si="133"/>
        <v>Yes</v>
      </c>
      <c r="P524" s="41">
        <v>1.1</v>
      </c>
      <c r="Q524" s="41">
        <v>169</v>
      </c>
      <c r="R524" s="42">
        <f t="shared" si="134"/>
        <v>153.636363636364</v>
      </c>
      <c r="S524" s="37">
        <v>6</v>
      </c>
      <c r="T524" s="37" t="s">
        <v>591</v>
      </c>
      <c r="U524" s="43" t="str">
        <f t="shared" si="135"/>
        <v>17/05/2024</v>
      </c>
      <c r="V524" s="43">
        <f t="shared" si="136"/>
        <v>45429</v>
      </c>
      <c r="W524" s="44">
        <f t="array" ref="W524">_xlfn.IFS(TRIM(C524)="","",TRIM(V524)="","",TRUE,V524-C524)</f>
        <v>7</v>
      </c>
      <c r="X524" s="37">
        <f t="shared" si="137"/>
        <v>1</v>
      </c>
      <c r="Y524" s="37" t="s">
        <v>200</v>
      </c>
      <c r="Z524" s="37" t="str">
        <f t="shared" si="138"/>
        <v>delayed</v>
      </c>
      <c r="AA524" s="37" t="str">
        <f t="shared" si="139"/>
        <v>Late</v>
      </c>
      <c r="AB524" s="37" t="str">
        <f t="shared" si="142"/>
        <v>1</v>
      </c>
      <c r="AC524" s="37">
        <f t="shared" si="143"/>
        <v>1</v>
      </c>
      <c r="AD524" s="45">
        <f t="shared" si="141"/>
        <v>0.511671335200747</v>
      </c>
      <c r="AE524" s="37">
        <v>2</v>
      </c>
      <c r="AF524" s="37" t="s">
        <v>181</v>
      </c>
      <c r="AG524" s="37" t="str">
        <f t="shared" si="140"/>
        <v>y</v>
      </c>
      <c r="AH524" s="37" t="str">
        <f t="array" ref="AH524">_xlfn.IFS(LOWER(AG524)="n","no",LOWER(AG524)="y","yes",TRUE,LOWER(AG524))</f>
        <v>yes</v>
      </c>
      <c r="AI524" s="37" t="s">
        <v>4692</v>
      </c>
    </row>
    <row r="525" spans="1:35">
      <c r="A525" s="46" t="s">
        <v>2190</v>
      </c>
      <c r="B525" s="47">
        <v>45373</v>
      </c>
      <c r="C525" s="39">
        <f t="shared" si="128"/>
        <v>45373</v>
      </c>
      <c r="D525" s="48" t="s">
        <v>633</v>
      </c>
      <c r="E525" s="37" t="str" cm="1">
        <f t="array" ref="E525">_xlfn.IFS(D525="delhi","north",D525="mumbai","west",D525="bengaluru","south",D525="chennai","south",D525="kolkata","east",TRUE,"west")</f>
        <v>south</v>
      </c>
      <c r="F525" s="46" t="s">
        <v>136</v>
      </c>
      <c r="G525" s="37" t="str">
        <f t="shared" si="129"/>
        <v>bluedart</v>
      </c>
      <c r="H525" s="46" t="s">
        <v>110</v>
      </c>
      <c r="I525" s="37" t="str">
        <f t="shared" si="130"/>
        <v>surface</v>
      </c>
      <c r="J525" s="46" t="s">
        <v>1701</v>
      </c>
      <c r="K525" s="37" t="str">
        <f t="shared" si="131"/>
        <v>grocery&amp;fmcg</v>
      </c>
      <c r="L525" s="46" t="s">
        <v>302</v>
      </c>
      <c r="M525" s="37" t="str">
        <f t="shared" si="132"/>
        <v>east</v>
      </c>
      <c r="N525" s="46" t="s">
        <v>294</v>
      </c>
      <c r="O525" s="41" t="str">
        <f t="shared" si="133"/>
        <v>Yes</v>
      </c>
      <c r="P525" s="49" t="s">
        <v>2191</v>
      </c>
      <c r="Q525" s="49" t="s">
        <v>2192</v>
      </c>
      <c r="R525" s="42">
        <f t="shared" si="134"/>
        <v>37.7868852459016</v>
      </c>
      <c r="S525" s="46">
        <v>6</v>
      </c>
      <c r="T525" s="46" t="s">
        <v>1100</v>
      </c>
      <c r="U525" s="43" t="str">
        <f t="shared" si="135"/>
        <v>29-mar-2024</v>
      </c>
      <c r="V525" s="43">
        <f t="shared" si="136"/>
        <v>45380</v>
      </c>
      <c r="W525" s="44">
        <f t="array" ref="W525">_xlfn.IFS(TRIM(C525)="","",TRIM(V525)="","",TRUE,V525-C525)</f>
        <v>7</v>
      </c>
      <c r="X525" s="37">
        <f t="shared" si="137"/>
        <v>1</v>
      </c>
      <c r="Y525" s="46" t="s">
        <v>143</v>
      </c>
      <c r="Z525" s="37" t="str">
        <f t="shared" si="138"/>
        <v>delayed</v>
      </c>
      <c r="AA525" s="37" t="str">
        <f t="shared" si="139"/>
        <v>Late</v>
      </c>
      <c r="AB525" s="37" t="str">
        <f t="shared" si="142"/>
        <v>1</v>
      </c>
      <c r="AC525" s="37">
        <f t="shared" si="143"/>
        <v>1</v>
      </c>
      <c r="AD525" s="45">
        <f t="shared" si="141"/>
        <v>0.511214953271028</v>
      </c>
      <c r="AE525" s="46">
        <v>2</v>
      </c>
      <c r="AF525" s="46" t="s">
        <v>286</v>
      </c>
      <c r="AG525" s="37" t="str">
        <f t="shared" si="140"/>
        <v>yes</v>
      </c>
      <c r="AH525" s="37" t="str">
        <f t="array" ref="AH525">_xlfn.IFS(LOWER(AG525)="n","no",LOWER(AG525)="y","yes",TRUE,LOWER(AG525))</f>
        <v>yes</v>
      </c>
      <c r="AI525" s="46" t="s">
        <v>4692</v>
      </c>
    </row>
    <row r="526" spans="1:35">
      <c r="A526" s="37" t="s">
        <v>2193</v>
      </c>
      <c r="B526" s="38">
        <v>45389</v>
      </c>
      <c r="C526" s="39">
        <f t="shared" si="128"/>
        <v>45389</v>
      </c>
      <c r="D526" s="40" t="s">
        <v>109</v>
      </c>
      <c r="E526" s="37" t="str" cm="1">
        <f t="array" ref="E526">_xlfn.IFS(D526="delhi","north",D526="mumbai","west",D526="bengaluru","south",D526="chennai","south",D526="kolkata","east",TRUE,"west")</f>
        <v>west</v>
      </c>
      <c r="F526" s="37" t="s">
        <v>156</v>
      </c>
      <c r="G526" s="37" t="str">
        <f t="shared" si="129"/>
        <v>xpressbees</v>
      </c>
      <c r="H526" s="37" t="s">
        <v>195</v>
      </c>
      <c r="I526" s="37" t="str">
        <f t="shared" si="130"/>
        <v>road</v>
      </c>
      <c r="J526" s="37" t="s">
        <v>186</v>
      </c>
      <c r="K526" s="37" t="str">
        <f t="shared" si="131"/>
        <v>automotiveparts</v>
      </c>
      <c r="L526" s="37" t="s">
        <v>168</v>
      </c>
      <c r="M526" s="37" t="str">
        <f t="shared" si="132"/>
        <v>west</v>
      </c>
      <c r="N526" s="37" t="s">
        <v>206</v>
      </c>
      <c r="O526" s="41" t="str">
        <f t="shared" si="133"/>
        <v>Yes</v>
      </c>
      <c r="P526" s="41">
        <v>32.9</v>
      </c>
      <c r="Q526" s="41">
        <v>454</v>
      </c>
      <c r="R526" s="42">
        <f t="shared" si="134"/>
        <v>13.7993920972644</v>
      </c>
      <c r="S526" s="37">
        <v>6</v>
      </c>
      <c r="T526" s="37" t="s">
        <v>1269</v>
      </c>
      <c r="U526" s="43" t="str">
        <f t="shared" si="135"/>
        <v>12/04/2024</v>
      </c>
      <c r="V526" s="43">
        <f t="shared" si="136"/>
        <v>45394</v>
      </c>
      <c r="W526" s="44">
        <f t="array" ref="W526">_xlfn.IFS(TRIM(C526)="","",TRIM(V526)="","",TRUE,V526-C526)</f>
        <v>5</v>
      </c>
      <c r="X526" s="37">
        <f t="shared" si="137"/>
        <v>-1</v>
      </c>
      <c r="Y526" s="37" t="s">
        <v>219</v>
      </c>
      <c r="Z526" s="37" t="str">
        <f t="shared" si="138"/>
        <v>delivered</v>
      </c>
      <c r="AA526" s="37" t="str">
        <f t="shared" si="139"/>
        <v>On Time</v>
      </c>
      <c r="AB526" s="37" t="str">
        <f t="shared" si="142"/>
        <v>0</v>
      </c>
      <c r="AC526" s="37">
        <f t="shared" si="143"/>
        <v>0</v>
      </c>
      <c r="AD526" s="45">
        <f t="shared" si="141"/>
        <v>0.510757717492984</v>
      </c>
      <c r="AE526" s="37">
        <v>5</v>
      </c>
      <c r="AF526" s="37" t="s">
        <v>191</v>
      </c>
      <c r="AG526" s="37" t="str">
        <f t="shared" si="140"/>
        <v>no</v>
      </c>
      <c r="AH526" s="37" t="str">
        <f t="array" ref="AH526">_xlfn.IFS(LOWER(AG526)="n","no",LOWER(AG526)="y","yes",TRUE,LOWER(AG526))</f>
        <v>no</v>
      </c>
      <c r="AI526" s="37" t="s">
        <v>4692</v>
      </c>
    </row>
    <row r="527" spans="1:35">
      <c r="A527" s="46" t="s">
        <v>2195</v>
      </c>
      <c r="B527" s="47">
        <v>45355</v>
      </c>
      <c r="C527" s="39">
        <f t="shared" si="128"/>
        <v>45355</v>
      </c>
      <c r="D527" s="48" t="s">
        <v>340</v>
      </c>
      <c r="E527" s="37" t="str" cm="1">
        <f t="array" ref="E527">_xlfn.IFS(D527="delhi","north",D527="mumbai","west",D527="bengaluru","south",D527="chennai","south",D527="kolkata","east",TRUE,"west")</f>
        <v>north</v>
      </c>
      <c r="F527" s="46" t="s">
        <v>919</v>
      </c>
      <c r="G527" s="37" t="str">
        <f t="shared" si="129"/>
        <v>xpressbees</v>
      </c>
      <c r="H527" s="46" t="s">
        <v>99</v>
      </c>
      <c r="I527" s="37" t="str">
        <f t="shared" si="130"/>
        <v>air</v>
      </c>
      <c r="J527" s="46" t="s">
        <v>263</v>
      </c>
      <c r="K527" s="37" t="str">
        <f t="shared" si="131"/>
        <v>apparel</v>
      </c>
      <c r="L527" s="46" t="s">
        <v>87</v>
      </c>
      <c r="M527" s="37" t="str">
        <f t="shared" si="132"/>
        <v>north</v>
      </c>
      <c r="N527" s="46" t="s">
        <v>32</v>
      </c>
      <c r="O527" s="41" t="str">
        <f t="shared" si="133"/>
        <v>Yes</v>
      </c>
      <c r="P527" s="49" t="s">
        <v>1090</v>
      </c>
      <c r="Q527" s="49">
        <v>166</v>
      </c>
      <c r="R527" s="42">
        <f t="shared" si="134"/>
        <v>38.6046511627907</v>
      </c>
      <c r="S527" s="46">
        <v>2</v>
      </c>
      <c r="T527" s="46" t="s">
        <v>363</v>
      </c>
      <c r="U527" s="43" t="str">
        <f t="shared" si="135"/>
        <v>07/03/2024</v>
      </c>
      <c r="V527" s="43">
        <f t="shared" si="136"/>
        <v>45358</v>
      </c>
      <c r="W527" s="44">
        <f t="array" ref="W527">_xlfn.IFS(TRIM(C527)="","",TRIM(V527)="","",TRUE,V527-C527)</f>
        <v>3</v>
      </c>
      <c r="X527" s="37">
        <f t="shared" si="137"/>
        <v>1</v>
      </c>
      <c r="Y527" s="46" t="s">
        <v>200</v>
      </c>
      <c r="Z527" s="37" t="str">
        <f t="shared" si="138"/>
        <v>delayed</v>
      </c>
      <c r="AA527" s="37" t="str">
        <f t="shared" si="139"/>
        <v>Late</v>
      </c>
      <c r="AB527" s="37" t="str">
        <f t="shared" si="142"/>
        <v>1</v>
      </c>
      <c r="AC527" s="37">
        <f t="shared" si="143"/>
        <v>1</v>
      </c>
      <c r="AD527" s="45">
        <f t="shared" si="141"/>
        <v>0.51123595505618</v>
      </c>
      <c r="AE527" s="46">
        <v>3</v>
      </c>
      <c r="AF527" s="46" t="s">
        <v>191</v>
      </c>
      <c r="AG527" s="37" t="str">
        <f t="shared" si="140"/>
        <v>no</v>
      </c>
      <c r="AH527" s="37" t="str">
        <f t="array" ref="AH527">_xlfn.IFS(LOWER(AG527)="n","no",LOWER(AG527)="y","yes",TRUE,LOWER(AG527))</f>
        <v>no</v>
      </c>
      <c r="AI527" s="46" t="s">
        <v>4692</v>
      </c>
    </row>
    <row r="528" spans="1:35">
      <c r="A528" s="37" t="s">
        <v>2196</v>
      </c>
      <c r="B528" s="38" t="s">
        <v>4774</v>
      </c>
      <c r="C528" s="39">
        <f t="shared" si="128"/>
        <v>45367</v>
      </c>
      <c r="D528" s="40" t="s">
        <v>366</v>
      </c>
      <c r="E528" s="37" t="str" cm="1">
        <f t="array" ref="E528">_xlfn.IFS(D528="delhi","north",D528="mumbai","west",D528="bengaluru","south",D528="chennai","south",D528="kolkata","east",TRUE,"west")</f>
        <v>east</v>
      </c>
      <c r="F528" s="37" t="s">
        <v>98</v>
      </c>
      <c r="G528" s="37" t="str">
        <f t="shared" si="129"/>
        <v>dtdc</v>
      </c>
      <c r="H528" s="37" t="s">
        <v>440</v>
      </c>
      <c r="I528" s="37" t="str">
        <f t="shared" si="130"/>
        <v>road</v>
      </c>
      <c r="J528" s="37" t="s">
        <v>326</v>
      </c>
      <c r="K528" s="37" t="str">
        <f t="shared" si="131"/>
        <v>apparel</v>
      </c>
      <c r="L528" s="37" t="s">
        <v>257</v>
      </c>
      <c r="M528" s="37" t="str">
        <f t="shared" si="132"/>
        <v>west</v>
      </c>
      <c r="N528" s="37" t="s">
        <v>278</v>
      </c>
      <c r="O528" s="41" t="str">
        <f t="shared" si="133"/>
        <v>Yes</v>
      </c>
      <c r="P528" s="41">
        <v>6.4</v>
      </c>
      <c r="Q528" s="41">
        <v>279</v>
      </c>
      <c r="R528" s="42">
        <f t="shared" si="134"/>
        <v>43.59375</v>
      </c>
      <c r="S528" s="37">
        <v>8</v>
      </c>
      <c r="T528" s="37" t="s">
        <v>1261</v>
      </c>
      <c r="U528" s="43" t="str">
        <f t="shared" si="135"/>
        <v>25/03/2024</v>
      </c>
      <c r="V528" s="43">
        <f t="shared" si="136"/>
        <v>45376</v>
      </c>
      <c r="W528" s="44">
        <f t="array" ref="W528">_xlfn.IFS(TRIM(C528)="","",TRIM(V528)="","",TRUE,V528-C528)</f>
        <v>9</v>
      </c>
      <c r="X528" s="37">
        <f t="shared" si="137"/>
        <v>1</v>
      </c>
      <c r="Y528" s="37" t="s">
        <v>2041</v>
      </c>
      <c r="Z528" s="37" t="str">
        <f t="shared" si="138"/>
        <v>returned</v>
      </c>
      <c r="AA528" s="37" t="str">
        <f t="shared" si="139"/>
        <v>Late</v>
      </c>
      <c r="AB528" s="37" t="str">
        <f t="shared" si="142"/>
        <v>1</v>
      </c>
      <c r="AC528" s="37">
        <f t="shared" si="143"/>
        <v>1</v>
      </c>
      <c r="AD528" s="45">
        <f t="shared" si="141"/>
        <v>0.510777881911903</v>
      </c>
      <c r="AE528" s="37"/>
      <c r="AF528" s="37" t="s">
        <v>131</v>
      </c>
      <c r="AG528" s="37" t="str">
        <f t="shared" si="140"/>
        <v>n</v>
      </c>
      <c r="AH528" s="37" t="str">
        <f t="array" ref="AH528">_xlfn.IFS(LOWER(AG528)="n","no",LOWER(AG528)="y","yes",TRUE,LOWER(AG528))</f>
        <v>no</v>
      </c>
      <c r="AI528" s="37" t="s">
        <v>1478</v>
      </c>
    </row>
    <row r="529" spans="1:35">
      <c r="A529" s="46" t="s">
        <v>2198</v>
      </c>
      <c r="B529" s="47">
        <v>45314</v>
      </c>
      <c r="C529" s="39">
        <f t="shared" si="128"/>
        <v>45314</v>
      </c>
      <c r="D529" s="48" t="s">
        <v>109</v>
      </c>
      <c r="E529" s="37" t="str" cm="1">
        <f t="array" ref="E529">_xlfn.IFS(D529="delhi","north",D529="mumbai","west",D529="bengaluru","south",D529="chennai","south",D529="kolkata","east",TRUE,"west")</f>
        <v>west</v>
      </c>
      <c r="F529" s="46" t="s">
        <v>156</v>
      </c>
      <c r="G529" s="37" t="str">
        <f t="shared" si="129"/>
        <v>xpressbees</v>
      </c>
      <c r="H529" s="46" t="s">
        <v>176</v>
      </c>
      <c r="I529" s="37" t="str">
        <f t="shared" si="130"/>
        <v>road</v>
      </c>
      <c r="J529" s="46" t="s">
        <v>319</v>
      </c>
      <c r="K529" s="37" t="str">
        <f t="shared" si="131"/>
        <v>electronics</v>
      </c>
      <c r="L529" s="46" t="s">
        <v>418</v>
      </c>
      <c r="M529" s="37" t="str">
        <f t="shared" si="132"/>
        <v>south</v>
      </c>
      <c r="N529" s="46" t="s">
        <v>93</v>
      </c>
      <c r="O529" s="41" t="str">
        <f t="shared" si="133"/>
        <v>Yes</v>
      </c>
      <c r="P529" s="49">
        <v>14</v>
      </c>
      <c r="Q529" s="49">
        <v>355</v>
      </c>
      <c r="R529" s="42">
        <f t="shared" si="134"/>
        <v>25.3571428571429</v>
      </c>
      <c r="S529" s="46">
        <v>8</v>
      </c>
      <c r="T529" s="46" t="s">
        <v>318</v>
      </c>
      <c r="U529" s="43" t="str">
        <f t="shared" si="135"/>
        <v>01-feb-2024</v>
      </c>
      <c r="V529" s="43">
        <f t="shared" si="136"/>
        <v>45323</v>
      </c>
      <c r="W529" s="44">
        <f t="array" ref="W529">_xlfn.IFS(TRIM(C529)="","",TRIM(V529)="","",TRUE,V529-C529)</f>
        <v>9</v>
      </c>
      <c r="X529" s="37">
        <f t="shared" si="137"/>
        <v>1</v>
      </c>
      <c r="Y529" s="46" t="s">
        <v>72</v>
      </c>
      <c r="Z529" s="37" t="str">
        <f t="shared" si="138"/>
        <v>delayed</v>
      </c>
      <c r="AA529" s="37" t="str">
        <f t="shared" si="139"/>
        <v>Late</v>
      </c>
      <c r="AB529" s="37" t="str">
        <f t="shared" si="142"/>
        <v>1</v>
      </c>
      <c r="AC529" s="37">
        <f t="shared" si="143"/>
        <v>1</v>
      </c>
      <c r="AD529" s="45">
        <f t="shared" si="141"/>
        <v>0.51031894934334</v>
      </c>
      <c r="AE529" s="46">
        <v>5</v>
      </c>
      <c r="AF529" s="46" t="s">
        <v>191</v>
      </c>
      <c r="AG529" s="37" t="str">
        <f t="shared" si="140"/>
        <v>no</v>
      </c>
      <c r="AH529" s="37" t="str">
        <f t="array" ref="AH529">_xlfn.IFS(LOWER(AG529)="n","no",LOWER(AG529)="y","yes",TRUE,LOWER(AG529))</f>
        <v>no</v>
      </c>
      <c r="AI529" s="46" t="s">
        <v>4692</v>
      </c>
    </row>
    <row r="530" spans="1:35">
      <c r="A530" s="37" t="s">
        <v>2201</v>
      </c>
      <c r="B530" s="38" t="s">
        <v>4770</v>
      </c>
      <c r="C530" s="39">
        <f t="shared" si="128"/>
        <v>45426</v>
      </c>
      <c r="D530" s="40" t="s">
        <v>109</v>
      </c>
      <c r="E530" s="37" t="str" cm="1">
        <f t="array" ref="E530">_xlfn.IFS(D530="delhi","north",D530="mumbai","west",D530="bengaluru","south",D530="chennai","south",D530="kolkata","east",TRUE,"west")</f>
        <v>west</v>
      </c>
      <c r="F530" s="37" t="s">
        <v>136</v>
      </c>
      <c r="G530" s="37" t="str">
        <f t="shared" si="129"/>
        <v>bluedart</v>
      </c>
      <c r="H530" s="37" t="s">
        <v>185</v>
      </c>
      <c r="I530" s="37" t="str">
        <f t="shared" si="130"/>
        <v>surface</v>
      </c>
      <c r="J530" s="37" t="s">
        <v>301</v>
      </c>
      <c r="K530" s="37" t="str">
        <f t="shared" si="131"/>
        <v>furniture</v>
      </c>
      <c r="L530" s="37" t="s">
        <v>51</v>
      </c>
      <c r="M530" s="37" t="str">
        <f t="shared" si="132"/>
        <v>south</v>
      </c>
      <c r="N530" s="37" t="s">
        <v>93</v>
      </c>
      <c r="O530" s="41" t="str">
        <f t="shared" si="133"/>
        <v>Yes</v>
      </c>
      <c r="P530" s="41" t="s">
        <v>2202</v>
      </c>
      <c r="Q530" s="41">
        <v>1391</v>
      </c>
      <c r="R530" s="42">
        <f t="shared" si="134"/>
        <v>24.2757417102967</v>
      </c>
      <c r="S530" s="37">
        <v>6</v>
      </c>
      <c r="T530" s="37" t="s">
        <v>1729</v>
      </c>
      <c r="U530" s="43" t="str">
        <f t="shared" si="135"/>
        <v>2024-05-19</v>
      </c>
      <c r="V530" s="43">
        <f t="shared" si="136"/>
        <v>45431</v>
      </c>
      <c r="W530" s="44">
        <f t="array" ref="W530">_xlfn.IFS(TRIM(C530)="","",TRIM(V530)="","",TRUE,V530-C530)</f>
        <v>5</v>
      </c>
      <c r="X530" s="37">
        <f t="shared" si="137"/>
        <v>-1</v>
      </c>
      <c r="Y530" s="37" t="s">
        <v>163</v>
      </c>
      <c r="Z530" s="37" t="str">
        <f t="shared" si="138"/>
        <v>delivered</v>
      </c>
      <c r="AA530" s="37" t="str">
        <f t="shared" si="139"/>
        <v>On Time</v>
      </c>
      <c r="AB530" s="37" t="str">
        <f t="shared" si="142"/>
        <v>0</v>
      </c>
      <c r="AC530" s="37">
        <f t="shared" si="143"/>
        <v>0</v>
      </c>
      <c r="AD530" s="45">
        <f t="shared" si="141"/>
        <v>0.509859154929577</v>
      </c>
      <c r="AE530" s="37">
        <v>1</v>
      </c>
      <c r="AF530" s="37" t="s">
        <v>181</v>
      </c>
      <c r="AG530" s="37" t="str">
        <f t="shared" si="140"/>
        <v>y</v>
      </c>
      <c r="AH530" s="37" t="str">
        <f t="array" ref="AH530">_xlfn.IFS(LOWER(AG530)="n","no",LOWER(AG530)="y","yes",TRUE,LOWER(AG530))</f>
        <v>yes</v>
      </c>
      <c r="AI530" s="37" t="s">
        <v>4692</v>
      </c>
    </row>
    <row r="531" spans="1:35">
      <c r="A531" s="46" t="s">
        <v>2204</v>
      </c>
      <c r="B531" s="47" t="s">
        <v>4734</v>
      </c>
      <c r="C531" s="39">
        <f t="shared" si="128"/>
        <v>45454</v>
      </c>
      <c r="D531" s="48" t="s">
        <v>212</v>
      </c>
      <c r="E531" s="37" t="str" cm="1">
        <f t="array" ref="E531">_xlfn.IFS(D531="delhi","north",D531="mumbai","west",D531="bengaluru","south",D531="chennai","south",D531="kolkata","east",TRUE,"west")</f>
        <v>west</v>
      </c>
      <c r="F531" s="46" t="s">
        <v>156</v>
      </c>
      <c r="G531" s="37" t="str">
        <f t="shared" si="129"/>
        <v>xpressbees</v>
      </c>
      <c r="H531" s="46" t="s">
        <v>440</v>
      </c>
      <c r="I531" s="37" t="str">
        <f t="shared" si="130"/>
        <v>road</v>
      </c>
      <c r="J531" s="46" t="s">
        <v>277</v>
      </c>
      <c r="K531" s="37" t="str">
        <f t="shared" si="131"/>
        <v>apparel</v>
      </c>
      <c r="L531" s="46" t="s">
        <v>264</v>
      </c>
      <c r="M531" s="37" t="str">
        <f t="shared" si="132"/>
        <v>west</v>
      </c>
      <c r="N531" s="46" t="s">
        <v>206</v>
      </c>
      <c r="O531" s="41" t="str">
        <f t="shared" si="133"/>
        <v>Yes</v>
      </c>
      <c r="P531" s="49">
        <v>4.9</v>
      </c>
      <c r="Q531" s="49">
        <v>80</v>
      </c>
      <c r="R531" s="42">
        <f t="shared" si="134"/>
        <v>16.3265306122449</v>
      </c>
      <c r="S531" s="46">
        <v>6</v>
      </c>
      <c r="T531" s="46" t="s">
        <v>574</v>
      </c>
      <c r="U531" s="43" t="str">
        <f t="shared" si="135"/>
        <v>26-jun-2024</v>
      </c>
      <c r="V531" s="43">
        <f t="shared" si="136"/>
        <v>45469</v>
      </c>
      <c r="W531" s="44">
        <f t="array" ref="W531">_xlfn.IFS(TRIM(C531)="","",TRIM(V531)="","",TRUE,V531-C531)</f>
        <v>15</v>
      </c>
      <c r="X531" s="37">
        <f t="shared" si="137"/>
        <v>9</v>
      </c>
      <c r="Y531" s="46" t="s">
        <v>172</v>
      </c>
      <c r="Z531" s="37" t="str">
        <f t="shared" si="138"/>
        <v>delayed</v>
      </c>
      <c r="AA531" s="37" t="str">
        <f t="shared" si="139"/>
        <v>Late</v>
      </c>
      <c r="AB531" s="37" t="str">
        <f t="shared" si="142"/>
        <v>1</v>
      </c>
      <c r="AC531" s="37">
        <f t="shared" si="143"/>
        <v>1</v>
      </c>
      <c r="AD531" s="45">
        <f t="shared" si="141"/>
        <v>0.510338345864662</v>
      </c>
      <c r="AE531" s="46">
        <v>1</v>
      </c>
      <c r="AF531" s="46" t="s">
        <v>118</v>
      </c>
      <c r="AG531" s="37" t="str">
        <f t="shared" si="140"/>
        <v>no</v>
      </c>
      <c r="AH531" s="37" t="str">
        <f t="array" ref="AH531">_xlfn.IFS(LOWER(AG531)="n","no",LOWER(AG531)="y","yes",TRUE,LOWER(AG531))</f>
        <v>no</v>
      </c>
      <c r="AI531" s="46" t="s">
        <v>4692</v>
      </c>
    </row>
    <row r="532" spans="1:35">
      <c r="A532" s="37" t="s">
        <v>2205</v>
      </c>
      <c r="B532" s="38" t="s">
        <v>4793</v>
      </c>
      <c r="C532" s="39">
        <f t="shared" si="128"/>
        <v>45427</v>
      </c>
      <c r="D532" s="40" t="s">
        <v>212</v>
      </c>
      <c r="E532" s="37" t="str" cm="1">
        <f t="array" ref="E532">_xlfn.IFS(D532="delhi","north",D532="mumbai","west",D532="bengaluru","south",D532="chennai","south",D532="kolkata","east",TRUE,"west")</f>
        <v>west</v>
      </c>
      <c r="F532" s="37" t="s">
        <v>204</v>
      </c>
      <c r="G532" s="37" t="str">
        <f t="shared" si="129"/>
        <v>delhivery</v>
      </c>
      <c r="H532" s="37" t="s">
        <v>224</v>
      </c>
      <c r="I532" s="37" t="str">
        <f t="shared" si="130"/>
        <v>air</v>
      </c>
      <c r="J532" s="37" t="s">
        <v>205</v>
      </c>
      <c r="K532" s="37" t="str">
        <f t="shared" si="131"/>
        <v>furniture</v>
      </c>
      <c r="L532" s="37" t="s">
        <v>257</v>
      </c>
      <c r="M532" s="37" t="str">
        <f t="shared" si="132"/>
        <v>west</v>
      </c>
      <c r="N532" s="37" t="s">
        <v>278</v>
      </c>
      <c r="O532" s="41" t="str">
        <f t="shared" si="133"/>
        <v>Yes</v>
      </c>
      <c r="P532" s="41">
        <v>44.7</v>
      </c>
      <c r="Q532" s="41" t="s">
        <v>2208</v>
      </c>
      <c r="R532" s="42">
        <f t="shared" si="134"/>
        <v>45.5257270693512</v>
      </c>
      <c r="S532" s="37">
        <v>2</v>
      </c>
      <c r="T532" s="37" t="s">
        <v>750</v>
      </c>
      <c r="U532" s="43" t="str">
        <f t="shared" si="135"/>
        <v>18-may-2024</v>
      </c>
      <c r="V532" s="43">
        <f t="shared" si="136"/>
        <v>45430</v>
      </c>
      <c r="W532" s="44">
        <f t="array" ref="W532">_xlfn.IFS(TRIM(C532)="","",TRIM(V532)="","",TRUE,V532-C532)</f>
        <v>3</v>
      </c>
      <c r="X532" s="37">
        <f t="shared" si="137"/>
        <v>1</v>
      </c>
      <c r="Y532" s="37" t="s">
        <v>337</v>
      </c>
      <c r="Z532" s="37" t="str">
        <f t="shared" si="138"/>
        <v>damaged</v>
      </c>
      <c r="AA532" s="37" t="str">
        <f t="shared" si="139"/>
        <v>Late</v>
      </c>
      <c r="AB532" s="37" t="str">
        <f t="shared" si="142"/>
        <v>1</v>
      </c>
      <c r="AC532" s="37">
        <f t="shared" si="143"/>
        <v>1</v>
      </c>
      <c r="AD532" s="45">
        <f t="shared" si="141"/>
        <v>0.509877704609595</v>
      </c>
      <c r="AE532" s="37"/>
      <c r="AF532" s="37" t="s">
        <v>181</v>
      </c>
      <c r="AG532" s="37" t="str">
        <f t="shared" si="140"/>
        <v>y</v>
      </c>
      <c r="AH532" s="37" t="str">
        <f t="array" ref="AH532">_xlfn.IFS(LOWER(AG532)="n","no",LOWER(AG532)="y","yes",TRUE,LOWER(AG532))</f>
        <v>yes</v>
      </c>
      <c r="AI532" s="37" t="s">
        <v>132</v>
      </c>
    </row>
    <row r="533" spans="1:35">
      <c r="A533" s="46" t="s">
        <v>2209</v>
      </c>
      <c r="B533" s="47">
        <v>45375</v>
      </c>
      <c r="C533" s="39">
        <f t="shared" si="128"/>
        <v>45375</v>
      </c>
      <c r="D533" s="48" t="s">
        <v>109</v>
      </c>
      <c r="E533" s="37" t="str" cm="1">
        <f t="array" ref="E533">_xlfn.IFS(D533="delhi","north",D533="mumbai","west",D533="bengaluru","south",D533="chennai","south",D533="kolkata","east",TRUE,"west")</f>
        <v>west</v>
      </c>
      <c r="F533" s="46" t="s">
        <v>223</v>
      </c>
      <c r="G533" s="37" t="str">
        <f t="shared" si="129"/>
        <v>xpressbees</v>
      </c>
      <c r="H533" s="46" t="s">
        <v>110</v>
      </c>
      <c r="I533" s="37" t="str">
        <f t="shared" si="130"/>
        <v>surface</v>
      </c>
      <c r="J533" s="46" t="s">
        <v>138</v>
      </c>
      <c r="K533" s="37" t="str">
        <f t="shared" si="131"/>
        <v>apparel</v>
      </c>
      <c r="L533" s="46" t="s">
        <v>257</v>
      </c>
      <c r="M533" s="37" t="str">
        <f t="shared" si="132"/>
        <v>west</v>
      </c>
      <c r="N533" s="46" t="s">
        <v>206</v>
      </c>
      <c r="O533" s="41" t="str">
        <f t="shared" si="133"/>
        <v>Yes</v>
      </c>
      <c r="P533" s="49">
        <v>7.6</v>
      </c>
      <c r="Q533" s="49">
        <v>139</v>
      </c>
      <c r="R533" s="42">
        <f t="shared" si="134"/>
        <v>18.2894736842105</v>
      </c>
      <c r="S533" s="46">
        <v>4</v>
      </c>
      <c r="T533" s="46" t="s">
        <v>867</v>
      </c>
      <c r="U533" s="43" t="str">
        <f t="shared" si="135"/>
        <v>27/03/2024</v>
      </c>
      <c r="V533" s="43">
        <f t="shared" si="136"/>
        <v>45378</v>
      </c>
      <c r="W533" s="44">
        <f t="array" ref="W533">_xlfn.IFS(TRIM(C533)="","",TRIM(V533)="","",TRUE,V533-C533)</f>
        <v>3</v>
      </c>
      <c r="X533" s="37">
        <f t="shared" si="137"/>
        <v>-1</v>
      </c>
      <c r="Y533" s="46" t="s">
        <v>219</v>
      </c>
      <c r="Z533" s="37" t="str">
        <f t="shared" si="138"/>
        <v>delivered</v>
      </c>
      <c r="AA533" s="37" t="str">
        <f t="shared" si="139"/>
        <v>On Time</v>
      </c>
      <c r="AB533" s="37" t="str">
        <f t="shared" si="142"/>
        <v>0</v>
      </c>
      <c r="AC533" s="37">
        <f t="shared" si="143"/>
        <v>0</v>
      </c>
      <c r="AD533" s="45">
        <f t="shared" si="141"/>
        <v>0.509416195856874</v>
      </c>
      <c r="AE533" s="46">
        <v>3</v>
      </c>
      <c r="AF533" s="46" t="s">
        <v>191</v>
      </c>
      <c r="AG533" s="37" t="str">
        <f t="shared" si="140"/>
        <v>no</v>
      </c>
      <c r="AH533" s="37" t="str">
        <f t="array" ref="AH533">_xlfn.IFS(LOWER(AG533)="n","no",LOWER(AG533)="y","yes",TRUE,LOWER(AG533))</f>
        <v>no</v>
      </c>
      <c r="AI533" s="46" t="s">
        <v>4692</v>
      </c>
    </row>
    <row r="534" spans="1:35">
      <c r="A534" s="37" t="s">
        <v>2211</v>
      </c>
      <c r="B534" s="38">
        <v>45373</v>
      </c>
      <c r="C534" s="39">
        <f t="shared" si="128"/>
        <v>45373</v>
      </c>
      <c r="D534" s="40" t="s">
        <v>4712</v>
      </c>
      <c r="E534" s="37" t="str" cm="1">
        <f t="array" ref="E534">_xlfn.IFS(D534="delhi","north",D534="mumbai","west",D534="bengaluru","south",D534="chennai","south",D534="kolkata","east",TRUE,"west")</f>
        <v>west</v>
      </c>
      <c r="F534" s="37" t="s">
        <v>122</v>
      </c>
      <c r="G534" s="37" t="str">
        <f t="shared" si="129"/>
        <v>delhivery</v>
      </c>
      <c r="H534" s="37" t="s">
        <v>345</v>
      </c>
      <c r="I534" s="37" t="str">
        <f t="shared" si="130"/>
        <v>surface</v>
      </c>
      <c r="J534" s="37" t="s">
        <v>231</v>
      </c>
      <c r="K534" s="37" t="str">
        <f t="shared" si="131"/>
        <v>furniture</v>
      </c>
      <c r="L534" s="37" t="s">
        <v>101</v>
      </c>
      <c r="M534" s="37" t="str">
        <f t="shared" si="132"/>
        <v>west</v>
      </c>
      <c r="N534" s="37" t="s">
        <v>206</v>
      </c>
      <c r="O534" s="41" t="str">
        <f t="shared" si="133"/>
        <v>Yes</v>
      </c>
      <c r="P534" s="41" t="s">
        <v>2212</v>
      </c>
      <c r="Q534" s="41">
        <v>792</v>
      </c>
      <c r="R534" s="42">
        <f t="shared" si="134"/>
        <v>26.0526315789474</v>
      </c>
      <c r="S534" s="37">
        <v>6</v>
      </c>
      <c r="T534" s="37" t="s">
        <v>2214</v>
      </c>
      <c r="U534" s="43" t="str">
        <f t="shared" si="135"/>
        <v>29/03/2024</v>
      </c>
      <c r="V534" s="43">
        <f t="shared" si="136"/>
        <v>45380</v>
      </c>
      <c r="W534" s="44">
        <f t="array" ref="W534">_xlfn.IFS(TRIM(C534)="","",TRIM(V534)="","",TRUE,V534-C534)</f>
        <v>7</v>
      </c>
      <c r="X534" s="37">
        <f t="shared" si="137"/>
        <v>1</v>
      </c>
      <c r="Y534" s="37" t="s">
        <v>72</v>
      </c>
      <c r="Z534" s="37" t="str">
        <f t="shared" si="138"/>
        <v>delayed</v>
      </c>
      <c r="AA534" s="37" t="str">
        <f t="shared" si="139"/>
        <v>Late</v>
      </c>
      <c r="AB534" s="37" t="str">
        <f t="shared" si="142"/>
        <v>1</v>
      </c>
      <c r="AC534" s="37">
        <f t="shared" si="143"/>
        <v>1</v>
      </c>
      <c r="AD534" s="45">
        <f t="shared" si="141"/>
        <v>0.509896324222432</v>
      </c>
      <c r="AE534" s="37">
        <v>5</v>
      </c>
      <c r="AF534" s="37" t="s">
        <v>106</v>
      </c>
      <c r="AG534" s="37" t="str">
        <f t="shared" si="140"/>
        <v>yes</v>
      </c>
      <c r="AH534" s="37" t="str">
        <f t="array" ref="AH534">_xlfn.IFS(LOWER(AG534)="n","no",LOWER(AG534)="y","yes",TRUE,LOWER(AG534))</f>
        <v>yes</v>
      </c>
      <c r="AI534" s="37" t="s">
        <v>4692</v>
      </c>
    </row>
    <row r="535" spans="1:35">
      <c r="A535" s="46" t="s">
        <v>2215</v>
      </c>
      <c r="B535" s="47">
        <v>45437</v>
      </c>
      <c r="C535" s="39">
        <f t="shared" si="128"/>
        <v>45437</v>
      </c>
      <c r="D535" s="48" t="s">
        <v>633</v>
      </c>
      <c r="E535" s="37" t="str" cm="1">
        <f t="array" ref="E535">_xlfn.IFS(D535="delhi","north",D535="mumbai","west",D535="bengaluru","south",D535="chennai","south",D535="kolkata","east",TRUE,"west")</f>
        <v>south</v>
      </c>
      <c r="F535" s="46" t="s">
        <v>136</v>
      </c>
      <c r="G535" s="37" t="str">
        <f t="shared" si="129"/>
        <v>bluedart</v>
      </c>
      <c r="H535" s="46" t="s">
        <v>99</v>
      </c>
      <c r="I535" s="37" t="str">
        <f t="shared" si="130"/>
        <v>air</v>
      </c>
      <c r="J535" s="46" t="s">
        <v>385</v>
      </c>
      <c r="K535" s="37" t="str">
        <f t="shared" si="131"/>
        <v>furniture</v>
      </c>
      <c r="L535" s="46" t="s">
        <v>257</v>
      </c>
      <c r="M535" s="37" t="str">
        <f t="shared" si="132"/>
        <v>west</v>
      </c>
      <c r="N535" s="46" t="s">
        <v>187</v>
      </c>
      <c r="O535" s="41" t="str">
        <f t="shared" si="133"/>
        <v>Yes</v>
      </c>
      <c r="P535" s="49">
        <v>25.3</v>
      </c>
      <c r="Q535" s="49" t="s">
        <v>2217</v>
      </c>
      <c r="R535" s="42">
        <f t="shared" si="134"/>
        <v>52.6877470355731</v>
      </c>
      <c r="S535" s="46">
        <v>4</v>
      </c>
      <c r="T535" s="46" t="s">
        <v>1952</v>
      </c>
      <c r="U535" s="43" t="str">
        <f t="shared" si="135"/>
        <v>30/05/2024</v>
      </c>
      <c r="V535" s="43">
        <f t="shared" si="136"/>
        <v>45442</v>
      </c>
      <c r="W535" s="44">
        <f t="array" ref="W535">_xlfn.IFS(TRIM(C535)="","",TRIM(V535)="","",TRUE,V535-C535)</f>
        <v>5</v>
      </c>
      <c r="X535" s="37">
        <f t="shared" si="137"/>
        <v>1</v>
      </c>
      <c r="Y535" s="46" t="s">
        <v>200</v>
      </c>
      <c r="Z535" s="37" t="str">
        <f t="shared" si="138"/>
        <v>delayed</v>
      </c>
      <c r="AA535" s="37" t="str">
        <f t="shared" si="139"/>
        <v>Late</v>
      </c>
      <c r="AB535" s="37" t="str">
        <f t="shared" si="142"/>
        <v>1</v>
      </c>
      <c r="AC535" s="37">
        <f t="shared" si="143"/>
        <v>1</v>
      </c>
      <c r="AD535" s="45">
        <f t="shared" si="141"/>
        <v>0.509433962264151</v>
      </c>
      <c r="AE535" s="46">
        <v>3</v>
      </c>
      <c r="AF535" s="46" t="s">
        <v>79</v>
      </c>
      <c r="AG535" s="37" t="str">
        <f t="shared" si="140"/>
        <v>yes</v>
      </c>
      <c r="AH535" s="37" t="str">
        <f t="array" ref="AH535">_xlfn.IFS(LOWER(AG535)="n","no",LOWER(AG535)="y","yes",TRUE,LOWER(AG535))</f>
        <v>yes</v>
      </c>
      <c r="AI535" s="46" t="s">
        <v>4692</v>
      </c>
    </row>
    <row r="536" spans="1:35">
      <c r="A536" s="37" t="s">
        <v>2218</v>
      </c>
      <c r="B536" s="38" t="s">
        <v>4794</v>
      </c>
      <c r="C536" s="39">
        <f t="shared" si="128"/>
        <v>45297</v>
      </c>
      <c r="D536" s="40" t="s">
        <v>135</v>
      </c>
      <c r="E536" s="37" t="str" cm="1">
        <f t="array" ref="E536">_xlfn.IFS(D536="delhi","north",D536="mumbai","west",D536="bengaluru","south",D536="chennai","south",D536="kolkata","east",TRUE,"west")</f>
        <v>west</v>
      </c>
      <c r="F536" s="37" t="s">
        <v>230</v>
      </c>
      <c r="G536" s="37" t="str">
        <f t="shared" si="129"/>
        <v>dtdc</v>
      </c>
      <c r="H536" s="37" t="s">
        <v>147</v>
      </c>
      <c r="I536" s="37" t="str">
        <f t="shared" si="130"/>
        <v>road</v>
      </c>
      <c r="J536" s="37" t="s">
        <v>158</v>
      </c>
      <c r="K536" s="37" t="str">
        <f t="shared" si="131"/>
        <v>pharma</v>
      </c>
      <c r="L536" s="37" t="s">
        <v>257</v>
      </c>
      <c r="M536" s="37" t="str">
        <f t="shared" si="132"/>
        <v>west</v>
      </c>
      <c r="N536" s="37" t="s">
        <v>88</v>
      </c>
      <c r="O536" s="41" t="str">
        <f t="shared" si="133"/>
        <v>Yes</v>
      </c>
      <c r="P536" s="41">
        <v>1.3</v>
      </c>
      <c r="Q536" s="41" t="s">
        <v>432</v>
      </c>
      <c r="R536" s="42">
        <f t="shared" si="134"/>
        <v>61.5384615384615</v>
      </c>
      <c r="S536" s="37">
        <v>6</v>
      </c>
      <c r="T536" s="37" t="s">
        <v>2221</v>
      </c>
      <c r="U536" s="43" t="str">
        <f t="shared" si="135"/>
        <v>20/01/2024</v>
      </c>
      <c r="V536" s="43">
        <f t="shared" si="136"/>
        <v>45311</v>
      </c>
      <c r="W536" s="44">
        <f t="array" ref="W536">_xlfn.IFS(TRIM(C536)="","",TRIM(V536)="","",TRUE,V536-C536)</f>
        <v>14</v>
      </c>
      <c r="X536" s="37">
        <f t="shared" si="137"/>
        <v>8</v>
      </c>
      <c r="Y536" s="37" t="s">
        <v>72</v>
      </c>
      <c r="Z536" s="37" t="str">
        <f t="shared" si="138"/>
        <v>delayed</v>
      </c>
      <c r="AA536" s="37" t="str">
        <f t="shared" si="139"/>
        <v>Late</v>
      </c>
      <c r="AB536" s="37" t="str">
        <f t="shared" si="142"/>
        <v>1</v>
      </c>
      <c r="AC536" s="37">
        <f t="shared" si="143"/>
        <v>1</v>
      </c>
      <c r="AD536" s="45">
        <f t="shared" si="141"/>
        <v>0.508970727101039</v>
      </c>
      <c r="AE536" s="37">
        <v>2</v>
      </c>
      <c r="AF536" s="37" t="s">
        <v>286</v>
      </c>
      <c r="AG536" s="37" t="str">
        <f t="shared" si="140"/>
        <v>yes</v>
      </c>
      <c r="AH536" s="37" t="str">
        <f t="array" ref="AH536">_xlfn.IFS(LOWER(AG536)="n","no",LOWER(AG536)="y","yes",TRUE,LOWER(AG536))</f>
        <v>yes</v>
      </c>
      <c r="AI536" s="37" t="s">
        <v>4692</v>
      </c>
    </row>
    <row r="537" spans="1:35">
      <c r="A537" s="46" t="s">
        <v>2222</v>
      </c>
      <c r="B537" s="47">
        <v>45458</v>
      </c>
      <c r="C537" s="39">
        <f t="shared" si="128"/>
        <v>45458</v>
      </c>
      <c r="D537" s="48" t="s">
        <v>633</v>
      </c>
      <c r="E537" s="37" t="str" cm="1">
        <f t="array" ref="E537">_xlfn.IFS(D537="delhi","north",D537="mumbai","west",D537="bengaluru","south",D537="chennai","south",D537="kolkata","east",TRUE,"west")</f>
        <v>south</v>
      </c>
      <c r="F537" s="46" t="s">
        <v>136</v>
      </c>
      <c r="G537" s="37" t="str">
        <f t="shared" si="129"/>
        <v>bluedart</v>
      </c>
      <c r="H537" s="46" t="s">
        <v>99</v>
      </c>
      <c r="I537" s="37" t="str">
        <f t="shared" si="130"/>
        <v>air</v>
      </c>
      <c r="J537" s="46" t="s">
        <v>263</v>
      </c>
      <c r="K537" s="37" t="str">
        <f t="shared" si="131"/>
        <v>apparel</v>
      </c>
      <c r="L537" s="46" t="s">
        <v>112</v>
      </c>
      <c r="M537" s="37" t="str">
        <f t="shared" si="132"/>
        <v>north</v>
      </c>
      <c r="N537" s="46" t="s">
        <v>32</v>
      </c>
      <c r="O537" s="41" t="str">
        <f t="shared" si="133"/>
        <v>Yes</v>
      </c>
      <c r="P537" s="49" t="s">
        <v>539</v>
      </c>
      <c r="Q537" s="49">
        <v>341</v>
      </c>
      <c r="R537" s="42">
        <f t="shared" si="134"/>
        <v>97.4285714285714</v>
      </c>
      <c r="S537" s="46">
        <v>4</v>
      </c>
      <c r="T537" s="46" t="s">
        <v>2223</v>
      </c>
      <c r="U537" s="43" t="str">
        <f t="shared" si="135"/>
        <v>20-jun-2024</v>
      </c>
      <c r="V537" s="43">
        <f t="shared" si="136"/>
        <v>45463</v>
      </c>
      <c r="W537" s="44">
        <f t="array" ref="W537">_xlfn.IFS(TRIM(C537)="","",TRIM(V537)="","",TRUE,V537-C537)</f>
        <v>5</v>
      </c>
      <c r="X537" s="37">
        <f t="shared" si="137"/>
        <v>1</v>
      </c>
      <c r="Y537" s="46" t="s">
        <v>72</v>
      </c>
      <c r="Z537" s="37" t="str">
        <f t="shared" si="138"/>
        <v>delayed</v>
      </c>
      <c r="AA537" s="37" t="str">
        <f t="shared" si="139"/>
        <v>Late</v>
      </c>
      <c r="AB537" s="37" t="str">
        <f t="shared" si="142"/>
        <v>1</v>
      </c>
      <c r="AC537" s="37">
        <f t="shared" si="143"/>
        <v>1</v>
      </c>
      <c r="AD537" s="45">
        <f t="shared" si="141"/>
        <v>0.508506616257089</v>
      </c>
      <c r="AE537" s="46">
        <v>1</v>
      </c>
      <c r="AF537" s="46" t="s">
        <v>131</v>
      </c>
      <c r="AG537" s="37" t="str">
        <f t="shared" si="140"/>
        <v>n</v>
      </c>
      <c r="AH537" s="37" t="str">
        <f t="array" ref="AH537">_xlfn.IFS(LOWER(AG537)="n","no",LOWER(AG537)="y","yes",TRUE,LOWER(AG537))</f>
        <v>no</v>
      </c>
      <c r="AI537" s="46" t="s">
        <v>4692</v>
      </c>
    </row>
    <row r="538" spans="1:35">
      <c r="A538" s="37" t="s">
        <v>2224</v>
      </c>
      <c r="B538" s="38" t="s">
        <v>4795</v>
      </c>
      <c r="C538" s="39">
        <f t="shared" si="128"/>
        <v>45300</v>
      </c>
      <c r="D538" s="40" t="s">
        <v>424</v>
      </c>
      <c r="E538" s="37" t="str" cm="1">
        <f t="array" ref="E538">_xlfn.IFS(D538="delhi","north",D538="mumbai","west",D538="bengaluru","south",D538="chennai","south",D538="kolkata","east",TRUE,"west")</f>
        <v>south</v>
      </c>
      <c r="F538" s="37" t="s">
        <v>312</v>
      </c>
      <c r="G538" s="37" t="str">
        <f t="shared" si="129"/>
        <v>bluedart</v>
      </c>
      <c r="H538" s="37" t="s">
        <v>244</v>
      </c>
      <c r="I538" s="37" t="str">
        <f t="shared" si="130"/>
        <v>air</v>
      </c>
      <c r="J538" s="37" t="s">
        <v>138</v>
      </c>
      <c r="K538" s="37" t="str">
        <f t="shared" si="131"/>
        <v>apparel</v>
      </c>
      <c r="L538" s="37" t="s">
        <v>418</v>
      </c>
      <c r="M538" s="37" t="str">
        <f t="shared" si="132"/>
        <v>south</v>
      </c>
      <c r="N538" s="37" t="s">
        <v>54</v>
      </c>
      <c r="O538" s="41" t="str">
        <f t="shared" si="133"/>
        <v>Yes</v>
      </c>
      <c r="P538" s="41">
        <v>0.6</v>
      </c>
      <c r="Q538" s="41" t="s">
        <v>432</v>
      </c>
      <c r="R538" s="42">
        <f t="shared" si="134"/>
        <v>133.333333333333</v>
      </c>
      <c r="S538" s="37">
        <v>2</v>
      </c>
      <c r="T538" s="37" t="s">
        <v>2137</v>
      </c>
      <c r="U538" s="43" t="str">
        <f t="shared" si="135"/>
        <v>10/01/2024</v>
      </c>
      <c r="V538" s="43">
        <f t="shared" si="136"/>
        <v>45301</v>
      </c>
      <c r="W538" s="44">
        <f t="array" ref="W538">_xlfn.IFS(TRIM(C538)="","",TRIM(V538)="","",TRUE,V538-C538)</f>
        <v>1</v>
      </c>
      <c r="X538" s="37">
        <f t="shared" si="137"/>
        <v>-1</v>
      </c>
      <c r="Y538" s="37" t="s">
        <v>117</v>
      </c>
      <c r="Z538" s="37" t="str">
        <f t="shared" si="138"/>
        <v>delivered</v>
      </c>
      <c r="AA538" s="37" t="str">
        <f t="shared" si="139"/>
        <v>On Time</v>
      </c>
      <c r="AB538" s="37" t="str">
        <f t="shared" si="142"/>
        <v>0</v>
      </c>
      <c r="AC538" s="37">
        <f t="shared" si="143"/>
        <v>0</v>
      </c>
      <c r="AD538" s="45">
        <f t="shared" si="141"/>
        <v>0.508041627246925</v>
      </c>
      <c r="AE538" s="37">
        <v>5</v>
      </c>
      <c r="AF538" s="37" t="s">
        <v>152</v>
      </c>
      <c r="AG538" s="37" t="str">
        <f t="shared" si="140"/>
        <v>no</v>
      </c>
      <c r="AH538" s="37" t="str">
        <f t="array" ref="AH538">_xlfn.IFS(LOWER(AG538)="n","no",LOWER(AG538)="y","yes",TRUE,LOWER(AG538))</f>
        <v>no</v>
      </c>
      <c r="AI538" s="37" t="s">
        <v>4692</v>
      </c>
    </row>
    <row r="539" spans="1:35">
      <c r="A539" s="46" t="s">
        <v>2227</v>
      </c>
      <c r="B539" s="47" t="s">
        <v>4696</v>
      </c>
      <c r="C539" s="39">
        <f t="shared" si="128"/>
        <v>45293</v>
      </c>
      <c r="D539" s="48" t="s">
        <v>4695</v>
      </c>
      <c r="E539" s="37" t="str" cm="1">
        <f t="array" ref="E539">_xlfn.IFS(D539="delhi","north",D539="mumbai","west",D539="bengaluru","south",D539="chennai","south",D539="kolkata","east",TRUE,"west")</f>
        <v>west</v>
      </c>
      <c r="F539" s="46" t="s">
        <v>270</v>
      </c>
      <c r="G539" s="37" t="str">
        <f t="shared" si="129"/>
        <v>ecomexpress</v>
      </c>
      <c r="H539" s="46" t="s">
        <v>157</v>
      </c>
      <c r="I539" s="37" t="str">
        <f t="shared" si="130"/>
        <v>surface</v>
      </c>
      <c r="J539" s="46" t="s">
        <v>47</v>
      </c>
      <c r="K539" s="37" t="str">
        <f t="shared" si="131"/>
        <v>electronics</v>
      </c>
      <c r="L539" s="46" t="s">
        <v>334</v>
      </c>
      <c r="M539" s="37" t="str">
        <f t="shared" si="132"/>
        <v>north</v>
      </c>
      <c r="N539" s="46" t="s">
        <v>113</v>
      </c>
      <c r="O539" s="41" t="str">
        <f t="shared" si="133"/>
        <v>Yes</v>
      </c>
      <c r="P539" s="49">
        <v>10.8</v>
      </c>
      <c r="Q539" s="49" t="s">
        <v>2062</v>
      </c>
      <c r="R539" s="42">
        <f t="shared" si="134"/>
        <v>34.6296296296296</v>
      </c>
      <c r="S539" s="46">
        <v>6</v>
      </c>
      <c r="T539" s="46" t="s">
        <v>240</v>
      </c>
      <c r="U539" s="43" t="str">
        <f t="shared" si="135"/>
        <v>07/01/2024</v>
      </c>
      <c r="V539" s="43">
        <f t="shared" si="136"/>
        <v>45298</v>
      </c>
      <c r="W539" s="44">
        <f t="array" ref="W539">_xlfn.IFS(TRIM(C539)="","",TRIM(V539)="","",TRUE,V539-C539)</f>
        <v>5</v>
      </c>
      <c r="X539" s="37">
        <f t="shared" si="137"/>
        <v>-1</v>
      </c>
      <c r="Y539" s="46" t="s">
        <v>624</v>
      </c>
      <c r="Z539" s="37" t="str">
        <f t="shared" si="138"/>
        <v>returned</v>
      </c>
      <c r="AA539" s="37" t="str">
        <f t="shared" si="139"/>
        <v>On Time</v>
      </c>
      <c r="AB539" s="37" t="str">
        <f t="shared" si="142"/>
        <v>0</v>
      </c>
      <c r="AC539" s="37">
        <f t="shared" si="143"/>
        <v>0</v>
      </c>
      <c r="AD539" s="45">
        <f t="shared" si="141"/>
        <v>0.508522727272727</v>
      </c>
      <c r="AE539" s="46"/>
      <c r="AF539" s="46" t="s">
        <v>131</v>
      </c>
      <c r="AG539" s="37" t="str">
        <f t="shared" si="140"/>
        <v>n</v>
      </c>
      <c r="AH539" s="37" t="str">
        <f t="array" ref="AH539">_xlfn.IFS(LOWER(AG539)="n","no",LOWER(AG539)="y","yes",TRUE,LOWER(AG539))</f>
        <v>no</v>
      </c>
      <c r="AI539" s="46" t="s">
        <v>83</v>
      </c>
    </row>
    <row r="540" spans="1:35">
      <c r="A540" s="37" t="s">
        <v>2229</v>
      </c>
      <c r="B540" s="38" t="s">
        <v>4782</v>
      </c>
      <c r="C540" s="39">
        <f t="shared" si="128"/>
        <v>45438</v>
      </c>
      <c r="D540" s="40" t="s">
        <v>366</v>
      </c>
      <c r="E540" s="37" t="str" cm="1">
        <f t="array" ref="E540">_xlfn.IFS(D540="delhi","north",D540="mumbai","west",D540="bengaluru","south",D540="chennai","south",D540="kolkata","east",TRUE,"west")</f>
        <v>east</v>
      </c>
      <c r="F540" s="37" t="s">
        <v>223</v>
      </c>
      <c r="G540" s="37" t="str">
        <f t="shared" si="129"/>
        <v>xpressbees</v>
      </c>
      <c r="H540" s="37" t="s">
        <v>147</v>
      </c>
      <c r="I540" s="37" t="str">
        <f t="shared" si="130"/>
        <v>road</v>
      </c>
      <c r="J540" s="37" t="s">
        <v>313</v>
      </c>
      <c r="K540" s="37" t="str">
        <f t="shared" si="131"/>
        <v>automotiveparts</v>
      </c>
      <c r="L540" s="37" t="s">
        <v>87</v>
      </c>
      <c r="M540" s="37" t="str">
        <f t="shared" si="132"/>
        <v>north</v>
      </c>
      <c r="N540" s="37" t="s">
        <v>113</v>
      </c>
      <c r="O540" s="41" t="str">
        <f t="shared" si="133"/>
        <v>Yes</v>
      </c>
      <c r="P540" s="41">
        <v>6.5</v>
      </c>
      <c r="Q540" s="41" t="s">
        <v>1346</v>
      </c>
      <c r="R540" s="42">
        <f t="shared" si="134"/>
        <v>37.5384615384615</v>
      </c>
      <c r="S540" s="37">
        <v>8</v>
      </c>
      <c r="T540" s="37" t="s">
        <v>531</v>
      </c>
      <c r="U540" s="43" t="str">
        <f t="shared" si="135"/>
        <v>02/06/2024</v>
      </c>
      <c r="V540" s="43">
        <f t="shared" si="136"/>
        <v>45445</v>
      </c>
      <c r="W540" s="44">
        <f t="array" ref="W540">_xlfn.IFS(TRIM(C540)="","",TRIM(V540)="","",TRUE,V540-C540)</f>
        <v>7</v>
      </c>
      <c r="X540" s="37">
        <f t="shared" si="137"/>
        <v>-1</v>
      </c>
      <c r="Y540" s="37" t="s">
        <v>105</v>
      </c>
      <c r="Z540" s="37" t="str">
        <f t="shared" si="138"/>
        <v>delivered</v>
      </c>
      <c r="AA540" s="37" t="str">
        <f t="shared" si="139"/>
        <v>On Time</v>
      </c>
      <c r="AB540" s="37" t="str">
        <f t="shared" si="142"/>
        <v>0</v>
      </c>
      <c r="AC540" s="37">
        <f t="shared" si="143"/>
        <v>0</v>
      </c>
      <c r="AD540" s="45">
        <f t="shared" si="141"/>
        <v>0.509004739336493</v>
      </c>
      <c r="AE540" s="37">
        <v>4</v>
      </c>
      <c r="AF540" s="37" t="s">
        <v>106</v>
      </c>
      <c r="AG540" s="37" t="str">
        <f t="shared" si="140"/>
        <v>yes</v>
      </c>
      <c r="AH540" s="37" t="str">
        <f t="array" ref="AH540">_xlfn.IFS(LOWER(AG540)="n","no",LOWER(AG540)="y","yes",TRUE,LOWER(AG540))</f>
        <v>yes</v>
      </c>
      <c r="AI540" s="37" t="s">
        <v>4692</v>
      </c>
    </row>
    <row r="541" spans="1:35">
      <c r="A541" s="46" t="s">
        <v>2230</v>
      </c>
      <c r="B541" s="47" t="s">
        <v>4796</v>
      </c>
      <c r="C541" s="39">
        <f t="shared" si="128"/>
        <v>45319</v>
      </c>
      <c r="D541" s="48" t="s">
        <v>340</v>
      </c>
      <c r="E541" s="37" t="str" cm="1">
        <f t="array" ref="E541">_xlfn.IFS(D541="delhi","north",D541="mumbai","west",D541="bengaluru","south",D541="chennai","south",D541="kolkata","east",TRUE,"west")</f>
        <v>north</v>
      </c>
      <c r="F541" s="46" t="s">
        <v>184</v>
      </c>
      <c r="G541" s="37" t="str">
        <f t="shared" si="129"/>
        <v>ecomexpress</v>
      </c>
      <c r="H541" s="46" t="s">
        <v>147</v>
      </c>
      <c r="I541" s="37" t="str">
        <f t="shared" si="130"/>
        <v>road</v>
      </c>
      <c r="J541" s="46" t="s">
        <v>214</v>
      </c>
      <c r="K541" s="37" t="str">
        <f t="shared" si="131"/>
        <v>grocery&amp;fmcg</v>
      </c>
      <c r="L541" s="46" t="s">
        <v>125</v>
      </c>
      <c r="M541" s="37" t="str">
        <f t="shared" si="132"/>
        <v>east</v>
      </c>
      <c r="N541" s="46" t="s">
        <v>396</v>
      </c>
      <c r="O541" s="41" t="str">
        <f t="shared" si="133"/>
        <v>Yes</v>
      </c>
      <c r="P541" s="49" t="s">
        <v>593</v>
      </c>
      <c r="Q541" s="49">
        <v>442</v>
      </c>
      <c r="R541" s="42">
        <f t="shared" si="134"/>
        <v>22.2110552763819</v>
      </c>
      <c r="S541" s="46">
        <v>8</v>
      </c>
      <c r="T541" s="46" t="s">
        <v>2232</v>
      </c>
      <c r="U541" s="43" t="str">
        <f t="shared" si="135"/>
        <v>05/02/2024</v>
      </c>
      <c r="V541" s="43">
        <f t="shared" si="136"/>
        <v>45327</v>
      </c>
      <c r="W541" s="44">
        <f t="array" ref="W541">_xlfn.IFS(TRIM(C541)="","",TRIM(V541)="","",TRUE,V541-C541)</f>
        <v>8</v>
      </c>
      <c r="X541" s="37">
        <f t="shared" si="137"/>
        <v>0</v>
      </c>
      <c r="Y541" s="46" t="s">
        <v>117</v>
      </c>
      <c r="Z541" s="37" t="str">
        <f t="shared" si="138"/>
        <v>delivered</v>
      </c>
      <c r="AA541" s="37" t="str">
        <f t="shared" si="139"/>
        <v>On Time</v>
      </c>
      <c r="AB541" s="37" t="str">
        <f t="shared" si="142"/>
        <v>0</v>
      </c>
      <c r="AC541" s="37">
        <f t="shared" si="143"/>
        <v>0</v>
      </c>
      <c r="AD541" s="45">
        <f t="shared" si="141"/>
        <v>0.509487666034156</v>
      </c>
      <c r="AE541" s="46">
        <v>3</v>
      </c>
      <c r="AF541" s="46" t="s">
        <v>118</v>
      </c>
      <c r="AG541" s="37" t="str">
        <f t="shared" si="140"/>
        <v>no</v>
      </c>
      <c r="AH541" s="37" t="str">
        <f t="array" ref="AH541">_xlfn.IFS(LOWER(AG541)="n","no",LOWER(AG541)="y","yes",TRUE,LOWER(AG541))</f>
        <v>no</v>
      </c>
      <c r="AI541" s="46" t="s">
        <v>4692</v>
      </c>
    </row>
    <row r="542" spans="1:35">
      <c r="A542" s="37" t="s">
        <v>2233</v>
      </c>
      <c r="B542" s="38">
        <v>45390</v>
      </c>
      <c r="C542" s="39">
        <f t="shared" si="128"/>
        <v>45390</v>
      </c>
      <c r="D542" s="40" t="s">
        <v>300</v>
      </c>
      <c r="E542" s="37" t="str" cm="1">
        <f t="array" ref="E542">_xlfn.IFS(D542="delhi","north",D542="mumbai","west",D542="bengaluru","south",D542="chennai","south",D542="kolkata","east",TRUE,"west")</f>
        <v>west</v>
      </c>
      <c r="F542" s="37" t="s">
        <v>156</v>
      </c>
      <c r="G542" s="37" t="str">
        <f t="shared" si="129"/>
        <v>xpressbees</v>
      </c>
      <c r="H542" s="37" t="s">
        <v>123</v>
      </c>
      <c r="I542" s="37" t="str">
        <f t="shared" si="130"/>
        <v>air</v>
      </c>
      <c r="J542" s="37" t="s">
        <v>368</v>
      </c>
      <c r="K542" s="37" t="str">
        <f t="shared" si="131"/>
        <v>furniture</v>
      </c>
      <c r="L542" s="37" t="s">
        <v>334</v>
      </c>
      <c r="M542" s="37" t="str">
        <f t="shared" si="132"/>
        <v>north</v>
      </c>
      <c r="N542" s="37" t="s">
        <v>215</v>
      </c>
      <c r="O542" s="41" t="str">
        <f t="shared" si="133"/>
        <v>Yes</v>
      </c>
      <c r="P542" s="41">
        <v>50.6</v>
      </c>
      <c r="Q542" s="50">
        <v>2470</v>
      </c>
      <c r="R542" s="42">
        <f t="shared" si="134"/>
        <v>48.8142292490119</v>
      </c>
      <c r="S542" s="37">
        <v>4</v>
      </c>
      <c r="T542" s="37" t="s">
        <v>357</v>
      </c>
      <c r="U542" s="43" t="str">
        <f t="shared" si="135"/>
        <v>2024-04-13</v>
      </c>
      <c r="V542" s="43">
        <f t="shared" si="136"/>
        <v>45395</v>
      </c>
      <c r="W542" s="44">
        <f t="array" ref="W542">_xlfn.IFS(TRIM(C542)="","",TRIM(V542)="","",TRUE,V542-C542)</f>
        <v>5</v>
      </c>
      <c r="X542" s="37">
        <f t="shared" si="137"/>
        <v>1</v>
      </c>
      <c r="Y542" s="37" t="s">
        <v>337</v>
      </c>
      <c r="Z542" s="37" t="str">
        <f t="shared" si="138"/>
        <v>damaged</v>
      </c>
      <c r="AA542" s="37" t="str">
        <f t="shared" si="139"/>
        <v>Late</v>
      </c>
      <c r="AB542" s="37" t="str">
        <f t="shared" si="142"/>
        <v>1</v>
      </c>
      <c r="AC542" s="37">
        <f t="shared" si="143"/>
        <v>1</v>
      </c>
      <c r="AD542" s="45">
        <f t="shared" si="141"/>
        <v>0.50997150997151</v>
      </c>
      <c r="AE542" s="37"/>
      <c r="AF542" s="37" t="s">
        <v>131</v>
      </c>
      <c r="AG542" s="37" t="str">
        <f t="shared" si="140"/>
        <v>n</v>
      </c>
      <c r="AH542" s="37" t="str">
        <f t="array" ref="AH542">_xlfn.IFS(LOWER(AG542)="n","no",LOWER(AG542)="y","yes",TRUE,LOWER(AG542))</f>
        <v>no</v>
      </c>
      <c r="AI542" s="37" t="s">
        <v>132</v>
      </c>
    </row>
    <row r="543" spans="1:35">
      <c r="A543" s="46" t="s">
        <v>2236</v>
      </c>
      <c r="B543" s="47" t="s">
        <v>4738</v>
      </c>
      <c r="C543" s="39">
        <f t="shared" si="128"/>
        <v>45352</v>
      </c>
      <c r="D543" s="48" t="s">
        <v>222</v>
      </c>
      <c r="E543" s="37" t="str" cm="1">
        <f t="array" ref="E543">_xlfn.IFS(D543="delhi","north",D543="mumbai","west",D543="bengaluru","south",D543="chennai","south",D543="kolkata","east",TRUE,"west")</f>
        <v>west</v>
      </c>
      <c r="F543" s="46" t="s">
        <v>367</v>
      </c>
      <c r="G543" s="37" t="str">
        <f t="shared" si="129"/>
        <v>dtdc</v>
      </c>
      <c r="H543" s="46" t="s">
        <v>42</v>
      </c>
      <c r="I543" s="37" t="str">
        <f t="shared" si="130"/>
        <v>surface</v>
      </c>
      <c r="J543" s="46" t="s">
        <v>301</v>
      </c>
      <c r="K543" s="37" t="str">
        <f t="shared" si="131"/>
        <v>furniture</v>
      </c>
      <c r="L543" s="46" t="s">
        <v>139</v>
      </c>
      <c r="M543" s="37" t="str">
        <f t="shared" si="132"/>
        <v>north</v>
      </c>
      <c r="N543" s="46" t="s">
        <v>215</v>
      </c>
      <c r="O543" s="41" t="str">
        <f t="shared" si="133"/>
        <v>Yes</v>
      </c>
      <c r="P543" s="49">
        <v>53.2</v>
      </c>
      <c r="Q543" s="49" t="s">
        <v>2238</v>
      </c>
      <c r="R543" s="42">
        <f t="shared" si="134"/>
        <v>24.6616541353383</v>
      </c>
      <c r="S543" s="46">
        <v>6</v>
      </c>
      <c r="T543" s="46" t="s">
        <v>995</v>
      </c>
      <c r="U543" s="43" t="str">
        <f t="shared" si="135"/>
        <v>07/03/2024</v>
      </c>
      <c r="V543" s="43">
        <f t="shared" si="136"/>
        <v>45358</v>
      </c>
      <c r="W543" s="44">
        <f t="array" ref="W543">_xlfn.IFS(TRIM(C543)="","",TRIM(V543)="","",TRUE,V543-C543)</f>
        <v>6</v>
      </c>
      <c r="X543" s="37">
        <f t="shared" si="137"/>
        <v>0</v>
      </c>
      <c r="Y543" s="46" t="s">
        <v>105</v>
      </c>
      <c r="Z543" s="37" t="str">
        <f t="shared" si="138"/>
        <v>delivered</v>
      </c>
      <c r="AA543" s="37" t="str">
        <f t="shared" si="139"/>
        <v>On Time</v>
      </c>
      <c r="AB543" s="37" t="str">
        <f t="shared" si="142"/>
        <v>0</v>
      </c>
      <c r="AC543" s="37">
        <f t="shared" si="143"/>
        <v>0</v>
      </c>
      <c r="AD543" s="45">
        <f t="shared" si="141"/>
        <v>0.509505703422053</v>
      </c>
      <c r="AE543" s="46">
        <v>4</v>
      </c>
      <c r="AF543" s="46" t="s">
        <v>131</v>
      </c>
      <c r="AG543" s="37" t="str">
        <f t="shared" si="140"/>
        <v>n</v>
      </c>
      <c r="AH543" s="37" t="str">
        <f t="array" ref="AH543">_xlfn.IFS(LOWER(AG543)="n","no",LOWER(AG543)="y","yes",TRUE,LOWER(AG543))</f>
        <v>no</v>
      </c>
      <c r="AI543" s="46" t="s">
        <v>4692</v>
      </c>
    </row>
    <row r="544" spans="1:35">
      <c r="A544" s="37" t="s">
        <v>2239</v>
      </c>
      <c r="B544" s="38">
        <v>45298</v>
      </c>
      <c r="C544" s="39">
        <f t="shared" si="128"/>
        <v>45298</v>
      </c>
      <c r="D544" s="40" t="s">
        <v>243</v>
      </c>
      <c r="E544" s="37" t="str" cm="1">
        <f t="array" ref="E544">_xlfn.IFS(D544="delhi","north",D544="mumbai","west",D544="bengaluru","south",D544="chennai","south",D544="kolkata","east",TRUE,"west")</f>
        <v>west</v>
      </c>
      <c r="F544" s="37" t="s">
        <v>122</v>
      </c>
      <c r="G544" s="37" t="str">
        <f t="shared" si="129"/>
        <v>delhivery</v>
      </c>
      <c r="H544" s="37" t="s">
        <v>325</v>
      </c>
      <c r="I544" s="37" t="str">
        <f t="shared" si="130"/>
        <v>air</v>
      </c>
      <c r="J544" s="37" t="s">
        <v>111</v>
      </c>
      <c r="K544" s="37" t="str">
        <f t="shared" si="131"/>
        <v>grocery&amp;fmcg</v>
      </c>
      <c r="L544" s="37" t="s">
        <v>89</v>
      </c>
      <c r="M544" s="37" t="str">
        <f t="shared" si="132"/>
        <v>west</v>
      </c>
      <c r="N544" s="37" t="s">
        <v>278</v>
      </c>
      <c r="O544" s="41" t="str">
        <f t="shared" si="133"/>
        <v>Yes</v>
      </c>
      <c r="P544" s="41">
        <v>16.1</v>
      </c>
      <c r="Q544" s="41">
        <v>891</v>
      </c>
      <c r="R544" s="42">
        <f t="shared" si="134"/>
        <v>55.3416149068323</v>
      </c>
      <c r="S544" s="37">
        <v>4</v>
      </c>
      <c r="T544" s="37" t="s">
        <v>443</v>
      </c>
      <c r="U544" s="43" t="str">
        <f t="shared" si="135"/>
        <v>2024-01-11</v>
      </c>
      <c r="V544" s="43">
        <f t="shared" si="136"/>
        <v>45302</v>
      </c>
      <c r="W544" s="44">
        <f t="array" ref="W544">_xlfn.IFS(TRIM(C544)="","",TRIM(V544)="","",TRUE,V544-C544)</f>
        <v>4</v>
      </c>
      <c r="X544" s="37">
        <f t="shared" si="137"/>
        <v>0</v>
      </c>
      <c r="Y544" s="37" t="s">
        <v>105</v>
      </c>
      <c r="Z544" s="37" t="str">
        <f t="shared" si="138"/>
        <v>delivered</v>
      </c>
      <c r="AA544" s="37" t="str">
        <f t="shared" si="139"/>
        <v>On Time</v>
      </c>
      <c r="AB544" s="37" t="str">
        <f t="shared" si="142"/>
        <v>0</v>
      </c>
      <c r="AC544" s="37">
        <f t="shared" si="143"/>
        <v>0</v>
      </c>
      <c r="AD544" s="45">
        <f t="shared" si="141"/>
        <v>0.509990485252141</v>
      </c>
      <c r="AE544" s="37">
        <v>5</v>
      </c>
      <c r="AF544" s="37" t="s">
        <v>181</v>
      </c>
      <c r="AG544" s="37" t="str">
        <f t="shared" si="140"/>
        <v>y</v>
      </c>
      <c r="AH544" s="37" t="str">
        <f t="array" ref="AH544">_xlfn.IFS(LOWER(AG544)="n","no",LOWER(AG544)="y","yes",TRUE,LOWER(AG544))</f>
        <v>yes</v>
      </c>
      <c r="AI544" s="37" t="s">
        <v>4692</v>
      </c>
    </row>
    <row r="545" spans="1:35">
      <c r="A545" s="46" t="s">
        <v>2242</v>
      </c>
      <c r="B545" s="47">
        <v>45344</v>
      </c>
      <c r="C545" s="39">
        <f t="shared" si="128"/>
        <v>45344</v>
      </c>
      <c r="D545" s="48" t="s">
        <v>424</v>
      </c>
      <c r="E545" s="37" t="str" cm="1">
        <f t="array" ref="E545">_xlfn.IFS(D545="delhi","north",D545="mumbai","west",D545="bengaluru","south",D545="chennai","south",D545="kolkata","east",TRUE,"west")</f>
        <v>south</v>
      </c>
      <c r="F545" s="46" t="s">
        <v>175</v>
      </c>
      <c r="G545" s="37" t="str">
        <f t="shared" si="129"/>
        <v>ecomexpress</v>
      </c>
      <c r="H545" s="46" t="s">
        <v>157</v>
      </c>
      <c r="I545" s="37" t="str">
        <f t="shared" si="130"/>
        <v>surface</v>
      </c>
      <c r="J545" s="46" t="s">
        <v>237</v>
      </c>
      <c r="K545" s="37" t="str">
        <f t="shared" si="131"/>
        <v>automotiveparts</v>
      </c>
      <c r="L545" s="46" t="s">
        <v>112</v>
      </c>
      <c r="M545" s="37" t="str">
        <f t="shared" si="132"/>
        <v>north</v>
      </c>
      <c r="N545" s="46" t="s">
        <v>113</v>
      </c>
      <c r="O545" s="41" t="str">
        <f t="shared" si="133"/>
        <v>Yes</v>
      </c>
      <c r="P545" s="49" t="s">
        <v>2244</v>
      </c>
      <c r="Q545" s="49" t="s">
        <v>2245</v>
      </c>
      <c r="R545" s="42">
        <f t="shared" si="134"/>
        <v>25.8791208791209</v>
      </c>
      <c r="S545" s="46">
        <v>6</v>
      </c>
      <c r="T545" s="46" t="s">
        <v>2246</v>
      </c>
      <c r="U545" s="43" t="str">
        <f t="shared" si="135"/>
        <v>27-feb-2024</v>
      </c>
      <c r="V545" s="43">
        <f t="shared" si="136"/>
        <v>45349</v>
      </c>
      <c r="W545" s="44">
        <f t="array" ref="W545">_xlfn.IFS(TRIM(C545)="","",TRIM(V545)="","",TRUE,V545-C545)</f>
        <v>5</v>
      </c>
      <c r="X545" s="37">
        <f t="shared" si="137"/>
        <v>-1</v>
      </c>
      <c r="Y545" s="46" t="s">
        <v>219</v>
      </c>
      <c r="Z545" s="37" t="str">
        <f t="shared" si="138"/>
        <v>delivered</v>
      </c>
      <c r="AA545" s="37" t="str">
        <f t="shared" si="139"/>
        <v>On Time</v>
      </c>
      <c r="AB545" s="37" t="str">
        <f t="shared" si="142"/>
        <v>0</v>
      </c>
      <c r="AC545" s="37">
        <f t="shared" si="143"/>
        <v>0</v>
      </c>
      <c r="AD545" s="45">
        <f t="shared" si="141"/>
        <v>0.510476190476191</v>
      </c>
      <c r="AE545" s="46">
        <v>4</v>
      </c>
      <c r="AF545" s="46" t="s">
        <v>118</v>
      </c>
      <c r="AG545" s="37" t="str">
        <f t="shared" si="140"/>
        <v>no</v>
      </c>
      <c r="AH545" s="37" t="str">
        <f t="array" ref="AH545">_xlfn.IFS(LOWER(AG545)="n","no",LOWER(AG545)="y","yes",TRUE,LOWER(AG545))</f>
        <v>no</v>
      </c>
      <c r="AI545" s="46" t="s">
        <v>4692</v>
      </c>
    </row>
    <row r="546" spans="1:35">
      <c r="A546" s="37" t="s">
        <v>2247</v>
      </c>
      <c r="B546" s="38">
        <v>45339</v>
      </c>
      <c r="C546" s="39">
        <f t="shared" si="128"/>
        <v>45339</v>
      </c>
      <c r="D546" s="40" t="s">
        <v>4712</v>
      </c>
      <c r="E546" s="37" t="str" cm="1">
        <f t="array" ref="E546">_xlfn.IFS(D546="delhi","north",D546="mumbai","west",D546="bengaluru","south",D546="chennai","south",D546="kolkata","east",TRUE,"west")</f>
        <v>west</v>
      </c>
      <c r="F546" s="37" t="s">
        <v>37</v>
      </c>
      <c r="G546" s="37" t="str">
        <f t="shared" si="129"/>
        <v>bluedart</v>
      </c>
      <c r="H546" s="37" t="s">
        <v>123</v>
      </c>
      <c r="I546" s="37" t="str">
        <f t="shared" si="130"/>
        <v>air</v>
      </c>
      <c r="J546" s="37" t="s">
        <v>158</v>
      </c>
      <c r="K546" s="37" t="str">
        <f t="shared" si="131"/>
        <v>pharma</v>
      </c>
      <c r="L546" s="37" t="s">
        <v>470</v>
      </c>
      <c r="M546" s="37" t="str">
        <f t="shared" si="132"/>
        <v>east</v>
      </c>
      <c r="N546" s="37" t="s">
        <v>294</v>
      </c>
      <c r="O546" s="41" t="str">
        <f t="shared" si="133"/>
        <v>Yes</v>
      </c>
      <c r="P546" s="41">
        <v>1.5</v>
      </c>
      <c r="Q546" s="41">
        <v>254</v>
      </c>
      <c r="R546" s="42">
        <f t="shared" si="134"/>
        <v>169.333333333333</v>
      </c>
      <c r="S546" s="37">
        <v>4</v>
      </c>
      <c r="T546" s="37" t="s">
        <v>495</v>
      </c>
      <c r="U546" s="43" t="str">
        <f t="shared" si="135"/>
        <v>2024-02-20</v>
      </c>
      <c r="V546" s="43">
        <f t="shared" si="136"/>
        <v>45342</v>
      </c>
      <c r="W546" s="44">
        <f t="array" ref="W546">_xlfn.IFS(TRIM(C546)="","",TRIM(V546)="","",TRUE,V546-C546)</f>
        <v>3</v>
      </c>
      <c r="X546" s="37">
        <f t="shared" si="137"/>
        <v>-1</v>
      </c>
      <c r="Y546" s="37" t="s">
        <v>105</v>
      </c>
      <c r="Z546" s="37" t="str">
        <f t="shared" si="138"/>
        <v>delivered</v>
      </c>
      <c r="AA546" s="37" t="str">
        <f t="shared" si="139"/>
        <v>On Time</v>
      </c>
      <c r="AB546" s="37" t="str">
        <f t="shared" si="142"/>
        <v>0</v>
      </c>
      <c r="AC546" s="37">
        <f t="shared" si="143"/>
        <v>0</v>
      </c>
      <c r="AD546" s="45">
        <f t="shared" si="141"/>
        <v>0.510962821734986</v>
      </c>
      <c r="AE546" s="37">
        <v>5</v>
      </c>
      <c r="AF546" s="37" t="s">
        <v>106</v>
      </c>
      <c r="AG546" s="37" t="str">
        <f t="shared" si="140"/>
        <v>yes</v>
      </c>
      <c r="AH546" s="37" t="str">
        <f t="array" ref="AH546">_xlfn.IFS(LOWER(AG546)="n","no",LOWER(AG546)="y","yes",TRUE,LOWER(AG546))</f>
        <v>yes</v>
      </c>
      <c r="AI546" s="37" t="s">
        <v>4692</v>
      </c>
    </row>
    <row r="547" spans="1:35">
      <c r="A547" s="46" t="s">
        <v>2249</v>
      </c>
      <c r="B547" s="47">
        <v>45393</v>
      </c>
      <c r="C547" s="39">
        <f t="shared" si="128"/>
        <v>45393</v>
      </c>
      <c r="D547" s="48" t="s">
        <v>340</v>
      </c>
      <c r="E547" s="37" t="str" cm="1">
        <f t="array" ref="E547">_xlfn.IFS(D547="delhi","north",D547="mumbai","west",D547="bengaluru","south",D547="chennai","south",D547="kolkata","east",TRUE,"west")</f>
        <v>north</v>
      </c>
      <c r="F547" s="46" t="s">
        <v>333</v>
      </c>
      <c r="G547" s="37" t="str">
        <f t="shared" si="129"/>
        <v>delhivery</v>
      </c>
      <c r="H547" s="46" t="s">
        <v>176</v>
      </c>
      <c r="I547" s="37" t="str">
        <f t="shared" si="130"/>
        <v>road</v>
      </c>
      <c r="J547" s="46" t="s">
        <v>664</v>
      </c>
      <c r="K547" s="37" t="str">
        <f t="shared" si="131"/>
        <v>grocery&amp;fmcg</v>
      </c>
      <c r="L547" s="46" t="s">
        <v>257</v>
      </c>
      <c r="M547" s="37" t="str">
        <f t="shared" si="132"/>
        <v>west</v>
      </c>
      <c r="N547" s="46" t="s">
        <v>88</v>
      </c>
      <c r="O547" s="41" t="str">
        <f t="shared" si="133"/>
        <v>Yes</v>
      </c>
      <c r="P547" s="49">
        <v>5</v>
      </c>
      <c r="Q547" s="49" t="s">
        <v>2251</v>
      </c>
      <c r="R547" s="42">
        <f t="shared" si="134"/>
        <v>40.4</v>
      </c>
      <c r="S547" s="46">
        <v>8</v>
      </c>
      <c r="T547" s="46" t="s">
        <v>1028</v>
      </c>
      <c r="U547" s="43" t="str">
        <f t="shared" si="135"/>
        <v>18/04/2024</v>
      </c>
      <c r="V547" s="43">
        <f t="shared" si="136"/>
        <v>45400</v>
      </c>
      <c r="W547" s="44">
        <f t="array" ref="W547">_xlfn.IFS(TRIM(C547)="","",TRIM(V547)="","",TRUE,V547-C547)</f>
        <v>7</v>
      </c>
      <c r="X547" s="37">
        <f t="shared" si="137"/>
        <v>-1</v>
      </c>
      <c r="Y547" s="46" t="s">
        <v>105</v>
      </c>
      <c r="Z547" s="37" t="str">
        <f t="shared" si="138"/>
        <v>delivered</v>
      </c>
      <c r="AA547" s="37" t="str">
        <f t="shared" si="139"/>
        <v>On Time</v>
      </c>
      <c r="AB547" s="37" t="str">
        <f t="shared" si="142"/>
        <v>0</v>
      </c>
      <c r="AC547" s="37">
        <f t="shared" si="143"/>
        <v>0</v>
      </c>
      <c r="AD547" s="45">
        <f t="shared" si="141"/>
        <v>0.511450381679389</v>
      </c>
      <c r="AE547" s="46">
        <v>5</v>
      </c>
      <c r="AF547" s="46" t="s">
        <v>286</v>
      </c>
      <c r="AG547" s="37" t="str">
        <f t="shared" si="140"/>
        <v>yes</v>
      </c>
      <c r="AH547" s="37" t="str">
        <f t="array" ref="AH547">_xlfn.IFS(LOWER(AG547)="n","no",LOWER(AG547)="y","yes",TRUE,LOWER(AG547))</f>
        <v>yes</v>
      </c>
      <c r="AI547" s="46" t="s">
        <v>4692</v>
      </c>
    </row>
    <row r="548" spans="1:35">
      <c r="A548" s="37" t="s">
        <v>2252</v>
      </c>
      <c r="B548" s="38" t="s">
        <v>4797</v>
      </c>
      <c r="C548" s="39">
        <f t="shared" si="128"/>
        <v>45416</v>
      </c>
      <c r="D548" s="40" t="s">
        <v>424</v>
      </c>
      <c r="E548" s="37" t="str" cm="1">
        <f t="array" ref="E548">_xlfn.IFS(D548="delhi","north",D548="mumbai","west",D548="bengaluru","south",D548="chennai","south",D548="kolkata","east",TRUE,"west")</f>
        <v>south</v>
      </c>
      <c r="F548" s="37" t="s">
        <v>204</v>
      </c>
      <c r="G548" s="37" t="str">
        <f t="shared" si="129"/>
        <v>delhivery</v>
      </c>
      <c r="H548" s="37" t="s">
        <v>176</v>
      </c>
      <c r="I548" s="37" t="str">
        <f t="shared" si="130"/>
        <v>road</v>
      </c>
      <c r="J548" s="37"/>
      <c r="K548" s="37" t="str">
        <f t="shared" si="131"/>
        <v/>
      </c>
      <c r="L548" s="37" t="s">
        <v>92</v>
      </c>
      <c r="M548" s="37" t="str">
        <f t="shared" si="132"/>
        <v>east</v>
      </c>
      <c r="N548" s="37" t="s">
        <v>91</v>
      </c>
      <c r="O548" s="41" t="str">
        <f t="shared" si="133"/>
        <v>Yes</v>
      </c>
      <c r="P548" s="41">
        <v>3.1</v>
      </c>
      <c r="Q548" s="41">
        <v>179</v>
      </c>
      <c r="R548" s="42">
        <f t="shared" si="134"/>
        <v>57.741935483871</v>
      </c>
      <c r="S548" s="37">
        <v>8</v>
      </c>
      <c r="T548" s="37" t="s">
        <v>729</v>
      </c>
      <c r="U548" s="43" t="str">
        <f t="shared" si="135"/>
        <v>2024-05-11</v>
      </c>
      <c r="V548" s="43">
        <f t="shared" si="136"/>
        <v>45423</v>
      </c>
      <c r="W548" s="44">
        <f t="array" ref="W548">_xlfn.IFS(TRIM(C548)="","",TRIM(V548)="","",TRUE,V548-C548)</f>
        <v>7</v>
      </c>
      <c r="X548" s="37">
        <f t="shared" si="137"/>
        <v>-1</v>
      </c>
      <c r="Y548" s="37" t="s">
        <v>117</v>
      </c>
      <c r="Z548" s="37" t="str">
        <f t="shared" si="138"/>
        <v>delivered</v>
      </c>
      <c r="AA548" s="37" t="str">
        <f t="shared" si="139"/>
        <v>On Time</v>
      </c>
      <c r="AB548" s="37" t="str">
        <f t="shared" si="142"/>
        <v>0</v>
      </c>
      <c r="AC548" s="37">
        <f t="shared" si="143"/>
        <v>0</v>
      </c>
      <c r="AD548" s="45">
        <f t="shared" si="141"/>
        <v>0.511938872970392</v>
      </c>
      <c r="AE548" s="37">
        <v>4</v>
      </c>
      <c r="AF548" s="37" t="s">
        <v>181</v>
      </c>
      <c r="AG548" s="37" t="str">
        <f t="shared" si="140"/>
        <v>y</v>
      </c>
      <c r="AH548" s="37" t="str">
        <f t="array" ref="AH548">_xlfn.IFS(LOWER(AG548)="n","no",LOWER(AG548)="y","yes",TRUE,LOWER(AG548))</f>
        <v>yes</v>
      </c>
      <c r="AI548" s="37" t="s">
        <v>4692</v>
      </c>
    </row>
    <row r="549" spans="1:35">
      <c r="A549" s="46" t="s">
        <v>2254</v>
      </c>
      <c r="B549" s="47" t="s">
        <v>4798</v>
      </c>
      <c r="C549" s="39">
        <f t="shared" si="128"/>
        <v>45312</v>
      </c>
      <c r="D549" s="48" t="s">
        <v>633</v>
      </c>
      <c r="E549" s="37" t="str" cm="1">
        <f t="array" ref="E549">_xlfn.IFS(D549="delhi","north",D549="mumbai","west",D549="bengaluru","south",D549="chennai","south",D549="kolkata","east",TRUE,"west")</f>
        <v>south</v>
      </c>
      <c r="F549" s="46" t="s">
        <v>312</v>
      </c>
      <c r="G549" s="37" t="str">
        <f t="shared" si="129"/>
        <v>bluedart</v>
      </c>
      <c r="H549" s="46" t="s">
        <v>195</v>
      </c>
      <c r="I549" s="37" t="str">
        <f t="shared" si="130"/>
        <v>road</v>
      </c>
      <c r="J549" s="46" t="s">
        <v>498</v>
      </c>
      <c r="K549" s="37" t="str">
        <f t="shared" si="131"/>
        <v>apparel</v>
      </c>
      <c r="L549" s="46" t="s">
        <v>257</v>
      </c>
      <c r="M549" s="37" t="str">
        <f t="shared" si="132"/>
        <v>west</v>
      </c>
      <c r="N549" s="46" t="s">
        <v>88</v>
      </c>
      <c r="O549" s="41" t="str">
        <f t="shared" si="133"/>
        <v>Yes</v>
      </c>
      <c r="P549" s="49">
        <v>2.4</v>
      </c>
      <c r="Q549" s="49">
        <v>155</v>
      </c>
      <c r="R549" s="42">
        <f t="shared" si="134"/>
        <v>64.5833333333333</v>
      </c>
      <c r="S549" s="46">
        <v>8</v>
      </c>
      <c r="T549" s="46" t="s">
        <v>1320</v>
      </c>
      <c r="U549" s="43" t="str">
        <f t="shared" si="135"/>
        <v>29-jan-2024</v>
      </c>
      <c r="V549" s="43">
        <f t="shared" si="136"/>
        <v>45320</v>
      </c>
      <c r="W549" s="44">
        <f t="array" ref="W549">_xlfn.IFS(TRIM(C549)="","",TRIM(V549)="","",TRUE,V549-C549)</f>
        <v>8</v>
      </c>
      <c r="X549" s="37">
        <f t="shared" si="137"/>
        <v>0</v>
      </c>
      <c r="Y549" s="46" t="s">
        <v>105</v>
      </c>
      <c r="Z549" s="37" t="str">
        <f t="shared" si="138"/>
        <v>delivered</v>
      </c>
      <c r="AA549" s="37" t="str">
        <f t="shared" si="139"/>
        <v>On Time</v>
      </c>
      <c r="AB549" s="37" t="str">
        <f t="shared" si="142"/>
        <v>0</v>
      </c>
      <c r="AC549" s="37">
        <f t="shared" si="143"/>
        <v>0</v>
      </c>
      <c r="AD549" s="45">
        <f t="shared" si="141"/>
        <v>0.512428298279159</v>
      </c>
      <c r="AE549" s="46">
        <v>3</v>
      </c>
      <c r="AF549" s="46" t="s">
        <v>118</v>
      </c>
      <c r="AG549" s="37" t="str">
        <f t="shared" si="140"/>
        <v>no</v>
      </c>
      <c r="AH549" s="37" t="str">
        <f t="array" ref="AH549">_xlfn.IFS(LOWER(AG549)="n","no",LOWER(AG549)="y","yes",TRUE,LOWER(AG549))</f>
        <v>no</v>
      </c>
      <c r="AI549" s="46" t="s">
        <v>4692</v>
      </c>
    </row>
    <row r="550" spans="1:35">
      <c r="A550" s="37" t="s">
        <v>2256</v>
      </c>
      <c r="B550" s="38">
        <v>45352</v>
      </c>
      <c r="C550" s="39">
        <f t="shared" si="128"/>
        <v>45352</v>
      </c>
      <c r="D550" s="40" t="s">
        <v>366</v>
      </c>
      <c r="E550" s="37" t="str" cm="1">
        <f t="array" ref="E550">_xlfn.IFS(D550="delhi","north",D550="mumbai","west",D550="bengaluru","south",D550="chennai","south",D550="kolkata","east",TRUE,"west")</f>
        <v>east</v>
      </c>
      <c r="F550" s="37" t="s">
        <v>204</v>
      </c>
      <c r="G550" s="37" t="str">
        <f t="shared" si="129"/>
        <v>delhivery</v>
      </c>
      <c r="H550" s="37" t="s">
        <v>42</v>
      </c>
      <c r="I550" s="37" t="str">
        <f t="shared" si="130"/>
        <v>surface</v>
      </c>
      <c r="J550" s="37" t="s">
        <v>533</v>
      </c>
      <c r="K550" s="37" t="str">
        <f t="shared" si="131"/>
        <v>pharma</v>
      </c>
      <c r="L550" s="37" t="s">
        <v>139</v>
      </c>
      <c r="M550" s="37" t="str">
        <f t="shared" si="132"/>
        <v>north</v>
      </c>
      <c r="N550" s="37" t="s">
        <v>215</v>
      </c>
      <c r="O550" s="41" t="str">
        <f t="shared" si="133"/>
        <v>Yes</v>
      </c>
      <c r="P550" s="41">
        <v>2.2</v>
      </c>
      <c r="Q550" s="41">
        <v>193</v>
      </c>
      <c r="R550" s="42">
        <f t="shared" si="134"/>
        <v>87.7272727272727</v>
      </c>
      <c r="S550" s="37">
        <v>6</v>
      </c>
      <c r="T550" s="37" t="s">
        <v>309</v>
      </c>
      <c r="U550" s="43" t="str">
        <f t="shared" si="135"/>
        <v>08/03/2024</v>
      </c>
      <c r="V550" s="43">
        <f t="shared" si="136"/>
        <v>45359</v>
      </c>
      <c r="W550" s="44">
        <f t="array" ref="W550">_xlfn.IFS(TRIM(C550)="","",TRIM(V550)="","",TRUE,V550-C550)</f>
        <v>7</v>
      </c>
      <c r="X550" s="37">
        <f t="shared" si="137"/>
        <v>1</v>
      </c>
      <c r="Y550" s="37" t="s">
        <v>72</v>
      </c>
      <c r="Z550" s="37" t="str">
        <f t="shared" si="138"/>
        <v>delayed</v>
      </c>
      <c r="AA550" s="37" t="str">
        <f t="shared" si="139"/>
        <v>Late</v>
      </c>
      <c r="AB550" s="37" t="str">
        <f t="shared" si="142"/>
        <v>1</v>
      </c>
      <c r="AC550" s="37">
        <f t="shared" si="143"/>
        <v>1</v>
      </c>
      <c r="AD550" s="45">
        <f t="shared" si="141"/>
        <v>0.512918660287081</v>
      </c>
      <c r="AE550" s="37">
        <v>5</v>
      </c>
      <c r="AF550" s="37" t="s">
        <v>152</v>
      </c>
      <c r="AG550" s="37" t="str">
        <f t="shared" si="140"/>
        <v>no</v>
      </c>
      <c r="AH550" s="37" t="str">
        <f t="array" ref="AH550">_xlfn.IFS(LOWER(AG550)="n","no",LOWER(AG550)="y","yes",TRUE,LOWER(AG550))</f>
        <v>no</v>
      </c>
      <c r="AI550" s="37" t="s">
        <v>4692</v>
      </c>
    </row>
    <row r="551" spans="1:35">
      <c r="A551" s="46" t="s">
        <v>2258</v>
      </c>
      <c r="B551" s="47" t="s">
        <v>4726</v>
      </c>
      <c r="C551" s="39">
        <f t="shared" si="128"/>
        <v>45304</v>
      </c>
      <c r="D551" s="48" t="s">
        <v>633</v>
      </c>
      <c r="E551" s="37" t="str" cm="1">
        <f t="array" ref="E551">_xlfn.IFS(D551="delhi","north",D551="mumbai","west",D551="bengaluru","south",D551="chennai","south",D551="kolkata","east",TRUE,"west")</f>
        <v>south</v>
      </c>
      <c r="F551" s="46" t="s">
        <v>194</v>
      </c>
      <c r="G551" s="37" t="str">
        <f t="shared" si="129"/>
        <v>xpressbees</v>
      </c>
      <c r="H551" s="46" t="s">
        <v>137</v>
      </c>
      <c r="I551" s="37" t="str">
        <f t="shared" si="130"/>
        <v>road</v>
      </c>
      <c r="J551" s="46" t="s">
        <v>271</v>
      </c>
      <c r="K551" s="37" t="str">
        <f t="shared" si="131"/>
        <v>electronics</v>
      </c>
      <c r="L551" s="46" t="s">
        <v>125</v>
      </c>
      <c r="M551" s="37" t="str">
        <f t="shared" si="132"/>
        <v>east</v>
      </c>
      <c r="N551" s="46" t="s">
        <v>126</v>
      </c>
      <c r="O551" s="41" t="str">
        <f t="shared" si="133"/>
        <v>Yes</v>
      </c>
      <c r="P551" s="49">
        <v>8</v>
      </c>
      <c r="Q551" s="49">
        <v>236</v>
      </c>
      <c r="R551" s="42">
        <f t="shared" si="134"/>
        <v>29.5</v>
      </c>
      <c r="S551" s="46">
        <v>8</v>
      </c>
      <c r="T551" s="46" t="s">
        <v>1854</v>
      </c>
      <c r="U551" s="43" t="str">
        <f t="shared" si="135"/>
        <v>22/01/2024</v>
      </c>
      <c r="V551" s="43">
        <f t="shared" si="136"/>
        <v>45313</v>
      </c>
      <c r="W551" s="44">
        <f t="array" ref="W551">_xlfn.IFS(TRIM(C551)="","",TRIM(V551)="","",TRUE,V551-C551)</f>
        <v>9</v>
      </c>
      <c r="X551" s="37">
        <f t="shared" si="137"/>
        <v>1</v>
      </c>
      <c r="Y551" s="46" t="s">
        <v>72</v>
      </c>
      <c r="Z551" s="37" t="str">
        <f t="shared" si="138"/>
        <v>delayed</v>
      </c>
      <c r="AA551" s="37" t="str">
        <f t="shared" si="139"/>
        <v>Late</v>
      </c>
      <c r="AB551" s="37" t="str">
        <f t="shared" si="142"/>
        <v>1</v>
      </c>
      <c r="AC551" s="37">
        <f t="shared" si="143"/>
        <v>1</v>
      </c>
      <c r="AD551" s="45">
        <f t="shared" si="141"/>
        <v>0.512452107279693</v>
      </c>
      <c r="AE551" s="46">
        <v>3</v>
      </c>
      <c r="AF551" s="46" t="s">
        <v>118</v>
      </c>
      <c r="AG551" s="37" t="str">
        <f t="shared" si="140"/>
        <v>no</v>
      </c>
      <c r="AH551" s="37" t="str">
        <f t="array" ref="AH551">_xlfn.IFS(LOWER(AG551)="n","no",LOWER(AG551)="y","yes",TRUE,LOWER(AG551))</f>
        <v>no</v>
      </c>
      <c r="AI551" s="46" t="s">
        <v>4692</v>
      </c>
    </row>
    <row r="552" spans="1:35">
      <c r="A552" s="37" t="s">
        <v>2260</v>
      </c>
      <c r="B552" s="38">
        <v>45433</v>
      </c>
      <c r="C552" s="39">
        <f t="shared" si="128"/>
        <v>45433</v>
      </c>
      <c r="D552" s="40" t="s">
        <v>166</v>
      </c>
      <c r="E552" s="37" t="str" cm="1">
        <f t="array" ref="E552">_xlfn.IFS(D552="delhi","north",D552="mumbai","west",D552="bengaluru","south",D552="chennai","south",D552="kolkata","east",TRUE,"west")</f>
        <v>west</v>
      </c>
      <c r="F552" s="37" t="s">
        <v>213</v>
      </c>
      <c r="G552" s="37" t="str">
        <f t="shared" si="129"/>
        <v>dtdc</v>
      </c>
      <c r="H552" s="37" t="s">
        <v>176</v>
      </c>
      <c r="I552" s="37" t="str">
        <f t="shared" si="130"/>
        <v>road</v>
      </c>
      <c r="J552" s="37" t="s">
        <v>664</v>
      </c>
      <c r="K552" s="37" t="str">
        <f t="shared" si="131"/>
        <v>grocery&amp;fmcg</v>
      </c>
      <c r="L552" s="37" t="s">
        <v>334</v>
      </c>
      <c r="M552" s="37" t="str">
        <f t="shared" si="132"/>
        <v>north</v>
      </c>
      <c r="N552" s="37" t="s">
        <v>113</v>
      </c>
      <c r="O552" s="41" t="str">
        <f t="shared" si="133"/>
        <v>Yes</v>
      </c>
      <c r="P552" s="41" t="s">
        <v>1476</v>
      </c>
      <c r="Q552" s="41" t="s">
        <v>2261</v>
      </c>
      <c r="R552" s="42">
        <f t="shared" si="134"/>
        <v>31.8</v>
      </c>
      <c r="S552" s="37">
        <v>8</v>
      </c>
      <c r="T552" s="37" t="s">
        <v>1195</v>
      </c>
      <c r="U552" s="43" t="str">
        <f t="shared" si="135"/>
        <v>2024-05-28</v>
      </c>
      <c r="V552" s="43">
        <f t="shared" si="136"/>
        <v>45440</v>
      </c>
      <c r="W552" s="44">
        <f t="array" ref="W552">_xlfn.IFS(TRIM(C552)="","",TRIM(V552)="","",TRUE,V552-C552)</f>
        <v>7</v>
      </c>
      <c r="X552" s="37">
        <f t="shared" si="137"/>
        <v>-1</v>
      </c>
      <c r="Y552" s="37" t="s">
        <v>163</v>
      </c>
      <c r="Z552" s="37" t="str">
        <f t="shared" si="138"/>
        <v>delivered</v>
      </c>
      <c r="AA552" s="37" t="str">
        <f t="shared" si="139"/>
        <v>On Time</v>
      </c>
      <c r="AB552" s="37" t="str">
        <f t="shared" si="142"/>
        <v>0</v>
      </c>
      <c r="AC552" s="37">
        <f t="shared" si="143"/>
        <v>0</v>
      </c>
      <c r="AD552" s="45">
        <f t="shared" si="141"/>
        <v>0.511984659635666</v>
      </c>
      <c r="AE552" s="37">
        <v>4</v>
      </c>
      <c r="AF552" s="37" t="s">
        <v>191</v>
      </c>
      <c r="AG552" s="37" t="str">
        <f t="shared" si="140"/>
        <v>no</v>
      </c>
      <c r="AH552" s="37" t="str">
        <f t="array" ref="AH552">_xlfn.IFS(LOWER(AG552)="n","no",LOWER(AG552)="y","yes",TRUE,LOWER(AG552))</f>
        <v>no</v>
      </c>
      <c r="AI552" s="37" t="s">
        <v>4692</v>
      </c>
    </row>
    <row r="553" spans="1:35">
      <c r="A553" s="46" t="s">
        <v>2262</v>
      </c>
      <c r="B553" s="47">
        <v>45357</v>
      </c>
      <c r="C553" s="39">
        <f t="shared" si="128"/>
        <v>45357</v>
      </c>
      <c r="D553" s="48" t="s">
        <v>300</v>
      </c>
      <c r="E553" s="37" t="str" cm="1">
        <f t="array" ref="E553">_xlfn.IFS(D553="delhi","north",D553="mumbai","west",D553="bengaluru","south",D553="chennai","south",D553="kolkata","east",TRUE,"west")</f>
        <v>west</v>
      </c>
      <c r="F553" s="46" t="s">
        <v>184</v>
      </c>
      <c r="G553" s="37" t="str">
        <f t="shared" si="129"/>
        <v>ecomexpress</v>
      </c>
      <c r="H553" s="46" t="s">
        <v>345</v>
      </c>
      <c r="I553" s="37" t="str">
        <f t="shared" si="130"/>
        <v>surface</v>
      </c>
      <c r="J553" s="46" t="s">
        <v>319</v>
      </c>
      <c r="K553" s="37" t="str">
        <f t="shared" si="131"/>
        <v>electronics</v>
      </c>
      <c r="L553" s="46" t="s">
        <v>51</v>
      </c>
      <c r="M553" s="37" t="str">
        <f t="shared" si="132"/>
        <v>south</v>
      </c>
      <c r="N553" s="46" t="s">
        <v>327</v>
      </c>
      <c r="O553" s="41" t="str">
        <f t="shared" si="133"/>
        <v>Yes</v>
      </c>
      <c r="P553" s="49" t="s">
        <v>539</v>
      </c>
      <c r="Q553" s="49">
        <v>111</v>
      </c>
      <c r="R553" s="42">
        <f t="shared" si="134"/>
        <v>31.7142857142857</v>
      </c>
      <c r="S553" s="46">
        <v>4</v>
      </c>
      <c r="T553" s="46" t="s">
        <v>913</v>
      </c>
      <c r="U553" s="43" t="str">
        <f t="shared" si="135"/>
        <v>11/03/2024</v>
      </c>
      <c r="V553" s="43">
        <f t="shared" si="136"/>
        <v>45362</v>
      </c>
      <c r="W553" s="44">
        <f t="array" ref="W553">_xlfn.IFS(TRIM(C553)="","",TRIM(V553)="","",TRUE,V553-C553)</f>
        <v>5</v>
      </c>
      <c r="X553" s="37">
        <f t="shared" si="137"/>
        <v>1</v>
      </c>
      <c r="Y553" s="46" t="s">
        <v>200</v>
      </c>
      <c r="Z553" s="37" t="str">
        <f t="shared" si="138"/>
        <v>delayed</v>
      </c>
      <c r="AA553" s="37" t="str">
        <f t="shared" si="139"/>
        <v>Late</v>
      </c>
      <c r="AB553" s="37" t="str">
        <f t="shared" si="142"/>
        <v>1</v>
      </c>
      <c r="AC553" s="37">
        <f t="shared" si="143"/>
        <v>1</v>
      </c>
      <c r="AD553" s="45">
        <f t="shared" si="141"/>
        <v>0.512476007677543</v>
      </c>
      <c r="AE553" s="46">
        <v>3</v>
      </c>
      <c r="AF553" s="46" t="s">
        <v>286</v>
      </c>
      <c r="AG553" s="37" t="str">
        <f t="shared" si="140"/>
        <v>yes</v>
      </c>
      <c r="AH553" s="37" t="str">
        <f t="array" ref="AH553">_xlfn.IFS(LOWER(AG553)="n","no",LOWER(AG553)="y","yes",TRUE,LOWER(AG553))</f>
        <v>yes</v>
      </c>
      <c r="AI553" s="46" t="s">
        <v>4692</v>
      </c>
    </row>
    <row r="554" spans="1:35">
      <c r="A554" s="37" t="s">
        <v>2264</v>
      </c>
      <c r="B554" s="38">
        <v>45292</v>
      </c>
      <c r="C554" s="39">
        <f t="shared" si="128"/>
        <v>45292</v>
      </c>
      <c r="D554" s="40" t="s">
        <v>366</v>
      </c>
      <c r="E554" s="37" t="str" cm="1">
        <f t="array" ref="E554">_xlfn.IFS(D554="delhi","north",D554="mumbai","west",D554="bengaluru","south",D554="chennai","south",D554="kolkata","east",TRUE,"west")</f>
        <v>east</v>
      </c>
      <c r="F554" s="37" t="s">
        <v>312</v>
      </c>
      <c r="G554" s="37" t="str">
        <f t="shared" si="129"/>
        <v>bluedart</v>
      </c>
      <c r="H554" s="37" t="s">
        <v>99</v>
      </c>
      <c r="I554" s="37" t="str">
        <f t="shared" si="130"/>
        <v>air</v>
      </c>
      <c r="J554" s="37" t="s">
        <v>231</v>
      </c>
      <c r="K554" s="37" t="str">
        <f t="shared" si="131"/>
        <v>furniture</v>
      </c>
      <c r="L554" s="37" t="s">
        <v>51</v>
      </c>
      <c r="M554" s="37" t="str">
        <f t="shared" si="132"/>
        <v>south</v>
      </c>
      <c r="N554" s="37" t="s">
        <v>93</v>
      </c>
      <c r="O554" s="41" t="str">
        <f t="shared" si="133"/>
        <v>Yes</v>
      </c>
      <c r="P554" s="41">
        <v>64.5</v>
      </c>
      <c r="Q554" s="41">
        <v>3105</v>
      </c>
      <c r="R554" s="42">
        <f t="shared" si="134"/>
        <v>48.1395348837209</v>
      </c>
      <c r="S554" s="37">
        <v>4</v>
      </c>
      <c r="T554" s="37" t="s">
        <v>1681</v>
      </c>
      <c r="U554" s="43" t="str">
        <f t="shared" si="135"/>
        <v>06-jan-2024</v>
      </c>
      <c r="V554" s="43">
        <f t="shared" si="136"/>
        <v>45297</v>
      </c>
      <c r="W554" s="44">
        <f t="array" ref="W554">_xlfn.IFS(TRIM(C554)="","",TRIM(V554)="","",TRUE,V554-C554)</f>
        <v>5</v>
      </c>
      <c r="X554" s="37">
        <f t="shared" si="137"/>
        <v>1</v>
      </c>
      <c r="Y554" s="37" t="s">
        <v>337</v>
      </c>
      <c r="Z554" s="37" t="str">
        <f t="shared" si="138"/>
        <v>damaged</v>
      </c>
      <c r="AA554" s="37" t="str">
        <f t="shared" si="139"/>
        <v>Late</v>
      </c>
      <c r="AB554" s="37" t="str">
        <f t="shared" si="142"/>
        <v>1</v>
      </c>
      <c r="AC554" s="37">
        <f t="shared" si="143"/>
        <v>1</v>
      </c>
      <c r="AD554" s="45">
        <f t="shared" si="141"/>
        <v>0.512007684918348</v>
      </c>
      <c r="AE554" s="37"/>
      <c r="AF554" s="37" t="s">
        <v>286</v>
      </c>
      <c r="AG554" s="37" t="str">
        <f t="shared" si="140"/>
        <v>yes</v>
      </c>
      <c r="AH554" s="37" t="str">
        <f t="array" ref="AH554">_xlfn.IFS(LOWER(AG554)="n","no",LOWER(AG554)="y","yes",TRUE,LOWER(AG554))</f>
        <v>yes</v>
      </c>
      <c r="AI554" s="37" t="s">
        <v>759</v>
      </c>
    </row>
    <row r="555" spans="1:35">
      <c r="A555" s="46" t="s">
        <v>2268</v>
      </c>
      <c r="B555" s="47">
        <v>45363</v>
      </c>
      <c r="C555" s="39">
        <f t="shared" si="128"/>
        <v>45363</v>
      </c>
      <c r="D555" s="48" t="s">
        <v>633</v>
      </c>
      <c r="E555" s="37" t="str" cm="1">
        <f t="array" ref="E555">_xlfn.IFS(D555="delhi","north",D555="mumbai","west",D555="bengaluru","south",D555="chennai","south",D555="kolkata","east",TRUE,"west")</f>
        <v>south</v>
      </c>
      <c r="F555" s="46" t="s">
        <v>919</v>
      </c>
      <c r="G555" s="37" t="str">
        <f t="shared" si="129"/>
        <v>xpressbees</v>
      </c>
      <c r="H555" s="46" t="s">
        <v>42</v>
      </c>
      <c r="I555" s="37" t="str">
        <f t="shared" si="130"/>
        <v>surface</v>
      </c>
      <c r="J555" s="46" t="s">
        <v>158</v>
      </c>
      <c r="K555" s="37" t="str">
        <f t="shared" si="131"/>
        <v>pharma</v>
      </c>
      <c r="L555" s="46" t="s">
        <v>125</v>
      </c>
      <c r="M555" s="37" t="str">
        <f t="shared" si="132"/>
        <v>east</v>
      </c>
      <c r="N555" s="46" t="s">
        <v>91</v>
      </c>
      <c r="O555" s="41" t="str">
        <f t="shared" si="133"/>
        <v>Yes</v>
      </c>
      <c r="P555" s="49" t="s">
        <v>1548</v>
      </c>
      <c r="Q555" s="49">
        <v>237</v>
      </c>
      <c r="R555" s="42">
        <f t="shared" si="134"/>
        <v>91.1538461538461</v>
      </c>
      <c r="S555" s="46">
        <v>6</v>
      </c>
      <c r="T555" s="46" t="s">
        <v>2269</v>
      </c>
      <c r="U555" s="43" t="str">
        <f t="shared" si="135"/>
        <v>20/03/2024</v>
      </c>
      <c r="V555" s="43">
        <f t="shared" si="136"/>
        <v>45371</v>
      </c>
      <c r="W555" s="44">
        <f t="array" ref="W555">_xlfn.IFS(TRIM(C555)="","",TRIM(V555)="","",TRUE,V555-C555)</f>
        <v>8</v>
      </c>
      <c r="X555" s="37">
        <f t="shared" si="137"/>
        <v>2</v>
      </c>
      <c r="Y555" s="46" t="s">
        <v>72</v>
      </c>
      <c r="Z555" s="37" t="str">
        <f t="shared" si="138"/>
        <v>delayed</v>
      </c>
      <c r="AA555" s="37" t="str">
        <f t="shared" si="139"/>
        <v>Late</v>
      </c>
      <c r="AB555" s="37" t="str">
        <f t="shared" si="142"/>
        <v>1</v>
      </c>
      <c r="AC555" s="37">
        <f t="shared" si="143"/>
        <v>1</v>
      </c>
      <c r="AD555" s="45">
        <f t="shared" si="141"/>
        <v>0.511538461538461</v>
      </c>
      <c r="AE555" s="46">
        <v>3</v>
      </c>
      <c r="AF555" s="46" t="s">
        <v>106</v>
      </c>
      <c r="AG555" s="37" t="str">
        <f t="shared" si="140"/>
        <v>yes</v>
      </c>
      <c r="AH555" s="37" t="str">
        <f t="array" ref="AH555">_xlfn.IFS(LOWER(AG555)="n","no",LOWER(AG555)="y","yes",TRUE,LOWER(AG555))</f>
        <v>yes</v>
      </c>
      <c r="AI555" s="46" t="s">
        <v>4692</v>
      </c>
    </row>
    <row r="556" spans="1:35">
      <c r="A556" s="37" t="s">
        <v>2270</v>
      </c>
      <c r="B556" s="38" t="s">
        <v>4799</v>
      </c>
      <c r="C556" s="39">
        <f t="shared" si="128"/>
        <v>45392</v>
      </c>
      <c r="D556" s="40" t="s">
        <v>4705</v>
      </c>
      <c r="E556" s="37" t="str" cm="1">
        <f t="array" ref="E556">_xlfn.IFS(D556="delhi","north",D556="mumbai","west",D556="bengaluru","south",D556="chennai","south",D556="kolkata","east",TRUE,"west")</f>
        <v>west</v>
      </c>
      <c r="F556" s="37" t="s">
        <v>230</v>
      </c>
      <c r="G556" s="37" t="str">
        <f t="shared" si="129"/>
        <v>dtdc</v>
      </c>
      <c r="H556" s="37" t="s">
        <v>42</v>
      </c>
      <c r="I556" s="37" t="str">
        <f t="shared" si="130"/>
        <v>surface</v>
      </c>
      <c r="J556" s="37" t="s">
        <v>1014</v>
      </c>
      <c r="K556" s="37" t="str">
        <f t="shared" si="131"/>
        <v>pharma</v>
      </c>
      <c r="L556" s="37" t="s">
        <v>257</v>
      </c>
      <c r="M556" s="37" t="str">
        <f t="shared" si="132"/>
        <v>west</v>
      </c>
      <c r="N556" s="37" t="s">
        <v>206</v>
      </c>
      <c r="O556" s="41" t="str">
        <f t="shared" si="133"/>
        <v>Yes</v>
      </c>
      <c r="P556" s="41">
        <v>1.4</v>
      </c>
      <c r="Q556" s="41" t="s">
        <v>2272</v>
      </c>
      <c r="R556" s="42">
        <f t="shared" si="134"/>
        <v>117.857142857143</v>
      </c>
      <c r="S556" s="37">
        <v>6</v>
      </c>
      <c r="T556" s="37" t="s">
        <v>1220</v>
      </c>
      <c r="U556" s="43" t="str">
        <f t="shared" si="135"/>
        <v>16/04/2024</v>
      </c>
      <c r="V556" s="43">
        <f t="shared" si="136"/>
        <v>45398</v>
      </c>
      <c r="W556" s="44">
        <f t="array" ref="W556">_xlfn.IFS(TRIM(C556)="","",TRIM(V556)="","",TRUE,V556-C556)</f>
        <v>6</v>
      </c>
      <c r="X556" s="37">
        <f t="shared" si="137"/>
        <v>0</v>
      </c>
      <c r="Y556" s="37" t="s">
        <v>219</v>
      </c>
      <c r="Z556" s="37" t="str">
        <f t="shared" si="138"/>
        <v>delivered</v>
      </c>
      <c r="AA556" s="37" t="str">
        <f t="shared" si="139"/>
        <v>On Time</v>
      </c>
      <c r="AB556" s="37" t="str">
        <f t="shared" si="142"/>
        <v>0</v>
      </c>
      <c r="AC556" s="37">
        <f t="shared" si="143"/>
        <v>0</v>
      </c>
      <c r="AD556" s="45">
        <f t="shared" si="141"/>
        <v>0.51106833493744</v>
      </c>
      <c r="AE556" s="37">
        <v>4</v>
      </c>
      <c r="AF556" s="37" t="s">
        <v>191</v>
      </c>
      <c r="AG556" s="37" t="str">
        <f t="shared" si="140"/>
        <v>no</v>
      </c>
      <c r="AH556" s="37" t="str">
        <f t="array" ref="AH556">_xlfn.IFS(LOWER(AG556)="n","no",LOWER(AG556)="y","yes",TRUE,LOWER(AG556))</f>
        <v>no</v>
      </c>
      <c r="AI556" s="37" t="s">
        <v>4692</v>
      </c>
    </row>
    <row r="557" spans="1:35">
      <c r="A557" s="46" t="s">
        <v>2273</v>
      </c>
      <c r="B557" s="47">
        <v>45370</v>
      </c>
      <c r="C557" s="39">
        <f t="shared" si="128"/>
        <v>45370</v>
      </c>
      <c r="D557" s="48" t="s">
        <v>633</v>
      </c>
      <c r="E557" s="37" t="str" cm="1">
        <f t="array" ref="E557">_xlfn.IFS(D557="delhi","north",D557="mumbai","west",D557="bengaluru","south",D557="chennai","south",D557="kolkata","east",TRUE,"west")</f>
        <v>south</v>
      </c>
      <c r="F557" s="46" t="s">
        <v>204</v>
      </c>
      <c r="G557" s="37" t="str">
        <f t="shared" si="129"/>
        <v>delhivery</v>
      </c>
      <c r="H557" s="46" t="s">
        <v>110</v>
      </c>
      <c r="I557" s="37" t="str">
        <f t="shared" si="130"/>
        <v>surface</v>
      </c>
      <c r="J557" s="46" t="s">
        <v>430</v>
      </c>
      <c r="K557" s="37" t="str">
        <f t="shared" si="131"/>
        <v>pharma</v>
      </c>
      <c r="L557" s="46" t="s">
        <v>87</v>
      </c>
      <c r="M557" s="37" t="str">
        <f t="shared" si="132"/>
        <v>north</v>
      </c>
      <c r="N557" s="46" t="s">
        <v>32</v>
      </c>
      <c r="O557" s="41" t="str">
        <f t="shared" si="133"/>
        <v>Yes</v>
      </c>
      <c r="P557" s="49">
        <v>0.7</v>
      </c>
      <c r="Q557" s="49" t="s">
        <v>2274</v>
      </c>
      <c r="R557" s="42">
        <f t="shared" si="134"/>
        <v>230</v>
      </c>
      <c r="S557" s="46">
        <v>6</v>
      </c>
      <c r="T557" s="46" t="s">
        <v>758</v>
      </c>
      <c r="U557" s="43" t="str">
        <f t="shared" si="135"/>
        <v>26/03/2024</v>
      </c>
      <c r="V557" s="43">
        <f t="shared" si="136"/>
        <v>45377</v>
      </c>
      <c r="W557" s="44">
        <f t="array" ref="W557">_xlfn.IFS(TRIM(C557)="","",TRIM(V557)="","",TRUE,V557-C557)</f>
        <v>7</v>
      </c>
      <c r="X557" s="37">
        <f t="shared" si="137"/>
        <v>1</v>
      </c>
      <c r="Y557" s="46" t="s">
        <v>172</v>
      </c>
      <c r="Z557" s="37" t="str">
        <f t="shared" si="138"/>
        <v>delayed</v>
      </c>
      <c r="AA557" s="37" t="str">
        <f t="shared" si="139"/>
        <v>Late</v>
      </c>
      <c r="AB557" s="37" t="str">
        <f t="shared" si="142"/>
        <v>1</v>
      </c>
      <c r="AC557" s="37">
        <f t="shared" si="143"/>
        <v>1</v>
      </c>
      <c r="AD557" s="45">
        <f t="shared" si="141"/>
        <v>0.511560693641618</v>
      </c>
      <c r="AE557" s="46">
        <v>1</v>
      </c>
      <c r="AF557" s="46" t="s">
        <v>152</v>
      </c>
      <c r="AG557" s="37" t="str">
        <f t="shared" si="140"/>
        <v>no</v>
      </c>
      <c r="AH557" s="37" t="str">
        <f t="array" ref="AH557">_xlfn.IFS(LOWER(AG557)="n","no",LOWER(AG557)="y","yes",TRUE,LOWER(AG557))</f>
        <v>no</v>
      </c>
      <c r="AI557" s="46" t="s">
        <v>4692</v>
      </c>
    </row>
    <row r="558" spans="1:35">
      <c r="A558" s="37" t="s">
        <v>2275</v>
      </c>
      <c r="B558" s="38">
        <v>45402</v>
      </c>
      <c r="C558" s="39">
        <f t="shared" si="128"/>
        <v>45402</v>
      </c>
      <c r="D558" s="40" t="s">
        <v>4700</v>
      </c>
      <c r="E558" s="37" t="str" cm="1">
        <f t="array" ref="E558">_xlfn.IFS(D558="delhi","north",D558="mumbai","west",D558="bengaluru","south",D558="chennai","south",D558="kolkata","east",TRUE,"west")</f>
        <v>west</v>
      </c>
      <c r="F558" s="37" t="s">
        <v>204</v>
      </c>
      <c r="G558" s="37" t="str">
        <f t="shared" si="129"/>
        <v>delhivery</v>
      </c>
      <c r="H558" s="37" t="s">
        <v>195</v>
      </c>
      <c r="I558" s="37" t="str">
        <f t="shared" si="130"/>
        <v>road</v>
      </c>
      <c r="J558" s="37" t="s">
        <v>237</v>
      </c>
      <c r="K558" s="37" t="str">
        <f t="shared" si="131"/>
        <v>automotiveparts</v>
      </c>
      <c r="L558" s="37" t="s">
        <v>101</v>
      </c>
      <c r="M558" s="37" t="str">
        <f t="shared" si="132"/>
        <v>west</v>
      </c>
      <c r="N558" s="37" t="s">
        <v>187</v>
      </c>
      <c r="O558" s="41" t="str">
        <f t="shared" si="133"/>
        <v/>
      </c>
      <c r="P558" s="41">
        <v>11.4</v>
      </c>
      <c r="Q558" s="41">
        <v>346</v>
      </c>
      <c r="R558" s="42">
        <f t="shared" si="134"/>
        <v>30.3508771929825</v>
      </c>
      <c r="S558" s="37">
        <v>8</v>
      </c>
      <c r="T558" s="37" t="s">
        <v>2278</v>
      </c>
      <c r="U558" s="43" t="str">
        <f t="shared" si="135"/>
        <v>05/05/2024</v>
      </c>
      <c r="V558" s="43">
        <f t="shared" si="136"/>
        <v>45417</v>
      </c>
      <c r="W558" s="44">
        <f t="array" ref="W558">_xlfn.IFS(TRIM(C558)="","",TRIM(V558)="","",TRUE,V558-C558)</f>
        <v>15</v>
      </c>
      <c r="X558" s="37">
        <f t="shared" si="137"/>
        <v>7</v>
      </c>
      <c r="Y558" s="37" t="s">
        <v>72</v>
      </c>
      <c r="Z558" s="37" t="str">
        <f t="shared" si="138"/>
        <v>delayed</v>
      </c>
      <c r="AA558" s="37" t="str">
        <f t="shared" si="139"/>
        <v>Late</v>
      </c>
      <c r="AB558" s="37" t="str">
        <f t="shared" si="142"/>
        <v>1</v>
      </c>
      <c r="AC558" s="37">
        <f t="shared" si="143"/>
        <v>1</v>
      </c>
      <c r="AD558" s="45">
        <f t="shared" si="141"/>
        <v>0.511089681774349</v>
      </c>
      <c r="AE558" s="37">
        <v>5</v>
      </c>
      <c r="AF558" s="37" t="s">
        <v>152</v>
      </c>
      <c r="AG558" s="37" t="str">
        <f t="shared" si="140"/>
        <v>no</v>
      </c>
      <c r="AH558" s="37" t="str">
        <f t="array" ref="AH558">_xlfn.IFS(LOWER(AG558)="n","no",LOWER(AG558)="y","yes",TRUE,LOWER(AG558))</f>
        <v>no</v>
      </c>
      <c r="AI558" s="37" t="s">
        <v>4692</v>
      </c>
    </row>
    <row r="559" spans="1:35">
      <c r="A559" s="46" t="s">
        <v>2279</v>
      </c>
      <c r="B559" s="47">
        <v>45460</v>
      </c>
      <c r="C559" s="39">
        <f t="shared" si="128"/>
        <v>45460</v>
      </c>
      <c r="D559" s="48" t="s">
        <v>633</v>
      </c>
      <c r="E559" s="37" t="str" cm="1">
        <f t="array" ref="E559">_xlfn.IFS(D559="delhi","north",D559="mumbai","west",D559="bengaluru","south",D559="chennai","south",D559="kolkata","east",TRUE,"west")</f>
        <v>south</v>
      </c>
      <c r="F559" s="46" t="s">
        <v>352</v>
      </c>
      <c r="G559" s="37" t="str">
        <f t="shared" si="129"/>
        <v>delhivery</v>
      </c>
      <c r="H559" s="46" t="s">
        <v>110</v>
      </c>
      <c r="I559" s="37" t="str">
        <f t="shared" si="130"/>
        <v>surface</v>
      </c>
      <c r="J559" s="46" t="s">
        <v>612</v>
      </c>
      <c r="K559" s="37" t="str">
        <f t="shared" si="131"/>
        <v>grocery&amp;fmcg</v>
      </c>
      <c r="L559" s="46" t="s">
        <v>197</v>
      </c>
      <c r="M559" s="37" t="str">
        <f t="shared" si="132"/>
        <v>south</v>
      </c>
      <c r="N559" s="46" t="s">
        <v>54</v>
      </c>
      <c r="O559" s="41" t="str">
        <f t="shared" si="133"/>
        <v>Yes</v>
      </c>
      <c r="P559" s="49">
        <v>13.4</v>
      </c>
      <c r="Q559" s="49" t="s">
        <v>2281</v>
      </c>
      <c r="R559" s="42">
        <f t="shared" si="134"/>
        <v>21.3432835820896</v>
      </c>
      <c r="S559" s="46">
        <v>4</v>
      </c>
      <c r="T559" s="46" t="s">
        <v>769</v>
      </c>
      <c r="U559" s="43" t="str">
        <f t="shared" si="135"/>
        <v>27/06/2024</v>
      </c>
      <c r="V559" s="43">
        <f t="shared" si="136"/>
        <v>45470</v>
      </c>
      <c r="W559" s="44">
        <f t="array" ref="W559">_xlfn.IFS(TRIM(C559)="","",TRIM(V559)="","",TRUE,V559-C559)</f>
        <v>10</v>
      </c>
      <c r="X559" s="37">
        <f t="shared" si="137"/>
        <v>6</v>
      </c>
      <c r="Y559" s="46" t="s">
        <v>143</v>
      </c>
      <c r="Z559" s="37" t="str">
        <f t="shared" si="138"/>
        <v>delayed</v>
      </c>
      <c r="AA559" s="37" t="str">
        <f t="shared" si="139"/>
        <v>Late</v>
      </c>
      <c r="AB559" s="37" t="str">
        <f t="shared" si="142"/>
        <v>1</v>
      </c>
      <c r="AC559" s="37">
        <f t="shared" si="143"/>
        <v>1</v>
      </c>
      <c r="AD559" s="45">
        <f t="shared" si="141"/>
        <v>0.510617760617761</v>
      </c>
      <c r="AE559" s="46">
        <v>3</v>
      </c>
      <c r="AF559" s="46" t="s">
        <v>181</v>
      </c>
      <c r="AG559" s="37" t="str">
        <f t="shared" si="140"/>
        <v>y</v>
      </c>
      <c r="AH559" s="37" t="str">
        <f t="array" ref="AH559">_xlfn.IFS(LOWER(AG559)="n","no",LOWER(AG559)="y","yes",TRUE,LOWER(AG559))</f>
        <v>yes</v>
      </c>
      <c r="AI559" s="46" t="s">
        <v>4692</v>
      </c>
    </row>
    <row r="560" spans="1:35">
      <c r="A560" s="37" t="s">
        <v>2282</v>
      </c>
      <c r="B560" s="38" t="s">
        <v>4790</v>
      </c>
      <c r="C560" s="39">
        <f t="shared" si="128"/>
        <v>45423</v>
      </c>
      <c r="D560" s="40" t="s">
        <v>109</v>
      </c>
      <c r="E560" s="37" t="str" cm="1">
        <f t="array" ref="E560">_xlfn.IFS(D560="delhi","north",D560="mumbai","west",D560="bengaluru","south",D560="chennai","south",D560="kolkata","east",TRUE,"west")</f>
        <v>west</v>
      </c>
      <c r="F560" s="37" t="s">
        <v>146</v>
      </c>
      <c r="G560" s="37" t="str">
        <f t="shared" si="129"/>
        <v>ecomexpress</v>
      </c>
      <c r="H560" s="37" t="s">
        <v>147</v>
      </c>
      <c r="I560" s="37" t="str">
        <f t="shared" si="130"/>
        <v>road</v>
      </c>
      <c r="J560" s="37" t="s">
        <v>385</v>
      </c>
      <c r="K560" s="37" t="str">
        <f t="shared" si="131"/>
        <v>furniture</v>
      </c>
      <c r="L560" s="37" t="s">
        <v>257</v>
      </c>
      <c r="M560" s="37" t="str">
        <f t="shared" si="132"/>
        <v>west</v>
      </c>
      <c r="N560" s="37" t="s">
        <v>187</v>
      </c>
      <c r="O560" s="41" t="str">
        <f t="shared" si="133"/>
        <v>Yes</v>
      </c>
      <c r="P560" s="41">
        <v>46.6</v>
      </c>
      <c r="Q560" s="41">
        <v>627</v>
      </c>
      <c r="R560" s="42">
        <f t="shared" si="134"/>
        <v>13.4549356223176</v>
      </c>
      <c r="S560" s="37">
        <v>6</v>
      </c>
      <c r="T560" s="37" t="s">
        <v>1895</v>
      </c>
      <c r="U560" s="43" t="str">
        <f t="shared" si="135"/>
        <v>2024-05-17</v>
      </c>
      <c r="V560" s="43">
        <f t="shared" si="136"/>
        <v>45429</v>
      </c>
      <c r="W560" s="44">
        <f t="array" ref="W560">_xlfn.IFS(TRIM(C560)="","",TRIM(V560)="","",TRUE,V560-C560)</f>
        <v>6</v>
      </c>
      <c r="X560" s="37">
        <f t="shared" si="137"/>
        <v>0</v>
      </c>
      <c r="Y560" s="37" t="s">
        <v>163</v>
      </c>
      <c r="Z560" s="37" t="str">
        <f t="shared" si="138"/>
        <v>delivered</v>
      </c>
      <c r="AA560" s="37" t="str">
        <f t="shared" si="139"/>
        <v>On Time</v>
      </c>
      <c r="AB560" s="37" t="str">
        <f t="shared" si="142"/>
        <v>0</v>
      </c>
      <c r="AC560" s="37">
        <f t="shared" si="143"/>
        <v>0</v>
      </c>
      <c r="AD560" s="45">
        <f t="shared" si="141"/>
        <v>0.510144927536232</v>
      </c>
      <c r="AE560" s="37">
        <v>5</v>
      </c>
      <c r="AF560" s="37" t="s">
        <v>118</v>
      </c>
      <c r="AG560" s="37" t="str">
        <f t="shared" si="140"/>
        <v>no</v>
      </c>
      <c r="AH560" s="37" t="str">
        <f t="array" ref="AH560">_xlfn.IFS(LOWER(AG560)="n","no",LOWER(AG560)="y","yes",TRUE,LOWER(AG560))</f>
        <v>no</v>
      </c>
      <c r="AI560" s="37" t="s">
        <v>4692</v>
      </c>
    </row>
    <row r="561" spans="1:35">
      <c r="A561" s="46" t="s">
        <v>2285</v>
      </c>
      <c r="B561" s="47" t="s">
        <v>4800</v>
      </c>
      <c r="C561" s="39">
        <f t="shared" si="128"/>
        <v>45379</v>
      </c>
      <c r="D561" s="48" t="s">
        <v>340</v>
      </c>
      <c r="E561" s="37" t="str" cm="1">
        <f t="array" ref="E561">_xlfn.IFS(D561="delhi","north",D561="mumbai","west",D561="bengaluru","south",D561="chennai","south",D561="kolkata","east",TRUE,"west")</f>
        <v>north</v>
      </c>
      <c r="F561" s="46" t="s">
        <v>312</v>
      </c>
      <c r="G561" s="37" t="str">
        <f t="shared" si="129"/>
        <v>bluedart</v>
      </c>
      <c r="H561" s="46" t="s">
        <v>224</v>
      </c>
      <c r="I561" s="37" t="str">
        <f t="shared" si="130"/>
        <v>air</v>
      </c>
      <c r="J561" s="46" t="s">
        <v>124</v>
      </c>
      <c r="K561" s="37" t="str">
        <f t="shared" si="131"/>
        <v>automotiveparts</v>
      </c>
      <c r="L561" s="46" t="s">
        <v>302</v>
      </c>
      <c r="M561" s="37" t="str">
        <f t="shared" si="132"/>
        <v>east</v>
      </c>
      <c r="N561" s="46" t="s">
        <v>91</v>
      </c>
      <c r="O561" s="41" t="str">
        <f t="shared" si="133"/>
        <v>Yes</v>
      </c>
      <c r="P561" s="49">
        <v>20.1</v>
      </c>
      <c r="Q561" s="49">
        <v>1104</v>
      </c>
      <c r="R561" s="42">
        <f t="shared" si="134"/>
        <v>54.9253731343284</v>
      </c>
      <c r="S561" s="46">
        <v>4</v>
      </c>
      <c r="T561" s="46" t="s">
        <v>1991</v>
      </c>
      <c r="U561" s="43" t="str">
        <f t="shared" si="135"/>
        <v>2024-04-01</v>
      </c>
      <c r="V561" s="43">
        <f t="shared" si="136"/>
        <v>45383</v>
      </c>
      <c r="W561" s="44">
        <f t="array" ref="W561">_xlfn.IFS(TRIM(C561)="","",TRIM(V561)="","",TRUE,V561-C561)</f>
        <v>4</v>
      </c>
      <c r="X561" s="37">
        <f t="shared" si="137"/>
        <v>0</v>
      </c>
      <c r="Y561" s="46" t="s">
        <v>219</v>
      </c>
      <c r="Z561" s="37" t="str">
        <f t="shared" si="138"/>
        <v>delivered</v>
      </c>
      <c r="AA561" s="37" t="str">
        <f t="shared" si="139"/>
        <v>On Time</v>
      </c>
      <c r="AB561" s="37" t="str">
        <f t="shared" si="142"/>
        <v>0</v>
      </c>
      <c r="AC561" s="37">
        <f t="shared" si="143"/>
        <v>0</v>
      </c>
      <c r="AD561" s="45">
        <f t="shared" si="141"/>
        <v>0.51063829787234</v>
      </c>
      <c r="AE561" s="46">
        <v>4</v>
      </c>
      <c r="AF561" s="46" t="s">
        <v>152</v>
      </c>
      <c r="AG561" s="37" t="str">
        <f t="shared" si="140"/>
        <v>no</v>
      </c>
      <c r="AH561" s="37" t="str">
        <f t="array" ref="AH561">_xlfn.IFS(LOWER(AG561)="n","no",LOWER(AG561)="y","yes",TRUE,LOWER(AG561))</f>
        <v>no</v>
      </c>
      <c r="AI561" s="46" t="s">
        <v>4692</v>
      </c>
    </row>
    <row r="562" spans="1:35">
      <c r="A562" s="37" t="s">
        <v>2287</v>
      </c>
      <c r="B562" s="38" t="s">
        <v>4778</v>
      </c>
      <c r="C562" s="39">
        <f t="shared" si="128"/>
        <v>45362</v>
      </c>
      <c r="D562" s="40" t="s">
        <v>4704</v>
      </c>
      <c r="E562" s="37" t="str" cm="1">
        <f t="array" ref="E562">_xlfn.IFS(D562="delhi","north",D562="mumbai","west",D562="bengaluru","south",D562="chennai","south",D562="kolkata","east",TRUE,"west")</f>
        <v>west</v>
      </c>
      <c r="F562" s="37" t="s">
        <v>37</v>
      </c>
      <c r="G562" s="37" t="str">
        <f t="shared" si="129"/>
        <v>bluedart</v>
      </c>
      <c r="H562" s="37" t="s">
        <v>123</v>
      </c>
      <c r="I562" s="37" t="str">
        <f t="shared" si="130"/>
        <v>air</v>
      </c>
      <c r="J562" s="37" t="s">
        <v>498</v>
      </c>
      <c r="K562" s="37" t="str">
        <f t="shared" si="131"/>
        <v>apparel</v>
      </c>
      <c r="L562" s="37" t="s">
        <v>380</v>
      </c>
      <c r="M562" s="37" t="str">
        <f t="shared" si="132"/>
        <v>east</v>
      </c>
      <c r="N562" s="37" t="s">
        <v>126</v>
      </c>
      <c r="O562" s="41" t="str">
        <f t="shared" si="133"/>
        <v>Yes</v>
      </c>
      <c r="P562" s="41">
        <v>1.3</v>
      </c>
      <c r="Q562" s="41">
        <v>117</v>
      </c>
      <c r="R562" s="42">
        <f t="shared" si="134"/>
        <v>90</v>
      </c>
      <c r="S562" s="37">
        <v>2</v>
      </c>
      <c r="T562" s="37" t="s">
        <v>835</v>
      </c>
      <c r="U562" s="43" t="str">
        <f t="shared" si="135"/>
        <v>13/03/2024</v>
      </c>
      <c r="V562" s="43">
        <f t="shared" si="136"/>
        <v>45364</v>
      </c>
      <c r="W562" s="44">
        <f t="array" ref="W562">_xlfn.IFS(TRIM(C562)="","",TRIM(V562)="","",TRUE,V562-C562)</f>
        <v>2</v>
      </c>
      <c r="X562" s="37">
        <f t="shared" si="137"/>
        <v>0</v>
      </c>
      <c r="Y562" s="37" t="s">
        <v>219</v>
      </c>
      <c r="Z562" s="37" t="str">
        <f t="shared" si="138"/>
        <v>delivered</v>
      </c>
      <c r="AA562" s="37" t="str">
        <f t="shared" si="139"/>
        <v>On Time</v>
      </c>
      <c r="AB562" s="37" t="str">
        <f t="shared" si="142"/>
        <v>0</v>
      </c>
      <c r="AC562" s="37">
        <f t="shared" si="143"/>
        <v>0</v>
      </c>
      <c r="AD562" s="45">
        <f t="shared" si="141"/>
        <v>0.511132623426912</v>
      </c>
      <c r="AE562" s="37">
        <v>5</v>
      </c>
      <c r="AF562" s="37" t="s">
        <v>152</v>
      </c>
      <c r="AG562" s="37" t="str">
        <f t="shared" si="140"/>
        <v>no</v>
      </c>
      <c r="AH562" s="37" t="str">
        <f t="array" ref="AH562">_xlfn.IFS(LOWER(AG562)="n","no",LOWER(AG562)="y","yes",TRUE,LOWER(AG562))</f>
        <v>no</v>
      </c>
      <c r="AI562" s="37" t="s">
        <v>4692</v>
      </c>
    </row>
    <row r="563" spans="1:35">
      <c r="A563" s="46" t="s">
        <v>2290</v>
      </c>
      <c r="B563" s="47">
        <v>45312</v>
      </c>
      <c r="C563" s="39">
        <f t="shared" si="128"/>
        <v>45312</v>
      </c>
      <c r="D563" s="48" t="s">
        <v>424</v>
      </c>
      <c r="E563" s="37" t="str" cm="1">
        <f t="array" ref="E563">_xlfn.IFS(D563="delhi","north",D563="mumbai","west",D563="bengaluru","south",D563="chennai","south",D563="kolkata","east",TRUE,"west")</f>
        <v>south</v>
      </c>
      <c r="F563" s="46" t="s">
        <v>367</v>
      </c>
      <c r="G563" s="37" t="str">
        <f t="shared" si="129"/>
        <v>dtdc</v>
      </c>
      <c r="H563" s="46" t="s">
        <v>244</v>
      </c>
      <c r="I563" s="37" t="str">
        <f t="shared" si="130"/>
        <v>air</v>
      </c>
      <c r="J563" s="46" t="s">
        <v>1682</v>
      </c>
      <c r="K563" s="37" t="str">
        <f t="shared" si="131"/>
        <v>furniture</v>
      </c>
      <c r="L563" s="46" t="s">
        <v>159</v>
      </c>
      <c r="M563" s="37" t="str">
        <f t="shared" si="132"/>
        <v>south</v>
      </c>
      <c r="N563" s="46" t="s">
        <v>90</v>
      </c>
      <c r="O563" s="41" t="str">
        <f t="shared" si="133"/>
        <v>Yes</v>
      </c>
      <c r="P563" s="49">
        <v>35.1</v>
      </c>
      <c r="Q563" s="51">
        <v>1630</v>
      </c>
      <c r="R563" s="42">
        <f t="shared" si="134"/>
        <v>46.4387464387464</v>
      </c>
      <c r="S563" s="46">
        <v>2</v>
      </c>
      <c r="T563" s="46" t="s">
        <v>1317</v>
      </c>
      <c r="U563" s="43" t="str">
        <f t="shared" si="135"/>
        <v>25/01/2024</v>
      </c>
      <c r="V563" s="43">
        <f t="shared" si="136"/>
        <v>45316</v>
      </c>
      <c r="W563" s="44">
        <f t="array" ref="W563">_xlfn.IFS(TRIM(C563)="","",TRIM(V563)="","",TRUE,V563-C563)</f>
        <v>4</v>
      </c>
      <c r="X563" s="37">
        <f t="shared" si="137"/>
        <v>2</v>
      </c>
      <c r="Y563" s="46" t="s">
        <v>143</v>
      </c>
      <c r="Z563" s="37" t="str">
        <f t="shared" si="138"/>
        <v>delayed</v>
      </c>
      <c r="AA563" s="37" t="str">
        <f t="shared" si="139"/>
        <v>Late</v>
      </c>
      <c r="AB563" s="37" t="str">
        <f t="shared" si="142"/>
        <v>1</v>
      </c>
      <c r="AC563" s="37">
        <f t="shared" si="143"/>
        <v>1</v>
      </c>
      <c r="AD563" s="45">
        <f t="shared" si="141"/>
        <v>0.511627906976744</v>
      </c>
      <c r="AE563" s="46">
        <v>3</v>
      </c>
      <c r="AF563" s="46" t="s">
        <v>118</v>
      </c>
      <c r="AG563" s="37" t="str">
        <f t="shared" si="140"/>
        <v>no</v>
      </c>
      <c r="AH563" s="37" t="str">
        <f t="array" ref="AH563">_xlfn.IFS(LOWER(AG563)="n","no",LOWER(AG563)="y","yes",TRUE,LOWER(AG563))</f>
        <v>no</v>
      </c>
      <c r="AI563" s="46" t="s">
        <v>4692</v>
      </c>
    </row>
    <row r="564" spans="1:35">
      <c r="A564" s="37" t="s">
        <v>2292</v>
      </c>
      <c r="B564" s="38">
        <v>45344</v>
      </c>
      <c r="C564" s="39">
        <f t="shared" si="128"/>
        <v>45344</v>
      </c>
      <c r="D564" s="40" t="s">
        <v>243</v>
      </c>
      <c r="E564" s="37" t="str" cm="1">
        <f t="array" ref="E564">_xlfn.IFS(D564="delhi","north",D564="mumbai","west",D564="bengaluru","south",D564="chennai","south",D564="kolkata","east",TRUE,"west")</f>
        <v>west</v>
      </c>
      <c r="F564" s="37" t="s">
        <v>194</v>
      </c>
      <c r="G564" s="37" t="str">
        <f t="shared" si="129"/>
        <v>xpressbees</v>
      </c>
      <c r="H564" s="37" t="s">
        <v>176</v>
      </c>
      <c r="I564" s="37" t="str">
        <f t="shared" si="130"/>
        <v>road</v>
      </c>
      <c r="J564" s="37" t="s">
        <v>263</v>
      </c>
      <c r="K564" s="37" t="str">
        <f t="shared" si="131"/>
        <v>apparel</v>
      </c>
      <c r="L564" s="37" t="s">
        <v>101</v>
      </c>
      <c r="M564" s="37" t="str">
        <f t="shared" si="132"/>
        <v>west</v>
      </c>
      <c r="N564" s="37" t="s">
        <v>187</v>
      </c>
      <c r="O564" s="41" t="str">
        <f t="shared" si="133"/>
        <v>Yes</v>
      </c>
      <c r="P564" s="41">
        <v>5.6</v>
      </c>
      <c r="Q564" s="41">
        <v>257</v>
      </c>
      <c r="R564" s="42">
        <f t="shared" si="134"/>
        <v>45.8928571428571</v>
      </c>
      <c r="S564" s="37">
        <v>8</v>
      </c>
      <c r="T564" s="37" t="s">
        <v>501</v>
      </c>
      <c r="U564" s="43" t="str">
        <f t="shared" si="135"/>
        <v>06-mar-2024</v>
      </c>
      <c r="V564" s="43">
        <f t="shared" si="136"/>
        <v>45357</v>
      </c>
      <c r="W564" s="44">
        <f t="array" ref="W564">_xlfn.IFS(TRIM(C564)="","",TRIM(V564)="","",TRUE,V564-C564)</f>
        <v>13</v>
      </c>
      <c r="X564" s="37">
        <f t="shared" si="137"/>
        <v>5</v>
      </c>
      <c r="Y564" s="37" t="s">
        <v>143</v>
      </c>
      <c r="Z564" s="37" t="str">
        <f t="shared" si="138"/>
        <v>delayed</v>
      </c>
      <c r="AA564" s="37" t="str">
        <f t="shared" si="139"/>
        <v>Late</v>
      </c>
      <c r="AB564" s="37" t="str">
        <f t="shared" si="142"/>
        <v>1</v>
      </c>
      <c r="AC564" s="37">
        <f t="shared" si="143"/>
        <v>1</v>
      </c>
      <c r="AD564" s="45">
        <f t="shared" si="141"/>
        <v>0.511154219204656</v>
      </c>
      <c r="AE564" s="37">
        <v>2</v>
      </c>
      <c r="AF564" s="37" t="s">
        <v>181</v>
      </c>
      <c r="AG564" s="37" t="str">
        <f t="shared" si="140"/>
        <v>y</v>
      </c>
      <c r="AH564" s="37" t="str">
        <f t="array" ref="AH564">_xlfn.IFS(LOWER(AG564)="n","no",LOWER(AG564)="y","yes",TRUE,LOWER(AG564))</f>
        <v>yes</v>
      </c>
      <c r="AI564" s="37" t="s">
        <v>4692</v>
      </c>
    </row>
    <row r="565" spans="1:35">
      <c r="A565" s="46" t="s">
        <v>2295</v>
      </c>
      <c r="B565" s="47">
        <v>45370</v>
      </c>
      <c r="C565" s="39">
        <f t="shared" si="128"/>
        <v>45370</v>
      </c>
      <c r="D565" s="48" t="s">
        <v>4712</v>
      </c>
      <c r="E565" s="37" t="str" cm="1">
        <f t="array" ref="E565">_xlfn.IFS(D565="delhi","north",D565="mumbai","west",D565="bengaluru","south",D565="chennai","south",D565="kolkata","east",TRUE,"west")</f>
        <v>west</v>
      </c>
      <c r="F565" s="46" t="s">
        <v>333</v>
      </c>
      <c r="G565" s="37" t="str">
        <f t="shared" si="129"/>
        <v>delhivery</v>
      </c>
      <c r="H565" s="46" t="s">
        <v>147</v>
      </c>
      <c r="I565" s="37" t="str">
        <f t="shared" si="130"/>
        <v>road</v>
      </c>
      <c r="J565" s="46" t="s">
        <v>47</v>
      </c>
      <c r="K565" s="37" t="str">
        <f t="shared" si="131"/>
        <v>electronics</v>
      </c>
      <c r="L565" s="46" t="s">
        <v>159</v>
      </c>
      <c r="M565" s="37" t="str">
        <f t="shared" si="132"/>
        <v>south</v>
      </c>
      <c r="N565" s="46" t="s">
        <v>54</v>
      </c>
      <c r="O565" s="41" t="str">
        <f t="shared" si="133"/>
        <v>Yes</v>
      </c>
      <c r="P565" s="49">
        <v>1.9</v>
      </c>
      <c r="Q565" s="49">
        <v>80</v>
      </c>
      <c r="R565" s="42">
        <f t="shared" si="134"/>
        <v>42.1052631578947</v>
      </c>
      <c r="S565" s="46">
        <v>6</v>
      </c>
      <c r="T565" s="46" t="s">
        <v>1991</v>
      </c>
      <c r="U565" s="43" t="str">
        <f t="shared" si="135"/>
        <v>2024-04-01</v>
      </c>
      <c r="V565" s="43">
        <f t="shared" si="136"/>
        <v>45383</v>
      </c>
      <c r="W565" s="44">
        <f t="array" ref="W565">_xlfn.IFS(TRIM(C565)="","",TRIM(V565)="","",TRUE,V565-C565)</f>
        <v>13</v>
      </c>
      <c r="X565" s="37">
        <f t="shared" si="137"/>
        <v>7</v>
      </c>
      <c r="Y565" s="46" t="s">
        <v>130</v>
      </c>
      <c r="Z565" s="37" t="str">
        <f t="shared" si="138"/>
        <v>damaged</v>
      </c>
      <c r="AA565" s="37" t="str">
        <f t="shared" si="139"/>
        <v>Late</v>
      </c>
      <c r="AB565" s="37" t="str">
        <f t="shared" si="142"/>
        <v>1</v>
      </c>
      <c r="AC565" s="37">
        <f t="shared" si="143"/>
        <v>1</v>
      </c>
      <c r="AD565" s="45">
        <f t="shared" si="141"/>
        <v>0.510679611650485</v>
      </c>
      <c r="AE565" s="46"/>
      <c r="AF565" s="46" t="s">
        <v>131</v>
      </c>
      <c r="AG565" s="37" t="str">
        <f t="shared" si="140"/>
        <v>n</v>
      </c>
      <c r="AH565" s="37" t="str">
        <f t="array" ref="AH565">_xlfn.IFS(LOWER(AG565)="n","no",LOWER(AG565)="y","yes",TRUE,LOWER(AG565))</f>
        <v>no</v>
      </c>
      <c r="AI565" s="46" t="s">
        <v>132</v>
      </c>
    </row>
    <row r="566" spans="1:35">
      <c r="A566" s="37" t="s">
        <v>2296</v>
      </c>
      <c r="B566" s="38" t="s">
        <v>4793</v>
      </c>
      <c r="C566" s="39">
        <f t="shared" si="128"/>
        <v>45427</v>
      </c>
      <c r="D566" s="40" t="s">
        <v>4694</v>
      </c>
      <c r="E566" s="37" t="str" cm="1">
        <f t="array" ref="E566">_xlfn.IFS(D566="delhi","north",D566="mumbai","west",D566="bengaluru","south",D566="chennai","south",D566="kolkata","east",TRUE,"west")</f>
        <v>west</v>
      </c>
      <c r="F566" s="37" t="s">
        <v>98</v>
      </c>
      <c r="G566" s="37" t="str">
        <f t="shared" si="129"/>
        <v>dtdc</v>
      </c>
      <c r="H566" s="37" t="s">
        <v>42</v>
      </c>
      <c r="I566" s="37" t="str">
        <f t="shared" si="130"/>
        <v>surface</v>
      </c>
      <c r="J566" s="37" t="s">
        <v>205</v>
      </c>
      <c r="K566" s="37" t="str">
        <f t="shared" si="131"/>
        <v>furniture</v>
      </c>
      <c r="L566" s="37" t="s">
        <v>101</v>
      </c>
      <c r="M566" s="37" t="str">
        <f t="shared" si="132"/>
        <v>west</v>
      </c>
      <c r="N566" s="37" t="s">
        <v>206</v>
      </c>
      <c r="O566" s="41" t="str">
        <f t="shared" si="133"/>
        <v>Yes</v>
      </c>
      <c r="P566" s="41">
        <v>25.5</v>
      </c>
      <c r="Q566" s="41" t="s">
        <v>2298</v>
      </c>
      <c r="R566" s="42">
        <f t="shared" si="134"/>
        <v>27.8823529411765</v>
      </c>
      <c r="S566" s="37">
        <v>6</v>
      </c>
      <c r="T566" s="37" t="s">
        <v>1064</v>
      </c>
      <c r="U566" s="43" t="str">
        <f t="shared" si="135"/>
        <v>2024-05-29</v>
      </c>
      <c r="V566" s="43">
        <f t="shared" si="136"/>
        <v>45441</v>
      </c>
      <c r="W566" s="44">
        <f t="array" ref="W566">_xlfn.IFS(TRIM(C566)="","",TRIM(V566)="","",TRUE,V566-C566)</f>
        <v>14</v>
      </c>
      <c r="X566" s="37">
        <f t="shared" si="137"/>
        <v>8</v>
      </c>
      <c r="Y566" s="37" t="s">
        <v>172</v>
      </c>
      <c r="Z566" s="37" t="str">
        <f t="shared" si="138"/>
        <v>delayed</v>
      </c>
      <c r="AA566" s="37" t="str">
        <f t="shared" si="139"/>
        <v>Late</v>
      </c>
      <c r="AB566" s="37" t="str">
        <f t="shared" si="142"/>
        <v>1</v>
      </c>
      <c r="AC566" s="37">
        <f t="shared" si="143"/>
        <v>1</v>
      </c>
      <c r="AD566" s="45">
        <f t="shared" si="141"/>
        <v>0.510204081632653</v>
      </c>
      <c r="AE566" s="37">
        <v>4</v>
      </c>
      <c r="AF566" s="37" t="s">
        <v>131</v>
      </c>
      <c r="AG566" s="37" t="str">
        <f t="shared" si="140"/>
        <v>n</v>
      </c>
      <c r="AH566" s="37" t="str">
        <f t="array" ref="AH566">_xlfn.IFS(LOWER(AG566)="n","no",LOWER(AG566)="y","yes",TRUE,LOWER(AG566))</f>
        <v>no</v>
      </c>
      <c r="AI566" s="37" t="s">
        <v>4692</v>
      </c>
    </row>
    <row r="567" spans="1:35">
      <c r="A567" s="46" t="s">
        <v>2299</v>
      </c>
      <c r="B567" s="47">
        <v>45419</v>
      </c>
      <c r="C567" s="39">
        <f t="shared" si="128"/>
        <v>45419</v>
      </c>
      <c r="D567" s="48" t="s">
        <v>424</v>
      </c>
      <c r="E567" s="37" t="str" cm="1">
        <f t="array" ref="E567">_xlfn.IFS(D567="delhi","north",D567="mumbai","west",D567="bengaluru","south",D567="chennai","south",D567="kolkata","east",TRUE,"west")</f>
        <v>south</v>
      </c>
      <c r="F567" s="46" t="s">
        <v>352</v>
      </c>
      <c r="G567" s="37" t="str">
        <f t="shared" si="129"/>
        <v>delhivery</v>
      </c>
      <c r="H567" s="46" t="s">
        <v>147</v>
      </c>
      <c r="I567" s="37" t="str">
        <f t="shared" si="130"/>
        <v>road</v>
      </c>
      <c r="J567" s="46" t="s">
        <v>353</v>
      </c>
      <c r="K567" s="37" t="str">
        <f t="shared" si="131"/>
        <v>automotiveparts</v>
      </c>
      <c r="L567" s="46" t="s">
        <v>89</v>
      </c>
      <c r="M567" s="37" t="str">
        <f t="shared" si="132"/>
        <v>west</v>
      </c>
      <c r="N567" s="46" t="s">
        <v>187</v>
      </c>
      <c r="O567" s="41" t="str">
        <f t="shared" si="133"/>
        <v>Yes</v>
      </c>
      <c r="P567" s="49">
        <v>21.7</v>
      </c>
      <c r="Q567" s="49">
        <v>478</v>
      </c>
      <c r="R567" s="42">
        <f t="shared" si="134"/>
        <v>22.0276497695853</v>
      </c>
      <c r="S567" s="46">
        <v>8</v>
      </c>
      <c r="T567" s="46" t="s">
        <v>717</v>
      </c>
      <c r="U567" s="43" t="str">
        <f t="shared" si="135"/>
        <v>14/05/2024</v>
      </c>
      <c r="V567" s="43">
        <f t="shared" si="136"/>
        <v>45426</v>
      </c>
      <c r="W567" s="44">
        <f t="array" ref="W567">_xlfn.IFS(TRIM(C567)="","",TRIM(V567)="","",TRUE,V567-C567)</f>
        <v>7</v>
      </c>
      <c r="X567" s="37">
        <f t="shared" si="137"/>
        <v>-1</v>
      </c>
      <c r="Y567" s="46" t="s">
        <v>117</v>
      </c>
      <c r="Z567" s="37" t="str">
        <f t="shared" si="138"/>
        <v>delivered</v>
      </c>
      <c r="AA567" s="37" t="str">
        <f t="shared" si="139"/>
        <v>On Time</v>
      </c>
      <c r="AB567" s="37" t="str">
        <f t="shared" si="142"/>
        <v>0</v>
      </c>
      <c r="AC567" s="37">
        <f t="shared" si="143"/>
        <v>0</v>
      </c>
      <c r="AD567" s="45">
        <f t="shared" si="141"/>
        <v>0.509727626459144</v>
      </c>
      <c r="AE567" s="46">
        <v>4</v>
      </c>
      <c r="AF567" s="46" t="s">
        <v>79</v>
      </c>
      <c r="AG567" s="37" t="str">
        <f t="shared" si="140"/>
        <v>yes</v>
      </c>
      <c r="AH567" s="37" t="str">
        <f t="array" ref="AH567">_xlfn.IFS(LOWER(AG567)="n","no",LOWER(AG567)="y","yes",TRUE,LOWER(AG567))</f>
        <v>yes</v>
      </c>
      <c r="AI567" s="46" t="s">
        <v>4692</v>
      </c>
    </row>
    <row r="568" spans="1:35">
      <c r="A568" s="37" t="s">
        <v>2302</v>
      </c>
      <c r="B568" s="38">
        <v>45421</v>
      </c>
      <c r="C568" s="39">
        <f t="shared" si="128"/>
        <v>45421</v>
      </c>
      <c r="D568" s="40" t="s">
        <v>424</v>
      </c>
      <c r="E568" s="37" t="str" cm="1">
        <f t="array" ref="E568">_xlfn.IFS(D568="delhi","north",D568="mumbai","west",D568="bengaluru","south",D568="chennai","south",D568="kolkata","east",TRUE,"west")</f>
        <v>south</v>
      </c>
      <c r="F568" s="37" t="s">
        <v>333</v>
      </c>
      <c r="G568" s="37" t="str">
        <f t="shared" si="129"/>
        <v>delhivery</v>
      </c>
      <c r="H568" s="37" t="s">
        <v>176</v>
      </c>
      <c r="I568" s="37" t="str">
        <f t="shared" si="130"/>
        <v>road</v>
      </c>
      <c r="J568" s="37" t="s">
        <v>1701</v>
      </c>
      <c r="K568" s="37" t="str">
        <f t="shared" si="131"/>
        <v>grocery&amp;fmcg</v>
      </c>
      <c r="L568" s="37" t="s">
        <v>87</v>
      </c>
      <c r="M568" s="37" t="str">
        <f t="shared" si="132"/>
        <v>north</v>
      </c>
      <c r="N568" s="37" t="s">
        <v>32</v>
      </c>
      <c r="O568" s="41" t="str">
        <f t="shared" si="133"/>
        <v>Yes</v>
      </c>
      <c r="P568" s="41">
        <v>16</v>
      </c>
      <c r="Q568" s="41">
        <v>427</v>
      </c>
      <c r="R568" s="42">
        <f t="shared" si="134"/>
        <v>26.6875</v>
      </c>
      <c r="S568" s="37">
        <v>8</v>
      </c>
      <c r="T568" s="37" t="s">
        <v>2305</v>
      </c>
      <c r="U568" s="43" t="str">
        <f t="shared" si="135"/>
        <v>2024-05-16</v>
      </c>
      <c r="V568" s="43">
        <f t="shared" si="136"/>
        <v>45428</v>
      </c>
      <c r="W568" s="44">
        <f t="array" ref="W568">_xlfn.IFS(TRIM(C568)="","",TRIM(V568)="","",TRUE,V568-C568)</f>
        <v>7</v>
      </c>
      <c r="X568" s="37">
        <f t="shared" si="137"/>
        <v>-1</v>
      </c>
      <c r="Y568" s="37" t="s">
        <v>105</v>
      </c>
      <c r="Z568" s="37" t="str">
        <f t="shared" si="138"/>
        <v>delivered</v>
      </c>
      <c r="AA568" s="37" t="str">
        <f t="shared" si="139"/>
        <v>On Time</v>
      </c>
      <c r="AB568" s="37" t="str">
        <f t="shared" si="142"/>
        <v>0</v>
      </c>
      <c r="AC568" s="37">
        <f t="shared" si="143"/>
        <v>0</v>
      </c>
      <c r="AD568" s="45">
        <f t="shared" si="141"/>
        <v>0.510223953261928</v>
      </c>
      <c r="AE568" s="37">
        <v>5</v>
      </c>
      <c r="AF568" s="37" t="s">
        <v>152</v>
      </c>
      <c r="AG568" s="37" t="str">
        <f t="shared" si="140"/>
        <v>no</v>
      </c>
      <c r="AH568" s="37" t="str">
        <f t="array" ref="AH568">_xlfn.IFS(LOWER(AG568)="n","no",LOWER(AG568)="y","yes",TRUE,LOWER(AG568))</f>
        <v>no</v>
      </c>
      <c r="AI568" s="37" t="s">
        <v>4692</v>
      </c>
    </row>
    <row r="569" spans="1:35">
      <c r="A569" s="46" t="s">
        <v>2306</v>
      </c>
      <c r="B569" s="47">
        <v>45424</v>
      </c>
      <c r="C569" s="39">
        <f t="shared" si="128"/>
        <v>45424</v>
      </c>
      <c r="D569" s="48" t="s">
        <v>166</v>
      </c>
      <c r="E569" s="37" t="str" cm="1">
        <f t="array" ref="E569">_xlfn.IFS(D569="delhi","north",D569="mumbai","west",D569="bengaluru","south",D569="chennai","south",D569="kolkata","east",TRUE,"west")</f>
        <v>west</v>
      </c>
      <c r="F569" s="46" t="s">
        <v>312</v>
      </c>
      <c r="G569" s="37" t="str">
        <f t="shared" si="129"/>
        <v>bluedart</v>
      </c>
      <c r="H569" s="46" t="s">
        <v>157</v>
      </c>
      <c r="I569" s="37" t="str">
        <f t="shared" si="130"/>
        <v>surface</v>
      </c>
      <c r="J569" s="46" t="s">
        <v>353</v>
      </c>
      <c r="K569" s="37" t="str">
        <f t="shared" si="131"/>
        <v>automotiveparts</v>
      </c>
      <c r="L569" s="46" t="s">
        <v>101</v>
      </c>
      <c r="M569" s="37" t="str">
        <f t="shared" si="132"/>
        <v>west</v>
      </c>
      <c r="N569" s="46" t="s">
        <v>278</v>
      </c>
      <c r="O569" s="41" t="str">
        <f t="shared" si="133"/>
        <v>Yes</v>
      </c>
      <c r="P569" s="49">
        <v>37.5</v>
      </c>
      <c r="Q569" s="49" t="s">
        <v>2308</v>
      </c>
      <c r="R569" s="42">
        <f t="shared" si="134"/>
        <v>26.9866666666667</v>
      </c>
      <c r="S569" s="46">
        <v>6</v>
      </c>
      <c r="T569" s="46" t="s">
        <v>591</v>
      </c>
      <c r="U569" s="43" t="str">
        <f t="shared" si="135"/>
        <v>17/05/2024</v>
      </c>
      <c r="V569" s="43">
        <f t="shared" si="136"/>
        <v>45429</v>
      </c>
      <c r="W569" s="44">
        <f t="array" ref="W569">_xlfn.IFS(TRIM(C569)="","",TRIM(V569)="","",TRUE,V569-C569)</f>
        <v>5</v>
      </c>
      <c r="X569" s="37">
        <f t="shared" si="137"/>
        <v>-1</v>
      </c>
      <c r="Y569" s="46" t="s">
        <v>117</v>
      </c>
      <c r="Z569" s="37" t="str">
        <f t="shared" si="138"/>
        <v>delivered</v>
      </c>
      <c r="AA569" s="37" t="str">
        <f t="shared" si="139"/>
        <v>On Time</v>
      </c>
      <c r="AB569" s="37" t="str">
        <f t="shared" si="142"/>
        <v>0</v>
      </c>
      <c r="AC569" s="37">
        <f t="shared" si="143"/>
        <v>0</v>
      </c>
      <c r="AD569" s="45">
        <f t="shared" si="141"/>
        <v>0.510721247563353</v>
      </c>
      <c r="AE569" s="46">
        <v>5</v>
      </c>
      <c r="AF569" s="46" t="s">
        <v>152</v>
      </c>
      <c r="AG569" s="37" t="str">
        <f t="shared" si="140"/>
        <v>no</v>
      </c>
      <c r="AH569" s="37" t="str">
        <f t="array" ref="AH569">_xlfn.IFS(LOWER(AG569)="n","no",LOWER(AG569)="y","yes",TRUE,LOWER(AG569))</f>
        <v>no</v>
      </c>
      <c r="AI569" s="46" t="s">
        <v>4692</v>
      </c>
    </row>
    <row r="570" spans="1:35">
      <c r="A570" s="37" t="s">
        <v>2309</v>
      </c>
      <c r="B570" s="38">
        <v>45323</v>
      </c>
      <c r="C570" s="39">
        <f t="shared" si="128"/>
        <v>45323</v>
      </c>
      <c r="D570" s="40" t="s">
        <v>109</v>
      </c>
      <c r="E570" s="37" t="str" cm="1">
        <f t="array" ref="E570">_xlfn.IFS(D570="delhi","north",D570="mumbai","west",D570="bengaluru","south",D570="chennai","south",D570="kolkata","east",TRUE,"west")</f>
        <v>west</v>
      </c>
      <c r="F570" s="37" t="s">
        <v>122</v>
      </c>
      <c r="G570" s="37" t="str">
        <f t="shared" si="129"/>
        <v>delhivery</v>
      </c>
      <c r="H570" s="37" t="s">
        <v>195</v>
      </c>
      <c r="I570" s="37" t="str">
        <f t="shared" si="130"/>
        <v>road</v>
      </c>
      <c r="J570" s="37" t="s">
        <v>360</v>
      </c>
      <c r="K570" s="37" t="str">
        <f t="shared" si="131"/>
        <v>furniture</v>
      </c>
      <c r="L570" s="37" t="s">
        <v>168</v>
      </c>
      <c r="M570" s="37" t="str">
        <f t="shared" si="132"/>
        <v>west</v>
      </c>
      <c r="N570" s="37" t="s">
        <v>88</v>
      </c>
      <c r="O570" s="41" t="str">
        <f t="shared" si="133"/>
        <v>Yes</v>
      </c>
      <c r="P570" s="41">
        <v>27.4</v>
      </c>
      <c r="Q570" s="41">
        <v>415</v>
      </c>
      <c r="R570" s="42">
        <f t="shared" si="134"/>
        <v>15.1459854014599</v>
      </c>
      <c r="S570" s="37">
        <v>6</v>
      </c>
      <c r="T570" s="37" t="s">
        <v>336</v>
      </c>
      <c r="U570" s="43" t="str">
        <f t="shared" si="135"/>
        <v>09/02/2024</v>
      </c>
      <c r="V570" s="43">
        <f t="shared" si="136"/>
        <v>45331</v>
      </c>
      <c r="W570" s="44">
        <f t="array" ref="W570">_xlfn.IFS(TRIM(C570)="","",TRIM(V570)="","",TRUE,V570-C570)</f>
        <v>8</v>
      </c>
      <c r="X570" s="37">
        <f t="shared" si="137"/>
        <v>2</v>
      </c>
      <c r="Y570" s="37" t="s">
        <v>72</v>
      </c>
      <c r="Z570" s="37" t="str">
        <f t="shared" si="138"/>
        <v>delayed</v>
      </c>
      <c r="AA570" s="37" t="str">
        <f t="shared" si="139"/>
        <v>Late</v>
      </c>
      <c r="AB570" s="37" t="str">
        <f t="shared" si="142"/>
        <v>1</v>
      </c>
      <c r="AC570" s="37">
        <f t="shared" si="143"/>
        <v>1</v>
      </c>
      <c r="AD570" s="45">
        <f t="shared" si="141"/>
        <v>0.511219512195122</v>
      </c>
      <c r="AE570" s="37">
        <v>2</v>
      </c>
      <c r="AF570" s="37" t="s">
        <v>106</v>
      </c>
      <c r="AG570" s="37" t="str">
        <f t="shared" si="140"/>
        <v>yes</v>
      </c>
      <c r="AH570" s="37" t="str">
        <f t="array" ref="AH570">_xlfn.IFS(LOWER(AG570)="n","no",LOWER(AG570)="y","yes",TRUE,LOWER(AG570))</f>
        <v>yes</v>
      </c>
      <c r="AI570" s="37" t="s">
        <v>4692</v>
      </c>
    </row>
    <row r="571" spans="1:35">
      <c r="A571" s="46" t="s">
        <v>2312</v>
      </c>
      <c r="B571" s="47">
        <v>45324</v>
      </c>
      <c r="C571" s="39">
        <f t="shared" si="128"/>
        <v>45324</v>
      </c>
      <c r="D571" s="48" t="s">
        <v>340</v>
      </c>
      <c r="E571" s="37" t="str" cm="1">
        <f t="array" ref="E571">_xlfn.IFS(D571="delhi","north",D571="mumbai","west",D571="bengaluru","south",D571="chennai","south",D571="kolkata","east",TRUE,"west")</f>
        <v>north</v>
      </c>
      <c r="F571" s="46" t="s">
        <v>175</v>
      </c>
      <c r="G571" s="37" t="str">
        <f t="shared" si="129"/>
        <v>ecomexpress</v>
      </c>
      <c r="H571" s="46" t="s">
        <v>244</v>
      </c>
      <c r="I571" s="37" t="str">
        <f t="shared" si="130"/>
        <v>air</v>
      </c>
      <c r="J571" s="46" t="s">
        <v>100</v>
      </c>
      <c r="K571" s="37" t="str">
        <f t="shared" si="131"/>
        <v>electronics</v>
      </c>
      <c r="L571" s="46" t="s">
        <v>334</v>
      </c>
      <c r="M571" s="37" t="str">
        <f t="shared" si="132"/>
        <v>north</v>
      </c>
      <c r="N571" s="46" t="s">
        <v>215</v>
      </c>
      <c r="O571" s="41" t="str">
        <f t="shared" si="133"/>
        <v>Yes</v>
      </c>
      <c r="P571" s="49">
        <v>5.5</v>
      </c>
      <c r="Q571" s="49">
        <v>245</v>
      </c>
      <c r="R571" s="42">
        <f t="shared" si="134"/>
        <v>44.5454545454545</v>
      </c>
      <c r="S571" s="46">
        <v>2</v>
      </c>
      <c r="T571" s="46" t="s">
        <v>2232</v>
      </c>
      <c r="U571" s="43" t="str">
        <f t="shared" si="135"/>
        <v>05/02/2024</v>
      </c>
      <c r="V571" s="43">
        <f t="shared" si="136"/>
        <v>45327</v>
      </c>
      <c r="W571" s="44">
        <f t="array" ref="W571">_xlfn.IFS(TRIM(C571)="","",TRIM(V571)="","",TRUE,V571-C571)</f>
        <v>3</v>
      </c>
      <c r="X571" s="37">
        <f t="shared" si="137"/>
        <v>1</v>
      </c>
      <c r="Y571" s="46" t="s">
        <v>130</v>
      </c>
      <c r="Z571" s="37" t="str">
        <f t="shared" si="138"/>
        <v>damaged</v>
      </c>
      <c r="AA571" s="37" t="str">
        <f t="shared" si="139"/>
        <v>Late</v>
      </c>
      <c r="AB571" s="37" t="str">
        <f t="shared" si="142"/>
        <v>1</v>
      </c>
      <c r="AC571" s="37">
        <f t="shared" si="143"/>
        <v>1</v>
      </c>
      <c r="AD571" s="45">
        <f t="shared" si="141"/>
        <v>0.5107421875</v>
      </c>
      <c r="AE571" s="46"/>
      <c r="AF571" s="46" t="s">
        <v>286</v>
      </c>
      <c r="AG571" s="37" t="str">
        <f t="shared" si="140"/>
        <v>yes</v>
      </c>
      <c r="AH571" s="37" t="str">
        <f t="array" ref="AH571">_xlfn.IFS(LOWER(AG571)="n","no",LOWER(AG571)="y","yes",TRUE,LOWER(AG571))</f>
        <v>yes</v>
      </c>
      <c r="AI571" s="46" t="s">
        <v>132</v>
      </c>
    </row>
    <row r="572" spans="1:35">
      <c r="A572" s="37" t="s">
        <v>2314</v>
      </c>
      <c r="B572" s="38">
        <v>45461</v>
      </c>
      <c r="C572" s="39">
        <f t="shared" si="128"/>
        <v>45461</v>
      </c>
      <c r="D572" s="40" t="s">
        <v>212</v>
      </c>
      <c r="E572" s="37" t="str" cm="1">
        <f t="array" ref="E572">_xlfn.IFS(D572="delhi","north",D572="mumbai","west",D572="bengaluru","south",D572="chennai","south",D572="kolkata","east",TRUE,"west")</f>
        <v>west</v>
      </c>
      <c r="F572" s="37" t="s">
        <v>37</v>
      </c>
      <c r="G572" s="37" t="str">
        <f t="shared" si="129"/>
        <v>bluedart</v>
      </c>
      <c r="H572" s="37" t="s">
        <v>42</v>
      </c>
      <c r="I572" s="37" t="str">
        <f t="shared" si="130"/>
        <v>surface</v>
      </c>
      <c r="J572" s="37" t="s">
        <v>237</v>
      </c>
      <c r="K572" s="37" t="str">
        <f t="shared" si="131"/>
        <v>automotiveparts</v>
      </c>
      <c r="L572" s="37" t="s">
        <v>264</v>
      </c>
      <c r="M572" s="37" t="str">
        <f t="shared" si="132"/>
        <v>west</v>
      </c>
      <c r="N572" s="37" t="s">
        <v>88</v>
      </c>
      <c r="O572" s="41" t="str">
        <f t="shared" si="133"/>
        <v>Yes</v>
      </c>
      <c r="P572" s="41">
        <v>5.9</v>
      </c>
      <c r="Q572" s="41" t="s">
        <v>859</v>
      </c>
      <c r="R572" s="42">
        <f t="shared" si="134"/>
        <v>26.271186440678</v>
      </c>
      <c r="S572" s="37">
        <v>4</v>
      </c>
      <c r="T572" s="37" t="s">
        <v>1117</v>
      </c>
      <c r="U572" s="43" t="str">
        <f t="shared" si="135"/>
        <v>22-jun-2024</v>
      </c>
      <c r="V572" s="43">
        <f t="shared" si="136"/>
        <v>45465</v>
      </c>
      <c r="W572" s="44">
        <f t="array" ref="W572">_xlfn.IFS(TRIM(C572)="","",TRIM(V572)="","",TRUE,V572-C572)</f>
        <v>4</v>
      </c>
      <c r="X572" s="37">
        <f t="shared" si="137"/>
        <v>0</v>
      </c>
      <c r="Y572" s="37" t="s">
        <v>105</v>
      </c>
      <c r="Z572" s="37" t="str">
        <f t="shared" si="138"/>
        <v>delivered</v>
      </c>
      <c r="AA572" s="37" t="str">
        <f t="shared" si="139"/>
        <v>On Time</v>
      </c>
      <c r="AB572" s="37" t="str">
        <f t="shared" si="142"/>
        <v>0</v>
      </c>
      <c r="AC572" s="37">
        <f t="shared" si="143"/>
        <v>0</v>
      </c>
      <c r="AD572" s="45">
        <f t="shared" si="141"/>
        <v>0.510263929618768</v>
      </c>
      <c r="AE572" s="37">
        <v>5</v>
      </c>
      <c r="AF572" s="37" t="s">
        <v>286</v>
      </c>
      <c r="AG572" s="37" t="str">
        <f t="shared" si="140"/>
        <v>yes</v>
      </c>
      <c r="AH572" s="37" t="str">
        <f t="array" ref="AH572">_xlfn.IFS(LOWER(AG572)="n","no",LOWER(AG572)="y","yes",TRUE,LOWER(AG572))</f>
        <v>yes</v>
      </c>
      <c r="AI572" s="37" t="s">
        <v>4692</v>
      </c>
    </row>
    <row r="573" spans="1:35">
      <c r="A573" s="46" t="s">
        <v>2315</v>
      </c>
      <c r="B573" s="47">
        <v>45397</v>
      </c>
      <c r="C573" s="39">
        <f t="shared" si="128"/>
        <v>45397</v>
      </c>
      <c r="D573" s="48" t="s">
        <v>4705</v>
      </c>
      <c r="E573" s="37" t="str" cm="1">
        <f t="array" ref="E573">_xlfn.IFS(D573="delhi","north",D573="mumbai","west",D573="bengaluru","south",D573="chennai","south",D573="kolkata","east",TRUE,"west")</f>
        <v>west</v>
      </c>
      <c r="F573" s="46" t="s">
        <v>98</v>
      </c>
      <c r="G573" s="37" t="str">
        <f t="shared" si="129"/>
        <v>dtdc</v>
      </c>
      <c r="H573" s="46" t="s">
        <v>157</v>
      </c>
      <c r="I573" s="37" t="str">
        <f t="shared" si="130"/>
        <v>surface</v>
      </c>
      <c r="J573" s="46" t="s">
        <v>326</v>
      </c>
      <c r="K573" s="37" t="str">
        <f t="shared" si="131"/>
        <v>apparel</v>
      </c>
      <c r="L573" s="46" t="s">
        <v>101</v>
      </c>
      <c r="M573" s="37" t="str">
        <f t="shared" si="132"/>
        <v>west</v>
      </c>
      <c r="N573" s="46" t="s">
        <v>187</v>
      </c>
      <c r="O573" s="41" t="str">
        <f t="shared" si="133"/>
        <v>Yes</v>
      </c>
      <c r="P573" s="49" t="s">
        <v>1735</v>
      </c>
      <c r="Q573" s="49">
        <v>313</v>
      </c>
      <c r="R573" s="42">
        <f t="shared" si="134"/>
        <v>49.6825396825397</v>
      </c>
      <c r="S573" s="46">
        <v>6</v>
      </c>
      <c r="T573" s="46" t="s">
        <v>1571</v>
      </c>
      <c r="U573" s="43" t="str">
        <f t="shared" si="135"/>
        <v>22-apr-2024</v>
      </c>
      <c r="V573" s="43">
        <f t="shared" si="136"/>
        <v>45404</v>
      </c>
      <c r="W573" s="44">
        <f t="array" ref="W573">_xlfn.IFS(TRIM(C573)="","",TRIM(V573)="","",TRUE,V573-C573)</f>
        <v>7</v>
      </c>
      <c r="X573" s="37">
        <f t="shared" si="137"/>
        <v>1</v>
      </c>
      <c r="Y573" s="46" t="s">
        <v>72</v>
      </c>
      <c r="Z573" s="37" t="str">
        <f t="shared" si="138"/>
        <v>delayed</v>
      </c>
      <c r="AA573" s="37" t="str">
        <f t="shared" si="139"/>
        <v>Late</v>
      </c>
      <c r="AB573" s="37" t="str">
        <f t="shared" si="142"/>
        <v>1</v>
      </c>
      <c r="AC573" s="37">
        <f t="shared" si="143"/>
        <v>1</v>
      </c>
      <c r="AD573" s="45">
        <f t="shared" si="141"/>
        <v>0.510763209393346</v>
      </c>
      <c r="AE573" s="46">
        <v>4</v>
      </c>
      <c r="AF573" s="46" t="s">
        <v>131</v>
      </c>
      <c r="AG573" s="37" t="str">
        <f t="shared" si="140"/>
        <v>n</v>
      </c>
      <c r="AH573" s="37" t="str">
        <f t="array" ref="AH573">_xlfn.IFS(LOWER(AG573)="n","no",LOWER(AG573)="y","yes",TRUE,LOWER(AG573))</f>
        <v>no</v>
      </c>
      <c r="AI573" s="46" t="s">
        <v>4692</v>
      </c>
    </row>
    <row r="574" spans="1:35">
      <c r="A574" s="37" t="s">
        <v>2317</v>
      </c>
      <c r="B574" s="38">
        <v>45452</v>
      </c>
      <c r="C574" s="39">
        <f t="shared" si="128"/>
        <v>45452</v>
      </c>
      <c r="D574" s="40" t="s">
        <v>633</v>
      </c>
      <c r="E574" s="37" t="str" cm="1">
        <f t="array" ref="E574">_xlfn.IFS(D574="delhi","north",D574="mumbai","west",D574="bengaluru","south",D574="chennai","south",D574="kolkata","east",TRUE,"west")</f>
        <v>south</v>
      </c>
      <c r="F574" s="37" t="s">
        <v>146</v>
      </c>
      <c r="G574" s="37" t="str">
        <f t="shared" si="129"/>
        <v>ecomexpress</v>
      </c>
      <c r="H574" s="37" t="s">
        <v>42</v>
      </c>
      <c r="I574" s="37" t="str">
        <f t="shared" si="130"/>
        <v>surface</v>
      </c>
      <c r="J574" s="37" t="s">
        <v>237</v>
      </c>
      <c r="K574" s="37" t="str">
        <f t="shared" si="131"/>
        <v>automotiveparts</v>
      </c>
      <c r="L574" s="37" t="s">
        <v>168</v>
      </c>
      <c r="M574" s="37" t="str">
        <f t="shared" si="132"/>
        <v>west</v>
      </c>
      <c r="N574" s="37" t="s">
        <v>278</v>
      </c>
      <c r="O574" s="41" t="str">
        <f t="shared" si="133"/>
        <v>Yes</v>
      </c>
      <c r="P574" s="41">
        <v>10.8</v>
      </c>
      <c r="Q574" s="41" t="s">
        <v>2318</v>
      </c>
      <c r="R574" s="42">
        <f t="shared" si="134"/>
        <v>37.6851851851852</v>
      </c>
      <c r="S574" s="37">
        <v>6</v>
      </c>
      <c r="T574" s="37" t="s">
        <v>615</v>
      </c>
      <c r="U574" s="43" t="str">
        <f t="shared" si="135"/>
        <v>14/06/2024</v>
      </c>
      <c r="V574" s="43">
        <f t="shared" si="136"/>
        <v>45457</v>
      </c>
      <c r="W574" s="44">
        <f t="array" ref="W574">_xlfn.IFS(TRIM(C574)="","",TRIM(V574)="","",TRUE,V574-C574)</f>
        <v>5</v>
      </c>
      <c r="X574" s="37">
        <f t="shared" si="137"/>
        <v>-1</v>
      </c>
      <c r="Y574" s="37" t="s">
        <v>163</v>
      </c>
      <c r="Z574" s="37" t="str">
        <f t="shared" si="138"/>
        <v>delivered</v>
      </c>
      <c r="AA574" s="37" t="str">
        <f t="shared" si="139"/>
        <v>On Time</v>
      </c>
      <c r="AB574" s="37" t="str">
        <f t="shared" si="142"/>
        <v>0</v>
      </c>
      <c r="AC574" s="37">
        <f t="shared" si="143"/>
        <v>0</v>
      </c>
      <c r="AD574" s="45">
        <f t="shared" si="141"/>
        <v>0.510284035259549</v>
      </c>
      <c r="AE574" s="37">
        <v>5</v>
      </c>
      <c r="AF574" s="37" t="s">
        <v>191</v>
      </c>
      <c r="AG574" s="37" t="str">
        <f t="shared" si="140"/>
        <v>no</v>
      </c>
      <c r="AH574" s="37" t="str">
        <f t="array" ref="AH574">_xlfn.IFS(LOWER(AG574)="n","no",LOWER(AG574)="y","yes",TRUE,LOWER(AG574))</f>
        <v>no</v>
      </c>
      <c r="AI574" s="37" t="s">
        <v>4692</v>
      </c>
    </row>
    <row r="575" spans="1:35">
      <c r="A575" s="46" t="s">
        <v>2319</v>
      </c>
      <c r="B575" s="47">
        <v>45435</v>
      </c>
      <c r="C575" s="39">
        <f t="shared" si="128"/>
        <v>45435</v>
      </c>
      <c r="D575" s="48" t="s">
        <v>4705</v>
      </c>
      <c r="E575" s="37" t="str" cm="1">
        <f t="array" ref="E575">_xlfn.IFS(D575="delhi","north",D575="mumbai","west",D575="bengaluru","south",D575="chennai","south",D575="kolkata","east",TRUE,"west")</f>
        <v>west</v>
      </c>
      <c r="F575" s="46" t="s">
        <v>136</v>
      </c>
      <c r="G575" s="37" t="str">
        <f t="shared" si="129"/>
        <v>bluedart</v>
      </c>
      <c r="H575" s="46" t="s">
        <v>176</v>
      </c>
      <c r="I575" s="37" t="str">
        <f t="shared" si="130"/>
        <v>road</v>
      </c>
      <c r="J575" s="46" t="s">
        <v>664</v>
      </c>
      <c r="K575" s="37" t="str">
        <f t="shared" si="131"/>
        <v>grocery&amp;fmcg</v>
      </c>
      <c r="L575" s="46" t="s">
        <v>418</v>
      </c>
      <c r="M575" s="37" t="str">
        <f t="shared" si="132"/>
        <v>south</v>
      </c>
      <c r="N575" s="46" t="s">
        <v>327</v>
      </c>
      <c r="O575" s="41" t="str">
        <f t="shared" si="133"/>
        <v>Yes</v>
      </c>
      <c r="P575" s="49">
        <v>12.3</v>
      </c>
      <c r="Q575" s="49" t="s">
        <v>2321</v>
      </c>
      <c r="R575" s="42">
        <f t="shared" si="134"/>
        <v>28.3739837398374</v>
      </c>
      <c r="S575" s="46">
        <v>8</v>
      </c>
      <c r="T575" s="46" t="s">
        <v>2322</v>
      </c>
      <c r="U575" s="43" t="str">
        <f t="shared" si="135"/>
        <v>30/05/2024</v>
      </c>
      <c r="V575" s="43">
        <f t="shared" si="136"/>
        <v>45442</v>
      </c>
      <c r="W575" s="44">
        <f t="array" ref="W575">_xlfn.IFS(TRIM(C575)="","",TRIM(V575)="","",TRUE,V575-C575)</f>
        <v>7</v>
      </c>
      <c r="X575" s="37">
        <f t="shared" si="137"/>
        <v>-1</v>
      </c>
      <c r="Y575" s="46" t="s">
        <v>624</v>
      </c>
      <c r="Z575" s="37" t="str">
        <f t="shared" si="138"/>
        <v>returned</v>
      </c>
      <c r="AA575" s="37" t="str">
        <f t="shared" si="139"/>
        <v>On Time</v>
      </c>
      <c r="AB575" s="37" t="str">
        <f t="shared" si="142"/>
        <v>0</v>
      </c>
      <c r="AC575" s="37">
        <f t="shared" si="143"/>
        <v>0</v>
      </c>
      <c r="AD575" s="45">
        <f t="shared" si="141"/>
        <v>0.51078431372549</v>
      </c>
      <c r="AE575" s="46"/>
      <c r="AF575" s="46" t="s">
        <v>131</v>
      </c>
      <c r="AG575" s="37" t="str">
        <f t="shared" si="140"/>
        <v>n</v>
      </c>
      <c r="AH575" s="37" t="str">
        <f t="array" ref="AH575">_xlfn.IFS(LOWER(AG575)="n","no",LOWER(AG575)="y","yes",TRUE,LOWER(AG575))</f>
        <v>no</v>
      </c>
      <c r="AI575" s="46" t="s">
        <v>625</v>
      </c>
    </row>
    <row r="576" spans="1:35">
      <c r="A576" s="37" t="s">
        <v>2323</v>
      </c>
      <c r="B576" s="38">
        <v>45451</v>
      </c>
      <c r="C576" s="39">
        <f t="shared" si="128"/>
        <v>45451</v>
      </c>
      <c r="D576" s="40" t="s">
        <v>340</v>
      </c>
      <c r="E576" s="37" t="str" cm="1">
        <f t="array" ref="E576">_xlfn.IFS(D576="delhi","north",D576="mumbai","west",D576="bengaluru","south",D576="chennai","south",D576="kolkata","east",TRUE,"west")</f>
        <v>north</v>
      </c>
      <c r="F576" s="37" t="s">
        <v>175</v>
      </c>
      <c r="G576" s="37" t="str">
        <f t="shared" si="129"/>
        <v>ecomexpress</v>
      </c>
      <c r="H576" s="37" t="s">
        <v>157</v>
      </c>
      <c r="I576" s="37" t="str">
        <f t="shared" si="130"/>
        <v>surface</v>
      </c>
      <c r="J576" s="37" t="s">
        <v>138</v>
      </c>
      <c r="K576" s="37" t="str">
        <f t="shared" si="131"/>
        <v>apparel</v>
      </c>
      <c r="L576" s="37" t="s">
        <v>92</v>
      </c>
      <c r="M576" s="37" t="str">
        <f t="shared" si="132"/>
        <v>east</v>
      </c>
      <c r="N576" s="37" t="s">
        <v>126</v>
      </c>
      <c r="O576" s="41" t="str">
        <f t="shared" si="133"/>
        <v>Yes</v>
      </c>
      <c r="P576" s="41">
        <v>6.2</v>
      </c>
      <c r="Q576" s="41">
        <v>295</v>
      </c>
      <c r="R576" s="42">
        <f t="shared" si="134"/>
        <v>47.5806451612903</v>
      </c>
      <c r="S576" s="37">
        <v>6</v>
      </c>
      <c r="T576" s="37" t="s">
        <v>1635</v>
      </c>
      <c r="U576" s="43" t="str">
        <f t="shared" si="135"/>
        <v>13-jun-2024</v>
      </c>
      <c r="V576" s="43">
        <f t="shared" si="136"/>
        <v>45456</v>
      </c>
      <c r="W576" s="44">
        <f t="array" ref="W576">_xlfn.IFS(TRIM(C576)="","",TRIM(V576)="","",TRUE,V576-C576)</f>
        <v>5</v>
      </c>
      <c r="X576" s="37">
        <f t="shared" si="137"/>
        <v>-1</v>
      </c>
      <c r="Y576" s="37" t="s">
        <v>219</v>
      </c>
      <c r="Z576" s="37" t="str">
        <f t="shared" si="138"/>
        <v>delivered</v>
      </c>
      <c r="AA576" s="37" t="str">
        <f t="shared" si="139"/>
        <v>On Time</v>
      </c>
      <c r="AB576" s="37" t="str">
        <f t="shared" si="142"/>
        <v>0</v>
      </c>
      <c r="AC576" s="37">
        <f t="shared" si="143"/>
        <v>0</v>
      </c>
      <c r="AD576" s="45">
        <f t="shared" si="141"/>
        <v>0.511285574092247</v>
      </c>
      <c r="AE576" s="37">
        <v>5</v>
      </c>
      <c r="AF576" s="37" t="s">
        <v>152</v>
      </c>
      <c r="AG576" s="37" t="str">
        <f t="shared" si="140"/>
        <v>no</v>
      </c>
      <c r="AH576" s="37" t="str">
        <f t="array" ref="AH576">_xlfn.IFS(LOWER(AG576)="n","no",LOWER(AG576)="y","yes",TRUE,LOWER(AG576))</f>
        <v>no</v>
      </c>
      <c r="AI576" s="37" t="s">
        <v>4692</v>
      </c>
    </row>
    <row r="577" spans="1:35">
      <c r="A577" s="46" t="s">
        <v>2326</v>
      </c>
      <c r="B577" s="47" t="s">
        <v>4801</v>
      </c>
      <c r="C577" s="39">
        <f t="shared" si="128"/>
        <v>45398</v>
      </c>
      <c r="D577" s="48" t="s">
        <v>4704</v>
      </c>
      <c r="E577" s="37" t="str" cm="1">
        <f t="array" ref="E577">_xlfn.IFS(D577="delhi","north",D577="mumbai","west",D577="bengaluru","south",D577="chennai","south",D577="kolkata","east",TRUE,"west")</f>
        <v>west</v>
      </c>
      <c r="F577" s="46" t="s">
        <v>204</v>
      </c>
      <c r="G577" s="37" t="str">
        <f t="shared" si="129"/>
        <v>delhivery</v>
      </c>
      <c r="H577" s="46" t="s">
        <v>345</v>
      </c>
      <c r="I577" s="37" t="str">
        <f t="shared" si="130"/>
        <v>surface</v>
      </c>
      <c r="J577" s="46" t="s">
        <v>283</v>
      </c>
      <c r="K577" s="37" t="str">
        <f t="shared" si="131"/>
        <v>pharma</v>
      </c>
      <c r="L577" s="46" t="s">
        <v>257</v>
      </c>
      <c r="M577" s="37" t="str">
        <f t="shared" si="132"/>
        <v>west</v>
      </c>
      <c r="N577" s="46" t="s">
        <v>88</v>
      </c>
      <c r="O577" s="41" t="str">
        <f t="shared" si="133"/>
        <v>Yes</v>
      </c>
      <c r="P577" s="49" t="s">
        <v>2327</v>
      </c>
      <c r="Q577" s="49">
        <v>164</v>
      </c>
      <c r="R577" s="42">
        <f t="shared" si="134"/>
        <v>182.222222222222</v>
      </c>
      <c r="S577" s="46">
        <v>6</v>
      </c>
      <c r="T577" s="46" t="s">
        <v>151</v>
      </c>
      <c r="U577" s="43" t="str">
        <f t="shared" si="135"/>
        <v>25/04/2024</v>
      </c>
      <c r="V577" s="43">
        <f t="shared" si="136"/>
        <v>45407</v>
      </c>
      <c r="W577" s="44">
        <f t="array" ref="W577">_xlfn.IFS(TRIM(C577)="","",TRIM(V577)="","",TRUE,V577-C577)</f>
        <v>9</v>
      </c>
      <c r="X577" s="37">
        <f t="shared" si="137"/>
        <v>3</v>
      </c>
      <c r="Y577" s="46" t="s">
        <v>200</v>
      </c>
      <c r="Z577" s="37" t="str">
        <f t="shared" si="138"/>
        <v>delayed</v>
      </c>
      <c r="AA577" s="37" t="str">
        <f t="shared" si="139"/>
        <v>Late</v>
      </c>
      <c r="AB577" s="37" t="str">
        <f t="shared" si="142"/>
        <v>1</v>
      </c>
      <c r="AC577" s="37">
        <f t="shared" si="143"/>
        <v>1</v>
      </c>
      <c r="AD577" s="45">
        <f t="shared" si="141"/>
        <v>0.511787819253438</v>
      </c>
      <c r="AE577" s="46">
        <v>3</v>
      </c>
      <c r="AF577" s="46" t="s">
        <v>131</v>
      </c>
      <c r="AG577" s="37" t="str">
        <f t="shared" si="140"/>
        <v>n</v>
      </c>
      <c r="AH577" s="37" t="str">
        <f t="array" ref="AH577">_xlfn.IFS(LOWER(AG577)="n","no",LOWER(AG577)="y","yes",TRUE,LOWER(AG577))</f>
        <v>no</v>
      </c>
      <c r="AI577" s="46" t="s">
        <v>4692</v>
      </c>
    </row>
    <row r="578" spans="1:35">
      <c r="A578" s="37" t="s">
        <v>2329</v>
      </c>
      <c r="B578" s="38" t="s">
        <v>4724</v>
      </c>
      <c r="C578" s="39">
        <f t="shared" ref="C578:C641" si="144">IF(ISNUMBER(B578),B578,DATE(RIGHT(TRIM(B578),4),MID(TRIM(B578),4,2),LEFT(TRIM(B578),2)))</f>
        <v>45405</v>
      </c>
      <c r="D578" s="40" t="s">
        <v>4705</v>
      </c>
      <c r="E578" s="37" t="str" cm="1">
        <f t="array" ref="E578">_xlfn.IFS(D578="delhi","north",D578="mumbai","west",D578="bengaluru","south",D578="chennai","south",D578="kolkata","east",TRUE,"west")</f>
        <v>west</v>
      </c>
      <c r="F578" s="37" t="s">
        <v>156</v>
      </c>
      <c r="G578" s="37" t="str">
        <f t="shared" ref="G578:G641" si="145">SUBSTITUTE(LOWER(F578)," ","")</f>
        <v>xpressbees</v>
      </c>
      <c r="H578" s="37" t="s">
        <v>99</v>
      </c>
      <c r="I578" s="37" t="str">
        <f t="shared" ref="I578:I641" si="146">SUBSTITUTE(LOWER(H578)," ","")</f>
        <v>air</v>
      </c>
      <c r="J578" s="37" t="s">
        <v>158</v>
      </c>
      <c r="K578" s="37" t="str">
        <f t="shared" ref="K578:K641" si="147">SUBSTITUTE(LOWER(J578)," ","")</f>
        <v>pharma</v>
      </c>
      <c r="L578" s="37" t="s">
        <v>112</v>
      </c>
      <c r="M578" s="37" t="str">
        <f t="shared" ref="M578:M641" si="148">SUBSTITUTE(LOWER(L578)," ","")</f>
        <v>north</v>
      </c>
      <c r="N578" s="37" t="s">
        <v>354</v>
      </c>
      <c r="O578" s="41" t="str">
        <f t="shared" ref="O578:O641" si="149">IF(OR(D578="",M578=""),"",IF(D578=M578,"No","Yes"))</f>
        <v>Yes</v>
      </c>
      <c r="P578" s="41" t="s">
        <v>289</v>
      </c>
      <c r="Q578" s="41">
        <v>259</v>
      </c>
      <c r="R578" s="42">
        <f t="shared" ref="R578:R641" si="150">IF(OR(Q578="",P578="",P578=0),"",Q578/P578)</f>
        <v>53.9583333333333</v>
      </c>
      <c r="S578" s="37">
        <v>2</v>
      </c>
      <c r="T578" s="37" t="s">
        <v>2331</v>
      </c>
      <c r="U578" s="43" t="str">
        <f t="shared" ref="U578:U641" si="151">SUBSTITUTE(LOWER(T578)," ","")</f>
        <v>25/04/2024</v>
      </c>
      <c r="V578" s="43">
        <f t="shared" ref="V578:V641" si="152">DATEVALUE(TEXT(U578,"yyyy-mm-dd"))</f>
        <v>45407</v>
      </c>
      <c r="W578" s="44">
        <f t="array" ref="W578">_xlfn.IFS(TRIM(C578)="","",TRIM(V578)="","",TRUE,V578-C578)</f>
        <v>2</v>
      </c>
      <c r="X578" s="37">
        <f t="shared" ref="X578:X641" si="153">IF(OR(W578="",S578=""),"",W578-S578)</f>
        <v>0</v>
      </c>
      <c r="Y578" s="37" t="s">
        <v>219</v>
      </c>
      <c r="Z578" s="37" t="str">
        <f t="shared" ref="Z578:Z641" si="154">SUBSTITUTE(LOWER(Y578)," ","")</f>
        <v>delivered</v>
      </c>
      <c r="AA578" s="37" t="str">
        <f t="shared" ref="AA578:AA641" si="155">IF(Z578="In-Transit","N/A",IF(X578="","",IF(X578&gt;0,"Late","On Time")))</f>
        <v>On Time</v>
      </c>
      <c r="AB578" s="37" t="str">
        <f t="shared" si="142"/>
        <v>0</v>
      </c>
      <c r="AC578" s="37">
        <f t="shared" si="143"/>
        <v>0</v>
      </c>
      <c r="AD578" s="45">
        <f t="shared" si="141"/>
        <v>0.511307767944936</v>
      </c>
      <c r="AE578" s="37">
        <v>5</v>
      </c>
      <c r="AF578" s="37" t="s">
        <v>181</v>
      </c>
      <c r="AG578" s="37" t="str">
        <f t="shared" ref="AG578:AG641" si="156">SUBSTITUTE(LOWER(AF578)," ","")</f>
        <v>y</v>
      </c>
      <c r="AH578" s="37" t="str">
        <f t="array" ref="AH578">_xlfn.IFS(LOWER(AG578)="n","no",LOWER(AG578)="y","yes",TRUE,LOWER(AG578))</f>
        <v>yes</v>
      </c>
      <c r="AI578" s="37" t="s">
        <v>4692</v>
      </c>
    </row>
    <row r="579" spans="1:35">
      <c r="A579" s="46" t="s">
        <v>2332</v>
      </c>
      <c r="B579" s="47" t="s">
        <v>4728</v>
      </c>
      <c r="C579" s="39">
        <f t="shared" si="144"/>
        <v>45432</v>
      </c>
      <c r="D579" s="48" t="s">
        <v>424</v>
      </c>
      <c r="E579" s="37" t="str" cm="1">
        <f t="array" ref="E579">_xlfn.IFS(D579="delhi","north",D579="mumbai","west",D579="bengaluru","south",D579="chennai","south",D579="kolkata","east",TRUE,"west")</f>
        <v>south</v>
      </c>
      <c r="F579" s="46" t="s">
        <v>204</v>
      </c>
      <c r="G579" s="37" t="str">
        <f t="shared" si="145"/>
        <v>delhivery</v>
      </c>
      <c r="H579" s="46" t="s">
        <v>99</v>
      </c>
      <c r="I579" s="37" t="str">
        <f t="shared" si="146"/>
        <v>air</v>
      </c>
      <c r="J579" s="46" t="s">
        <v>167</v>
      </c>
      <c r="K579" s="37" t="str">
        <f t="shared" si="147"/>
        <v>pharma</v>
      </c>
      <c r="L579" s="46" t="s">
        <v>51</v>
      </c>
      <c r="M579" s="37" t="str">
        <f t="shared" si="148"/>
        <v>south</v>
      </c>
      <c r="N579" s="46" t="s">
        <v>54</v>
      </c>
      <c r="O579" s="41" t="str">
        <f t="shared" si="149"/>
        <v>Yes</v>
      </c>
      <c r="P579" s="49">
        <v>4.8</v>
      </c>
      <c r="Q579" s="49">
        <v>230</v>
      </c>
      <c r="R579" s="42">
        <f t="shared" si="150"/>
        <v>47.9166666666667</v>
      </c>
      <c r="S579" s="46">
        <v>2</v>
      </c>
      <c r="T579" s="46" t="s">
        <v>1521</v>
      </c>
      <c r="U579" s="43" t="str">
        <f t="shared" si="151"/>
        <v>21/05/2024</v>
      </c>
      <c r="V579" s="43">
        <f t="shared" si="152"/>
        <v>45433</v>
      </c>
      <c r="W579" s="44">
        <f t="array" ref="W579">_xlfn.IFS(TRIM(C579)="","",TRIM(V579)="","",TRUE,V579-C579)</f>
        <v>1</v>
      </c>
      <c r="X579" s="37">
        <f t="shared" si="153"/>
        <v>-1</v>
      </c>
      <c r="Y579" s="46" t="s">
        <v>163</v>
      </c>
      <c r="Z579" s="37" t="str">
        <f t="shared" si="154"/>
        <v>delivered</v>
      </c>
      <c r="AA579" s="37" t="str">
        <f t="shared" si="155"/>
        <v>On Time</v>
      </c>
      <c r="AB579" s="37" t="str">
        <f t="shared" si="142"/>
        <v>0</v>
      </c>
      <c r="AC579" s="37">
        <f t="shared" si="143"/>
        <v>0</v>
      </c>
      <c r="AD579" s="45">
        <f t="shared" ref="AD579:AD642" si="157">COUNTIF(AC579:AC2178,1)/COUNT(AC579:AC2178)</f>
        <v>0.511811023622047</v>
      </c>
      <c r="AE579" s="46">
        <v>4</v>
      </c>
      <c r="AF579" s="46" t="s">
        <v>131</v>
      </c>
      <c r="AG579" s="37" t="str">
        <f t="shared" si="156"/>
        <v>n</v>
      </c>
      <c r="AH579" s="37" t="str">
        <f t="array" ref="AH579">_xlfn.IFS(LOWER(AG579)="n","no",LOWER(AG579)="y","yes",TRUE,LOWER(AG579))</f>
        <v>no</v>
      </c>
      <c r="AI579" s="46" t="s">
        <v>4692</v>
      </c>
    </row>
    <row r="580" spans="1:35">
      <c r="A580" s="46" t="s">
        <v>2335</v>
      </c>
      <c r="B580" s="47">
        <v>45415</v>
      </c>
      <c r="C580" s="39">
        <f t="shared" si="144"/>
        <v>45415</v>
      </c>
      <c r="D580" s="48" t="s">
        <v>300</v>
      </c>
      <c r="E580" s="37" t="str" cm="1">
        <f t="array" ref="E580">_xlfn.IFS(D580="delhi","north",D580="mumbai","west",D580="bengaluru","south",D580="chennai","south",D580="kolkata","east",TRUE,"west")</f>
        <v>west</v>
      </c>
      <c r="F580" s="46" t="s">
        <v>98</v>
      </c>
      <c r="G580" s="37" t="str">
        <f t="shared" si="145"/>
        <v>dtdc</v>
      </c>
      <c r="H580" s="46" t="s">
        <v>99</v>
      </c>
      <c r="I580" s="37" t="str">
        <f t="shared" si="146"/>
        <v>air</v>
      </c>
      <c r="J580" s="46" t="s">
        <v>368</v>
      </c>
      <c r="K580" s="37" t="str">
        <f t="shared" si="147"/>
        <v>furniture</v>
      </c>
      <c r="L580" s="46" t="s">
        <v>257</v>
      </c>
      <c r="M580" s="37" t="str">
        <f t="shared" si="148"/>
        <v>west</v>
      </c>
      <c r="N580" s="46" t="s">
        <v>187</v>
      </c>
      <c r="O580" s="41" t="str">
        <f t="shared" si="149"/>
        <v>Yes</v>
      </c>
      <c r="P580" s="49">
        <v>23</v>
      </c>
      <c r="Q580" s="49" t="s">
        <v>2337</v>
      </c>
      <c r="R580" s="42">
        <f t="shared" si="150"/>
        <v>53.0869565217391</v>
      </c>
      <c r="S580" s="46">
        <v>4</v>
      </c>
      <c r="T580" s="46" t="s">
        <v>1434</v>
      </c>
      <c r="U580" s="43" t="str">
        <f t="shared" si="151"/>
        <v>15-may-2024</v>
      </c>
      <c r="V580" s="43">
        <f t="shared" si="152"/>
        <v>45427</v>
      </c>
      <c r="W580" s="44">
        <f t="array" ref="W580">_xlfn.IFS(TRIM(C580)="","",TRIM(V580)="","",TRUE,V580-C580)</f>
        <v>12</v>
      </c>
      <c r="X580" s="37">
        <f t="shared" si="153"/>
        <v>8</v>
      </c>
      <c r="Y580" s="46" t="s">
        <v>200</v>
      </c>
      <c r="Z580" s="37" t="str">
        <f t="shared" si="154"/>
        <v>delayed</v>
      </c>
      <c r="AA580" s="37" t="str">
        <f t="shared" si="155"/>
        <v>Late</v>
      </c>
      <c r="AB580" s="37" t="str">
        <f t="shared" si="142"/>
        <v>1</v>
      </c>
      <c r="AC580" s="37">
        <f t="shared" si="143"/>
        <v>1</v>
      </c>
      <c r="AD580" s="45">
        <f t="shared" si="157"/>
        <v>0.512315270935961</v>
      </c>
      <c r="AE580" s="46">
        <v>4</v>
      </c>
      <c r="AF580" s="46" t="s">
        <v>191</v>
      </c>
      <c r="AG580" s="37" t="str">
        <f t="shared" si="156"/>
        <v>no</v>
      </c>
      <c r="AH580" s="37" t="str">
        <f t="array" ref="AH580">_xlfn.IFS(LOWER(AG580)="n","no",LOWER(AG580)="y","yes",TRUE,LOWER(AG580))</f>
        <v>no</v>
      </c>
      <c r="AI580" s="46" t="s">
        <v>4692</v>
      </c>
    </row>
    <row r="581" spans="1:35">
      <c r="A581" s="37" t="s">
        <v>2338</v>
      </c>
      <c r="B581" s="38">
        <v>45440</v>
      </c>
      <c r="C581" s="39">
        <f t="shared" si="144"/>
        <v>45440</v>
      </c>
      <c r="D581" s="40" t="s">
        <v>4699</v>
      </c>
      <c r="E581" s="37" t="str" cm="1">
        <f t="array" ref="E581">_xlfn.IFS(D581="delhi","north",D581="mumbai","west",D581="bengaluru","south",D581="chennai","south",D581="kolkata","east",TRUE,"west")</f>
        <v>west</v>
      </c>
      <c r="F581" s="37" t="s">
        <v>184</v>
      </c>
      <c r="G581" s="37" t="str">
        <f t="shared" si="145"/>
        <v>ecomexpress</v>
      </c>
      <c r="H581" s="37" t="s">
        <v>224</v>
      </c>
      <c r="I581" s="37" t="str">
        <f t="shared" si="146"/>
        <v>air</v>
      </c>
      <c r="J581" s="37" t="s">
        <v>1145</v>
      </c>
      <c r="K581" s="37" t="str">
        <f t="shared" si="147"/>
        <v>grocery&amp;fmcg</v>
      </c>
      <c r="L581" s="37" t="s">
        <v>87</v>
      </c>
      <c r="M581" s="37" t="str">
        <f t="shared" si="148"/>
        <v>north</v>
      </c>
      <c r="N581" s="37" t="s">
        <v>32</v>
      </c>
      <c r="O581" s="41" t="str">
        <f t="shared" si="149"/>
        <v>Yes</v>
      </c>
      <c r="P581" s="41">
        <v>13.6</v>
      </c>
      <c r="Q581" s="41">
        <v>743</v>
      </c>
      <c r="R581" s="42">
        <f t="shared" si="150"/>
        <v>54.6323529411765</v>
      </c>
      <c r="S581" s="37">
        <v>4</v>
      </c>
      <c r="T581" s="37" t="s">
        <v>799</v>
      </c>
      <c r="U581" s="43" t="str">
        <f t="shared" si="151"/>
        <v>2024-06-01</v>
      </c>
      <c r="V581" s="43">
        <f t="shared" si="152"/>
        <v>45444</v>
      </c>
      <c r="W581" s="44">
        <f t="array" ref="W581">_xlfn.IFS(TRIM(C581)="","",TRIM(V581)="","",TRUE,V581-C581)</f>
        <v>4</v>
      </c>
      <c r="X581" s="37">
        <f t="shared" si="153"/>
        <v>0</v>
      </c>
      <c r="Y581" s="37" t="s">
        <v>105</v>
      </c>
      <c r="Z581" s="37" t="str">
        <f t="shared" si="154"/>
        <v>delivered</v>
      </c>
      <c r="AA581" s="37" t="str">
        <f t="shared" si="155"/>
        <v>On Time</v>
      </c>
      <c r="AB581" s="37" t="str">
        <f t="shared" si="142"/>
        <v>0</v>
      </c>
      <c r="AC581" s="37">
        <f t="shared" si="143"/>
        <v>0</v>
      </c>
      <c r="AD581" s="45">
        <f t="shared" si="157"/>
        <v>0.511834319526627</v>
      </c>
      <c r="AE581" s="37">
        <v>5</v>
      </c>
      <c r="AF581" s="37" t="s">
        <v>118</v>
      </c>
      <c r="AG581" s="37" t="str">
        <f t="shared" si="156"/>
        <v>no</v>
      </c>
      <c r="AH581" s="37" t="str">
        <f t="array" ref="AH581">_xlfn.IFS(LOWER(AG581)="n","no",LOWER(AG581)="y","yes",TRUE,LOWER(AG581))</f>
        <v>no</v>
      </c>
      <c r="AI581" s="37" t="s">
        <v>4692</v>
      </c>
    </row>
    <row r="582" spans="1:35">
      <c r="A582" s="46" t="s">
        <v>2340</v>
      </c>
      <c r="B582" s="47">
        <v>45375</v>
      </c>
      <c r="C582" s="39">
        <f t="shared" si="144"/>
        <v>45375</v>
      </c>
      <c r="D582" s="48" t="s">
        <v>424</v>
      </c>
      <c r="E582" s="37" t="str" cm="1">
        <f t="array" ref="E582">_xlfn.IFS(D582="delhi","north",D582="mumbai","west",D582="bengaluru","south",D582="chennai","south",D582="kolkata","east",TRUE,"west")</f>
        <v>south</v>
      </c>
      <c r="F582" s="46" t="s">
        <v>136</v>
      </c>
      <c r="G582" s="37" t="str">
        <f t="shared" si="145"/>
        <v>bluedart</v>
      </c>
      <c r="H582" s="46" t="s">
        <v>137</v>
      </c>
      <c r="I582" s="37" t="str">
        <f t="shared" si="146"/>
        <v>road</v>
      </c>
      <c r="J582" s="46" t="s">
        <v>237</v>
      </c>
      <c r="K582" s="37" t="str">
        <f t="shared" si="147"/>
        <v>automotiveparts</v>
      </c>
      <c r="L582" s="46" t="s">
        <v>112</v>
      </c>
      <c r="M582" s="37" t="str">
        <f t="shared" si="148"/>
        <v>north</v>
      </c>
      <c r="N582" s="46" t="s">
        <v>215</v>
      </c>
      <c r="O582" s="41" t="str">
        <f t="shared" si="149"/>
        <v>Yes</v>
      </c>
      <c r="P582" s="49" t="s">
        <v>2341</v>
      </c>
      <c r="Q582" s="49" t="s">
        <v>2342</v>
      </c>
      <c r="R582" s="42">
        <f t="shared" si="150"/>
        <v>19.0353697749196</v>
      </c>
      <c r="S582" s="46">
        <v>8</v>
      </c>
      <c r="T582" s="46" t="s">
        <v>1765</v>
      </c>
      <c r="U582" s="43" t="str">
        <f t="shared" si="151"/>
        <v>02/04/2024</v>
      </c>
      <c r="V582" s="43">
        <f t="shared" si="152"/>
        <v>45384</v>
      </c>
      <c r="W582" s="44">
        <f t="array" ref="W582">_xlfn.IFS(TRIM(C582)="","",TRIM(V582)="","",TRUE,V582-C582)</f>
        <v>9</v>
      </c>
      <c r="X582" s="37">
        <f t="shared" si="153"/>
        <v>1</v>
      </c>
      <c r="Y582" s="46" t="s">
        <v>172</v>
      </c>
      <c r="Z582" s="37" t="str">
        <f t="shared" si="154"/>
        <v>delayed</v>
      </c>
      <c r="AA582" s="37" t="str">
        <f t="shared" si="155"/>
        <v>Late</v>
      </c>
      <c r="AB582" s="37" t="str">
        <f t="shared" ref="AB582:AB645" si="158">IF(Z582="In-Transit","N/A",IF(X582="","",IF(X582&gt;0,"1","0")))</f>
        <v>1</v>
      </c>
      <c r="AC582" s="37">
        <f t="shared" si="143"/>
        <v>1</v>
      </c>
      <c r="AD582" s="45">
        <f t="shared" si="157"/>
        <v>0.512339585389931</v>
      </c>
      <c r="AE582" s="46">
        <v>3</v>
      </c>
      <c r="AF582" s="46" t="s">
        <v>191</v>
      </c>
      <c r="AG582" s="37" t="str">
        <f t="shared" si="156"/>
        <v>no</v>
      </c>
      <c r="AH582" s="37" t="str">
        <f t="array" ref="AH582">_xlfn.IFS(LOWER(AG582)="n","no",LOWER(AG582)="y","yes",TRUE,LOWER(AG582))</f>
        <v>no</v>
      </c>
      <c r="AI582" s="46" t="s">
        <v>4692</v>
      </c>
    </row>
    <row r="583" spans="1:35">
      <c r="A583" s="37" t="s">
        <v>2343</v>
      </c>
      <c r="B583" s="38">
        <v>45298</v>
      </c>
      <c r="C583" s="39">
        <f t="shared" si="144"/>
        <v>45298</v>
      </c>
      <c r="D583" s="40" t="s">
        <v>633</v>
      </c>
      <c r="E583" s="37" t="str" cm="1">
        <f t="array" ref="E583">_xlfn.IFS(D583="delhi","north",D583="mumbai","west",D583="bengaluru","south",D583="chennai","south",D583="kolkata","east",TRUE,"west")</f>
        <v>south</v>
      </c>
      <c r="F583" s="37" t="s">
        <v>184</v>
      </c>
      <c r="G583" s="37" t="str">
        <f t="shared" si="145"/>
        <v>ecomexpress</v>
      </c>
      <c r="H583" s="37" t="s">
        <v>147</v>
      </c>
      <c r="I583" s="37" t="str">
        <f t="shared" si="146"/>
        <v>road</v>
      </c>
      <c r="J583" s="37" t="s">
        <v>237</v>
      </c>
      <c r="K583" s="37" t="str">
        <f t="shared" si="147"/>
        <v>automotiveparts</v>
      </c>
      <c r="L583" s="37" t="s">
        <v>51</v>
      </c>
      <c r="M583" s="37" t="str">
        <f t="shared" si="148"/>
        <v>south</v>
      </c>
      <c r="N583" s="37" t="s">
        <v>327</v>
      </c>
      <c r="O583" s="41" t="str">
        <f t="shared" si="149"/>
        <v>Yes</v>
      </c>
      <c r="P583" s="41">
        <v>31.3</v>
      </c>
      <c r="Q583" s="41">
        <v>483</v>
      </c>
      <c r="R583" s="42">
        <f t="shared" si="150"/>
        <v>15.4313099041534</v>
      </c>
      <c r="S583" s="37">
        <v>6</v>
      </c>
      <c r="T583" s="37" t="s">
        <v>503</v>
      </c>
      <c r="U583" s="43" t="str">
        <f t="shared" si="151"/>
        <v>2024-01-14</v>
      </c>
      <c r="V583" s="43">
        <f t="shared" si="152"/>
        <v>45305</v>
      </c>
      <c r="W583" s="44">
        <f t="array" ref="W583">_xlfn.IFS(TRIM(C583)="","",TRIM(V583)="","",TRUE,V583-C583)</f>
        <v>7</v>
      </c>
      <c r="X583" s="37">
        <f t="shared" si="153"/>
        <v>1</v>
      </c>
      <c r="Y583" s="37" t="s">
        <v>172</v>
      </c>
      <c r="Z583" s="37" t="str">
        <f t="shared" si="154"/>
        <v>delayed</v>
      </c>
      <c r="AA583" s="37" t="str">
        <f t="shared" si="155"/>
        <v>Late</v>
      </c>
      <c r="AB583" s="37" t="str">
        <f t="shared" si="158"/>
        <v>1</v>
      </c>
      <c r="AC583" s="37">
        <f t="shared" ref="AC583:AC646" si="159">IF(TRIM(AB583&amp;"")="","",VALUE(TRIM(AB583&amp;"")))</f>
        <v>1</v>
      </c>
      <c r="AD583" s="45">
        <f t="shared" si="157"/>
        <v>0.511857707509881</v>
      </c>
      <c r="AE583" s="37">
        <v>3</v>
      </c>
      <c r="AF583" s="37" t="s">
        <v>131</v>
      </c>
      <c r="AG583" s="37" t="str">
        <f t="shared" si="156"/>
        <v>n</v>
      </c>
      <c r="AH583" s="37" t="str">
        <f t="array" ref="AH583">_xlfn.IFS(LOWER(AG583)="n","no",LOWER(AG583)="y","yes",TRUE,LOWER(AG583))</f>
        <v>no</v>
      </c>
      <c r="AI583" s="37" t="s">
        <v>4692</v>
      </c>
    </row>
    <row r="584" spans="1:35">
      <c r="A584" s="46" t="s">
        <v>2345</v>
      </c>
      <c r="B584" s="47" t="s">
        <v>4711</v>
      </c>
      <c r="C584" s="39">
        <f t="shared" si="144"/>
        <v>45431</v>
      </c>
      <c r="D584" s="48" t="s">
        <v>366</v>
      </c>
      <c r="E584" s="37" t="str" cm="1">
        <f t="array" ref="E584">_xlfn.IFS(D584="delhi","north",D584="mumbai","west",D584="bengaluru","south",D584="chennai","south",D584="kolkata","east",TRUE,"west")</f>
        <v>east</v>
      </c>
      <c r="F584" s="46" t="s">
        <v>204</v>
      </c>
      <c r="G584" s="37" t="str">
        <f t="shared" si="145"/>
        <v>delhivery</v>
      </c>
      <c r="H584" s="46" t="s">
        <v>224</v>
      </c>
      <c r="I584" s="37" t="str">
        <f t="shared" si="146"/>
        <v>air</v>
      </c>
      <c r="J584" s="46" t="s">
        <v>592</v>
      </c>
      <c r="K584" s="37" t="str">
        <f t="shared" si="147"/>
        <v>grocery&amp;fmcg</v>
      </c>
      <c r="L584" s="46" t="s">
        <v>139</v>
      </c>
      <c r="M584" s="37" t="str">
        <f t="shared" si="148"/>
        <v>north</v>
      </c>
      <c r="N584" s="46" t="s">
        <v>215</v>
      </c>
      <c r="O584" s="41" t="str">
        <f t="shared" si="149"/>
        <v>Yes</v>
      </c>
      <c r="P584" s="49">
        <v>5.4</v>
      </c>
      <c r="Q584" s="49">
        <v>414</v>
      </c>
      <c r="R584" s="42">
        <f t="shared" si="150"/>
        <v>76.6666666666667</v>
      </c>
      <c r="S584" s="46">
        <v>4</v>
      </c>
      <c r="T584" s="46" t="s">
        <v>2347</v>
      </c>
      <c r="U584" s="43" t="str">
        <f t="shared" si="151"/>
        <v>24/05/2024</v>
      </c>
      <c r="V584" s="43">
        <f t="shared" si="152"/>
        <v>45436</v>
      </c>
      <c r="W584" s="44">
        <f t="array" ref="W584">_xlfn.IFS(TRIM(C584)="","",TRIM(V584)="","",TRUE,V584-C584)</f>
        <v>5</v>
      </c>
      <c r="X584" s="37">
        <f t="shared" si="153"/>
        <v>1</v>
      </c>
      <c r="Y584" s="46" t="s">
        <v>172</v>
      </c>
      <c r="Z584" s="37" t="str">
        <f t="shared" si="154"/>
        <v>delayed</v>
      </c>
      <c r="AA584" s="37" t="str">
        <f t="shared" si="155"/>
        <v>Late</v>
      </c>
      <c r="AB584" s="37" t="str">
        <f t="shared" si="158"/>
        <v>1</v>
      </c>
      <c r="AC584" s="37">
        <f t="shared" si="159"/>
        <v>1</v>
      </c>
      <c r="AD584" s="45">
        <f t="shared" si="157"/>
        <v>0.51137487636004</v>
      </c>
      <c r="AE584" s="46">
        <v>5</v>
      </c>
      <c r="AF584" s="46" t="s">
        <v>152</v>
      </c>
      <c r="AG584" s="37" t="str">
        <f t="shared" si="156"/>
        <v>no</v>
      </c>
      <c r="AH584" s="37" t="str">
        <f t="array" ref="AH584">_xlfn.IFS(LOWER(AG584)="n","no",LOWER(AG584)="y","yes",TRUE,LOWER(AG584))</f>
        <v>no</v>
      </c>
      <c r="AI584" s="46" t="s">
        <v>4692</v>
      </c>
    </row>
    <row r="585" spans="1:35">
      <c r="A585" s="37" t="s">
        <v>2348</v>
      </c>
      <c r="B585" s="38" t="s">
        <v>4802</v>
      </c>
      <c r="C585" s="39">
        <f t="shared" si="144"/>
        <v>45446</v>
      </c>
      <c r="D585" s="40" t="s">
        <v>4704</v>
      </c>
      <c r="E585" s="37" t="str" cm="1">
        <f t="array" ref="E585">_xlfn.IFS(D585="delhi","north",D585="mumbai","west",D585="bengaluru","south",D585="chennai","south",D585="kolkata","east",TRUE,"west")</f>
        <v>west</v>
      </c>
      <c r="F585" s="37" t="s">
        <v>136</v>
      </c>
      <c r="G585" s="37" t="str">
        <f t="shared" si="145"/>
        <v>bluedart</v>
      </c>
      <c r="H585" s="37" t="s">
        <v>42</v>
      </c>
      <c r="I585" s="37" t="str">
        <f t="shared" si="146"/>
        <v>surface</v>
      </c>
      <c r="J585" s="37" t="s">
        <v>47</v>
      </c>
      <c r="K585" s="37" t="str">
        <f t="shared" si="147"/>
        <v>electronics</v>
      </c>
      <c r="L585" s="37" t="s">
        <v>197</v>
      </c>
      <c r="M585" s="37" t="str">
        <f t="shared" si="148"/>
        <v>south</v>
      </c>
      <c r="N585" s="37" t="s">
        <v>93</v>
      </c>
      <c r="O585" s="41" t="str">
        <f t="shared" si="149"/>
        <v>Yes</v>
      </c>
      <c r="P585" s="41" t="s">
        <v>2350</v>
      </c>
      <c r="Q585" s="41" t="s">
        <v>1888</v>
      </c>
      <c r="R585" s="42">
        <f t="shared" si="150"/>
        <v>44.6052631578947</v>
      </c>
      <c r="S585" s="37">
        <v>6</v>
      </c>
      <c r="T585" s="37" t="s">
        <v>429</v>
      </c>
      <c r="U585" s="43" t="str">
        <f t="shared" si="151"/>
        <v>2024-06-10</v>
      </c>
      <c r="V585" s="43">
        <f t="shared" si="152"/>
        <v>45453</v>
      </c>
      <c r="W585" s="44">
        <f t="array" ref="W585">_xlfn.IFS(TRIM(C585)="","",TRIM(V585)="","",TRUE,V585-C585)</f>
        <v>7</v>
      </c>
      <c r="X585" s="37">
        <f t="shared" si="153"/>
        <v>1</v>
      </c>
      <c r="Y585" s="37" t="s">
        <v>72</v>
      </c>
      <c r="Z585" s="37" t="str">
        <f t="shared" si="154"/>
        <v>delayed</v>
      </c>
      <c r="AA585" s="37" t="str">
        <f t="shared" si="155"/>
        <v>Late</v>
      </c>
      <c r="AB585" s="37" t="str">
        <f t="shared" si="158"/>
        <v>1</v>
      </c>
      <c r="AC585" s="37">
        <f t="shared" si="159"/>
        <v>1</v>
      </c>
      <c r="AD585" s="45">
        <f t="shared" si="157"/>
        <v>0.510891089108911</v>
      </c>
      <c r="AE585" s="37">
        <v>2</v>
      </c>
      <c r="AF585" s="37" t="s">
        <v>191</v>
      </c>
      <c r="AG585" s="37" t="str">
        <f t="shared" si="156"/>
        <v>no</v>
      </c>
      <c r="AH585" s="37" t="str">
        <f t="array" ref="AH585">_xlfn.IFS(LOWER(AG585)="n","no",LOWER(AG585)="y","yes",TRUE,LOWER(AG585))</f>
        <v>no</v>
      </c>
      <c r="AI585" s="37" t="s">
        <v>4692</v>
      </c>
    </row>
    <row r="586" spans="1:35">
      <c r="A586" s="46" t="s">
        <v>2351</v>
      </c>
      <c r="B586" s="47">
        <v>45355</v>
      </c>
      <c r="C586" s="39">
        <f t="shared" si="144"/>
        <v>45355</v>
      </c>
      <c r="D586" s="48" t="s">
        <v>222</v>
      </c>
      <c r="E586" s="37" t="str" cm="1">
        <f t="array" ref="E586">_xlfn.IFS(D586="delhi","north",D586="mumbai","west",D586="bengaluru","south",D586="chennai","south",D586="kolkata","east",TRUE,"west")</f>
        <v>west</v>
      </c>
      <c r="F586" s="46" t="s">
        <v>146</v>
      </c>
      <c r="G586" s="37" t="str">
        <f t="shared" si="145"/>
        <v>ecomexpress</v>
      </c>
      <c r="H586" s="46" t="s">
        <v>42</v>
      </c>
      <c r="I586" s="37" t="str">
        <f t="shared" si="146"/>
        <v>surface</v>
      </c>
      <c r="J586" s="46" t="s">
        <v>592</v>
      </c>
      <c r="K586" s="37" t="str">
        <f t="shared" si="147"/>
        <v>grocery&amp;fmcg</v>
      </c>
      <c r="L586" s="46" t="s">
        <v>112</v>
      </c>
      <c r="M586" s="37" t="str">
        <f t="shared" si="148"/>
        <v>north</v>
      </c>
      <c r="N586" s="46" t="s">
        <v>32</v>
      </c>
      <c r="O586" s="41" t="str">
        <f t="shared" si="149"/>
        <v>Yes</v>
      </c>
      <c r="P586" s="49" t="s">
        <v>2352</v>
      </c>
      <c r="Q586" s="49">
        <v>572</v>
      </c>
      <c r="R586" s="42">
        <f t="shared" si="150"/>
        <v>30.5882352941176</v>
      </c>
      <c r="S586" s="46">
        <v>6</v>
      </c>
      <c r="T586" s="46" t="s">
        <v>2354</v>
      </c>
      <c r="U586" s="43" t="str">
        <f t="shared" si="151"/>
        <v>11-mar-2024</v>
      </c>
      <c r="V586" s="43">
        <f t="shared" si="152"/>
        <v>45362</v>
      </c>
      <c r="W586" s="44">
        <f t="array" ref="W586">_xlfn.IFS(TRIM(C586)="","",TRIM(V586)="","",TRUE,V586-C586)</f>
        <v>7</v>
      </c>
      <c r="X586" s="37">
        <f t="shared" si="153"/>
        <v>1</v>
      </c>
      <c r="Y586" s="46" t="s">
        <v>143</v>
      </c>
      <c r="Z586" s="37" t="str">
        <f t="shared" si="154"/>
        <v>delayed</v>
      </c>
      <c r="AA586" s="37" t="str">
        <f t="shared" si="155"/>
        <v>Late</v>
      </c>
      <c r="AB586" s="37" t="str">
        <f t="shared" si="158"/>
        <v>1</v>
      </c>
      <c r="AC586" s="37">
        <f t="shared" si="159"/>
        <v>1</v>
      </c>
      <c r="AD586" s="45">
        <f t="shared" si="157"/>
        <v>0.510406342913776</v>
      </c>
      <c r="AE586" s="46">
        <v>4</v>
      </c>
      <c r="AF586" s="46" t="s">
        <v>131</v>
      </c>
      <c r="AG586" s="37" t="str">
        <f t="shared" si="156"/>
        <v>n</v>
      </c>
      <c r="AH586" s="37" t="str">
        <f t="array" ref="AH586">_xlfn.IFS(LOWER(AG586)="n","no",LOWER(AG586)="y","yes",TRUE,LOWER(AG586))</f>
        <v>no</v>
      </c>
      <c r="AI586" s="46" t="s">
        <v>4692</v>
      </c>
    </row>
    <row r="587" spans="1:35">
      <c r="A587" s="37" t="s">
        <v>2355</v>
      </c>
      <c r="B587" s="38">
        <v>45295</v>
      </c>
      <c r="C587" s="39">
        <f t="shared" si="144"/>
        <v>45295</v>
      </c>
      <c r="D587" s="40" t="s">
        <v>633</v>
      </c>
      <c r="E587" s="37" t="str" cm="1">
        <f t="array" ref="E587">_xlfn.IFS(D587="delhi","north",D587="mumbai","west",D587="bengaluru","south",D587="chennai","south",D587="kolkata","east",TRUE,"west")</f>
        <v>south</v>
      </c>
      <c r="F587" s="37" t="s">
        <v>919</v>
      </c>
      <c r="G587" s="37" t="str">
        <f t="shared" si="145"/>
        <v>xpressbees</v>
      </c>
      <c r="H587" s="37" t="s">
        <v>99</v>
      </c>
      <c r="I587" s="37" t="str">
        <f t="shared" si="146"/>
        <v>air</v>
      </c>
      <c r="J587" s="37" t="s">
        <v>231</v>
      </c>
      <c r="K587" s="37" t="str">
        <f t="shared" si="147"/>
        <v>furniture</v>
      </c>
      <c r="L587" s="37" t="s">
        <v>264</v>
      </c>
      <c r="M587" s="37" t="str">
        <f t="shared" si="148"/>
        <v>west</v>
      </c>
      <c r="N587" s="37" t="s">
        <v>278</v>
      </c>
      <c r="O587" s="41" t="str">
        <f t="shared" si="149"/>
        <v>Yes</v>
      </c>
      <c r="P587" s="41">
        <v>74.6</v>
      </c>
      <c r="Q587" s="50">
        <v>3540</v>
      </c>
      <c r="R587" s="42">
        <f t="shared" si="150"/>
        <v>47.4530831099196</v>
      </c>
      <c r="S587" s="37">
        <v>4</v>
      </c>
      <c r="T587" s="37" t="s">
        <v>2359</v>
      </c>
      <c r="U587" s="43" t="str">
        <f t="shared" si="151"/>
        <v>2024-01-09</v>
      </c>
      <c r="V587" s="43">
        <f t="shared" si="152"/>
        <v>45300</v>
      </c>
      <c r="W587" s="44">
        <f t="array" ref="W587">_xlfn.IFS(TRIM(C587)="","",TRIM(V587)="","",TRUE,V587-C587)</f>
        <v>5</v>
      </c>
      <c r="X587" s="37">
        <f t="shared" si="153"/>
        <v>1</v>
      </c>
      <c r="Y587" s="37" t="s">
        <v>200</v>
      </c>
      <c r="Z587" s="37" t="str">
        <f t="shared" si="154"/>
        <v>delayed</v>
      </c>
      <c r="AA587" s="37" t="str">
        <f t="shared" si="155"/>
        <v>Late</v>
      </c>
      <c r="AB587" s="37" t="str">
        <f t="shared" si="158"/>
        <v>1</v>
      </c>
      <c r="AC587" s="37">
        <f t="shared" si="159"/>
        <v>1</v>
      </c>
      <c r="AD587" s="45">
        <f t="shared" si="157"/>
        <v>0.509920634920635</v>
      </c>
      <c r="AE587" s="37">
        <v>4</v>
      </c>
      <c r="AF587" s="37" t="s">
        <v>118</v>
      </c>
      <c r="AG587" s="37" t="str">
        <f t="shared" si="156"/>
        <v>no</v>
      </c>
      <c r="AH587" s="37" t="str">
        <f t="array" ref="AH587">_xlfn.IFS(LOWER(AG587)="n","no",LOWER(AG587)="y","yes",TRUE,LOWER(AG587))</f>
        <v>no</v>
      </c>
      <c r="AI587" s="37" t="s">
        <v>4692</v>
      </c>
    </row>
    <row r="588" spans="1:35">
      <c r="A588" s="46" t="s">
        <v>2360</v>
      </c>
      <c r="B588" s="47" t="s">
        <v>4777</v>
      </c>
      <c r="C588" s="39">
        <f t="shared" si="144"/>
        <v>45391</v>
      </c>
      <c r="D588" s="48" t="s">
        <v>4704</v>
      </c>
      <c r="E588" s="37" t="str" cm="1">
        <f t="array" ref="E588">_xlfn.IFS(D588="delhi","north",D588="mumbai","west",D588="bengaluru","south",D588="chennai","south",D588="kolkata","east",TRUE,"west")</f>
        <v>west</v>
      </c>
      <c r="F588" s="46" t="s">
        <v>367</v>
      </c>
      <c r="G588" s="37" t="str">
        <f t="shared" si="145"/>
        <v>dtdc</v>
      </c>
      <c r="H588" s="46" t="s">
        <v>185</v>
      </c>
      <c r="I588" s="37" t="str">
        <f t="shared" si="146"/>
        <v>surface</v>
      </c>
      <c r="J588" s="46" t="s">
        <v>1014</v>
      </c>
      <c r="K588" s="37" t="str">
        <f t="shared" si="147"/>
        <v>pharma</v>
      </c>
      <c r="L588" s="46" t="s">
        <v>470</v>
      </c>
      <c r="M588" s="37" t="str">
        <f t="shared" si="148"/>
        <v>east</v>
      </c>
      <c r="N588" s="46" t="s">
        <v>396</v>
      </c>
      <c r="O588" s="41" t="str">
        <f t="shared" si="149"/>
        <v>Yes</v>
      </c>
      <c r="P588" s="49">
        <v>4.5</v>
      </c>
      <c r="Q588" s="49">
        <v>142</v>
      </c>
      <c r="R588" s="42">
        <f t="shared" si="150"/>
        <v>31.5555555555556</v>
      </c>
      <c r="S588" s="46">
        <v>4</v>
      </c>
      <c r="T588" s="46" t="s">
        <v>2362</v>
      </c>
      <c r="U588" s="43" t="str">
        <f t="shared" si="151"/>
        <v>12/04/2024</v>
      </c>
      <c r="V588" s="43">
        <f t="shared" si="152"/>
        <v>45394</v>
      </c>
      <c r="W588" s="44">
        <f t="array" ref="W588">_xlfn.IFS(TRIM(C588)="","",TRIM(V588)="","",TRUE,V588-C588)</f>
        <v>3</v>
      </c>
      <c r="X588" s="37">
        <f t="shared" si="153"/>
        <v>-1</v>
      </c>
      <c r="Y588" s="46" t="s">
        <v>117</v>
      </c>
      <c r="Z588" s="37" t="str">
        <f t="shared" si="154"/>
        <v>delivered</v>
      </c>
      <c r="AA588" s="37" t="str">
        <f t="shared" si="155"/>
        <v>On Time</v>
      </c>
      <c r="AB588" s="37" t="str">
        <f t="shared" si="158"/>
        <v>0</v>
      </c>
      <c r="AC588" s="37">
        <f t="shared" si="159"/>
        <v>0</v>
      </c>
      <c r="AD588" s="45">
        <f t="shared" si="157"/>
        <v>0.509433962264151</v>
      </c>
      <c r="AE588" s="46">
        <v>3</v>
      </c>
      <c r="AF588" s="46" t="s">
        <v>191</v>
      </c>
      <c r="AG588" s="37" t="str">
        <f t="shared" si="156"/>
        <v>no</v>
      </c>
      <c r="AH588" s="37" t="str">
        <f t="array" ref="AH588">_xlfn.IFS(LOWER(AG588)="n","no",LOWER(AG588)="y","yes",TRUE,LOWER(AG588))</f>
        <v>no</v>
      </c>
      <c r="AI588" s="46" t="s">
        <v>4692</v>
      </c>
    </row>
    <row r="589" spans="1:35">
      <c r="A589" s="37" t="s">
        <v>2363</v>
      </c>
      <c r="B589" s="38">
        <v>45298</v>
      </c>
      <c r="C589" s="39">
        <f t="shared" si="144"/>
        <v>45298</v>
      </c>
      <c r="D589" s="40" t="s">
        <v>121</v>
      </c>
      <c r="E589" s="37" t="str" cm="1">
        <f t="array" ref="E589">_xlfn.IFS(D589="delhi","north",D589="mumbai","west",D589="bengaluru","south",D589="chennai","south",D589="kolkata","east",TRUE,"west")</f>
        <v>west</v>
      </c>
      <c r="F589" s="37" t="s">
        <v>352</v>
      </c>
      <c r="G589" s="37" t="str">
        <f t="shared" si="145"/>
        <v>delhivery</v>
      </c>
      <c r="H589" s="37" t="s">
        <v>123</v>
      </c>
      <c r="I589" s="37" t="str">
        <f t="shared" si="146"/>
        <v>air</v>
      </c>
      <c r="J589" s="37" t="s">
        <v>231</v>
      </c>
      <c r="K589" s="37" t="str">
        <f t="shared" si="147"/>
        <v>furniture</v>
      </c>
      <c r="L589" s="37" t="s">
        <v>418</v>
      </c>
      <c r="M589" s="37" t="str">
        <f t="shared" si="148"/>
        <v>south</v>
      </c>
      <c r="N589" s="37" t="s">
        <v>90</v>
      </c>
      <c r="O589" s="41" t="str">
        <f t="shared" si="149"/>
        <v>Yes</v>
      </c>
      <c r="P589" s="41">
        <v>59.1</v>
      </c>
      <c r="Q589" s="41" t="s">
        <v>2365</v>
      </c>
      <c r="R589" s="42">
        <f t="shared" si="150"/>
        <v>47.2419627749577</v>
      </c>
      <c r="S589" s="37">
        <v>4</v>
      </c>
      <c r="T589" s="37" t="s">
        <v>774</v>
      </c>
      <c r="U589" s="43" t="str">
        <f t="shared" si="151"/>
        <v>13/01/2024</v>
      </c>
      <c r="V589" s="43">
        <f t="shared" si="152"/>
        <v>45304</v>
      </c>
      <c r="W589" s="44">
        <f t="array" ref="W589">_xlfn.IFS(TRIM(C589)="","",TRIM(V589)="","",TRUE,V589-C589)</f>
        <v>6</v>
      </c>
      <c r="X589" s="37">
        <f t="shared" si="153"/>
        <v>2</v>
      </c>
      <c r="Y589" s="37" t="s">
        <v>172</v>
      </c>
      <c r="Z589" s="37" t="str">
        <f t="shared" si="154"/>
        <v>delayed</v>
      </c>
      <c r="AA589" s="37" t="str">
        <f t="shared" si="155"/>
        <v>Late</v>
      </c>
      <c r="AB589" s="37" t="str">
        <f t="shared" si="158"/>
        <v>1</v>
      </c>
      <c r="AC589" s="37">
        <f t="shared" si="159"/>
        <v>1</v>
      </c>
      <c r="AD589" s="45">
        <f t="shared" si="157"/>
        <v>0.509940357852883</v>
      </c>
      <c r="AE589" s="37">
        <v>4</v>
      </c>
      <c r="AF589" s="37" t="s">
        <v>191</v>
      </c>
      <c r="AG589" s="37" t="str">
        <f t="shared" si="156"/>
        <v>no</v>
      </c>
      <c r="AH589" s="37" t="str">
        <f t="array" ref="AH589">_xlfn.IFS(LOWER(AG589)="n","no",LOWER(AG589)="y","yes",TRUE,LOWER(AG589))</f>
        <v>no</v>
      </c>
      <c r="AI589" s="37" t="s">
        <v>4692</v>
      </c>
    </row>
    <row r="590" spans="1:35">
      <c r="A590" s="46" t="s">
        <v>2366</v>
      </c>
      <c r="B590" s="47" t="s">
        <v>4803</v>
      </c>
      <c r="C590" s="39">
        <f t="shared" si="144"/>
        <v>45308</v>
      </c>
      <c r="D590" s="48" t="s">
        <v>366</v>
      </c>
      <c r="E590" s="37" t="str" cm="1">
        <f t="array" ref="E590">_xlfn.IFS(D590="delhi","north",D590="mumbai","west",D590="bengaluru","south",D590="chennai","south",D590="kolkata","east",TRUE,"west")</f>
        <v>east</v>
      </c>
      <c r="F590" s="46" t="s">
        <v>223</v>
      </c>
      <c r="G590" s="37" t="str">
        <f t="shared" si="145"/>
        <v>xpressbees</v>
      </c>
      <c r="H590" s="46" t="s">
        <v>224</v>
      </c>
      <c r="I590" s="37" t="str">
        <f t="shared" si="146"/>
        <v>air</v>
      </c>
      <c r="J590" s="46" t="s">
        <v>214</v>
      </c>
      <c r="K590" s="37" t="str">
        <f t="shared" si="147"/>
        <v>grocery&amp;fmcg</v>
      </c>
      <c r="L590" s="46" t="s">
        <v>380</v>
      </c>
      <c r="M590" s="37" t="str">
        <f t="shared" si="148"/>
        <v>east</v>
      </c>
      <c r="N590" s="46" t="s">
        <v>126</v>
      </c>
      <c r="O590" s="41" t="str">
        <f t="shared" si="149"/>
        <v>Yes</v>
      </c>
      <c r="P590" s="49" t="s">
        <v>2368</v>
      </c>
      <c r="Q590" s="49">
        <v>510</v>
      </c>
      <c r="R590" s="42">
        <f t="shared" si="150"/>
        <v>42.8571428571429</v>
      </c>
      <c r="S590" s="46">
        <v>2</v>
      </c>
      <c r="T590" s="46" t="s">
        <v>1897</v>
      </c>
      <c r="U590" s="43" t="str">
        <f t="shared" si="151"/>
        <v>2024-01-27</v>
      </c>
      <c r="V590" s="43">
        <f t="shared" si="152"/>
        <v>45318</v>
      </c>
      <c r="W590" s="44">
        <f t="array" ref="W590">_xlfn.IFS(TRIM(C590)="","",TRIM(V590)="","",TRUE,V590-C590)</f>
        <v>10</v>
      </c>
      <c r="X590" s="37">
        <f t="shared" si="153"/>
        <v>8</v>
      </c>
      <c r="Y590" s="46" t="s">
        <v>200</v>
      </c>
      <c r="Z590" s="37" t="str">
        <f t="shared" si="154"/>
        <v>delayed</v>
      </c>
      <c r="AA590" s="37" t="str">
        <f t="shared" si="155"/>
        <v>Late</v>
      </c>
      <c r="AB590" s="37" t="str">
        <f t="shared" si="158"/>
        <v>1</v>
      </c>
      <c r="AC590" s="37">
        <f t="shared" si="159"/>
        <v>1</v>
      </c>
      <c r="AD590" s="45">
        <f t="shared" si="157"/>
        <v>0.509452736318408</v>
      </c>
      <c r="AE590" s="46">
        <v>2</v>
      </c>
      <c r="AF590" s="46" t="s">
        <v>191</v>
      </c>
      <c r="AG590" s="37" t="str">
        <f t="shared" si="156"/>
        <v>no</v>
      </c>
      <c r="AH590" s="37" t="str">
        <f t="array" ref="AH590">_xlfn.IFS(LOWER(AG590)="n","no",LOWER(AG590)="y","yes",TRUE,LOWER(AG590))</f>
        <v>no</v>
      </c>
      <c r="AI590" s="46" t="s">
        <v>4692</v>
      </c>
    </row>
    <row r="591" spans="1:35">
      <c r="A591" s="37" t="s">
        <v>2370</v>
      </c>
      <c r="B591" s="38">
        <v>45332</v>
      </c>
      <c r="C591" s="39">
        <f t="shared" si="144"/>
        <v>45332</v>
      </c>
      <c r="D591" s="40" t="s">
        <v>424</v>
      </c>
      <c r="E591" s="37" t="str" cm="1">
        <f t="array" ref="E591">_xlfn.IFS(D591="delhi","north",D591="mumbai","west",D591="bengaluru","south",D591="chennai","south",D591="kolkata","east",TRUE,"west")</f>
        <v>south</v>
      </c>
      <c r="F591" s="37" t="s">
        <v>175</v>
      </c>
      <c r="G591" s="37" t="str">
        <f t="shared" si="145"/>
        <v>ecomexpress</v>
      </c>
      <c r="H591" s="37" t="s">
        <v>345</v>
      </c>
      <c r="I591" s="37" t="str">
        <f t="shared" si="146"/>
        <v>surface</v>
      </c>
      <c r="J591" s="37" t="s">
        <v>319</v>
      </c>
      <c r="K591" s="37" t="str">
        <f t="shared" si="147"/>
        <v>electronics</v>
      </c>
      <c r="L591" s="37" t="s">
        <v>380</v>
      </c>
      <c r="M591" s="37" t="str">
        <f t="shared" si="148"/>
        <v>east</v>
      </c>
      <c r="N591" s="37" t="s">
        <v>91</v>
      </c>
      <c r="O591" s="41" t="str">
        <f t="shared" si="149"/>
        <v>Yes</v>
      </c>
      <c r="P591" s="41">
        <v>10.7</v>
      </c>
      <c r="Q591" s="41" t="s">
        <v>2062</v>
      </c>
      <c r="R591" s="42">
        <f t="shared" si="150"/>
        <v>34.9532710280374</v>
      </c>
      <c r="S591" s="37">
        <v>6</v>
      </c>
      <c r="T591" s="37" t="s">
        <v>737</v>
      </c>
      <c r="U591" s="43" t="str">
        <f t="shared" si="151"/>
        <v>15-feb-2024</v>
      </c>
      <c r="V591" s="43">
        <f t="shared" si="152"/>
        <v>45337</v>
      </c>
      <c r="W591" s="44">
        <f t="array" ref="W591">_xlfn.IFS(TRIM(C591)="","",TRIM(V591)="","",TRUE,V591-C591)</f>
        <v>5</v>
      </c>
      <c r="X591" s="37">
        <f t="shared" si="153"/>
        <v>-1</v>
      </c>
      <c r="Y591" s="37" t="s">
        <v>163</v>
      </c>
      <c r="Z591" s="37" t="str">
        <f t="shared" si="154"/>
        <v>delivered</v>
      </c>
      <c r="AA591" s="37" t="str">
        <f t="shared" si="155"/>
        <v>On Time</v>
      </c>
      <c r="AB591" s="37" t="str">
        <f t="shared" si="158"/>
        <v>0</v>
      </c>
      <c r="AC591" s="37">
        <f t="shared" si="159"/>
        <v>0</v>
      </c>
      <c r="AD591" s="45">
        <f t="shared" si="157"/>
        <v>0.508964143426295</v>
      </c>
      <c r="AE591" s="37">
        <v>4</v>
      </c>
      <c r="AF591" s="37" t="s">
        <v>181</v>
      </c>
      <c r="AG591" s="37" t="str">
        <f t="shared" si="156"/>
        <v>y</v>
      </c>
      <c r="AH591" s="37" t="str">
        <f t="array" ref="AH591">_xlfn.IFS(LOWER(AG591)="n","no",LOWER(AG591)="y","yes",TRUE,LOWER(AG591))</f>
        <v>yes</v>
      </c>
      <c r="AI591" s="37" t="s">
        <v>4692</v>
      </c>
    </row>
    <row r="592" spans="1:35">
      <c r="A592" s="46" t="s">
        <v>2373</v>
      </c>
      <c r="B592" s="47">
        <v>45407</v>
      </c>
      <c r="C592" s="39">
        <f t="shared" si="144"/>
        <v>45407</v>
      </c>
      <c r="D592" s="48" t="s">
        <v>633</v>
      </c>
      <c r="E592" s="37" t="str" cm="1">
        <f t="array" ref="E592">_xlfn.IFS(D592="delhi","north",D592="mumbai","west",D592="bengaluru","south",D592="chennai","south",D592="kolkata","east",TRUE,"west")</f>
        <v>south</v>
      </c>
      <c r="F592" s="46" t="s">
        <v>367</v>
      </c>
      <c r="G592" s="37" t="str">
        <f t="shared" si="145"/>
        <v>dtdc</v>
      </c>
      <c r="H592" s="46" t="s">
        <v>137</v>
      </c>
      <c r="I592" s="37" t="str">
        <f t="shared" si="146"/>
        <v>road</v>
      </c>
      <c r="J592" s="46" t="s">
        <v>237</v>
      </c>
      <c r="K592" s="37" t="str">
        <f t="shared" si="147"/>
        <v>automotiveparts</v>
      </c>
      <c r="L592" s="46" t="s">
        <v>101</v>
      </c>
      <c r="M592" s="37" t="str">
        <f t="shared" si="148"/>
        <v>west</v>
      </c>
      <c r="N592" s="46" t="s">
        <v>206</v>
      </c>
      <c r="O592" s="41" t="str">
        <f t="shared" si="149"/>
        <v>Yes</v>
      </c>
      <c r="P592" s="49">
        <v>38.5</v>
      </c>
      <c r="Q592" s="49">
        <v>729</v>
      </c>
      <c r="R592" s="42">
        <f t="shared" si="150"/>
        <v>18.9350649350649</v>
      </c>
      <c r="S592" s="46">
        <v>8</v>
      </c>
      <c r="T592" s="46" t="s">
        <v>406</v>
      </c>
      <c r="U592" s="43" t="str">
        <f t="shared" si="151"/>
        <v>2024-05-10</v>
      </c>
      <c r="V592" s="43">
        <f t="shared" si="152"/>
        <v>45422</v>
      </c>
      <c r="W592" s="44">
        <f t="array" ref="W592">_xlfn.IFS(TRIM(C592)="","",TRIM(V592)="","",TRUE,V592-C592)</f>
        <v>15</v>
      </c>
      <c r="X592" s="37">
        <f t="shared" si="153"/>
        <v>7</v>
      </c>
      <c r="Y592" s="46" t="s">
        <v>72</v>
      </c>
      <c r="Z592" s="37" t="str">
        <f t="shared" si="154"/>
        <v>delayed</v>
      </c>
      <c r="AA592" s="37" t="str">
        <f t="shared" si="155"/>
        <v>Late</v>
      </c>
      <c r="AB592" s="37" t="str">
        <f t="shared" si="158"/>
        <v>1</v>
      </c>
      <c r="AC592" s="37">
        <f t="shared" si="159"/>
        <v>1</v>
      </c>
      <c r="AD592" s="45">
        <f t="shared" si="157"/>
        <v>0.509471585244267</v>
      </c>
      <c r="AE592" s="46">
        <v>5</v>
      </c>
      <c r="AF592" s="46" t="s">
        <v>118</v>
      </c>
      <c r="AG592" s="37" t="str">
        <f t="shared" si="156"/>
        <v>no</v>
      </c>
      <c r="AH592" s="37" t="str">
        <f t="array" ref="AH592">_xlfn.IFS(LOWER(AG592)="n","no",LOWER(AG592)="y","yes",TRUE,LOWER(AG592))</f>
        <v>no</v>
      </c>
      <c r="AI592" s="46" t="s">
        <v>4692</v>
      </c>
    </row>
    <row r="593" spans="1:35">
      <c r="A593" s="37" t="s">
        <v>2376</v>
      </c>
      <c r="B593" s="38">
        <v>45389</v>
      </c>
      <c r="C593" s="39">
        <f t="shared" si="144"/>
        <v>45389</v>
      </c>
      <c r="D593" s="40" t="s">
        <v>366</v>
      </c>
      <c r="E593" s="37" t="str" cm="1">
        <f t="array" ref="E593">_xlfn.IFS(D593="delhi","north",D593="mumbai","west",D593="bengaluru","south",D593="chennai","south",D593="kolkata","east",TRUE,"west")</f>
        <v>east</v>
      </c>
      <c r="F593" s="37" t="s">
        <v>333</v>
      </c>
      <c r="G593" s="37" t="str">
        <f t="shared" si="145"/>
        <v>delhivery</v>
      </c>
      <c r="H593" s="37" t="s">
        <v>123</v>
      </c>
      <c r="I593" s="37" t="str">
        <f t="shared" si="146"/>
        <v>air</v>
      </c>
      <c r="J593" s="37" t="s">
        <v>385</v>
      </c>
      <c r="K593" s="37" t="str">
        <f t="shared" si="147"/>
        <v>furniture</v>
      </c>
      <c r="L593" s="37" t="s">
        <v>89</v>
      </c>
      <c r="M593" s="37" t="str">
        <f t="shared" si="148"/>
        <v>west</v>
      </c>
      <c r="N593" s="37" t="s">
        <v>88</v>
      </c>
      <c r="O593" s="41" t="str">
        <f t="shared" si="149"/>
        <v>Yes</v>
      </c>
      <c r="P593" s="41" t="s">
        <v>2377</v>
      </c>
      <c r="Q593" s="50">
        <v>2546</v>
      </c>
      <c r="R593" s="42">
        <f t="shared" si="150"/>
        <v>47.3234200743494</v>
      </c>
      <c r="S593" s="37">
        <v>4</v>
      </c>
      <c r="T593" s="37" t="s">
        <v>2379</v>
      </c>
      <c r="U593" s="43" t="str">
        <f t="shared" si="151"/>
        <v>11-apr-2024</v>
      </c>
      <c r="V593" s="43">
        <f t="shared" si="152"/>
        <v>45393</v>
      </c>
      <c r="W593" s="44">
        <f t="array" ref="W593">_xlfn.IFS(TRIM(C593)="","",TRIM(V593)="","",TRUE,V593-C593)</f>
        <v>4</v>
      </c>
      <c r="X593" s="37">
        <f t="shared" si="153"/>
        <v>0</v>
      </c>
      <c r="Y593" s="37" t="s">
        <v>105</v>
      </c>
      <c r="Z593" s="37" t="str">
        <f t="shared" si="154"/>
        <v>delivered</v>
      </c>
      <c r="AA593" s="37" t="str">
        <f t="shared" si="155"/>
        <v>On Time</v>
      </c>
      <c r="AB593" s="37" t="str">
        <f t="shared" si="158"/>
        <v>0</v>
      </c>
      <c r="AC593" s="37">
        <f t="shared" si="159"/>
        <v>0</v>
      </c>
      <c r="AD593" s="45">
        <f t="shared" si="157"/>
        <v>0.508982035928144</v>
      </c>
      <c r="AE593" s="37">
        <v>5</v>
      </c>
      <c r="AF593" s="37" t="s">
        <v>286</v>
      </c>
      <c r="AG593" s="37" t="str">
        <f t="shared" si="156"/>
        <v>yes</v>
      </c>
      <c r="AH593" s="37" t="str">
        <f t="array" ref="AH593">_xlfn.IFS(LOWER(AG593)="n","no",LOWER(AG593)="y","yes",TRUE,LOWER(AG593))</f>
        <v>yes</v>
      </c>
      <c r="AI593" s="37" t="s">
        <v>4692</v>
      </c>
    </row>
    <row r="594" spans="1:35">
      <c r="A594" s="46" t="s">
        <v>2380</v>
      </c>
      <c r="B594" s="47" t="s">
        <v>4720</v>
      </c>
      <c r="C594" s="39">
        <f t="shared" si="144"/>
        <v>45377</v>
      </c>
      <c r="D594" s="48" t="s">
        <v>366</v>
      </c>
      <c r="E594" s="37" t="str" cm="1">
        <f t="array" ref="E594">_xlfn.IFS(D594="delhi","north",D594="mumbai","west",D594="bengaluru","south",D594="chennai","south",D594="kolkata","east",TRUE,"west")</f>
        <v>east</v>
      </c>
      <c r="F594" s="46" t="s">
        <v>204</v>
      </c>
      <c r="G594" s="37" t="str">
        <f t="shared" si="145"/>
        <v>delhivery</v>
      </c>
      <c r="H594" s="46" t="s">
        <v>176</v>
      </c>
      <c r="I594" s="37" t="str">
        <f t="shared" si="146"/>
        <v>road</v>
      </c>
      <c r="J594" s="46" t="s">
        <v>158</v>
      </c>
      <c r="K594" s="37" t="str">
        <f t="shared" si="147"/>
        <v>pharma</v>
      </c>
      <c r="L594" s="46" t="s">
        <v>101</v>
      </c>
      <c r="M594" s="37" t="str">
        <f t="shared" si="148"/>
        <v>west</v>
      </c>
      <c r="N594" s="46" t="s">
        <v>206</v>
      </c>
      <c r="O594" s="41" t="str">
        <f t="shared" si="149"/>
        <v>Yes</v>
      </c>
      <c r="P594" s="49">
        <v>2.7</v>
      </c>
      <c r="Q594" s="49">
        <v>161</v>
      </c>
      <c r="R594" s="42">
        <f t="shared" si="150"/>
        <v>59.6296296296296</v>
      </c>
      <c r="S594" s="46">
        <v>8</v>
      </c>
      <c r="T594" s="46" t="s">
        <v>2383</v>
      </c>
      <c r="U594" s="43" t="str">
        <f t="shared" si="151"/>
        <v>04/04/2024</v>
      </c>
      <c r="V594" s="43">
        <f t="shared" si="152"/>
        <v>45386</v>
      </c>
      <c r="W594" s="44">
        <f t="array" ref="W594">_xlfn.IFS(TRIM(C594)="","",TRIM(V594)="","",TRUE,V594-C594)</f>
        <v>9</v>
      </c>
      <c r="X594" s="37">
        <f t="shared" si="153"/>
        <v>1</v>
      </c>
      <c r="Y594" s="46" t="s">
        <v>172</v>
      </c>
      <c r="Z594" s="37" t="str">
        <f t="shared" si="154"/>
        <v>delayed</v>
      </c>
      <c r="AA594" s="37" t="str">
        <f t="shared" si="155"/>
        <v>Late</v>
      </c>
      <c r="AB594" s="37" t="str">
        <f t="shared" si="158"/>
        <v>1</v>
      </c>
      <c r="AC594" s="37">
        <f t="shared" si="159"/>
        <v>1</v>
      </c>
      <c r="AD594" s="45">
        <f t="shared" si="157"/>
        <v>0.509490509490509</v>
      </c>
      <c r="AE594" s="46">
        <v>2</v>
      </c>
      <c r="AF594" s="46" t="s">
        <v>286</v>
      </c>
      <c r="AG594" s="37" t="str">
        <f t="shared" si="156"/>
        <v>yes</v>
      </c>
      <c r="AH594" s="37" t="str">
        <f t="array" ref="AH594">_xlfn.IFS(LOWER(AG594)="n","no",LOWER(AG594)="y","yes",TRUE,LOWER(AG594))</f>
        <v>yes</v>
      </c>
      <c r="AI594" s="46" t="s">
        <v>4692</v>
      </c>
    </row>
    <row r="595" spans="1:35">
      <c r="A595" s="37" t="s">
        <v>2384</v>
      </c>
      <c r="B595" s="38">
        <v>45457</v>
      </c>
      <c r="C595" s="39">
        <f t="shared" si="144"/>
        <v>45457</v>
      </c>
      <c r="D595" s="40" t="s">
        <v>366</v>
      </c>
      <c r="E595" s="37" t="str" cm="1">
        <f t="array" ref="E595">_xlfn.IFS(D595="delhi","north",D595="mumbai","west",D595="bengaluru","south",D595="chennai","south",D595="kolkata","east",TRUE,"west")</f>
        <v>east</v>
      </c>
      <c r="F595" s="37" t="s">
        <v>194</v>
      </c>
      <c r="G595" s="37" t="str">
        <f t="shared" si="145"/>
        <v>xpressbees</v>
      </c>
      <c r="H595" s="37" t="s">
        <v>244</v>
      </c>
      <c r="I595" s="37" t="str">
        <f t="shared" si="146"/>
        <v>air</v>
      </c>
      <c r="J595" s="37" t="s">
        <v>271</v>
      </c>
      <c r="K595" s="37" t="str">
        <f t="shared" si="147"/>
        <v>electronics</v>
      </c>
      <c r="L595" s="37" t="s">
        <v>257</v>
      </c>
      <c r="M595" s="37" t="str">
        <f t="shared" si="148"/>
        <v>west</v>
      </c>
      <c r="N595" s="37" t="s">
        <v>206</v>
      </c>
      <c r="O595" s="41" t="str">
        <f t="shared" si="149"/>
        <v>Yes</v>
      </c>
      <c r="P595" s="41">
        <v>5.6</v>
      </c>
      <c r="Q595" s="41" t="s">
        <v>1859</v>
      </c>
      <c r="R595" s="42">
        <f t="shared" si="150"/>
        <v>69.2857142857143</v>
      </c>
      <c r="S595" s="37">
        <v>4</v>
      </c>
      <c r="T595" s="37" t="s">
        <v>1134</v>
      </c>
      <c r="U595" s="43" t="str">
        <f t="shared" si="151"/>
        <v>17/06/2024</v>
      </c>
      <c r="V595" s="43">
        <f t="shared" si="152"/>
        <v>45460</v>
      </c>
      <c r="W595" s="44">
        <f t="array" ref="W595">_xlfn.IFS(TRIM(C595)="","",TRIM(V595)="","",TRUE,V595-C595)</f>
        <v>3</v>
      </c>
      <c r="X595" s="37">
        <f t="shared" si="153"/>
        <v>-1</v>
      </c>
      <c r="Y595" s="37" t="s">
        <v>219</v>
      </c>
      <c r="Z595" s="37" t="str">
        <f t="shared" si="154"/>
        <v>delivered</v>
      </c>
      <c r="AA595" s="37" t="str">
        <f t="shared" si="155"/>
        <v>On Time</v>
      </c>
      <c r="AB595" s="37" t="str">
        <f t="shared" si="158"/>
        <v>0</v>
      </c>
      <c r="AC595" s="37">
        <f t="shared" si="159"/>
        <v>0</v>
      </c>
      <c r="AD595" s="45">
        <f t="shared" si="157"/>
        <v>0.509</v>
      </c>
      <c r="AE595" s="37">
        <v>4</v>
      </c>
      <c r="AF595" s="37" t="s">
        <v>181</v>
      </c>
      <c r="AG595" s="37" t="str">
        <f t="shared" si="156"/>
        <v>y</v>
      </c>
      <c r="AH595" s="37" t="str">
        <f t="array" ref="AH595">_xlfn.IFS(LOWER(AG595)="n","no",LOWER(AG595)="y","yes",TRUE,LOWER(AG595))</f>
        <v>yes</v>
      </c>
      <c r="AI595" s="37" t="s">
        <v>4692</v>
      </c>
    </row>
    <row r="596" spans="1:35">
      <c r="A596" s="46" t="s">
        <v>2386</v>
      </c>
      <c r="B596" s="47" t="s">
        <v>4718</v>
      </c>
      <c r="C596" s="39">
        <f t="shared" si="144"/>
        <v>45333</v>
      </c>
      <c r="D596" s="48" t="s">
        <v>4699</v>
      </c>
      <c r="E596" s="37" t="str" cm="1">
        <f t="array" ref="E596">_xlfn.IFS(D596="delhi","north",D596="mumbai","west",D596="bengaluru","south",D596="chennai","south",D596="kolkata","east",TRUE,"west")</f>
        <v>west</v>
      </c>
      <c r="F596" s="46" t="s">
        <v>122</v>
      </c>
      <c r="G596" s="37" t="str">
        <f t="shared" si="145"/>
        <v>delhivery</v>
      </c>
      <c r="H596" s="46" t="s">
        <v>224</v>
      </c>
      <c r="I596" s="37" t="str">
        <f t="shared" si="146"/>
        <v>air</v>
      </c>
      <c r="J596" s="46" t="s">
        <v>664</v>
      </c>
      <c r="K596" s="37" t="str">
        <f t="shared" si="147"/>
        <v>grocery&amp;fmcg</v>
      </c>
      <c r="L596" s="46" t="s">
        <v>101</v>
      </c>
      <c r="M596" s="37" t="str">
        <f t="shared" si="148"/>
        <v>west</v>
      </c>
      <c r="N596" s="46" t="s">
        <v>187</v>
      </c>
      <c r="O596" s="41" t="str">
        <f t="shared" si="149"/>
        <v>Yes</v>
      </c>
      <c r="P596" s="49">
        <v>4.9</v>
      </c>
      <c r="Q596" s="49">
        <v>268</v>
      </c>
      <c r="R596" s="42">
        <f t="shared" si="150"/>
        <v>54.6938775510204</v>
      </c>
      <c r="S596" s="46">
        <v>2</v>
      </c>
      <c r="T596" s="46" t="s">
        <v>2388</v>
      </c>
      <c r="U596" s="43" t="str">
        <f t="shared" si="151"/>
        <v>2024-02-12</v>
      </c>
      <c r="V596" s="43">
        <f t="shared" si="152"/>
        <v>45334</v>
      </c>
      <c r="W596" s="44">
        <f t="array" ref="W596">_xlfn.IFS(TRIM(C596)="","",TRIM(V596)="","",TRUE,V596-C596)</f>
        <v>1</v>
      </c>
      <c r="X596" s="37">
        <f t="shared" si="153"/>
        <v>-1</v>
      </c>
      <c r="Y596" s="46" t="s">
        <v>117</v>
      </c>
      <c r="Z596" s="37" t="str">
        <f t="shared" si="154"/>
        <v>delivered</v>
      </c>
      <c r="AA596" s="37" t="str">
        <f t="shared" si="155"/>
        <v>On Time</v>
      </c>
      <c r="AB596" s="37" t="str">
        <f t="shared" si="158"/>
        <v>0</v>
      </c>
      <c r="AC596" s="37">
        <f t="shared" si="159"/>
        <v>0</v>
      </c>
      <c r="AD596" s="45">
        <f t="shared" si="157"/>
        <v>0.509509509509509</v>
      </c>
      <c r="AE596" s="46">
        <v>5</v>
      </c>
      <c r="AF596" s="46" t="s">
        <v>118</v>
      </c>
      <c r="AG596" s="37" t="str">
        <f t="shared" si="156"/>
        <v>no</v>
      </c>
      <c r="AH596" s="37" t="str">
        <f t="array" ref="AH596">_xlfn.IFS(LOWER(AG596)="n","no",LOWER(AG596)="y","yes",TRUE,LOWER(AG596))</f>
        <v>no</v>
      </c>
      <c r="AI596" s="46" t="s">
        <v>4692</v>
      </c>
    </row>
    <row r="597" spans="1:35">
      <c r="A597" s="37" t="s">
        <v>2389</v>
      </c>
      <c r="B597" s="38">
        <v>45298</v>
      </c>
      <c r="C597" s="39">
        <f t="shared" si="144"/>
        <v>45298</v>
      </c>
      <c r="D597" s="40" t="s">
        <v>340</v>
      </c>
      <c r="E597" s="37" t="str" cm="1">
        <f t="array" ref="E597">_xlfn.IFS(D597="delhi","north",D597="mumbai","west",D597="bengaluru","south",D597="chennai","south",D597="kolkata","east",TRUE,"west")</f>
        <v>north</v>
      </c>
      <c r="F597" s="37" t="s">
        <v>204</v>
      </c>
      <c r="G597" s="37" t="str">
        <f t="shared" si="145"/>
        <v>delhivery</v>
      </c>
      <c r="H597" s="37" t="s">
        <v>157</v>
      </c>
      <c r="I597" s="37" t="str">
        <f t="shared" si="146"/>
        <v>surface</v>
      </c>
      <c r="J597" s="37" t="s">
        <v>47</v>
      </c>
      <c r="K597" s="37" t="str">
        <f t="shared" si="147"/>
        <v>electronics</v>
      </c>
      <c r="L597" s="37" t="s">
        <v>470</v>
      </c>
      <c r="M597" s="37" t="str">
        <f t="shared" si="148"/>
        <v>east</v>
      </c>
      <c r="N597" s="37" t="s">
        <v>396</v>
      </c>
      <c r="O597" s="41" t="str">
        <f t="shared" si="149"/>
        <v>Yes</v>
      </c>
      <c r="P597" s="41">
        <v>13.8</v>
      </c>
      <c r="Q597" s="41">
        <v>513</v>
      </c>
      <c r="R597" s="42">
        <f t="shared" si="150"/>
        <v>37.1739130434783</v>
      </c>
      <c r="S597" s="37">
        <v>6</v>
      </c>
      <c r="T597" s="37" t="s">
        <v>134</v>
      </c>
      <c r="U597" s="43" t="str">
        <f t="shared" si="151"/>
        <v>13/01/2024</v>
      </c>
      <c r="V597" s="43">
        <f t="shared" si="152"/>
        <v>45304</v>
      </c>
      <c r="W597" s="44">
        <f t="array" ref="W597">_xlfn.IFS(TRIM(C597)="","",TRIM(V597)="","",TRUE,V597-C597)</f>
        <v>6</v>
      </c>
      <c r="X597" s="37">
        <f t="shared" si="153"/>
        <v>0</v>
      </c>
      <c r="Y597" s="37" t="s">
        <v>105</v>
      </c>
      <c r="Z597" s="37" t="str">
        <f t="shared" si="154"/>
        <v>delivered</v>
      </c>
      <c r="AA597" s="37" t="str">
        <f t="shared" si="155"/>
        <v>On Time</v>
      </c>
      <c r="AB597" s="37" t="str">
        <f t="shared" si="158"/>
        <v>0</v>
      </c>
      <c r="AC597" s="37">
        <f t="shared" si="159"/>
        <v>0</v>
      </c>
      <c r="AD597" s="45">
        <f t="shared" si="157"/>
        <v>0.51002004008016</v>
      </c>
      <c r="AE597" s="37">
        <v>3</v>
      </c>
      <c r="AF597" s="37" t="s">
        <v>118</v>
      </c>
      <c r="AG597" s="37" t="str">
        <f t="shared" si="156"/>
        <v>no</v>
      </c>
      <c r="AH597" s="37" t="str">
        <f t="array" ref="AH597">_xlfn.IFS(LOWER(AG597)="n","no",LOWER(AG597)="y","yes",TRUE,LOWER(AG597))</f>
        <v>no</v>
      </c>
      <c r="AI597" s="37" t="s">
        <v>4692</v>
      </c>
    </row>
    <row r="598" spans="1:35">
      <c r="A598" s="37" t="s">
        <v>2392</v>
      </c>
      <c r="B598" s="38">
        <v>45323</v>
      </c>
      <c r="C598" s="39">
        <f t="shared" si="144"/>
        <v>45323</v>
      </c>
      <c r="D598" s="40" t="s">
        <v>340</v>
      </c>
      <c r="E598" s="37" t="str" cm="1">
        <f t="array" ref="E598">_xlfn.IFS(D598="delhi","north",D598="mumbai","west",D598="bengaluru","south",D598="chennai","south",D598="kolkata","east",TRUE,"west")</f>
        <v>north</v>
      </c>
      <c r="F598" s="37" t="s">
        <v>270</v>
      </c>
      <c r="G598" s="37" t="str">
        <f t="shared" si="145"/>
        <v>ecomexpress</v>
      </c>
      <c r="H598" s="37" t="s">
        <v>147</v>
      </c>
      <c r="I598" s="37" t="str">
        <f t="shared" si="146"/>
        <v>road</v>
      </c>
      <c r="J598" s="37" t="s">
        <v>138</v>
      </c>
      <c r="K598" s="37" t="str">
        <f t="shared" si="147"/>
        <v>apparel</v>
      </c>
      <c r="L598" s="37" t="s">
        <v>92</v>
      </c>
      <c r="M598" s="37" t="str">
        <f t="shared" si="148"/>
        <v>east</v>
      </c>
      <c r="N598" s="37" t="s">
        <v>91</v>
      </c>
      <c r="O598" s="41" t="str">
        <f t="shared" si="149"/>
        <v>Yes</v>
      </c>
      <c r="P598" s="41">
        <v>1.4</v>
      </c>
      <c r="Q598" s="41" t="s">
        <v>2393</v>
      </c>
      <c r="R598" s="42">
        <f t="shared" si="150"/>
        <v>151.428571428571</v>
      </c>
      <c r="S598" s="37">
        <v>8</v>
      </c>
      <c r="T598" s="37" t="s">
        <v>2371</v>
      </c>
      <c r="U598" s="43" t="str">
        <f t="shared" si="151"/>
        <v>10-feb-2024</v>
      </c>
      <c r="V598" s="43">
        <f t="shared" si="152"/>
        <v>45332</v>
      </c>
      <c r="W598" s="44">
        <f t="array" ref="W598">_xlfn.IFS(TRIM(C598)="","",TRIM(V598)="","",TRUE,V598-C598)</f>
        <v>9</v>
      </c>
      <c r="X598" s="37">
        <f t="shared" si="153"/>
        <v>1</v>
      </c>
      <c r="Y598" s="37" t="s">
        <v>72</v>
      </c>
      <c r="Z598" s="37" t="str">
        <f t="shared" si="154"/>
        <v>delayed</v>
      </c>
      <c r="AA598" s="37" t="str">
        <f t="shared" si="155"/>
        <v>Late</v>
      </c>
      <c r="AB598" s="37" t="str">
        <f t="shared" si="158"/>
        <v>1</v>
      </c>
      <c r="AC598" s="37">
        <f t="shared" si="159"/>
        <v>1</v>
      </c>
      <c r="AD598" s="45">
        <f t="shared" si="157"/>
        <v>0.510531594784353</v>
      </c>
      <c r="AE598" s="37">
        <v>2</v>
      </c>
      <c r="AF598" s="37" t="s">
        <v>118</v>
      </c>
      <c r="AG598" s="37" t="str">
        <f t="shared" si="156"/>
        <v>no</v>
      </c>
      <c r="AH598" s="37" t="str">
        <f t="array" ref="AH598">_xlfn.IFS(LOWER(AG598)="n","no",LOWER(AG598)="y","yes",TRUE,LOWER(AG598))</f>
        <v>no</v>
      </c>
      <c r="AI598" s="37" t="s">
        <v>4692</v>
      </c>
    </row>
    <row r="599" spans="1:35">
      <c r="A599" s="46" t="s">
        <v>2394</v>
      </c>
      <c r="B599" s="47">
        <v>45387</v>
      </c>
      <c r="C599" s="39">
        <f t="shared" si="144"/>
        <v>45387</v>
      </c>
      <c r="D599" s="48" t="s">
        <v>135</v>
      </c>
      <c r="E599" s="37" t="str" cm="1">
        <f t="array" ref="E599">_xlfn.IFS(D599="delhi","north",D599="mumbai","west",D599="bengaluru","south",D599="chennai","south",D599="kolkata","east",TRUE,"west")</f>
        <v>west</v>
      </c>
      <c r="F599" s="46" t="s">
        <v>156</v>
      </c>
      <c r="G599" s="37" t="str">
        <f t="shared" si="145"/>
        <v>xpressbees</v>
      </c>
      <c r="H599" s="46" t="s">
        <v>195</v>
      </c>
      <c r="I599" s="37" t="str">
        <f t="shared" si="146"/>
        <v>road</v>
      </c>
      <c r="J599" s="46" t="s">
        <v>205</v>
      </c>
      <c r="K599" s="37" t="str">
        <f t="shared" si="147"/>
        <v>furniture</v>
      </c>
      <c r="L599" s="46" t="s">
        <v>89</v>
      </c>
      <c r="M599" s="37" t="str">
        <f t="shared" si="148"/>
        <v>west</v>
      </c>
      <c r="N599" s="46" t="s">
        <v>88</v>
      </c>
      <c r="O599" s="41" t="str">
        <f t="shared" si="149"/>
        <v>Yes</v>
      </c>
      <c r="P599" s="49" t="s">
        <v>2395</v>
      </c>
      <c r="Q599" s="49">
        <v>541</v>
      </c>
      <c r="R599" s="42">
        <f t="shared" si="150"/>
        <v>13.5588972431078</v>
      </c>
      <c r="S599" s="46">
        <v>6</v>
      </c>
      <c r="T599" s="46" t="s">
        <v>781</v>
      </c>
      <c r="U599" s="43" t="str">
        <f t="shared" si="151"/>
        <v>2024-04-12</v>
      </c>
      <c r="V599" s="43">
        <f t="shared" si="152"/>
        <v>45394</v>
      </c>
      <c r="W599" s="44">
        <f t="array" ref="W599">_xlfn.IFS(TRIM(C599)="","",TRIM(V599)="","",TRUE,V599-C599)</f>
        <v>7</v>
      </c>
      <c r="X599" s="37">
        <f t="shared" si="153"/>
        <v>1</v>
      </c>
      <c r="Y599" s="46" t="s">
        <v>143</v>
      </c>
      <c r="Z599" s="37" t="str">
        <f t="shared" si="154"/>
        <v>delayed</v>
      </c>
      <c r="AA599" s="37" t="str">
        <f t="shared" si="155"/>
        <v>Late</v>
      </c>
      <c r="AB599" s="37" t="str">
        <f t="shared" si="158"/>
        <v>1</v>
      </c>
      <c r="AC599" s="37">
        <f t="shared" si="159"/>
        <v>1</v>
      </c>
      <c r="AD599" s="45">
        <f t="shared" si="157"/>
        <v>0.51004016064257</v>
      </c>
      <c r="AE599" s="46">
        <v>1</v>
      </c>
      <c r="AF599" s="46" t="s">
        <v>131</v>
      </c>
      <c r="AG599" s="37" t="str">
        <f t="shared" si="156"/>
        <v>n</v>
      </c>
      <c r="AH599" s="37" t="str">
        <f t="array" ref="AH599">_xlfn.IFS(LOWER(AG599)="n","no",LOWER(AG599)="y","yes",TRUE,LOWER(AG599))</f>
        <v>no</v>
      </c>
      <c r="AI599" s="46" t="s">
        <v>4692</v>
      </c>
    </row>
    <row r="600" spans="1:35">
      <c r="A600" s="37" t="s">
        <v>2397</v>
      </c>
      <c r="B600" s="38" t="s">
        <v>4778</v>
      </c>
      <c r="C600" s="39">
        <f t="shared" si="144"/>
        <v>45362</v>
      </c>
      <c r="D600" s="40" t="s">
        <v>121</v>
      </c>
      <c r="E600" s="37" t="str" cm="1">
        <f t="array" ref="E600">_xlfn.IFS(D600="delhi","north",D600="mumbai","west",D600="bengaluru","south",D600="chennai","south",D600="kolkata","east",TRUE,"west")</f>
        <v>west</v>
      </c>
      <c r="F600" s="37" t="s">
        <v>919</v>
      </c>
      <c r="G600" s="37" t="str">
        <f t="shared" si="145"/>
        <v>xpressbees</v>
      </c>
      <c r="H600" s="37" t="s">
        <v>440</v>
      </c>
      <c r="I600" s="37" t="str">
        <f t="shared" si="146"/>
        <v>road</v>
      </c>
      <c r="J600" s="37" t="s">
        <v>368</v>
      </c>
      <c r="K600" s="37" t="str">
        <f t="shared" si="147"/>
        <v>furniture</v>
      </c>
      <c r="L600" s="37" t="s">
        <v>346</v>
      </c>
      <c r="M600" s="37" t="str">
        <f t="shared" si="148"/>
        <v>north</v>
      </c>
      <c r="N600" s="37" t="s">
        <v>32</v>
      </c>
      <c r="O600" s="41" t="str">
        <f t="shared" si="149"/>
        <v>Yes</v>
      </c>
      <c r="P600" s="41">
        <v>45.5</v>
      </c>
      <c r="Q600" s="41">
        <v>656</v>
      </c>
      <c r="R600" s="42">
        <f t="shared" si="150"/>
        <v>14.4175824175824</v>
      </c>
      <c r="S600" s="37">
        <v>6</v>
      </c>
      <c r="T600" s="37" t="s">
        <v>758</v>
      </c>
      <c r="U600" s="43" t="str">
        <f t="shared" si="151"/>
        <v>26/03/2024</v>
      </c>
      <c r="V600" s="43">
        <f t="shared" si="152"/>
        <v>45377</v>
      </c>
      <c r="W600" s="44">
        <f t="array" ref="W600">_xlfn.IFS(TRIM(C600)="","",TRIM(V600)="","",TRUE,V600-C600)</f>
        <v>15</v>
      </c>
      <c r="X600" s="37">
        <f t="shared" si="153"/>
        <v>9</v>
      </c>
      <c r="Y600" s="37" t="s">
        <v>143</v>
      </c>
      <c r="Z600" s="37" t="str">
        <f t="shared" si="154"/>
        <v>delayed</v>
      </c>
      <c r="AA600" s="37" t="str">
        <f t="shared" si="155"/>
        <v>Late</v>
      </c>
      <c r="AB600" s="37" t="str">
        <f t="shared" si="158"/>
        <v>1</v>
      </c>
      <c r="AC600" s="37">
        <f t="shared" si="159"/>
        <v>1</v>
      </c>
      <c r="AD600" s="45">
        <f t="shared" si="157"/>
        <v>0.509547738693467</v>
      </c>
      <c r="AE600" s="37">
        <v>4</v>
      </c>
      <c r="AF600" s="37" t="s">
        <v>181</v>
      </c>
      <c r="AG600" s="37" t="str">
        <f t="shared" si="156"/>
        <v>y</v>
      </c>
      <c r="AH600" s="37" t="str">
        <f t="array" ref="AH600">_xlfn.IFS(LOWER(AG600)="n","no",LOWER(AG600)="y","yes",TRUE,LOWER(AG600))</f>
        <v>yes</v>
      </c>
      <c r="AI600" s="37" t="s">
        <v>4692</v>
      </c>
    </row>
    <row r="601" spans="1:35">
      <c r="A601" s="46" t="s">
        <v>2400</v>
      </c>
      <c r="B601" s="47" t="s">
        <v>4754</v>
      </c>
      <c r="C601" s="39">
        <f t="shared" si="144"/>
        <v>45316</v>
      </c>
      <c r="D601" s="48" t="s">
        <v>633</v>
      </c>
      <c r="E601" s="37" t="str" cm="1">
        <f t="array" ref="E601">_xlfn.IFS(D601="delhi","north",D601="mumbai","west",D601="bengaluru","south",D601="chennai","south",D601="kolkata","east",TRUE,"west")</f>
        <v>south</v>
      </c>
      <c r="F601" s="46" t="s">
        <v>544</v>
      </c>
      <c r="G601" s="37" t="str">
        <f t="shared" si="145"/>
        <v>bluedart</v>
      </c>
      <c r="H601" s="46" t="s">
        <v>157</v>
      </c>
      <c r="I601" s="37" t="str">
        <f t="shared" si="146"/>
        <v>surface</v>
      </c>
      <c r="J601" s="46" t="s">
        <v>301</v>
      </c>
      <c r="K601" s="37" t="str">
        <f t="shared" si="147"/>
        <v>furniture</v>
      </c>
      <c r="L601" s="46" t="s">
        <v>302</v>
      </c>
      <c r="M601" s="37" t="str">
        <f t="shared" si="148"/>
        <v>east</v>
      </c>
      <c r="N601" s="46" t="s">
        <v>126</v>
      </c>
      <c r="O601" s="41" t="str">
        <f t="shared" si="149"/>
        <v>Yes</v>
      </c>
      <c r="P601" s="49">
        <v>19.6</v>
      </c>
      <c r="Q601" s="49">
        <v>584</v>
      </c>
      <c r="R601" s="42">
        <f t="shared" si="150"/>
        <v>29.7959183673469</v>
      </c>
      <c r="S601" s="46">
        <v>6</v>
      </c>
      <c r="T601" s="46" t="s">
        <v>1559</v>
      </c>
      <c r="U601" s="43" t="str">
        <f t="shared" si="151"/>
        <v>31/01/2024</v>
      </c>
      <c r="V601" s="43">
        <f t="shared" si="152"/>
        <v>45322</v>
      </c>
      <c r="W601" s="44">
        <f t="array" ref="W601">_xlfn.IFS(TRIM(C601)="","",TRIM(V601)="","",TRUE,V601-C601)</f>
        <v>6</v>
      </c>
      <c r="X601" s="37">
        <f t="shared" si="153"/>
        <v>0</v>
      </c>
      <c r="Y601" s="46" t="s">
        <v>163</v>
      </c>
      <c r="Z601" s="37" t="str">
        <f t="shared" si="154"/>
        <v>delivered</v>
      </c>
      <c r="AA601" s="37" t="str">
        <f t="shared" si="155"/>
        <v>On Time</v>
      </c>
      <c r="AB601" s="37" t="str">
        <f t="shared" si="158"/>
        <v>0</v>
      </c>
      <c r="AC601" s="37">
        <f t="shared" si="159"/>
        <v>0</v>
      </c>
      <c r="AD601" s="45">
        <f t="shared" si="157"/>
        <v>0.509054325955734</v>
      </c>
      <c r="AE601" s="46">
        <v>4</v>
      </c>
      <c r="AF601" s="46" t="s">
        <v>79</v>
      </c>
      <c r="AG601" s="37" t="str">
        <f t="shared" si="156"/>
        <v>yes</v>
      </c>
      <c r="AH601" s="37" t="str">
        <f t="array" ref="AH601">_xlfn.IFS(LOWER(AG601)="n","no",LOWER(AG601)="y","yes",TRUE,LOWER(AG601))</f>
        <v>yes</v>
      </c>
      <c r="AI601" s="46" t="s">
        <v>4692</v>
      </c>
    </row>
    <row r="602" spans="1:35">
      <c r="A602" s="37" t="s">
        <v>2403</v>
      </c>
      <c r="B602" s="38">
        <v>45453</v>
      </c>
      <c r="C602" s="39">
        <f t="shared" si="144"/>
        <v>45453</v>
      </c>
      <c r="D602" s="40" t="s">
        <v>4699</v>
      </c>
      <c r="E602" s="37" t="str" cm="1">
        <f t="array" ref="E602">_xlfn.IFS(D602="delhi","north",D602="mumbai","west",D602="bengaluru","south",D602="chennai","south",D602="kolkata","east",TRUE,"west")</f>
        <v>west</v>
      </c>
      <c r="F602" s="37" t="s">
        <v>194</v>
      </c>
      <c r="G602" s="37" t="str">
        <f t="shared" si="145"/>
        <v>xpressbees</v>
      </c>
      <c r="H602" s="37" t="s">
        <v>440</v>
      </c>
      <c r="I602" s="37" t="str">
        <f t="shared" si="146"/>
        <v>road</v>
      </c>
      <c r="J602" s="37" t="s">
        <v>326</v>
      </c>
      <c r="K602" s="37" t="str">
        <f t="shared" si="147"/>
        <v>apparel</v>
      </c>
      <c r="L602" s="37" t="s">
        <v>401</v>
      </c>
      <c r="M602" s="37" t="str">
        <f t="shared" si="148"/>
        <v>south</v>
      </c>
      <c r="N602" s="37" t="s">
        <v>54</v>
      </c>
      <c r="O602" s="41" t="str">
        <f t="shared" si="149"/>
        <v>Yes</v>
      </c>
      <c r="P602" s="41">
        <v>1.7</v>
      </c>
      <c r="Q602" s="41">
        <v>174</v>
      </c>
      <c r="R602" s="42">
        <f t="shared" si="150"/>
        <v>102.352941176471</v>
      </c>
      <c r="S602" s="37">
        <v>8</v>
      </c>
      <c r="T602" s="37" t="s">
        <v>571</v>
      </c>
      <c r="U602" s="43" t="str">
        <f t="shared" si="151"/>
        <v>17-jun-2024</v>
      </c>
      <c r="V602" s="43">
        <f t="shared" si="152"/>
        <v>45460</v>
      </c>
      <c r="W602" s="44">
        <f t="array" ref="W602">_xlfn.IFS(TRIM(C602)="","",TRIM(V602)="","",TRUE,V602-C602)</f>
        <v>7</v>
      </c>
      <c r="X602" s="37">
        <f t="shared" si="153"/>
        <v>-1</v>
      </c>
      <c r="Y602" s="37" t="s">
        <v>219</v>
      </c>
      <c r="Z602" s="37" t="str">
        <f t="shared" si="154"/>
        <v>delivered</v>
      </c>
      <c r="AA602" s="37" t="str">
        <f t="shared" si="155"/>
        <v>On Time</v>
      </c>
      <c r="AB602" s="37" t="str">
        <f t="shared" si="158"/>
        <v>0</v>
      </c>
      <c r="AC602" s="37">
        <f t="shared" si="159"/>
        <v>0</v>
      </c>
      <c r="AD602" s="45">
        <f t="shared" si="157"/>
        <v>0.50956696878147</v>
      </c>
      <c r="AE602" s="37">
        <v>4</v>
      </c>
      <c r="AF602" s="37" t="s">
        <v>152</v>
      </c>
      <c r="AG602" s="37" t="str">
        <f t="shared" si="156"/>
        <v>no</v>
      </c>
      <c r="AH602" s="37" t="str">
        <f t="array" ref="AH602">_xlfn.IFS(LOWER(AG602)="n","no",LOWER(AG602)="y","yes",TRUE,LOWER(AG602))</f>
        <v>no</v>
      </c>
      <c r="AI602" s="37" t="s">
        <v>4692</v>
      </c>
    </row>
    <row r="603" spans="1:35">
      <c r="A603" s="46" t="s">
        <v>2406</v>
      </c>
      <c r="B603" s="47">
        <v>45399</v>
      </c>
      <c r="C603" s="39">
        <f t="shared" si="144"/>
        <v>45399</v>
      </c>
      <c r="D603" s="48" t="s">
        <v>4705</v>
      </c>
      <c r="E603" s="37" t="str" cm="1">
        <f t="array" ref="E603">_xlfn.IFS(D603="delhi","north",D603="mumbai","west",D603="bengaluru","south",D603="chennai","south",D603="kolkata","east",TRUE,"west")</f>
        <v>west</v>
      </c>
      <c r="F603" s="46" t="s">
        <v>333</v>
      </c>
      <c r="G603" s="37" t="str">
        <f t="shared" si="145"/>
        <v>delhivery</v>
      </c>
      <c r="H603" s="46" t="s">
        <v>137</v>
      </c>
      <c r="I603" s="37" t="str">
        <f t="shared" si="146"/>
        <v>road</v>
      </c>
      <c r="J603" s="46" t="s">
        <v>214</v>
      </c>
      <c r="K603" s="37" t="str">
        <f t="shared" si="147"/>
        <v>grocery&amp;fmcg</v>
      </c>
      <c r="L603" s="46" t="s">
        <v>89</v>
      </c>
      <c r="M603" s="37" t="str">
        <f t="shared" si="148"/>
        <v>west</v>
      </c>
      <c r="N603" s="46" t="s">
        <v>88</v>
      </c>
      <c r="O603" s="41" t="str">
        <f t="shared" si="149"/>
        <v>Yes</v>
      </c>
      <c r="P603" s="49">
        <v>10.8</v>
      </c>
      <c r="Q603" s="49" t="s">
        <v>2408</v>
      </c>
      <c r="R603" s="42">
        <f t="shared" si="150"/>
        <v>29.1666666666667</v>
      </c>
      <c r="S603" s="46">
        <v>8</v>
      </c>
      <c r="T603" s="46" t="s">
        <v>2331</v>
      </c>
      <c r="U603" s="43" t="str">
        <f t="shared" si="151"/>
        <v>25/04/2024</v>
      </c>
      <c r="V603" s="43">
        <f t="shared" si="152"/>
        <v>45407</v>
      </c>
      <c r="W603" s="44">
        <f t="array" ref="W603">_xlfn.IFS(TRIM(C603)="","",TRIM(V603)="","",TRUE,V603-C603)</f>
        <v>8</v>
      </c>
      <c r="X603" s="37">
        <f t="shared" si="153"/>
        <v>0</v>
      </c>
      <c r="Y603" s="46" t="s">
        <v>163</v>
      </c>
      <c r="Z603" s="37" t="str">
        <f t="shared" si="154"/>
        <v>delivered</v>
      </c>
      <c r="AA603" s="37" t="str">
        <f t="shared" si="155"/>
        <v>On Time</v>
      </c>
      <c r="AB603" s="37" t="str">
        <f t="shared" si="158"/>
        <v>0</v>
      </c>
      <c r="AC603" s="37">
        <f t="shared" si="159"/>
        <v>0</v>
      </c>
      <c r="AD603" s="45">
        <f t="shared" si="157"/>
        <v>0.51008064516129</v>
      </c>
      <c r="AE603" s="46">
        <v>4</v>
      </c>
      <c r="AF603" s="46" t="s">
        <v>131</v>
      </c>
      <c r="AG603" s="37" t="str">
        <f t="shared" si="156"/>
        <v>n</v>
      </c>
      <c r="AH603" s="37" t="str">
        <f t="array" ref="AH603">_xlfn.IFS(LOWER(AG603)="n","no",LOWER(AG603)="y","yes",TRUE,LOWER(AG603))</f>
        <v>no</v>
      </c>
      <c r="AI603" s="46" t="s">
        <v>4692</v>
      </c>
    </row>
    <row r="604" spans="1:35">
      <c r="A604" s="37" t="s">
        <v>2409</v>
      </c>
      <c r="B604" s="38" t="s">
        <v>4804</v>
      </c>
      <c r="C604" s="39">
        <f t="shared" si="144"/>
        <v>45395</v>
      </c>
      <c r="D604" s="40" t="s">
        <v>340</v>
      </c>
      <c r="E604" s="37" t="str" cm="1">
        <f t="array" ref="E604">_xlfn.IFS(D604="delhi","north",D604="mumbai","west",D604="bengaluru","south",D604="chennai","south",D604="kolkata","east",TRUE,"west")</f>
        <v>north</v>
      </c>
      <c r="F604" s="37" t="s">
        <v>136</v>
      </c>
      <c r="G604" s="37" t="str">
        <f t="shared" si="145"/>
        <v>bluedart</v>
      </c>
      <c r="H604" s="37" t="s">
        <v>157</v>
      </c>
      <c r="I604" s="37" t="str">
        <f t="shared" si="146"/>
        <v>surface</v>
      </c>
      <c r="J604" s="37" t="s">
        <v>313</v>
      </c>
      <c r="K604" s="37" t="str">
        <f t="shared" si="147"/>
        <v>automotiveparts</v>
      </c>
      <c r="L604" s="37" t="s">
        <v>470</v>
      </c>
      <c r="M604" s="37" t="str">
        <f t="shared" si="148"/>
        <v>east</v>
      </c>
      <c r="N604" s="37" t="s">
        <v>294</v>
      </c>
      <c r="O604" s="41" t="str">
        <f t="shared" si="149"/>
        <v>Yes</v>
      </c>
      <c r="P604" s="41">
        <v>37.1</v>
      </c>
      <c r="Q604" s="41">
        <v>977</v>
      </c>
      <c r="R604" s="42">
        <f t="shared" si="150"/>
        <v>26.3342318059299</v>
      </c>
      <c r="S604" s="37">
        <v>6</v>
      </c>
      <c r="T604" s="37" t="s">
        <v>587</v>
      </c>
      <c r="U604" s="43" t="str">
        <f t="shared" si="151"/>
        <v>18-apr-2024</v>
      </c>
      <c r="V604" s="43">
        <f t="shared" si="152"/>
        <v>45400</v>
      </c>
      <c r="W604" s="44">
        <f t="array" ref="W604">_xlfn.IFS(TRIM(C604)="","",TRIM(V604)="","",TRUE,V604-C604)</f>
        <v>5</v>
      </c>
      <c r="X604" s="37">
        <f t="shared" si="153"/>
        <v>-1</v>
      </c>
      <c r="Y604" s="37" t="s">
        <v>219</v>
      </c>
      <c r="Z604" s="37" t="str">
        <f t="shared" si="154"/>
        <v>delivered</v>
      </c>
      <c r="AA604" s="37" t="str">
        <f t="shared" si="155"/>
        <v>On Time</v>
      </c>
      <c r="AB604" s="37" t="str">
        <f t="shared" si="158"/>
        <v>0</v>
      </c>
      <c r="AC604" s="37">
        <f t="shared" si="159"/>
        <v>0</v>
      </c>
      <c r="AD604" s="45">
        <f t="shared" si="157"/>
        <v>0.510595358224016</v>
      </c>
      <c r="AE604" s="37">
        <v>5</v>
      </c>
      <c r="AF604" s="37" t="s">
        <v>106</v>
      </c>
      <c r="AG604" s="37" t="str">
        <f t="shared" si="156"/>
        <v>yes</v>
      </c>
      <c r="AH604" s="37" t="str">
        <f t="array" ref="AH604">_xlfn.IFS(LOWER(AG604)="n","no",LOWER(AG604)="y","yes",TRUE,LOWER(AG604))</f>
        <v>yes</v>
      </c>
      <c r="AI604" s="37" t="s">
        <v>4692</v>
      </c>
    </row>
    <row r="605" spans="1:35">
      <c r="A605" s="46" t="s">
        <v>2412</v>
      </c>
      <c r="B605" s="47">
        <v>45460</v>
      </c>
      <c r="C605" s="39">
        <f t="shared" si="144"/>
        <v>45460</v>
      </c>
      <c r="D605" s="48" t="s">
        <v>109</v>
      </c>
      <c r="E605" s="37" t="str" cm="1">
        <f t="array" ref="E605">_xlfn.IFS(D605="delhi","north",D605="mumbai","west",D605="bengaluru","south",D605="chennai","south",D605="kolkata","east",TRUE,"west")</f>
        <v>west</v>
      </c>
      <c r="F605" s="46" t="s">
        <v>184</v>
      </c>
      <c r="G605" s="37" t="str">
        <f t="shared" si="145"/>
        <v>ecomexpress</v>
      </c>
      <c r="H605" s="46" t="s">
        <v>185</v>
      </c>
      <c r="I605" s="37" t="str">
        <f t="shared" si="146"/>
        <v>surface</v>
      </c>
      <c r="J605" s="46" t="s">
        <v>313</v>
      </c>
      <c r="K605" s="37" t="str">
        <f t="shared" si="147"/>
        <v>automotiveparts</v>
      </c>
      <c r="L605" s="46" t="s">
        <v>264</v>
      </c>
      <c r="M605" s="37" t="str">
        <f t="shared" si="148"/>
        <v>west</v>
      </c>
      <c r="N605" s="46" t="s">
        <v>88</v>
      </c>
      <c r="O605" s="41" t="str">
        <f t="shared" si="149"/>
        <v>Yes</v>
      </c>
      <c r="P605" s="49">
        <v>34.5</v>
      </c>
      <c r="Q605" s="49">
        <v>776</v>
      </c>
      <c r="R605" s="42">
        <f t="shared" si="150"/>
        <v>22.4927536231884</v>
      </c>
      <c r="S605" s="46">
        <v>4</v>
      </c>
      <c r="T605" s="46" t="s">
        <v>445</v>
      </c>
      <c r="U605" s="43" t="str">
        <f t="shared" si="151"/>
        <v>2024-06-25</v>
      </c>
      <c r="V605" s="43">
        <f t="shared" si="152"/>
        <v>45468</v>
      </c>
      <c r="W605" s="44">
        <f t="array" ref="W605">_xlfn.IFS(TRIM(C605)="","",TRIM(V605)="","",TRUE,V605-C605)</f>
        <v>8</v>
      </c>
      <c r="X605" s="37">
        <f t="shared" si="153"/>
        <v>4</v>
      </c>
      <c r="Y605" s="46" t="s">
        <v>337</v>
      </c>
      <c r="Z605" s="37" t="str">
        <f t="shared" si="154"/>
        <v>damaged</v>
      </c>
      <c r="AA605" s="37" t="str">
        <f t="shared" si="155"/>
        <v>Late</v>
      </c>
      <c r="AB605" s="37" t="str">
        <f t="shared" si="158"/>
        <v>1</v>
      </c>
      <c r="AC605" s="37">
        <f t="shared" si="159"/>
        <v>1</v>
      </c>
      <c r="AD605" s="45">
        <f t="shared" si="157"/>
        <v>0.511111111111111</v>
      </c>
      <c r="AE605" s="46"/>
      <c r="AF605" s="46" t="s">
        <v>79</v>
      </c>
      <c r="AG605" s="37" t="str">
        <f t="shared" si="156"/>
        <v>yes</v>
      </c>
      <c r="AH605" s="37" t="str">
        <f t="array" ref="AH605">_xlfn.IFS(LOWER(AG605)="n","no",LOWER(AG605)="y","yes",TRUE,LOWER(AG605))</f>
        <v>yes</v>
      </c>
      <c r="AI605" s="46" t="s">
        <v>132</v>
      </c>
    </row>
    <row r="606" spans="1:35">
      <c r="A606" s="37" t="s">
        <v>2415</v>
      </c>
      <c r="B606" s="38" t="s">
        <v>4725</v>
      </c>
      <c r="C606" s="39">
        <f t="shared" si="144"/>
        <v>45309</v>
      </c>
      <c r="D606" s="40" t="s">
        <v>166</v>
      </c>
      <c r="E606" s="37" t="str" cm="1">
        <f t="array" ref="E606">_xlfn.IFS(D606="delhi","north",D606="mumbai","west",D606="bengaluru","south",D606="chennai","south",D606="kolkata","east",TRUE,"west")</f>
        <v>west</v>
      </c>
      <c r="F606" s="37" t="s">
        <v>544</v>
      </c>
      <c r="G606" s="37" t="str">
        <f t="shared" si="145"/>
        <v>bluedart</v>
      </c>
      <c r="H606" s="37" t="s">
        <v>440</v>
      </c>
      <c r="I606" s="37" t="str">
        <f t="shared" si="146"/>
        <v>road</v>
      </c>
      <c r="J606" s="37" t="s">
        <v>326</v>
      </c>
      <c r="K606" s="37" t="str">
        <f t="shared" si="147"/>
        <v>apparel</v>
      </c>
      <c r="L606" s="37" t="s">
        <v>197</v>
      </c>
      <c r="M606" s="37" t="str">
        <f t="shared" si="148"/>
        <v>south</v>
      </c>
      <c r="N606" s="37" t="s">
        <v>90</v>
      </c>
      <c r="O606" s="41" t="str">
        <f t="shared" si="149"/>
        <v>Yes</v>
      </c>
      <c r="P606" s="41">
        <v>3.9</v>
      </c>
      <c r="Q606" s="41">
        <v>219</v>
      </c>
      <c r="R606" s="42">
        <f t="shared" si="150"/>
        <v>56.1538461538462</v>
      </c>
      <c r="S606" s="37">
        <v>8</v>
      </c>
      <c r="T606" s="37" t="s">
        <v>1158</v>
      </c>
      <c r="U606" s="43" t="str">
        <f t="shared" si="151"/>
        <v>26/01/2024</v>
      </c>
      <c r="V606" s="43">
        <f t="shared" si="152"/>
        <v>45317</v>
      </c>
      <c r="W606" s="44">
        <f t="array" ref="W606">_xlfn.IFS(TRIM(C606)="","",TRIM(V606)="","",TRUE,V606-C606)</f>
        <v>8</v>
      </c>
      <c r="X606" s="37">
        <f t="shared" si="153"/>
        <v>0</v>
      </c>
      <c r="Y606" s="37" t="s">
        <v>219</v>
      </c>
      <c r="Z606" s="37" t="str">
        <f t="shared" si="154"/>
        <v>delivered</v>
      </c>
      <c r="AA606" s="37" t="str">
        <f t="shared" si="155"/>
        <v>On Time</v>
      </c>
      <c r="AB606" s="37" t="str">
        <f t="shared" si="158"/>
        <v>0</v>
      </c>
      <c r="AC606" s="37">
        <f t="shared" si="159"/>
        <v>0</v>
      </c>
      <c r="AD606" s="45">
        <f t="shared" si="157"/>
        <v>0.51061678463094</v>
      </c>
      <c r="AE606" s="37">
        <v>5</v>
      </c>
      <c r="AF606" s="37" t="s">
        <v>152</v>
      </c>
      <c r="AG606" s="37" t="str">
        <f t="shared" si="156"/>
        <v>no</v>
      </c>
      <c r="AH606" s="37" t="str">
        <f t="array" ref="AH606">_xlfn.IFS(LOWER(AG606)="n","no",LOWER(AG606)="y","yes",TRUE,LOWER(AG606))</f>
        <v>no</v>
      </c>
      <c r="AI606" s="37" t="s">
        <v>4692</v>
      </c>
    </row>
    <row r="607" spans="1:35">
      <c r="A607" s="46" t="s">
        <v>2416</v>
      </c>
      <c r="B607" s="47">
        <v>45376</v>
      </c>
      <c r="C607" s="39">
        <f t="shared" si="144"/>
        <v>45376</v>
      </c>
      <c r="D607" s="48" t="s">
        <v>222</v>
      </c>
      <c r="E607" s="37" t="str" cm="1">
        <f t="array" ref="E607">_xlfn.IFS(D607="delhi","north",D607="mumbai","west",D607="bengaluru","south",D607="chennai","south",D607="kolkata","east",TRUE,"west")</f>
        <v>west</v>
      </c>
      <c r="F607" s="46" t="s">
        <v>204</v>
      </c>
      <c r="G607" s="37" t="str">
        <f t="shared" si="145"/>
        <v>delhivery</v>
      </c>
      <c r="H607" s="46" t="s">
        <v>137</v>
      </c>
      <c r="I607" s="37" t="str">
        <f t="shared" si="146"/>
        <v>road</v>
      </c>
      <c r="J607" s="46" t="s">
        <v>186</v>
      </c>
      <c r="K607" s="37" t="str">
        <f t="shared" si="147"/>
        <v>automotiveparts</v>
      </c>
      <c r="L607" s="46" t="s">
        <v>51</v>
      </c>
      <c r="M607" s="37" t="str">
        <f t="shared" si="148"/>
        <v>south</v>
      </c>
      <c r="N607" s="46" t="s">
        <v>54</v>
      </c>
      <c r="O607" s="41" t="str">
        <f t="shared" si="149"/>
        <v>Yes</v>
      </c>
      <c r="P607" s="49">
        <v>34</v>
      </c>
      <c r="Q607" s="49" t="s">
        <v>2417</v>
      </c>
      <c r="R607" s="42">
        <f t="shared" si="150"/>
        <v>18.5</v>
      </c>
      <c r="S607" s="46">
        <v>8</v>
      </c>
      <c r="T607" s="46" t="s">
        <v>485</v>
      </c>
      <c r="U607" s="43" t="str">
        <f t="shared" si="151"/>
        <v>01-apr-2024</v>
      </c>
      <c r="V607" s="43">
        <f t="shared" si="152"/>
        <v>45383</v>
      </c>
      <c r="W607" s="44">
        <f t="array" ref="W607">_xlfn.IFS(TRIM(C607)="","",TRIM(V607)="","",TRUE,V607-C607)</f>
        <v>7</v>
      </c>
      <c r="X607" s="37">
        <f t="shared" si="153"/>
        <v>-1</v>
      </c>
      <c r="Y607" s="46" t="s">
        <v>105</v>
      </c>
      <c r="Z607" s="37" t="str">
        <f t="shared" si="154"/>
        <v>delivered</v>
      </c>
      <c r="AA607" s="37" t="str">
        <f t="shared" si="155"/>
        <v>On Time</v>
      </c>
      <c r="AB607" s="37" t="str">
        <f t="shared" si="158"/>
        <v>0</v>
      </c>
      <c r="AC607" s="37">
        <f t="shared" si="159"/>
        <v>0</v>
      </c>
      <c r="AD607" s="45">
        <f t="shared" si="157"/>
        <v>0.511133603238866</v>
      </c>
      <c r="AE607" s="46">
        <v>3</v>
      </c>
      <c r="AF607" s="46" t="s">
        <v>118</v>
      </c>
      <c r="AG607" s="37" t="str">
        <f t="shared" si="156"/>
        <v>no</v>
      </c>
      <c r="AH607" s="37" t="str">
        <f t="array" ref="AH607">_xlfn.IFS(LOWER(AG607)="n","no",LOWER(AG607)="y","yes",TRUE,LOWER(AG607))</f>
        <v>no</v>
      </c>
      <c r="AI607" s="46" t="s">
        <v>4692</v>
      </c>
    </row>
    <row r="608" spans="1:35">
      <c r="A608" s="37" t="s">
        <v>2418</v>
      </c>
      <c r="B608" s="38">
        <v>45386</v>
      </c>
      <c r="C608" s="39">
        <f t="shared" si="144"/>
        <v>45386</v>
      </c>
      <c r="D608" s="40" t="s">
        <v>212</v>
      </c>
      <c r="E608" s="37" t="str" cm="1">
        <f t="array" ref="E608">_xlfn.IFS(D608="delhi","north",D608="mumbai","west",D608="bengaluru","south",D608="chennai","south",D608="kolkata","east",TRUE,"west")</f>
        <v>west</v>
      </c>
      <c r="F608" s="37" t="s">
        <v>204</v>
      </c>
      <c r="G608" s="37" t="str">
        <f t="shared" si="145"/>
        <v>delhivery</v>
      </c>
      <c r="H608" s="37" t="s">
        <v>110</v>
      </c>
      <c r="I608" s="37" t="str">
        <f t="shared" si="146"/>
        <v>surface</v>
      </c>
      <c r="J608" s="37" t="s">
        <v>177</v>
      </c>
      <c r="K608" s="37" t="str">
        <f t="shared" si="147"/>
        <v>pharma</v>
      </c>
      <c r="L608" s="37" t="s">
        <v>197</v>
      </c>
      <c r="M608" s="37" t="str">
        <f t="shared" si="148"/>
        <v>south</v>
      </c>
      <c r="N608" s="37" t="s">
        <v>90</v>
      </c>
      <c r="O608" s="41" t="str">
        <f t="shared" si="149"/>
        <v>Yes</v>
      </c>
      <c r="P608" s="41">
        <v>3.4</v>
      </c>
      <c r="Q608" s="41">
        <v>209</v>
      </c>
      <c r="R608" s="42">
        <f t="shared" si="150"/>
        <v>61.4705882352941</v>
      </c>
      <c r="S608" s="37">
        <v>6</v>
      </c>
      <c r="T608" s="37" t="s">
        <v>1791</v>
      </c>
      <c r="U608" s="43" t="str">
        <f t="shared" si="151"/>
        <v>09/04/2024</v>
      </c>
      <c r="V608" s="43">
        <f t="shared" si="152"/>
        <v>45391</v>
      </c>
      <c r="W608" s="44">
        <f t="array" ref="W608">_xlfn.IFS(TRIM(C608)="","",TRIM(V608)="","",TRUE,V608-C608)</f>
        <v>5</v>
      </c>
      <c r="X608" s="37">
        <f t="shared" si="153"/>
        <v>-1</v>
      </c>
      <c r="Y608" s="37" t="s">
        <v>219</v>
      </c>
      <c r="Z608" s="37" t="str">
        <f t="shared" si="154"/>
        <v>delivered</v>
      </c>
      <c r="AA608" s="37" t="str">
        <f t="shared" si="155"/>
        <v>On Time</v>
      </c>
      <c r="AB608" s="37" t="str">
        <f t="shared" si="158"/>
        <v>0</v>
      </c>
      <c r="AC608" s="37">
        <f t="shared" si="159"/>
        <v>0</v>
      </c>
      <c r="AD608" s="45">
        <f t="shared" si="157"/>
        <v>0.511651469098278</v>
      </c>
      <c r="AE608" s="37">
        <v>4</v>
      </c>
      <c r="AF608" s="37" t="s">
        <v>152</v>
      </c>
      <c r="AG608" s="37" t="str">
        <f t="shared" si="156"/>
        <v>no</v>
      </c>
      <c r="AH608" s="37" t="str">
        <f t="array" ref="AH608">_xlfn.IFS(LOWER(AG608)="n","no",LOWER(AG608)="y","yes",TRUE,LOWER(AG608))</f>
        <v>no</v>
      </c>
      <c r="AI608" s="37" t="s">
        <v>4692</v>
      </c>
    </row>
    <row r="609" spans="1:35">
      <c r="A609" s="46" t="s">
        <v>2422</v>
      </c>
      <c r="B609" s="47" t="s">
        <v>4735</v>
      </c>
      <c r="C609" s="39">
        <f t="shared" si="144"/>
        <v>45358</v>
      </c>
      <c r="D609" s="48" t="s">
        <v>300</v>
      </c>
      <c r="E609" s="37" t="str" cm="1">
        <f t="array" ref="E609">_xlfn.IFS(D609="delhi","north",D609="mumbai","west",D609="bengaluru","south",D609="chennai","south",D609="kolkata","east",TRUE,"west")</f>
        <v>west</v>
      </c>
      <c r="F609" s="46" t="s">
        <v>223</v>
      </c>
      <c r="G609" s="37" t="str">
        <f t="shared" si="145"/>
        <v>xpressbees</v>
      </c>
      <c r="H609" s="46" t="s">
        <v>99</v>
      </c>
      <c r="I609" s="37" t="str">
        <f t="shared" si="146"/>
        <v>air</v>
      </c>
      <c r="J609" s="46" t="s">
        <v>385</v>
      </c>
      <c r="K609" s="37" t="str">
        <f t="shared" si="147"/>
        <v>furniture</v>
      </c>
      <c r="L609" s="46" t="s">
        <v>334</v>
      </c>
      <c r="M609" s="37" t="str">
        <f t="shared" si="148"/>
        <v>north</v>
      </c>
      <c r="N609" s="46" t="s">
        <v>32</v>
      </c>
      <c r="O609" s="41" t="str">
        <f t="shared" si="149"/>
        <v>Yes</v>
      </c>
      <c r="P609" s="49">
        <v>53.7</v>
      </c>
      <c r="Q609" s="51">
        <v>2549</v>
      </c>
      <c r="R609" s="42">
        <f t="shared" si="150"/>
        <v>47.4674115456238</v>
      </c>
      <c r="S609" s="46">
        <v>4</v>
      </c>
      <c r="T609" s="46" t="s">
        <v>1564</v>
      </c>
      <c r="U609" s="43" t="str">
        <f t="shared" si="151"/>
        <v>12-mar-2024</v>
      </c>
      <c r="V609" s="43">
        <f t="shared" si="152"/>
        <v>45363</v>
      </c>
      <c r="W609" s="44">
        <f t="array" ref="W609">_xlfn.IFS(TRIM(C609)="","",TRIM(V609)="","",TRUE,V609-C609)</f>
        <v>5</v>
      </c>
      <c r="X609" s="37">
        <f t="shared" si="153"/>
        <v>1</v>
      </c>
      <c r="Y609" s="46" t="s">
        <v>130</v>
      </c>
      <c r="Z609" s="37" t="str">
        <f t="shared" si="154"/>
        <v>damaged</v>
      </c>
      <c r="AA609" s="37" t="str">
        <f t="shared" si="155"/>
        <v>Late</v>
      </c>
      <c r="AB609" s="37" t="str">
        <f t="shared" si="158"/>
        <v>1</v>
      </c>
      <c r="AC609" s="37">
        <f t="shared" si="159"/>
        <v>1</v>
      </c>
      <c r="AD609" s="45">
        <f t="shared" si="157"/>
        <v>0.512170385395537</v>
      </c>
      <c r="AE609" s="46"/>
      <c r="AF609" s="46" t="s">
        <v>191</v>
      </c>
      <c r="AG609" s="37" t="str">
        <f t="shared" si="156"/>
        <v>no</v>
      </c>
      <c r="AH609" s="37" t="str">
        <f t="array" ref="AH609">_xlfn.IFS(LOWER(AG609)="n","no",LOWER(AG609)="y","yes",TRUE,LOWER(AG609))</f>
        <v>no</v>
      </c>
      <c r="AI609" s="46" t="s">
        <v>132</v>
      </c>
    </row>
    <row r="610" spans="1:35">
      <c r="A610" s="37" t="s">
        <v>2425</v>
      </c>
      <c r="B610" s="38" t="s">
        <v>4727</v>
      </c>
      <c r="C610" s="39">
        <f t="shared" si="144"/>
        <v>45361</v>
      </c>
      <c r="D610" s="40" t="s">
        <v>633</v>
      </c>
      <c r="E610" s="37" t="str" cm="1">
        <f t="array" ref="E610">_xlfn.IFS(D610="delhi","north",D610="mumbai","west",D610="bengaluru","south",D610="chennai","south",D610="kolkata","east",TRUE,"west")</f>
        <v>south</v>
      </c>
      <c r="F610" s="37" t="s">
        <v>213</v>
      </c>
      <c r="G610" s="37" t="str">
        <f t="shared" si="145"/>
        <v>dtdc</v>
      </c>
      <c r="H610" s="37" t="s">
        <v>157</v>
      </c>
      <c r="I610" s="37" t="str">
        <f t="shared" si="146"/>
        <v>surface</v>
      </c>
      <c r="J610" s="37" t="s">
        <v>271</v>
      </c>
      <c r="K610" s="37" t="str">
        <f t="shared" si="147"/>
        <v>electronics</v>
      </c>
      <c r="L610" s="37" t="s">
        <v>197</v>
      </c>
      <c r="M610" s="37" t="str">
        <f t="shared" si="148"/>
        <v>south</v>
      </c>
      <c r="N610" s="37" t="s">
        <v>93</v>
      </c>
      <c r="O610" s="41" t="str">
        <f t="shared" si="149"/>
        <v>Yes</v>
      </c>
      <c r="P610" s="41">
        <v>7</v>
      </c>
      <c r="Q610" s="41">
        <v>177</v>
      </c>
      <c r="R610" s="42">
        <f t="shared" si="150"/>
        <v>25.2857142857143</v>
      </c>
      <c r="S610" s="37">
        <v>4</v>
      </c>
      <c r="T610" s="37" t="s">
        <v>959</v>
      </c>
      <c r="U610" s="43" t="str">
        <f t="shared" si="151"/>
        <v>2024-03-15</v>
      </c>
      <c r="V610" s="43">
        <f t="shared" si="152"/>
        <v>45366</v>
      </c>
      <c r="W610" s="44">
        <f t="array" ref="W610">_xlfn.IFS(TRIM(C610)="","",TRIM(V610)="","",TRUE,V610-C610)</f>
        <v>5</v>
      </c>
      <c r="X610" s="37">
        <f t="shared" si="153"/>
        <v>1</v>
      </c>
      <c r="Y610" s="37" t="s">
        <v>143</v>
      </c>
      <c r="Z610" s="37" t="str">
        <f t="shared" si="154"/>
        <v>delayed</v>
      </c>
      <c r="AA610" s="37" t="str">
        <f t="shared" si="155"/>
        <v>Late</v>
      </c>
      <c r="AB610" s="37" t="str">
        <f t="shared" si="158"/>
        <v>1</v>
      </c>
      <c r="AC610" s="37">
        <f t="shared" si="159"/>
        <v>1</v>
      </c>
      <c r="AD610" s="45">
        <f t="shared" si="157"/>
        <v>0.511675126903553</v>
      </c>
      <c r="AE610" s="37">
        <v>4</v>
      </c>
      <c r="AF610" s="37" t="s">
        <v>286</v>
      </c>
      <c r="AG610" s="37" t="str">
        <f t="shared" si="156"/>
        <v>yes</v>
      </c>
      <c r="AH610" s="37" t="str">
        <f t="array" ref="AH610">_xlfn.IFS(LOWER(AG610)="n","no",LOWER(AG610)="y","yes",TRUE,LOWER(AG610))</f>
        <v>yes</v>
      </c>
      <c r="AI610" s="37" t="s">
        <v>4692</v>
      </c>
    </row>
    <row r="611" spans="1:35">
      <c r="A611" s="46" t="s">
        <v>2427</v>
      </c>
      <c r="B611" s="47">
        <v>45394</v>
      </c>
      <c r="C611" s="39">
        <f t="shared" si="144"/>
        <v>45394</v>
      </c>
      <c r="D611" s="48" t="s">
        <v>121</v>
      </c>
      <c r="E611" s="37" t="str" cm="1">
        <f t="array" ref="E611">_xlfn.IFS(D611="delhi","north",D611="mumbai","west",D611="bengaluru","south",D611="chennai","south",D611="kolkata","east",TRUE,"west")</f>
        <v>west</v>
      </c>
      <c r="F611" s="46" t="s">
        <v>122</v>
      </c>
      <c r="G611" s="37" t="str">
        <f t="shared" si="145"/>
        <v>delhivery</v>
      </c>
      <c r="H611" s="46" t="s">
        <v>137</v>
      </c>
      <c r="I611" s="37" t="str">
        <f t="shared" si="146"/>
        <v>road</v>
      </c>
      <c r="J611" s="46" t="s">
        <v>326</v>
      </c>
      <c r="K611" s="37" t="str">
        <f t="shared" si="147"/>
        <v>apparel</v>
      </c>
      <c r="L611" s="46" t="s">
        <v>470</v>
      </c>
      <c r="M611" s="37" t="str">
        <f t="shared" si="148"/>
        <v>east</v>
      </c>
      <c r="N611" s="46" t="s">
        <v>91</v>
      </c>
      <c r="O611" s="41" t="str">
        <f t="shared" si="149"/>
        <v>Yes</v>
      </c>
      <c r="P611" s="49">
        <v>2.7</v>
      </c>
      <c r="Q611" s="49">
        <v>223</v>
      </c>
      <c r="R611" s="42">
        <f t="shared" si="150"/>
        <v>82.5925925925926</v>
      </c>
      <c r="S611" s="46">
        <v>8</v>
      </c>
      <c r="T611" s="46" t="s">
        <v>2429</v>
      </c>
      <c r="U611" s="43" t="str">
        <f t="shared" si="151"/>
        <v>25-apr-2024</v>
      </c>
      <c r="V611" s="43">
        <f t="shared" si="152"/>
        <v>45407</v>
      </c>
      <c r="W611" s="44">
        <f t="array" ref="W611">_xlfn.IFS(TRIM(C611)="","",TRIM(V611)="","",TRUE,V611-C611)</f>
        <v>13</v>
      </c>
      <c r="X611" s="37">
        <f t="shared" si="153"/>
        <v>5</v>
      </c>
      <c r="Y611" s="46" t="s">
        <v>143</v>
      </c>
      <c r="Z611" s="37" t="str">
        <f t="shared" si="154"/>
        <v>delayed</v>
      </c>
      <c r="AA611" s="37" t="str">
        <f t="shared" si="155"/>
        <v>Late</v>
      </c>
      <c r="AB611" s="37" t="str">
        <f t="shared" si="158"/>
        <v>1</v>
      </c>
      <c r="AC611" s="37">
        <f t="shared" si="159"/>
        <v>1</v>
      </c>
      <c r="AD611" s="45">
        <f t="shared" si="157"/>
        <v>0.511178861788618</v>
      </c>
      <c r="AE611" s="46">
        <v>4</v>
      </c>
      <c r="AF611" s="46" t="s">
        <v>191</v>
      </c>
      <c r="AG611" s="37" t="str">
        <f t="shared" si="156"/>
        <v>no</v>
      </c>
      <c r="AH611" s="37" t="str">
        <f t="array" ref="AH611">_xlfn.IFS(LOWER(AG611)="n","no",LOWER(AG611)="y","yes",TRUE,LOWER(AG611))</f>
        <v>no</v>
      </c>
      <c r="AI611" s="46" t="s">
        <v>4692</v>
      </c>
    </row>
    <row r="612" spans="1:35">
      <c r="A612" s="37" t="s">
        <v>2430</v>
      </c>
      <c r="B612" s="38">
        <v>45436</v>
      </c>
      <c r="C612" s="39">
        <f t="shared" si="144"/>
        <v>45436</v>
      </c>
      <c r="D612" s="40" t="s">
        <v>212</v>
      </c>
      <c r="E612" s="37" t="str" cm="1">
        <f t="array" ref="E612">_xlfn.IFS(D612="delhi","north",D612="mumbai","west",D612="bengaluru","south",D612="chennai","south",D612="kolkata","east",TRUE,"west")</f>
        <v>west</v>
      </c>
      <c r="F612" s="37" t="s">
        <v>270</v>
      </c>
      <c r="G612" s="37" t="str">
        <f t="shared" si="145"/>
        <v>ecomexpress</v>
      </c>
      <c r="H612" s="37" t="s">
        <v>123</v>
      </c>
      <c r="I612" s="37" t="str">
        <f t="shared" si="146"/>
        <v>air</v>
      </c>
      <c r="J612" s="37" t="s">
        <v>385</v>
      </c>
      <c r="K612" s="37" t="str">
        <f t="shared" si="147"/>
        <v>furniture</v>
      </c>
      <c r="L612" s="37" t="s">
        <v>159</v>
      </c>
      <c r="M612" s="37" t="str">
        <f t="shared" si="148"/>
        <v>south</v>
      </c>
      <c r="N612" s="37" t="s">
        <v>90</v>
      </c>
      <c r="O612" s="41" t="str">
        <f t="shared" si="149"/>
        <v>Yes</v>
      </c>
      <c r="P612" s="41" t="s">
        <v>2431</v>
      </c>
      <c r="Q612" s="41" t="s">
        <v>2432</v>
      </c>
      <c r="R612" s="42">
        <f t="shared" si="150"/>
        <v>47.0226537216829</v>
      </c>
      <c r="S612" s="37">
        <v>4</v>
      </c>
      <c r="T612" s="37" t="s">
        <v>1325</v>
      </c>
      <c r="U612" s="43" t="str">
        <f t="shared" si="151"/>
        <v>28/05/2024</v>
      </c>
      <c r="V612" s="43">
        <f t="shared" si="152"/>
        <v>45440</v>
      </c>
      <c r="W612" s="44">
        <f t="array" ref="W612">_xlfn.IFS(TRIM(C612)="","",TRIM(V612)="","",TRUE,V612-C612)</f>
        <v>4</v>
      </c>
      <c r="X612" s="37">
        <f t="shared" si="153"/>
        <v>0</v>
      </c>
      <c r="Y612" s="37" t="s">
        <v>219</v>
      </c>
      <c r="Z612" s="37" t="str">
        <f t="shared" si="154"/>
        <v>delivered</v>
      </c>
      <c r="AA612" s="37" t="str">
        <f t="shared" si="155"/>
        <v>On Time</v>
      </c>
      <c r="AB612" s="37" t="str">
        <f t="shared" si="158"/>
        <v>0</v>
      </c>
      <c r="AC612" s="37">
        <f t="shared" si="159"/>
        <v>0</v>
      </c>
      <c r="AD612" s="45">
        <f t="shared" si="157"/>
        <v>0.510681586978637</v>
      </c>
      <c r="AE612" s="37">
        <v>5</v>
      </c>
      <c r="AF612" s="37" t="s">
        <v>106</v>
      </c>
      <c r="AG612" s="37" t="str">
        <f t="shared" si="156"/>
        <v>yes</v>
      </c>
      <c r="AH612" s="37" t="str">
        <f t="array" ref="AH612">_xlfn.IFS(LOWER(AG612)="n","no",LOWER(AG612)="y","yes",TRUE,LOWER(AG612))</f>
        <v>yes</v>
      </c>
      <c r="AI612" s="37" t="s">
        <v>4692</v>
      </c>
    </row>
    <row r="613" spans="1:35">
      <c r="A613" s="46" t="s">
        <v>2433</v>
      </c>
      <c r="B613" s="47">
        <v>45423</v>
      </c>
      <c r="C613" s="39">
        <f t="shared" si="144"/>
        <v>45423</v>
      </c>
      <c r="D613" s="48" t="s">
        <v>109</v>
      </c>
      <c r="E613" s="37" t="str" cm="1">
        <f t="array" ref="E613">_xlfn.IFS(D613="delhi","north",D613="mumbai","west",D613="bengaluru","south",D613="chennai","south",D613="kolkata","east",TRUE,"west")</f>
        <v>west</v>
      </c>
      <c r="F613" s="46" t="s">
        <v>544</v>
      </c>
      <c r="G613" s="37" t="str">
        <f t="shared" si="145"/>
        <v>bluedart</v>
      </c>
      <c r="H613" s="46" t="s">
        <v>42</v>
      </c>
      <c r="I613" s="37" t="str">
        <f t="shared" si="146"/>
        <v>surface</v>
      </c>
      <c r="J613" s="46" t="s">
        <v>283</v>
      </c>
      <c r="K613" s="37" t="str">
        <f t="shared" si="147"/>
        <v>pharma</v>
      </c>
      <c r="L613" s="46" t="s">
        <v>346</v>
      </c>
      <c r="M613" s="37" t="str">
        <f t="shared" si="148"/>
        <v>north</v>
      </c>
      <c r="N613" s="46" t="s">
        <v>32</v>
      </c>
      <c r="O613" s="41" t="str">
        <f t="shared" si="149"/>
        <v>Yes</v>
      </c>
      <c r="P613" s="49">
        <v>1.5</v>
      </c>
      <c r="Q613" s="49">
        <v>202</v>
      </c>
      <c r="R613" s="42">
        <f t="shared" si="150"/>
        <v>134.666666666667</v>
      </c>
      <c r="S613" s="46">
        <v>6</v>
      </c>
      <c r="T613" s="46" t="s">
        <v>641</v>
      </c>
      <c r="U613" s="43" t="str">
        <f t="shared" si="151"/>
        <v>17/05/2024</v>
      </c>
      <c r="V613" s="43">
        <f t="shared" si="152"/>
        <v>45429</v>
      </c>
      <c r="W613" s="44">
        <f t="array" ref="W613">_xlfn.IFS(TRIM(C613)="","",TRIM(V613)="","",TRUE,V613-C613)</f>
        <v>6</v>
      </c>
      <c r="X613" s="37">
        <f t="shared" si="153"/>
        <v>0</v>
      </c>
      <c r="Y613" s="46" t="s">
        <v>117</v>
      </c>
      <c r="Z613" s="37" t="str">
        <f t="shared" si="154"/>
        <v>delivered</v>
      </c>
      <c r="AA613" s="37" t="str">
        <f t="shared" si="155"/>
        <v>On Time</v>
      </c>
      <c r="AB613" s="37" t="str">
        <f t="shared" si="158"/>
        <v>0</v>
      </c>
      <c r="AC613" s="37">
        <f t="shared" si="159"/>
        <v>0</v>
      </c>
      <c r="AD613" s="45">
        <f t="shared" si="157"/>
        <v>0.511201629327902</v>
      </c>
      <c r="AE613" s="46">
        <v>4</v>
      </c>
      <c r="AF613" s="46" t="s">
        <v>181</v>
      </c>
      <c r="AG613" s="37" t="str">
        <f t="shared" si="156"/>
        <v>y</v>
      </c>
      <c r="AH613" s="37" t="str">
        <f t="array" ref="AH613">_xlfn.IFS(LOWER(AG613)="n","no",LOWER(AG613)="y","yes",TRUE,LOWER(AG613))</f>
        <v>yes</v>
      </c>
      <c r="AI613" s="46" t="s">
        <v>4692</v>
      </c>
    </row>
    <row r="614" spans="1:35">
      <c r="A614" s="37" t="s">
        <v>2435</v>
      </c>
      <c r="B614" s="38">
        <v>45372</v>
      </c>
      <c r="C614" s="39">
        <f t="shared" si="144"/>
        <v>45372</v>
      </c>
      <c r="D614" s="40" t="s">
        <v>243</v>
      </c>
      <c r="E614" s="37" t="str" cm="1">
        <f t="array" ref="E614">_xlfn.IFS(D614="delhi","north",D614="mumbai","west",D614="bengaluru","south",D614="chennai","south",D614="kolkata","east",TRUE,"west")</f>
        <v>west</v>
      </c>
      <c r="F614" s="37" t="s">
        <v>194</v>
      </c>
      <c r="G614" s="37" t="str">
        <f t="shared" si="145"/>
        <v>xpressbees</v>
      </c>
      <c r="H614" s="37" t="s">
        <v>195</v>
      </c>
      <c r="I614" s="37" t="str">
        <f t="shared" si="146"/>
        <v>road</v>
      </c>
      <c r="J614" s="37" t="s">
        <v>353</v>
      </c>
      <c r="K614" s="37" t="str">
        <f t="shared" si="147"/>
        <v>automotiveparts</v>
      </c>
      <c r="L614" s="37" t="s">
        <v>346</v>
      </c>
      <c r="M614" s="37" t="str">
        <f t="shared" si="148"/>
        <v>north</v>
      </c>
      <c r="N614" s="37" t="s">
        <v>354</v>
      </c>
      <c r="O614" s="41" t="str">
        <f t="shared" si="149"/>
        <v>Yes</v>
      </c>
      <c r="P614" s="41">
        <v>34.7</v>
      </c>
      <c r="Q614" s="41">
        <v>656</v>
      </c>
      <c r="R614" s="42">
        <f t="shared" si="150"/>
        <v>18.9048991354467</v>
      </c>
      <c r="S614" s="37">
        <v>8</v>
      </c>
      <c r="T614" s="37" t="s">
        <v>2132</v>
      </c>
      <c r="U614" s="43" t="str">
        <f t="shared" si="151"/>
        <v>30-mar-2024</v>
      </c>
      <c r="V614" s="43">
        <f t="shared" si="152"/>
        <v>45381</v>
      </c>
      <c r="W614" s="44">
        <f t="array" ref="W614">_xlfn.IFS(TRIM(C614)="","",TRIM(V614)="","",TRUE,V614-C614)</f>
        <v>9</v>
      </c>
      <c r="X614" s="37">
        <f t="shared" si="153"/>
        <v>1</v>
      </c>
      <c r="Y614" s="37" t="s">
        <v>143</v>
      </c>
      <c r="Z614" s="37" t="str">
        <f t="shared" si="154"/>
        <v>delayed</v>
      </c>
      <c r="AA614" s="37" t="str">
        <f t="shared" si="155"/>
        <v>Late</v>
      </c>
      <c r="AB614" s="37" t="str">
        <f t="shared" si="158"/>
        <v>1</v>
      </c>
      <c r="AC614" s="37">
        <f t="shared" si="159"/>
        <v>1</v>
      </c>
      <c r="AD614" s="45">
        <f t="shared" si="157"/>
        <v>0.511722731906218</v>
      </c>
      <c r="AE614" s="37">
        <v>4</v>
      </c>
      <c r="AF614" s="37" t="s">
        <v>79</v>
      </c>
      <c r="AG614" s="37" t="str">
        <f t="shared" si="156"/>
        <v>yes</v>
      </c>
      <c r="AH614" s="37" t="str">
        <f t="array" ref="AH614">_xlfn.IFS(LOWER(AG614)="n","no",LOWER(AG614)="y","yes",TRUE,LOWER(AG614))</f>
        <v>yes</v>
      </c>
      <c r="AI614" s="37" t="s">
        <v>4692</v>
      </c>
    </row>
    <row r="615" spans="1:35">
      <c r="A615" s="46" t="s">
        <v>2437</v>
      </c>
      <c r="B615" s="47">
        <v>45395</v>
      </c>
      <c r="C615" s="39">
        <f t="shared" si="144"/>
        <v>45395</v>
      </c>
      <c r="D615" s="48" t="s">
        <v>4705</v>
      </c>
      <c r="E615" s="37" t="str" cm="1">
        <f t="array" ref="E615">_xlfn.IFS(D615="delhi","north",D615="mumbai","west",D615="bengaluru","south",D615="chennai","south",D615="kolkata","east",TRUE,"west")</f>
        <v>west</v>
      </c>
      <c r="F615" s="46" t="s">
        <v>175</v>
      </c>
      <c r="G615" s="37" t="str">
        <f t="shared" si="145"/>
        <v>ecomexpress</v>
      </c>
      <c r="H615" s="46" t="s">
        <v>110</v>
      </c>
      <c r="I615" s="37" t="str">
        <f t="shared" si="146"/>
        <v>surface</v>
      </c>
      <c r="J615" s="46" t="s">
        <v>186</v>
      </c>
      <c r="K615" s="37" t="str">
        <f t="shared" si="147"/>
        <v>automotiveparts</v>
      </c>
      <c r="L615" s="46" t="s">
        <v>264</v>
      </c>
      <c r="M615" s="37" t="str">
        <f t="shared" si="148"/>
        <v>west</v>
      </c>
      <c r="N615" s="46" t="s">
        <v>88</v>
      </c>
      <c r="O615" s="41" t="str">
        <f t="shared" si="149"/>
        <v>Yes</v>
      </c>
      <c r="P615" s="49">
        <v>20</v>
      </c>
      <c r="Q615" s="49">
        <v>608</v>
      </c>
      <c r="R615" s="42">
        <f t="shared" si="150"/>
        <v>30.4</v>
      </c>
      <c r="S615" s="46">
        <v>6</v>
      </c>
      <c r="T615" s="46" t="s">
        <v>1074</v>
      </c>
      <c r="U615" s="43" t="str">
        <f t="shared" si="151"/>
        <v>2024-04-18</v>
      </c>
      <c r="V615" s="43">
        <f t="shared" si="152"/>
        <v>45400</v>
      </c>
      <c r="W615" s="44">
        <f t="array" ref="W615">_xlfn.IFS(TRIM(C615)="","",TRIM(V615)="","",TRUE,V615-C615)</f>
        <v>5</v>
      </c>
      <c r="X615" s="37">
        <f t="shared" si="153"/>
        <v>-1</v>
      </c>
      <c r="Y615" s="46" t="s">
        <v>163</v>
      </c>
      <c r="Z615" s="37" t="str">
        <f t="shared" si="154"/>
        <v>delivered</v>
      </c>
      <c r="AA615" s="37" t="str">
        <f t="shared" si="155"/>
        <v>On Time</v>
      </c>
      <c r="AB615" s="37" t="str">
        <f t="shared" si="158"/>
        <v>0</v>
      </c>
      <c r="AC615" s="37">
        <f t="shared" si="159"/>
        <v>0</v>
      </c>
      <c r="AD615" s="45">
        <f t="shared" si="157"/>
        <v>0.511224489795918</v>
      </c>
      <c r="AE615" s="46">
        <v>5</v>
      </c>
      <c r="AF615" s="46" t="s">
        <v>181</v>
      </c>
      <c r="AG615" s="37" t="str">
        <f t="shared" si="156"/>
        <v>y</v>
      </c>
      <c r="AH615" s="37" t="str">
        <f t="array" ref="AH615">_xlfn.IFS(LOWER(AG615)="n","no",LOWER(AG615)="y","yes",TRUE,LOWER(AG615))</f>
        <v>yes</v>
      </c>
      <c r="AI615" s="46" t="s">
        <v>4692</v>
      </c>
    </row>
    <row r="616" spans="1:35">
      <c r="A616" s="37" t="s">
        <v>2440</v>
      </c>
      <c r="B616" s="38">
        <v>45405</v>
      </c>
      <c r="C616" s="39">
        <f t="shared" si="144"/>
        <v>45405</v>
      </c>
      <c r="D616" s="40" t="s">
        <v>4695</v>
      </c>
      <c r="E616" s="37" t="str" cm="1">
        <f t="array" ref="E616">_xlfn.IFS(D616="delhi","north",D616="mumbai","west",D616="bengaluru","south",D616="chennai","south",D616="kolkata","east",TRUE,"west")</f>
        <v>west</v>
      </c>
      <c r="F616" s="37" t="s">
        <v>919</v>
      </c>
      <c r="G616" s="37" t="str">
        <f t="shared" si="145"/>
        <v>xpressbees</v>
      </c>
      <c r="H616" s="37" t="s">
        <v>157</v>
      </c>
      <c r="I616" s="37" t="str">
        <f t="shared" si="146"/>
        <v>surface</v>
      </c>
      <c r="J616" s="37" t="s">
        <v>1112</v>
      </c>
      <c r="K616" s="37" t="str">
        <f t="shared" si="147"/>
        <v>automotiveparts</v>
      </c>
      <c r="L616" s="37" t="s">
        <v>401</v>
      </c>
      <c r="M616" s="37" t="str">
        <f t="shared" si="148"/>
        <v>south</v>
      </c>
      <c r="N616" s="37" t="s">
        <v>327</v>
      </c>
      <c r="O616" s="41" t="str">
        <f t="shared" si="149"/>
        <v>Yes</v>
      </c>
      <c r="P616" s="41" t="s">
        <v>1077</v>
      </c>
      <c r="Q616" s="41">
        <v>742</v>
      </c>
      <c r="R616" s="42">
        <f t="shared" si="150"/>
        <v>29.9193548387097</v>
      </c>
      <c r="S616" s="37">
        <v>6</v>
      </c>
      <c r="T616" s="37" t="s">
        <v>526</v>
      </c>
      <c r="U616" s="43" t="str">
        <f t="shared" si="151"/>
        <v>29/04/2024</v>
      </c>
      <c r="V616" s="43">
        <f t="shared" si="152"/>
        <v>45411</v>
      </c>
      <c r="W616" s="44">
        <f t="array" ref="W616">_xlfn.IFS(TRIM(C616)="","",TRIM(V616)="","",TRUE,V616-C616)</f>
        <v>6</v>
      </c>
      <c r="X616" s="37">
        <f t="shared" si="153"/>
        <v>0</v>
      </c>
      <c r="Y616" s="37" t="s">
        <v>219</v>
      </c>
      <c r="Z616" s="37" t="str">
        <f t="shared" si="154"/>
        <v>delivered</v>
      </c>
      <c r="AA616" s="37" t="str">
        <f t="shared" si="155"/>
        <v>On Time</v>
      </c>
      <c r="AB616" s="37" t="str">
        <f t="shared" si="158"/>
        <v>0</v>
      </c>
      <c r="AC616" s="37">
        <f t="shared" si="159"/>
        <v>0</v>
      </c>
      <c r="AD616" s="45">
        <f t="shared" si="157"/>
        <v>0.511746680286006</v>
      </c>
      <c r="AE616" s="37">
        <v>5</v>
      </c>
      <c r="AF616" s="37" t="s">
        <v>191</v>
      </c>
      <c r="AG616" s="37" t="str">
        <f t="shared" si="156"/>
        <v>no</v>
      </c>
      <c r="AH616" s="37" t="str">
        <f t="array" ref="AH616">_xlfn.IFS(LOWER(AG616)="n","no",LOWER(AG616)="y","yes",TRUE,LOWER(AG616))</f>
        <v>no</v>
      </c>
      <c r="AI616" s="37" t="s">
        <v>4692</v>
      </c>
    </row>
    <row r="617" spans="1:35">
      <c r="A617" s="46" t="s">
        <v>2442</v>
      </c>
      <c r="B617" s="47">
        <v>45456</v>
      </c>
      <c r="C617" s="39">
        <f t="shared" si="144"/>
        <v>45456</v>
      </c>
      <c r="D617" s="48" t="s">
        <v>366</v>
      </c>
      <c r="E617" s="37" t="str" cm="1">
        <f t="array" ref="E617">_xlfn.IFS(D617="delhi","north",D617="mumbai","west",D617="bengaluru","south",D617="chennai","south",D617="kolkata","east",TRUE,"west")</f>
        <v>east</v>
      </c>
      <c r="F617" s="46" t="s">
        <v>230</v>
      </c>
      <c r="G617" s="37" t="str">
        <f t="shared" si="145"/>
        <v>dtdc</v>
      </c>
      <c r="H617" s="46" t="s">
        <v>440</v>
      </c>
      <c r="I617" s="37" t="str">
        <f t="shared" si="146"/>
        <v>road</v>
      </c>
      <c r="J617" s="46" t="s">
        <v>214</v>
      </c>
      <c r="K617" s="37" t="str">
        <f t="shared" si="147"/>
        <v>grocery&amp;fmcg</v>
      </c>
      <c r="L617" s="46" t="s">
        <v>87</v>
      </c>
      <c r="M617" s="37" t="str">
        <f t="shared" si="148"/>
        <v>north</v>
      </c>
      <c r="N617" s="46" t="s">
        <v>113</v>
      </c>
      <c r="O617" s="41" t="str">
        <f t="shared" si="149"/>
        <v>Yes</v>
      </c>
      <c r="P617" s="49">
        <v>14.5</v>
      </c>
      <c r="Q617" s="49" t="s">
        <v>315</v>
      </c>
      <c r="R617" s="42">
        <f t="shared" si="150"/>
        <v>25.6551724137931</v>
      </c>
      <c r="S617" s="46">
        <v>8</v>
      </c>
      <c r="T617" s="46" t="s">
        <v>1501</v>
      </c>
      <c r="U617" s="43" t="str">
        <f t="shared" si="151"/>
        <v>2024-06-21</v>
      </c>
      <c r="V617" s="43">
        <f t="shared" si="152"/>
        <v>45464</v>
      </c>
      <c r="W617" s="44">
        <f t="array" ref="W617">_xlfn.IFS(TRIM(C617)="","",TRIM(V617)="","",TRUE,V617-C617)</f>
        <v>8</v>
      </c>
      <c r="X617" s="37">
        <f t="shared" si="153"/>
        <v>0</v>
      </c>
      <c r="Y617" s="46" t="s">
        <v>219</v>
      </c>
      <c r="Z617" s="37" t="str">
        <f t="shared" si="154"/>
        <v>delivered</v>
      </c>
      <c r="AA617" s="37" t="str">
        <f t="shared" si="155"/>
        <v>On Time</v>
      </c>
      <c r="AB617" s="37" t="str">
        <f t="shared" si="158"/>
        <v>0</v>
      </c>
      <c r="AC617" s="37">
        <f t="shared" si="159"/>
        <v>0</v>
      </c>
      <c r="AD617" s="45">
        <f t="shared" si="157"/>
        <v>0.512269938650307</v>
      </c>
      <c r="AE617" s="46">
        <v>5</v>
      </c>
      <c r="AF617" s="46" t="s">
        <v>131</v>
      </c>
      <c r="AG617" s="37" t="str">
        <f t="shared" si="156"/>
        <v>n</v>
      </c>
      <c r="AH617" s="37" t="str">
        <f t="array" ref="AH617">_xlfn.IFS(LOWER(AG617)="n","no",LOWER(AG617)="y","yes",TRUE,LOWER(AG617))</f>
        <v>no</v>
      </c>
      <c r="AI617" s="46" t="s">
        <v>4692</v>
      </c>
    </row>
    <row r="618" spans="1:35">
      <c r="A618" s="37" t="s">
        <v>2443</v>
      </c>
      <c r="B618" s="38">
        <v>45332</v>
      </c>
      <c r="C618" s="39">
        <f t="shared" si="144"/>
        <v>45332</v>
      </c>
      <c r="D618" s="40" t="s">
        <v>633</v>
      </c>
      <c r="E618" s="37" t="str" cm="1">
        <f t="array" ref="E618">_xlfn.IFS(D618="delhi","north",D618="mumbai","west",D618="bengaluru","south",D618="chennai","south",D618="kolkata","east",TRUE,"west")</f>
        <v>south</v>
      </c>
      <c r="F618" s="37" t="s">
        <v>136</v>
      </c>
      <c r="G618" s="37" t="str">
        <f t="shared" si="145"/>
        <v>bluedart</v>
      </c>
      <c r="H618" s="37" t="s">
        <v>123</v>
      </c>
      <c r="I618" s="37" t="str">
        <f t="shared" si="146"/>
        <v>air</v>
      </c>
      <c r="J618" s="37" t="s">
        <v>47</v>
      </c>
      <c r="K618" s="37" t="str">
        <f t="shared" si="147"/>
        <v>electronics</v>
      </c>
      <c r="L618" s="37" t="s">
        <v>470</v>
      </c>
      <c r="M618" s="37" t="str">
        <f t="shared" si="148"/>
        <v>east</v>
      </c>
      <c r="N618" s="37" t="s">
        <v>91</v>
      </c>
      <c r="O618" s="41" t="str">
        <f t="shared" si="149"/>
        <v>Yes</v>
      </c>
      <c r="P618" s="41">
        <v>4.1</v>
      </c>
      <c r="Q618" s="41" t="s">
        <v>2444</v>
      </c>
      <c r="R618" s="42">
        <f t="shared" si="150"/>
        <v>93.6585365853659</v>
      </c>
      <c r="S618" s="37">
        <v>4</v>
      </c>
      <c r="T618" s="37" t="s">
        <v>1048</v>
      </c>
      <c r="U618" s="43" t="str">
        <f t="shared" si="151"/>
        <v>2024-02-13</v>
      </c>
      <c r="V618" s="43">
        <f t="shared" si="152"/>
        <v>45335</v>
      </c>
      <c r="W618" s="44">
        <f t="array" ref="W618">_xlfn.IFS(TRIM(C618)="","",TRIM(V618)="","",TRUE,V618-C618)</f>
        <v>3</v>
      </c>
      <c r="X618" s="37">
        <f t="shared" si="153"/>
        <v>-1</v>
      </c>
      <c r="Y618" s="37" t="s">
        <v>163</v>
      </c>
      <c r="Z618" s="37" t="str">
        <f t="shared" si="154"/>
        <v>delivered</v>
      </c>
      <c r="AA618" s="37" t="str">
        <f t="shared" si="155"/>
        <v>On Time</v>
      </c>
      <c r="AB618" s="37" t="str">
        <f t="shared" si="158"/>
        <v>0</v>
      </c>
      <c r="AC618" s="37">
        <f t="shared" si="159"/>
        <v>0</v>
      </c>
      <c r="AD618" s="45">
        <f t="shared" si="157"/>
        <v>0.512794268167861</v>
      </c>
      <c r="AE618" s="37">
        <v>5</v>
      </c>
      <c r="AF618" s="37" t="s">
        <v>286</v>
      </c>
      <c r="AG618" s="37" t="str">
        <f t="shared" si="156"/>
        <v>yes</v>
      </c>
      <c r="AH618" s="37" t="str">
        <f t="array" ref="AH618">_xlfn.IFS(LOWER(AG618)="n","no",LOWER(AG618)="y","yes",TRUE,LOWER(AG618))</f>
        <v>yes</v>
      </c>
      <c r="AI618" s="37" t="s">
        <v>4692</v>
      </c>
    </row>
    <row r="619" spans="1:35">
      <c r="A619" s="46" t="s">
        <v>2445</v>
      </c>
      <c r="B619" s="47" t="s">
        <v>4805</v>
      </c>
      <c r="C619" s="39">
        <f t="shared" si="144"/>
        <v>45455</v>
      </c>
      <c r="D619" s="48" t="s">
        <v>4695</v>
      </c>
      <c r="E619" s="37" t="str" cm="1">
        <f t="array" ref="E619">_xlfn.IFS(D619="delhi","north",D619="mumbai","west",D619="bengaluru","south",D619="chennai","south",D619="kolkata","east",TRUE,"west")</f>
        <v>west</v>
      </c>
      <c r="F619" s="46" t="s">
        <v>312</v>
      </c>
      <c r="G619" s="37" t="str">
        <f t="shared" si="145"/>
        <v>bluedart</v>
      </c>
      <c r="H619" s="46" t="s">
        <v>176</v>
      </c>
      <c r="I619" s="37" t="str">
        <f t="shared" si="146"/>
        <v>road</v>
      </c>
      <c r="J619" s="46" t="s">
        <v>582</v>
      </c>
      <c r="K619" s="37" t="str">
        <f t="shared" si="147"/>
        <v>grocery&amp;fmcg</v>
      </c>
      <c r="L619" s="46" t="s">
        <v>168</v>
      </c>
      <c r="M619" s="37" t="str">
        <f t="shared" si="148"/>
        <v>west</v>
      </c>
      <c r="N619" s="46" t="s">
        <v>206</v>
      </c>
      <c r="O619" s="41" t="str">
        <f t="shared" si="149"/>
        <v>Yes</v>
      </c>
      <c r="P619" s="49">
        <v>17.9</v>
      </c>
      <c r="Q619" s="49">
        <v>289</v>
      </c>
      <c r="R619" s="42">
        <f t="shared" si="150"/>
        <v>16.145251396648</v>
      </c>
      <c r="S619" s="46">
        <v>6</v>
      </c>
      <c r="T619" s="46" t="s">
        <v>1550</v>
      </c>
      <c r="U619" s="43" t="str">
        <f t="shared" si="151"/>
        <v>18-jun-2024</v>
      </c>
      <c r="V619" s="43">
        <f t="shared" si="152"/>
        <v>45461</v>
      </c>
      <c r="W619" s="44">
        <f t="array" ref="W619">_xlfn.IFS(TRIM(C619)="","",TRIM(V619)="","",TRUE,V619-C619)</f>
        <v>6</v>
      </c>
      <c r="X619" s="37">
        <f t="shared" si="153"/>
        <v>0</v>
      </c>
      <c r="Y619" s="46" t="s">
        <v>117</v>
      </c>
      <c r="Z619" s="37" t="str">
        <f t="shared" si="154"/>
        <v>delivered</v>
      </c>
      <c r="AA619" s="37" t="str">
        <f t="shared" si="155"/>
        <v>On Time</v>
      </c>
      <c r="AB619" s="37" t="str">
        <f t="shared" si="158"/>
        <v>0</v>
      </c>
      <c r="AC619" s="37">
        <f t="shared" si="159"/>
        <v>0</v>
      </c>
      <c r="AD619" s="45">
        <f t="shared" si="157"/>
        <v>0.513319672131147</v>
      </c>
      <c r="AE619" s="46">
        <v>4</v>
      </c>
      <c r="AF619" s="46" t="s">
        <v>118</v>
      </c>
      <c r="AG619" s="37" t="str">
        <f t="shared" si="156"/>
        <v>no</v>
      </c>
      <c r="AH619" s="37" t="str">
        <f t="array" ref="AH619">_xlfn.IFS(LOWER(AG619)="n","no",LOWER(AG619)="y","yes",TRUE,LOWER(AG619))</f>
        <v>no</v>
      </c>
      <c r="AI619" s="46" t="s">
        <v>4692</v>
      </c>
    </row>
    <row r="620" spans="1:35">
      <c r="A620" s="37" t="s">
        <v>2447</v>
      </c>
      <c r="B620" s="38" t="s">
        <v>4806</v>
      </c>
      <c r="C620" s="39">
        <f t="shared" si="144"/>
        <v>45301</v>
      </c>
      <c r="D620" s="40" t="s">
        <v>4712</v>
      </c>
      <c r="E620" s="37" t="str" cm="1">
        <f t="array" ref="E620">_xlfn.IFS(D620="delhi","north",D620="mumbai","west",D620="bengaluru","south",D620="chennai","south",D620="kolkata","east",TRUE,"west")</f>
        <v>west</v>
      </c>
      <c r="F620" s="37" t="s">
        <v>204</v>
      </c>
      <c r="G620" s="37" t="str">
        <f t="shared" si="145"/>
        <v>delhivery</v>
      </c>
      <c r="H620" s="37" t="s">
        <v>345</v>
      </c>
      <c r="I620" s="37" t="str">
        <f t="shared" si="146"/>
        <v>surface</v>
      </c>
      <c r="J620" s="37" t="s">
        <v>111</v>
      </c>
      <c r="K620" s="37" t="str">
        <f t="shared" si="147"/>
        <v>grocery&amp;fmcg</v>
      </c>
      <c r="L620" s="37" t="s">
        <v>257</v>
      </c>
      <c r="M620" s="37" t="str">
        <f t="shared" si="148"/>
        <v>west</v>
      </c>
      <c r="N620" s="37" t="s">
        <v>88</v>
      </c>
      <c r="O620" s="41" t="str">
        <f t="shared" si="149"/>
        <v>Yes</v>
      </c>
      <c r="P620" s="41" t="s">
        <v>2448</v>
      </c>
      <c r="Q620" s="41" t="s">
        <v>2449</v>
      </c>
      <c r="R620" s="42">
        <f t="shared" si="150"/>
        <v>35.5405405405405</v>
      </c>
      <c r="S620" s="37">
        <v>6</v>
      </c>
      <c r="T620" s="37" t="s">
        <v>513</v>
      </c>
      <c r="U620" s="43" t="str">
        <f t="shared" si="151"/>
        <v>17/01/2024</v>
      </c>
      <c r="V620" s="43">
        <f t="shared" si="152"/>
        <v>45308</v>
      </c>
      <c r="W620" s="44">
        <f t="array" ref="W620">_xlfn.IFS(TRIM(C620)="","",TRIM(V620)="","",TRUE,V620-C620)</f>
        <v>7</v>
      </c>
      <c r="X620" s="37">
        <f t="shared" si="153"/>
        <v>1</v>
      </c>
      <c r="Y620" s="37" t="s">
        <v>143</v>
      </c>
      <c r="Z620" s="37" t="str">
        <f t="shared" si="154"/>
        <v>delayed</v>
      </c>
      <c r="AA620" s="37" t="str">
        <f t="shared" si="155"/>
        <v>Late</v>
      </c>
      <c r="AB620" s="37" t="str">
        <f t="shared" si="158"/>
        <v>1</v>
      </c>
      <c r="AC620" s="37">
        <f t="shared" si="159"/>
        <v>1</v>
      </c>
      <c r="AD620" s="45">
        <f t="shared" si="157"/>
        <v>0.513846153846154</v>
      </c>
      <c r="AE620" s="37">
        <v>3</v>
      </c>
      <c r="AF620" s="37" t="s">
        <v>152</v>
      </c>
      <c r="AG620" s="37" t="str">
        <f t="shared" si="156"/>
        <v>no</v>
      </c>
      <c r="AH620" s="37" t="str">
        <f t="array" ref="AH620">_xlfn.IFS(LOWER(AG620)="n","no",LOWER(AG620)="y","yes",TRUE,LOWER(AG620))</f>
        <v>no</v>
      </c>
      <c r="AI620" s="37" t="s">
        <v>4692</v>
      </c>
    </row>
    <row r="621" spans="1:35">
      <c r="A621" s="46" t="s">
        <v>2450</v>
      </c>
      <c r="B621" s="47">
        <v>45389</v>
      </c>
      <c r="C621" s="39">
        <f t="shared" si="144"/>
        <v>45389</v>
      </c>
      <c r="D621" s="48" t="s">
        <v>633</v>
      </c>
      <c r="E621" s="37" t="str" cm="1">
        <f t="array" ref="E621">_xlfn.IFS(D621="delhi","north",D621="mumbai","west",D621="bengaluru","south",D621="chennai","south",D621="kolkata","east",TRUE,"west")</f>
        <v>south</v>
      </c>
      <c r="F621" s="46" t="s">
        <v>230</v>
      </c>
      <c r="G621" s="37" t="str">
        <f t="shared" si="145"/>
        <v>dtdc</v>
      </c>
      <c r="H621" s="46" t="s">
        <v>195</v>
      </c>
      <c r="I621" s="37" t="str">
        <f t="shared" si="146"/>
        <v>road</v>
      </c>
      <c r="J621" s="46" t="s">
        <v>177</v>
      </c>
      <c r="K621" s="37" t="str">
        <f t="shared" si="147"/>
        <v>pharma</v>
      </c>
      <c r="L621" s="46" t="s">
        <v>302</v>
      </c>
      <c r="M621" s="37" t="str">
        <f t="shared" si="148"/>
        <v>east</v>
      </c>
      <c r="N621" s="46" t="s">
        <v>396</v>
      </c>
      <c r="O621" s="41" t="str">
        <f t="shared" si="149"/>
        <v>Yes</v>
      </c>
      <c r="P621" s="49">
        <v>3</v>
      </c>
      <c r="Q621" s="49">
        <v>208</v>
      </c>
      <c r="R621" s="42">
        <f t="shared" si="150"/>
        <v>69.3333333333333</v>
      </c>
      <c r="S621" s="46">
        <v>8</v>
      </c>
      <c r="T621" s="46" t="s">
        <v>926</v>
      </c>
      <c r="U621" s="43" t="str">
        <f t="shared" si="151"/>
        <v>24/04/2024</v>
      </c>
      <c r="V621" s="43">
        <f t="shared" si="152"/>
        <v>45406</v>
      </c>
      <c r="W621" s="44">
        <f t="array" ref="W621">_xlfn.IFS(TRIM(C621)="","",TRIM(V621)="","",TRUE,V621-C621)</f>
        <v>17</v>
      </c>
      <c r="X621" s="37">
        <f t="shared" si="153"/>
        <v>9</v>
      </c>
      <c r="Y621" s="46" t="s">
        <v>72</v>
      </c>
      <c r="Z621" s="37" t="str">
        <f t="shared" si="154"/>
        <v>delayed</v>
      </c>
      <c r="AA621" s="37" t="str">
        <f t="shared" si="155"/>
        <v>Late</v>
      </c>
      <c r="AB621" s="37" t="str">
        <f t="shared" si="158"/>
        <v>1</v>
      </c>
      <c r="AC621" s="37">
        <f t="shared" si="159"/>
        <v>1</v>
      </c>
      <c r="AD621" s="45">
        <f t="shared" si="157"/>
        <v>0.513347022587269</v>
      </c>
      <c r="AE621" s="46">
        <v>1</v>
      </c>
      <c r="AF621" s="46" t="s">
        <v>118</v>
      </c>
      <c r="AG621" s="37" t="str">
        <f t="shared" si="156"/>
        <v>no</v>
      </c>
      <c r="AH621" s="37" t="str">
        <f t="array" ref="AH621">_xlfn.IFS(LOWER(AG621)="n","no",LOWER(AG621)="y","yes",TRUE,LOWER(AG621))</f>
        <v>no</v>
      </c>
      <c r="AI621" s="46" t="s">
        <v>4692</v>
      </c>
    </row>
    <row r="622" spans="1:35">
      <c r="A622" s="37" t="s">
        <v>2451</v>
      </c>
      <c r="B622" s="38">
        <v>45311</v>
      </c>
      <c r="C622" s="39">
        <f t="shared" si="144"/>
        <v>45311</v>
      </c>
      <c r="D622" s="40" t="s">
        <v>633</v>
      </c>
      <c r="E622" s="37" t="str" cm="1">
        <f t="array" ref="E622">_xlfn.IFS(D622="delhi","north",D622="mumbai","west",D622="bengaluru","south",D622="chennai","south",D622="kolkata","east",TRUE,"west")</f>
        <v>south</v>
      </c>
      <c r="F622" s="37" t="s">
        <v>122</v>
      </c>
      <c r="G622" s="37" t="str">
        <f t="shared" si="145"/>
        <v>delhivery</v>
      </c>
      <c r="H622" s="37" t="s">
        <v>440</v>
      </c>
      <c r="I622" s="37" t="str">
        <f t="shared" si="146"/>
        <v>road</v>
      </c>
      <c r="J622" s="37" t="s">
        <v>111</v>
      </c>
      <c r="K622" s="37" t="str">
        <f t="shared" si="147"/>
        <v>grocery&amp;fmcg</v>
      </c>
      <c r="L622" s="37" t="s">
        <v>470</v>
      </c>
      <c r="M622" s="37" t="str">
        <f t="shared" si="148"/>
        <v>east</v>
      </c>
      <c r="N622" s="37" t="s">
        <v>294</v>
      </c>
      <c r="O622" s="41" t="str">
        <f t="shared" si="149"/>
        <v>Yes</v>
      </c>
      <c r="P622" s="41" t="s">
        <v>665</v>
      </c>
      <c r="Q622" s="41" t="s">
        <v>2452</v>
      </c>
      <c r="R622" s="42">
        <f t="shared" si="150"/>
        <v>27.5728155339806</v>
      </c>
      <c r="S622" s="37">
        <v>8</v>
      </c>
      <c r="T622" s="37" t="s">
        <v>897</v>
      </c>
      <c r="U622" s="43" t="str">
        <f t="shared" si="151"/>
        <v>28/01/2024</v>
      </c>
      <c r="V622" s="43">
        <f t="shared" si="152"/>
        <v>45319</v>
      </c>
      <c r="W622" s="44">
        <f t="array" ref="W622">_xlfn.IFS(TRIM(C622)="","",TRIM(V622)="","",TRUE,V622-C622)</f>
        <v>8</v>
      </c>
      <c r="X622" s="37">
        <f t="shared" si="153"/>
        <v>0</v>
      </c>
      <c r="Y622" s="37" t="s">
        <v>105</v>
      </c>
      <c r="Z622" s="37" t="str">
        <f t="shared" si="154"/>
        <v>delivered</v>
      </c>
      <c r="AA622" s="37" t="str">
        <f t="shared" si="155"/>
        <v>On Time</v>
      </c>
      <c r="AB622" s="37" t="str">
        <f t="shared" si="158"/>
        <v>0</v>
      </c>
      <c r="AC622" s="37">
        <f t="shared" si="159"/>
        <v>0</v>
      </c>
      <c r="AD622" s="45">
        <f t="shared" si="157"/>
        <v>0.512846865364851</v>
      </c>
      <c r="AE622" s="37">
        <v>4</v>
      </c>
      <c r="AF622" s="37" t="s">
        <v>181</v>
      </c>
      <c r="AG622" s="37" t="str">
        <f t="shared" si="156"/>
        <v>y</v>
      </c>
      <c r="AH622" s="37" t="str">
        <f t="array" ref="AH622">_xlfn.IFS(LOWER(AG622)="n","no",LOWER(AG622)="y","yes",TRUE,LOWER(AG622))</f>
        <v>yes</v>
      </c>
      <c r="AI622" s="37" t="s">
        <v>4692</v>
      </c>
    </row>
    <row r="623" spans="1:35">
      <c r="A623" s="46" t="s">
        <v>2453</v>
      </c>
      <c r="B623" s="47">
        <v>45402</v>
      </c>
      <c r="C623" s="39">
        <f t="shared" si="144"/>
        <v>45402</v>
      </c>
      <c r="D623" s="48" t="s">
        <v>366</v>
      </c>
      <c r="E623" s="37" t="str" cm="1">
        <f t="array" ref="E623">_xlfn.IFS(D623="delhi","north",D623="mumbai","west",D623="bengaluru","south",D623="chennai","south",D623="kolkata","east",TRUE,"west")</f>
        <v>east</v>
      </c>
      <c r="F623" s="46" t="s">
        <v>184</v>
      </c>
      <c r="G623" s="37" t="str">
        <f t="shared" si="145"/>
        <v>ecomexpress</v>
      </c>
      <c r="H623" s="46" t="s">
        <v>185</v>
      </c>
      <c r="I623" s="37" t="str">
        <f t="shared" si="146"/>
        <v>surface</v>
      </c>
      <c r="J623" s="46" t="s">
        <v>205</v>
      </c>
      <c r="K623" s="37" t="str">
        <f t="shared" si="147"/>
        <v>furniture</v>
      </c>
      <c r="L623" s="46" t="s">
        <v>418</v>
      </c>
      <c r="M623" s="37" t="str">
        <f t="shared" si="148"/>
        <v>south</v>
      </c>
      <c r="N623" s="46" t="s">
        <v>93</v>
      </c>
      <c r="O623" s="41" t="str">
        <f t="shared" si="149"/>
        <v>Yes</v>
      </c>
      <c r="P623" s="49" t="s">
        <v>1103</v>
      </c>
      <c r="Q623" s="49">
        <v>992</v>
      </c>
      <c r="R623" s="42">
        <f t="shared" si="150"/>
        <v>26.2433862433862</v>
      </c>
      <c r="S623" s="46">
        <v>6</v>
      </c>
      <c r="T623" s="46" t="s">
        <v>2455</v>
      </c>
      <c r="U623" s="43" t="str">
        <f t="shared" si="151"/>
        <v>26/04/2024</v>
      </c>
      <c r="V623" s="43">
        <f t="shared" si="152"/>
        <v>45408</v>
      </c>
      <c r="W623" s="44">
        <f t="array" ref="W623">_xlfn.IFS(TRIM(C623)="","",TRIM(V623)="","",TRUE,V623-C623)</f>
        <v>6</v>
      </c>
      <c r="X623" s="37">
        <f t="shared" si="153"/>
        <v>0</v>
      </c>
      <c r="Y623" s="46" t="s">
        <v>105</v>
      </c>
      <c r="Z623" s="37" t="str">
        <f t="shared" si="154"/>
        <v>delivered</v>
      </c>
      <c r="AA623" s="37" t="str">
        <f t="shared" si="155"/>
        <v>On Time</v>
      </c>
      <c r="AB623" s="37" t="str">
        <f t="shared" si="158"/>
        <v>0</v>
      </c>
      <c r="AC623" s="37">
        <f t="shared" si="159"/>
        <v>0</v>
      </c>
      <c r="AD623" s="45">
        <f t="shared" si="157"/>
        <v>0.513374485596708</v>
      </c>
      <c r="AE623" s="46">
        <v>4</v>
      </c>
      <c r="AF623" s="46" t="s">
        <v>152</v>
      </c>
      <c r="AG623" s="37" t="str">
        <f t="shared" si="156"/>
        <v>no</v>
      </c>
      <c r="AH623" s="37" t="str">
        <f t="array" ref="AH623">_xlfn.IFS(LOWER(AG623)="n","no",LOWER(AG623)="y","yes",TRUE,LOWER(AG623))</f>
        <v>no</v>
      </c>
      <c r="AI623" s="46" t="s">
        <v>4692</v>
      </c>
    </row>
    <row r="624" spans="1:35">
      <c r="A624" s="37" t="s">
        <v>2456</v>
      </c>
      <c r="B624" s="38">
        <v>45428</v>
      </c>
      <c r="C624" s="39">
        <f t="shared" si="144"/>
        <v>45428</v>
      </c>
      <c r="D624" s="40" t="s">
        <v>222</v>
      </c>
      <c r="E624" s="37" t="str" cm="1">
        <f t="array" ref="E624">_xlfn.IFS(D624="delhi","north",D624="mumbai","west",D624="bengaluru","south",D624="chennai","south",D624="kolkata","east",TRUE,"west")</f>
        <v>west</v>
      </c>
      <c r="F624" s="37" t="s">
        <v>175</v>
      </c>
      <c r="G624" s="37" t="str">
        <f t="shared" si="145"/>
        <v>ecomexpress</v>
      </c>
      <c r="H624" s="37" t="s">
        <v>42</v>
      </c>
      <c r="I624" s="37" t="str">
        <f t="shared" si="146"/>
        <v>surface</v>
      </c>
      <c r="J624" s="37" t="s">
        <v>167</v>
      </c>
      <c r="K624" s="37" t="str">
        <f t="shared" si="147"/>
        <v>pharma</v>
      </c>
      <c r="L624" s="37" t="s">
        <v>51</v>
      </c>
      <c r="M624" s="37" t="str">
        <f t="shared" si="148"/>
        <v>south</v>
      </c>
      <c r="N624" s="37" t="s">
        <v>93</v>
      </c>
      <c r="O624" s="41" t="str">
        <f t="shared" si="149"/>
        <v>Yes</v>
      </c>
      <c r="P624" s="41">
        <v>3.3</v>
      </c>
      <c r="Q624" s="41" t="s">
        <v>2457</v>
      </c>
      <c r="R624" s="42">
        <f t="shared" si="150"/>
        <v>63.6363636363636</v>
      </c>
      <c r="S624" s="37">
        <v>6</v>
      </c>
      <c r="T624" s="37" t="s">
        <v>2087</v>
      </c>
      <c r="U624" s="43" t="str">
        <f t="shared" si="151"/>
        <v>2024-05-23</v>
      </c>
      <c r="V624" s="43">
        <f t="shared" si="152"/>
        <v>45435</v>
      </c>
      <c r="W624" s="44">
        <f t="array" ref="W624">_xlfn.IFS(TRIM(C624)="","",TRIM(V624)="","",TRUE,V624-C624)</f>
        <v>7</v>
      </c>
      <c r="X624" s="37">
        <f t="shared" si="153"/>
        <v>1</v>
      </c>
      <c r="Y624" s="37" t="s">
        <v>200</v>
      </c>
      <c r="Z624" s="37" t="str">
        <f t="shared" si="154"/>
        <v>delayed</v>
      </c>
      <c r="AA624" s="37" t="str">
        <f t="shared" si="155"/>
        <v>Late</v>
      </c>
      <c r="AB624" s="37" t="str">
        <f t="shared" si="158"/>
        <v>1</v>
      </c>
      <c r="AC624" s="37">
        <f t="shared" si="159"/>
        <v>1</v>
      </c>
      <c r="AD624" s="45">
        <f t="shared" si="157"/>
        <v>0.513903192584964</v>
      </c>
      <c r="AE624" s="37">
        <v>4</v>
      </c>
      <c r="AF624" s="37" t="s">
        <v>152</v>
      </c>
      <c r="AG624" s="37" t="str">
        <f t="shared" si="156"/>
        <v>no</v>
      </c>
      <c r="AH624" s="37" t="str">
        <f t="array" ref="AH624">_xlfn.IFS(LOWER(AG624)="n","no",LOWER(AG624)="y","yes",TRUE,LOWER(AG624))</f>
        <v>no</v>
      </c>
      <c r="AI624" s="37" t="s">
        <v>4692</v>
      </c>
    </row>
    <row r="625" spans="1:35">
      <c r="A625" s="46" t="s">
        <v>2458</v>
      </c>
      <c r="B625" s="47" t="s">
        <v>4803</v>
      </c>
      <c r="C625" s="39">
        <f t="shared" si="144"/>
        <v>45308</v>
      </c>
      <c r="D625" s="48" t="s">
        <v>424</v>
      </c>
      <c r="E625" s="37" t="str" cm="1">
        <f t="array" ref="E625">_xlfn.IFS(D625="delhi","north",D625="mumbai","west",D625="bengaluru","south",D625="chennai","south",D625="kolkata","east",TRUE,"west")</f>
        <v>south</v>
      </c>
      <c r="F625" s="46" t="s">
        <v>223</v>
      </c>
      <c r="G625" s="37" t="str">
        <f t="shared" si="145"/>
        <v>xpressbees</v>
      </c>
      <c r="H625" s="46" t="s">
        <v>99</v>
      </c>
      <c r="I625" s="37" t="str">
        <f t="shared" si="146"/>
        <v>air</v>
      </c>
      <c r="J625" s="46" t="s">
        <v>124</v>
      </c>
      <c r="K625" s="37" t="str">
        <f t="shared" si="147"/>
        <v>automotiveparts</v>
      </c>
      <c r="L625" s="46" t="s">
        <v>92</v>
      </c>
      <c r="M625" s="37" t="str">
        <f t="shared" si="148"/>
        <v>east</v>
      </c>
      <c r="N625" s="46" t="s">
        <v>294</v>
      </c>
      <c r="O625" s="41" t="str">
        <f t="shared" si="149"/>
        <v>Yes</v>
      </c>
      <c r="P625" s="49" t="s">
        <v>2459</v>
      </c>
      <c r="Q625" s="49" t="s">
        <v>2460</v>
      </c>
      <c r="R625" s="42">
        <f t="shared" si="150"/>
        <v>52.3809523809524</v>
      </c>
      <c r="S625" s="46">
        <v>4</v>
      </c>
      <c r="T625" s="46" t="s">
        <v>142</v>
      </c>
      <c r="U625" s="43" t="str">
        <f t="shared" si="151"/>
        <v>22-jan-2024</v>
      </c>
      <c r="V625" s="43">
        <f t="shared" si="152"/>
        <v>45313</v>
      </c>
      <c r="W625" s="44">
        <f t="array" ref="W625">_xlfn.IFS(TRIM(C625)="","",TRIM(V625)="","",TRUE,V625-C625)</f>
        <v>5</v>
      </c>
      <c r="X625" s="37">
        <f t="shared" si="153"/>
        <v>1</v>
      </c>
      <c r="Y625" s="46" t="s">
        <v>200</v>
      </c>
      <c r="Z625" s="37" t="str">
        <f t="shared" si="154"/>
        <v>delayed</v>
      </c>
      <c r="AA625" s="37" t="str">
        <f t="shared" si="155"/>
        <v>Late</v>
      </c>
      <c r="AB625" s="37" t="str">
        <f t="shared" si="158"/>
        <v>1</v>
      </c>
      <c r="AC625" s="37">
        <f t="shared" si="159"/>
        <v>1</v>
      </c>
      <c r="AD625" s="45">
        <f t="shared" si="157"/>
        <v>0.51340206185567</v>
      </c>
      <c r="AE625" s="46">
        <v>4</v>
      </c>
      <c r="AF625" s="46" t="s">
        <v>106</v>
      </c>
      <c r="AG625" s="37" t="str">
        <f t="shared" si="156"/>
        <v>yes</v>
      </c>
      <c r="AH625" s="37" t="str">
        <f t="array" ref="AH625">_xlfn.IFS(LOWER(AG625)="n","no",LOWER(AG625)="y","yes",TRUE,LOWER(AG625))</f>
        <v>yes</v>
      </c>
      <c r="AI625" s="46" t="s">
        <v>4692</v>
      </c>
    </row>
    <row r="626" spans="1:35">
      <c r="A626" s="37" t="s">
        <v>2461</v>
      </c>
      <c r="B626" s="38" t="s">
        <v>4807</v>
      </c>
      <c r="C626" s="39">
        <f t="shared" si="144"/>
        <v>45424</v>
      </c>
      <c r="D626" s="40" t="s">
        <v>4712</v>
      </c>
      <c r="E626" s="37" t="str" cm="1">
        <f t="array" ref="E626">_xlfn.IFS(D626="delhi","north",D626="mumbai","west",D626="bengaluru","south",D626="chennai","south",D626="kolkata","east",TRUE,"west")</f>
        <v>west</v>
      </c>
      <c r="F626" s="37" t="s">
        <v>194</v>
      </c>
      <c r="G626" s="37" t="str">
        <f t="shared" si="145"/>
        <v>xpressbees</v>
      </c>
      <c r="H626" s="37" t="s">
        <v>325</v>
      </c>
      <c r="I626" s="37" t="str">
        <f t="shared" si="146"/>
        <v>air</v>
      </c>
      <c r="J626" s="37" t="s">
        <v>319</v>
      </c>
      <c r="K626" s="37" t="str">
        <f t="shared" si="147"/>
        <v>electronics</v>
      </c>
      <c r="L626" s="37" t="s">
        <v>346</v>
      </c>
      <c r="M626" s="37" t="str">
        <f t="shared" si="148"/>
        <v>north</v>
      </c>
      <c r="N626" s="37" t="s">
        <v>354</v>
      </c>
      <c r="O626" s="41" t="str">
        <f t="shared" si="149"/>
        <v>Yes</v>
      </c>
      <c r="P626" s="41" t="s">
        <v>2463</v>
      </c>
      <c r="Q626" s="41">
        <v>569</v>
      </c>
      <c r="R626" s="42">
        <f t="shared" si="150"/>
        <v>57.4747474747475</v>
      </c>
      <c r="S626" s="37">
        <v>4</v>
      </c>
      <c r="T626" s="37" t="s">
        <v>1434</v>
      </c>
      <c r="U626" s="43" t="str">
        <f t="shared" si="151"/>
        <v>15-may-2024</v>
      </c>
      <c r="V626" s="43">
        <f t="shared" si="152"/>
        <v>45427</v>
      </c>
      <c r="W626" s="44">
        <f t="array" ref="W626">_xlfn.IFS(TRIM(C626)="","",TRIM(V626)="","",TRUE,V626-C626)</f>
        <v>3</v>
      </c>
      <c r="X626" s="37">
        <f t="shared" si="153"/>
        <v>-1</v>
      </c>
      <c r="Y626" s="37" t="s">
        <v>105</v>
      </c>
      <c r="Z626" s="37" t="str">
        <f t="shared" si="154"/>
        <v>delivered</v>
      </c>
      <c r="AA626" s="37" t="str">
        <f t="shared" si="155"/>
        <v>On Time</v>
      </c>
      <c r="AB626" s="37" t="str">
        <f t="shared" si="158"/>
        <v>0</v>
      </c>
      <c r="AC626" s="37">
        <f t="shared" si="159"/>
        <v>0</v>
      </c>
      <c r="AD626" s="45">
        <f t="shared" si="157"/>
        <v>0.512899896800826</v>
      </c>
      <c r="AE626" s="37">
        <v>5</v>
      </c>
      <c r="AF626" s="37" t="s">
        <v>181</v>
      </c>
      <c r="AG626" s="37" t="str">
        <f t="shared" si="156"/>
        <v>y</v>
      </c>
      <c r="AH626" s="37" t="str">
        <f t="array" ref="AH626">_xlfn.IFS(LOWER(AG626)="n","no",LOWER(AG626)="y","yes",TRUE,LOWER(AG626))</f>
        <v>yes</v>
      </c>
      <c r="AI626" s="37" t="s">
        <v>4692</v>
      </c>
    </row>
    <row r="627" spans="1:35">
      <c r="A627" s="46" t="s">
        <v>2465</v>
      </c>
      <c r="B627" s="47">
        <v>45376</v>
      </c>
      <c r="C627" s="39">
        <f t="shared" si="144"/>
        <v>45376</v>
      </c>
      <c r="D627" s="48" t="s">
        <v>4700</v>
      </c>
      <c r="E627" s="37" t="str" cm="1">
        <f t="array" ref="E627">_xlfn.IFS(D627="delhi","north",D627="mumbai","west",D627="bengaluru","south",D627="chennai","south",D627="kolkata","east",TRUE,"west")</f>
        <v>west</v>
      </c>
      <c r="F627" s="46" t="s">
        <v>352</v>
      </c>
      <c r="G627" s="37" t="str">
        <f t="shared" si="145"/>
        <v>delhivery</v>
      </c>
      <c r="H627" s="46" t="s">
        <v>42</v>
      </c>
      <c r="I627" s="37" t="str">
        <f t="shared" si="146"/>
        <v>surface</v>
      </c>
      <c r="J627" s="46" t="s">
        <v>612</v>
      </c>
      <c r="K627" s="37" t="str">
        <f t="shared" si="147"/>
        <v>grocery&amp;fmcg</v>
      </c>
      <c r="L627" s="46" t="s">
        <v>470</v>
      </c>
      <c r="M627" s="37" t="str">
        <f t="shared" si="148"/>
        <v>east</v>
      </c>
      <c r="N627" s="46" t="s">
        <v>396</v>
      </c>
      <c r="O627" s="41" t="str">
        <f t="shared" si="149"/>
        <v/>
      </c>
      <c r="P627" s="49">
        <v>9.6</v>
      </c>
      <c r="Q627" s="49">
        <v>395</v>
      </c>
      <c r="R627" s="42">
        <f t="shared" si="150"/>
        <v>41.1458333333333</v>
      </c>
      <c r="S627" s="46">
        <v>6</v>
      </c>
      <c r="T627" s="46" t="s">
        <v>2468</v>
      </c>
      <c r="U627" s="43" t="str">
        <f t="shared" si="151"/>
        <v>31/03/2024</v>
      </c>
      <c r="V627" s="43">
        <f t="shared" si="152"/>
        <v>45382</v>
      </c>
      <c r="W627" s="44">
        <f t="array" ref="W627">_xlfn.IFS(TRIM(C627)="","",TRIM(V627)="","",TRUE,V627-C627)</f>
        <v>6</v>
      </c>
      <c r="X627" s="37">
        <f t="shared" si="153"/>
        <v>0</v>
      </c>
      <c r="Y627" s="46" t="s">
        <v>219</v>
      </c>
      <c r="Z627" s="37" t="str">
        <f t="shared" si="154"/>
        <v>delivered</v>
      </c>
      <c r="AA627" s="37" t="str">
        <f t="shared" si="155"/>
        <v>On Time</v>
      </c>
      <c r="AB627" s="37" t="str">
        <f t="shared" si="158"/>
        <v>0</v>
      </c>
      <c r="AC627" s="37">
        <f t="shared" si="159"/>
        <v>0</v>
      </c>
      <c r="AD627" s="45">
        <f t="shared" si="157"/>
        <v>0.513429752066116</v>
      </c>
      <c r="AE627" s="46">
        <v>5</v>
      </c>
      <c r="AF627" s="46" t="s">
        <v>286</v>
      </c>
      <c r="AG627" s="37" t="str">
        <f t="shared" si="156"/>
        <v>yes</v>
      </c>
      <c r="AH627" s="37" t="str">
        <f t="array" ref="AH627">_xlfn.IFS(LOWER(AG627)="n","no",LOWER(AG627)="y","yes",TRUE,LOWER(AG627))</f>
        <v>yes</v>
      </c>
      <c r="AI627" s="46" t="s">
        <v>4692</v>
      </c>
    </row>
    <row r="628" spans="1:35">
      <c r="A628" s="37" t="s">
        <v>2469</v>
      </c>
      <c r="B628" s="38">
        <v>45396</v>
      </c>
      <c r="C628" s="39">
        <f t="shared" si="144"/>
        <v>45396</v>
      </c>
      <c r="D628" s="40" t="s">
        <v>340</v>
      </c>
      <c r="E628" s="37" t="str" cm="1">
        <f t="array" ref="E628">_xlfn.IFS(D628="delhi","north",D628="mumbai","west",D628="bengaluru","south",D628="chennai","south",D628="kolkata","east",TRUE,"west")</f>
        <v>north</v>
      </c>
      <c r="F628" s="37" t="s">
        <v>333</v>
      </c>
      <c r="G628" s="37" t="str">
        <f t="shared" si="145"/>
        <v>delhivery</v>
      </c>
      <c r="H628" s="37" t="s">
        <v>224</v>
      </c>
      <c r="I628" s="37" t="str">
        <f t="shared" si="146"/>
        <v>air</v>
      </c>
      <c r="J628" s="37" t="s">
        <v>301</v>
      </c>
      <c r="K628" s="37" t="str">
        <f t="shared" si="147"/>
        <v>furniture</v>
      </c>
      <c r="L628" s="37" t="s">
        <v>159</v>
      </c>
      <c r="M628" s="37" t="str">
        <f t="shared" si="148"/>
        <v>south</v>
      </c>
      <c r="N628" s="37" t="s">
        <v>93</v>
      </c>
      <c r="O628" s="41" t="str">
        <f t="shared" si="149"/>
        <v>Yes</v>
      </c>
      <c r="P628" s="41">
        <v>30.8</v>
      </c>
      <c r="Q628" s="41" t="s">
        <v>2471</v>
      </c>
      <c r="R628" s="42">
        <f t="shared" si="150"/>
        <v>51.1688311688312</v>
      </c>
      <c r="S628" s="37">
        <v>4</v>
      </c>
      <c r="T628" s="37" t="s">
        <v>1890</v>
      </c>
      <c r="U628" s="43" t="str">
        <f t="shared" si="151"/>
        <v>17/04/2024</v>
      </c>
      <c r="V628" s="43">
        <f t="shared" si="152"/>
        <v>45399</v>
      </c>
      <c r="W628" s="44">
        <f t="array" ref="W628">_xlfn.IFS(TRIM(C628)="","",TRIM(V628)="","",TRUE,V628-C628)</f>
        <v>3</v>
      </c>
      <c r="X628" s="37">
        <f t="shared" si="153"/>
        <v>-1</v>
      </c>
      <c r="Y628" s="37" t="s">
        <v>130</v>
      </c>
      <c r="Z628" s="37" t="str">
        <f t="shared" si="154"/>
        <v>damaged</v>
      </c>
      <c r="AA628" s="37" t="str">
        <f t="shared" si="155"/>
        <v>On Time</v>
      </c>
      <c r="AB628" s="37" t="str">
        <f t="shared" si="158"/>
        <v>0</v>
      </c>
      <c r="AC628" s="37">
        <f t="shared" si="159"/>
        <v>0</v>
      </c>
      <c r="AD628" s="45">
        <f t="shared" si="157"/>
        <v>0.513960703205791</v>
      </c>
      <c r="AE628" s="37"/>
      <c r="AF628" s="37" t="s">
        <v>131</v>
      </c>
      <c r="AG628" s="37" t="str">
        <f t="shared" si="156"/>
        <v>n</v>
      </c>
      <c r="AH628" s="37" t="str">
        <f t="array" ref="AH628">_xlfn.IFS(LOWER(AG628)="n","no",LOWER(AG628)="y","yes",TRUE,LOWER(AG628))</f>
        <v>no</v>
      </c>
      <c r="AI628" s="37" t="s">
        <v>132</v>
      </c>
    </row>
    <row r="629" spans="1:35">
      <c r="A629" s="46" t="s">
        <v>2472</v>
      </c>
      <c r="B629" s="47">
        <v>45365</v>
      </c>
      <c r="C629" s="39">
        <f t="shared" si="144"/>
        <v>45365</v>
      </c>
      <c r="D629" s="48" t="s">
        <v>340</v>
      </c>
      <c r="E629" s="37" t="str" cm="1">
        <f t="array" ref="E629">_xlfn.IFS(D629="delhi","north",D629="mumbai","west",D629="bengaluru","south",D629="chennai","south",D629="kolkata","east",TRUE,"west")</f>
        <v>north</v>
      </c>
      <c r="F629" s="46" t="s">
        <v>175</v>
      </c>
      <c r="G629" s="37" t="str">
        <f t="shared" si="145"/>
        <v>ecomexpress</v>
      </c>
      <c r="H629" s="46" t="s">
        <v>123</v>
      </c>
      <c r="I629" s="37" t="str">
        <f t="shared" si="146"/>
        <v>air</v>
      </c>
      <c r="J629" s="46" t="s">
        <v>263</v>
      </c>
      <c r="K629" s="37" t="str">
        <f t="shared" si="147"/>
        <v>apparel</v>
      </c>
      <c r="L629" s="46" t="s">
        <v>159</v>
      </c>
      <c r="M629" s="37" t="str">
        <f t="shared" si="148"/>
        <v>south</v>
      </c>
      <c r="N629" s="46" t="s">
        <v>54</v>
      </c>
      <c r="O629" s="41" t="str">
        <f t="shared" si="149"/>
        <v>Yes</v>
      </c>
      <c r="P629" s="49">
        <v>7.6</v>
      </c>
      <c r="Q629" s="49">
        <v>472</v>
      </c>
      <c r="R629" s="42">
        <f t="shared" si="150"/>
        <v>62.1052631578947</v>
      </c>
      <c r="S629" s="46">
        <v>4</v>
      </c>
      <c r="T629" s="46" t="s">
        <v>1908</v>
      </c>
      <c r="U629" s="43" t="str">
        <f t="shared" si="151"/>
        <v>2024-03-27</v>
      </c>
      <c r="V629" s="43">
        <f t="shared" si="152"/>
        <v>45378</v>
      </c>
      <c r="W629" s="44">
        <f t="array" ref="W629">_xlfn.IFS(TRIM(C629)="","",TRIM(V629)="","",TRUE,V629-C629)</f>
        <v>13</v>
      </c>
      <c r="X629" s="37">
        <f t="shared" si="153"/>
        <v>9</v>
      </c>
      <c r="Y629" s="46" t="s">
        <v>200</v>
      </c>
      <c r="Z629" s="37" t="str">
        <f t="shared" si="154"/>
        <v>delayed</v>
      </c>
      <c r="AA629" s="37" t="str">
        <f t="shared" si="155"/>
        <v>Late</v>
      </c>
      <c r="AB629" s="37" t="str">
        <f t="shared" si="158"/>
        <v>1</v>
      </c>
      <c r="AC629" s="37">
        <f t="shared" si="159"/>
        <v>1</v>
      </c>
      <c r="AD629" s="45">
        <f t="shared" si="157"/>
        <v>0.514492753623188</v>
      </c>
      <c r="AE629" s="46">
        <v>5</v>
      </c>
      <c r="AF629" s="46" t="s">
        <v>286</v>
      </c>
      <c r="AG629" s="37" t="str">
        <f t="shared" si="156"/>
        <v>yes</v>
      </c>
      <c r="AH629" s="37" t="str">
        <f t="array" ref="AH629">_xlfn.IFS(LOWER(AG629)="n","no",LOWER(AG629)="y","yes",TRUE,LOWER(AG629))</f>
        <v>yes</v>
      </c>
      <c r="AI629" s="46" t="s">
        <v>4692</v>
      </c>
    </row>
    <row r="630" spans="1:35">
      <c r="A630" s="37" t="s">
        <v>2473</v>
      </c>
      <c r="B630" s="38" t="s">
        <v>4808</v>
      </c>
      <c r="C630" s="39">
        <f t="shared" si="144"/>
        <v>45459</v>
      </c>
      <c r="D630" s="40" t="s">
        <v>121</v>
      </c>
      <c r="E630" s="37" t="str" cm="1">
        <f t="array" ref="E630">_xlfn.IFS(D630="delhi","north",D630="mumbai","west",D630="bengaluru","south",D630="chennai","south",D630="kolkata","east",TRUE,"west")</f>
        <v>west</v>
      </c>
      <c r="F630" s="37" t="s">
        <v>156</v>
      </c>
      <c r="G630" s="37" t="str">
        <f t="shared" si="145"/>
        <v>xpressbees</v>
      </c>
      <c r="H630" s="37" t="s">
        <v>110</v>
      </c>
      <c r="I630" s="37" t="str">
        <f t="shared" si="146"/>
        <v>surface</v>
      </c>
      <c r="J630" s="37" t="s">
        <v>245</v>
      </c>
      <c r="K630" s="37" t="str">
        <f t="shared" si="147"/>
        <v>electronics</v>
      </c>
      <c r="L630" s="37" t="s">
        <v>264</v>
      </c>
      <c r="M630" s="37" t="str">
        <f t="shared" si="148"/>
        <v>west</v>
      </c>
      <c r="N630" s="37" t="s">
        <v>88</v>
      </c>
      <c r="O630" s="41" t="str">
        <f t="shared" si="149"/>
        <v>Yes</v>
      </c>
      <c r="P630" s="41">
        <v>4.5</v>
      </c>
      <c r="Q630" s="41" t="s">
        <v>2475</v>
      </c>
      <c r="R630" s="42">
        <f t="shared" si="150"/>
        <v>58.6666666666667</v>
      </c>
      <c r="S630" s="37">
        <v>6</v>
      </c>
      <c r="T630" s="37" t="s">
        <v>199</v>
      </c>
      <c r="U630" s="43" t="str">
        <f t="shared" si="151"/>
        <v>22/06/2024</v>
      </c>
      <c r="V630" s="43">
        <f t="shared" si="152"/>
        <v>45465</v>
      </c>
      <c r="W630" s="44">
        <f t="array" ref="W630">_xlfn.IFS(TRIM(C630)="","",TRIM(V630)="","",TRUE,V630-C630)</f>
        <v>6</v>
      </c>
      <c r="X630" s="37">
        <f t="shared" si="153"/>
        <v>0</v>
      </c>
      <c r="Y630" s="37" t="s">
        <v>130</v>
      </c>
      <c r="Z630" s="37" t="str">
        <f t="shared" si="154"/>
        <v>damaged</v>
      </c>
      <c r="AA630" s="37" t="str">
        <f t="shared" si="155"/>
        <v>On Time</v>
      </c>
      <c r="AB630" s="37" t="str">
        <f t="shared" si="158"/>
        <v>0</v>
      </c>
      <c r="AC630" s="37">
        <f t="shared" si="159"/>
        <v>0</v>
      </c>
      <c r="AD630" s="45">
        <f t="shared" si="157"/>
        <v>0.513989637305699</v>
      </c>
      <c r="AE630" s="37"/>
      <c r="AF630" s="37" t="s">
        <v>286</v>
      </c>
      <c r="AG630" s="37" t="str">
        <f t="shared" si="156"/>
        <v>yes</v>
      </c>
      <c r="AH630" s="37" t="str">
        <f t="array" ref="AH630">_xlfn.IFS(LOWER(AG630)="n","no",LOWER(AG630)="y","yes",TRUE,LOWER(AG630))</f>
        <v>yes</v>
      </c>
      <c r="AI630" s="37" t="s">
        <v>759</v>
      </c>
    </row>
    <row r="631" spans="1:35">
      <c r="A631" s="46" t="s">
        <v>2476</v>
      </c>
      <c r="B631" s="47">
        <v>45391</v>
      </c>
      <c r="C631" s="39">
        <f t="shared" si="144"/>
        <v>45391</v>
      </c>
      <c r="D631" s="48" t="s">
        <v>109</v>
      </c>
      <c r="E631" s="37" t="str" cm="1">
        <f t="array" ref="E631">_xlfn.IFS(D631="delhi","north",D631="mumbai","west",D631="bengaluru","south",D631="chennai","south",D631="kolkata","east",TRUE,"west")</f>
        <v>west</v>
      </c>
      <c r="F631" s="46" t="s">
        <v>37</v>
      </c>
      <c r="G631" s="37" t="str">
        <f t="shared" si="145"/>
        <v>bluedart</v>
      </c>
      <c r="H631" s="46" t="s">
        <v>137</v>
      </c>
      <c r="I631" s="37" t="str">
        <f t="shared" si="146"/>
        <v>road</v>
      </c>
      <c r="J631" s="46" t="s">
        <v>47</v>
      </c>
      <c r="K631" s="37" t="str">
        <f t="shared" si="147"/>
        <v>electronics</v>
      </c>
      <c r="L631" s="46" t="s">
        <v>264</v>
      </c>
      <c r="M631" s="37" t="str">
        <f t="shared" si="148"/>
        <v>west</v>
      </c>
      <c r="N631" s="46" t="s">
        <v>88</v>
      </c>
      <c r="O631" s="41" t="str">
        <f t="shared" si="149"/>
        <v>Yes</v>
      </c>
      <c r="P631" s="49">
        <v>9.6</v>
      </c>
      <c r="Q631" s="49">
        <v>186</v>
      </c>
      <c r="R631" s="42">
        <f t="shared" si="150"/>
        <v>19.375</v>
      </c>
      <c r="S631" s="46">
        <v>6</v>
      </c>
      <c r="T631" s="46" t="s">
        <v>2040</v>
      </c>
      <c r="U631" s="43" t="str">
        <f t="shared" si="151"/>
        <v>16/04/2024</v>
      </c>
      <c r="V631" s="43">
        <f t="shared" si="152"/>
        <v>45398</v>
      </c>
      <c r="W631" s="44">
        <f t="array" ref="W631">_xlfn.IFS(TRIM(C631)="","",TRIM(V631)="","",TRUE,V631-C631)</f>
        <v>7</v>
      </c>
      <c r="X631" s="37">
        <f t="shared" si="153"/>
        <v>1</v>
      </c>
      <c r="Y631" s="46" t="s">
        <v>72</v>
      </c>
      <c r="Z631" s="37" t="str">
        <f t="shared" si="154"/>
        <v>delayed</v>
      </c>
      <c r="AA631" s="37" t="str">
        <f t="shared" si="155"/>
        <v>Late</v>
      </c>
      <c r="AB631" s="37" t="str">
        <f t="shared" si="158"/>
        <v>1</v>
      </c>
      <c r="AC631" s="37">
        <f t="shared" si="159"/>
        <v>1</v>
      </c>
      <c r="AD631" s="45">
        <f t="shared" si="157"/>
        <v>0.514522821576763</v>
      </c>
      <c r="AE631" s="46">
        <v>3</v>
      </c>
      <c r="AF631" s="46" t="s">
        <v>118</v>
      </c>
      <c r="AG631" s="37" t="str">
        <f t="shared" si="156"/>
        <v>no</v>
      </c>
      <c r="AH631" s="37" t="str">
        <f t="array" ref="AH631">_xlfn.IFS(LOWER(AG631)="n","no",LOWER(AG631)="y","yes",TRUE,LOWER(AG631))</f>
        <v>no</v>
      </c>
      <c r="AI631" s="46" t="s">
        <v>4692</v>
      </c>
    </row>
    <row r="632" spans="1:35">
      <c r="A632" s="37" t="s">
        <v>2478</v>
      </c>
      <c r="B632" s="38">
        <v>45390</v>
      </c>
      <c r="C632" s="39">
        <f t="shared" si="144"/>
        <v>45390</v>
      </c>
      <c r="D632" s="40" t="s">
        <v>212</v>
      </c>
      <c r="E632" s="37" t="str" cm="1">
        <f t="array" ref="E632">_xlfn.IFS(D632="delhi","north",D632="mumbai","west",D632="bengaluru","south",D632="chennai","south",D632="kolkata","east",TRUE,"west")</f>
        <v>west</v>
      </c>
      <c r="F632" s="37" t="s">
        <v>175</v>
      </c>
      <c r="G632" s="37" t="str">
        <f t="shared" si="145"/>
        <v>ecomexpress</v>
      </c>
      <c r="H632" s="37" t="s">
        <v>123</v>
      </c>
      <c r="I632" s="37" t="str">
        <f t="shared" si="146"/>
        <v>air</v>
      </c>
      <c r="J632" s="37" t="s">
        <v>186</v>
      </c>
      <c r="K632" s="37" t="str">
        <f t="shared" si="147"/>
        <v>automotiveparts</v>
      </c>
      <c r="L632" s="37" t="s">
        <v>401</v>
      </c>
      <c r="M632" s="37" t="str">
        <f t="shared" si="148"/>
        <v>south</v>
      </c>
      <c r="N632" s="37" t="s">
        <v>54</v>
      </c>
      <c r="O632" s="41" t="str">
        <f t="shared" si="149"/>
        <v>Yes</v>
      </c>
      <c r="P632" s="41">
        <v>25.8</v>
      </c>
      <c r="Q632" s="41">
        <v>1320</v>
      </c>
      <c r="R632" s="42">
        <f t="shared" si="150"/>
        <v>51.1627906976744</v>
      </c>
      <c r="S632" s="37">
        <v>4</v>
      </c>
      <c r="T632" s="37" t="s">
        <v>1459</v>
      </c>
      <c r="U632" s="43" t="str">
        <f t="shared" si="151"/>
        <v>15/04/2024</v>
      </c>
      <c r="V632" s="43">
        <f t="shared" si="152"/>
        <v>45397</v>
      </c>
      <c r="W632" s="44">
        <f t="array" ref="W632">_xlfn.IFS(TRIM(C632)="","",TRIM(V632)="","",TRUE,V632-C632)</f>
        <v>7</v>
      </c>
      <c r="X632" s="37">
        <f t="shared" si="153"/>
        <v>3</v>
      </c>
      <c r="Y632" s="37" t="s">
        <v>143</v>
      </c>
      <c r="Z632" s="37" t="str">
        <f t="shared" si="154"/>
        <v>delayed</v>
      </c>
      <c r="AA632" s="37" t="str">
        <f t="shared" si="155"/>
        <v>Late</v>
      </c>
      <c r="AB632" s="37" t="str">
        <f t="shared" si="158"/>
        <v>1</v>
      </c>
      <c r="AC632" s="37">
        <f t="shared" si="159"/>
        <v>1</v>
      </c>
      <c r="AD632" s="45">
        <f t="shared" si="157"/>
        <v>0.514018691588785</v>
      </c>
      <c r="AE632" s="37">
        <v>1</v>
      </c>
      <c r="AF632" s="37" t="s">
        <v>181</v>
      </c>
      <c r="AG632" s="37" t="str">
        <f t="shared" si="156"/>
        <v>y</v>
      </c>
      <c r="AH632" s="37" t="str">
        <f t="array" ref="AH632">_xlfn.IFS(LOWER(AG632)="n","no",LOWER(AG632)="y","yes",TRUE,LOWER(AG632))</f>
        <v>yes</v>
      </c>
      <c r="AI632" s="37" t="s">
        <v>4692</v>
      </c>
    </row>
    <row r="633" spans="1:35">
      <c r="A633" s="46" t="s">
        <v>2481</v>
      </c>
      <c r="B633" s="47" t="s">
        <v>4768</v>
      </c>
      <c r="C633" s="39">
        <f t="shared" si="144"/>
        <v>45294</v>
      </c>
      <c r="D633" s="48" t="s">
        <v>366</v>
      </c>
      <c r="E633" s="37" t="str" cm="1">
        <f t="array" ref="E633">_xlfn.IFS(D633="delhi","north",D633="mumbai","west",D633="bengaluru","south",D633="chennai","south",D633="kolkata","east",TRUE,"west")</f>
        <v>east</v>
      </c>
      <c r="F633" s="46" t="s">
        <v>184</v>
      </c>
      <c r="G633" s="37" t="str">
        <f t="shared" si="145"/>
        <v>ecomexpress</v>
      </c>
      <c r="H633" s="46" t="s">
        <v>110</v>
      </c>
      <c r="I633" s="37" t="str">
        <f t="shared" si="146"/>
        <v>surface</v>
      </c>
      <c r="J633" s="46" t="s">
        <v>612</v>
      </c>
      <c r="K633" s="37" t="str">
        <f t="shared" si="147"/>
        <v>grocery&amp;fmcg</v>
      </c>
      <c r="L633" s="46" t="s">
        <v>125</v>
      </c>
      <c r="M633" s="37" t="str">
        <f t="shared" si="148"/>
        <v>east</v>
      </c>
      <c r="N633" s="46" t="s">
        <v>91</v>
      </c>
      <c r="O633" s="41" t="str">
        <f t="shared" si="149"/>
        <v>Yes</v>
      </c>
      <c r="P633" s="49" t="s">
        <v>2482</v>
      </c>
      <c r="Q633" s="49">
        <v>314</v>
      </c>
      <c r="R633" s="42">
        <f t="shared" si="150"/>
        <v>24.53125</v>
      </c>
      <c r="S633" s="46">
        <v>4</v>
      </c>
      <c r="T633" s="46" t="s">
        <v>2484</v>
      </c>
      <c r="U633" s="43" t="str">
        <f t="shared" si="151"/>
        <v>08/01/2024</v>
      </c>
      <c r="V633" s="43">
        <f t="shared" si="152"/>
        <v>45299</v>
      </c>
      <c r="W633" s="44">
        <f t="array" ref="W633">_xlfn.IFS(TRIM(C633)="","",TRIM(V633)="","",TRUE,V633-C633)</f>
        <v>5</v>
      </c>
      <c r="X633" s="37">
        <f t="shared" si="153"/>
        <v>1</v>
      </c>
      <c r="Y633" s="46" t="s">
        <v>172</v>
      </c>
      <c r="Z633" s="37" t="str">
        <f t="shared" si="154"/>
        <v>delayed</v>
      </c>
      <c r="AA633" s="37" t="str">
        <f t="shared" si="155"/>
        <v>Late</v>
      </c>
      <c r="AB633" s="37" t="str">
        <f t="shared" si="158"/>
        <v>1</v>
      </c>
      <c r="AC633" s="37">
        <f t="shared" si="159"/>
        <v>1</v>
      </c>
      <c r="AD633" s="45">
        <f t="shared" si="157"/>
        <v>0.513513513513513</v>
      </c>
      <c r="AE633" s="46">
        <v>3</v>
      </c>
      <c r="AF633" s="46" t="s">
        <v>181</v>
      </c>
      <c r="AG633" s="37" t="str">
        <f t="shared" si="156"/>
        <v>y</v>
      </c>
      <c r="AH633" s="37" t="str">
        <f t="array" ref="AH633">_xlfn.IFS(LOWER(AG633)="n","no",LOWER(AG633)="y","yes",TRUE,LOWER(AG633))</f>
        <v>yes</v>
      </c>
      <c r="AI633" s="46" t="s">
        <v>4692</v>
      </c>
    </row>
    <row r="634" spans="1:35">
      <c r="A634" s="37" t="s">
        <v>2485</v>
      </c>
      <c r="B634" s="38">
        <v>45430</v>
      </c>
      <c r="C634" s="39">
        <f t="shared" si="144"/>
        <v>45430</v>
      </c>
      <c r="D634" s="40" t="s">
        <v>633</v>
      </c>
      <c r="E634" s="37" t="str" cm="1">
        <f t="array" ref="E634">_xlfn.IFS(D634="delhi","north",D634="mumbai","west",D634="bengaluru","south",D634="chennai","south",D634="kolkata","east",TRUE,"west")</f>
        <v>south</v>
      </c>
      <c r="F634" s="37" t="s">
        <v>352</v>
      </c>
      <c r="G634" s="37" t="str">
        <f t="shared" si="145"/>
        <v>delhivery</v>
      </c>
      <c r="H634" s="37" t="s">
        <v>325</v>
      </c>
      <c r="I634" s="37" t="str">
        <f t="shared" si="146"/>
        <v>air</v>
      </c>
      <c r="J634" s="37" t="s">
        <v>167</v>
      </c>
      <c r="K634" s="37" t="str">
        <f t="shared" si="147"/>
        <v>pharma</v>
      </c>
      <c r="L634" s="37" t="s">
        <v>87</v>
      </c>
      <c r="M634" s="37" t="str">
        <f t="shared" si="148"/>
        <v>north</v>
      </c>
      <c r="N634" s="37" t="s">
        <v>354</v>
      </c>
      <c r="O634" s="41" t="str">
        <f t="shared" si="149"/>
        <v>Yes</v>
      </c>
      <c r="P634" s="41">
        <v>4.7</v>
      </c>
      <c r="Q634" s="41">
        <v>403</v>
      </c>
      <c r="R634" s="42">
        <f t="shared" si="150"/>
        <v>85.7446808510638</v>
      </c>
      <c r="S634" s="37">
        <v>4</v>
      </c>
      <c r="T634" s="37" t="s">
        <v>120</v>
      </c>
      <c r="U634" s="43" t="str">
        <f t="shared" si="151"/>
        <v>23-may-2024</v>
      </c>
      <c r="V634" s="43">
        <f t="shared" si="152"/>
        <v>45435</v>
      </c>
      <c r="W634" s="44">
        <f t="array" ref="W634">_xlfn.IFS(TRIM(C634)="","",TRIM(V634)="","",TRUE,V634-C634)</f>
        <v>5</v>
      </c>
      <c r="X634" s="37">
        <f t="shared" si="153"/>
        <v>1</v>
      </c>
      <c r="Y634" s="37" t="s">
        <v>200</v>
      </c>
      <c r="Z634" s="37" t="str">
        <f t="shared" si="154"/>
        <v>delayed</v>
      </c>
      <c r="AA634" s="37" t="str">
        <f t="shared" si="155"/>
        <v>Late</v>
      </c>
      <c r="AB634" s="37" t="str">
        <f t="shared" si="158"/>
        <v>1</v>
      </c>
      <c r="AC634" s="37">
        <f t="shared" si="159"/>
        <v>1</v>
      </c>
      <c r="AD634" s="45">
        <f t="shared" si="157"/>
        <v>0.513007284079084</v>
      </c>
      <c r="AE634" s="37">
        <v>2</v>
      </c>
      <c r="AF634" s="37" t="s">
        <v>286</v>
      </c>
      <c r="AG634" s="37" t="str">
        <f t="shared" si="156"/>
        <v>yes</v>
      </c>
      <c r="AH634" s="37" t="str">
        <f t="array" ref="AH634">_xlfn.IFS(LOWER(AG634)="n","no",LOWER(AG634)="y","yes",TRUE,LOWER(AG634))</f>
        <v>yes</v>
      </c>
      <c r="AI634" s="37" t="s">
        <v>4692</v>
      </c>
    </row>
    <row r="635" spans="1:35">
      <c r="A635" s="46" t="s">
        <v>2488</v>
      </c>
      <c r="B635" s="47">
        <v>45357</v>
      </c>
      <c r="C635" s="39">
        <f t="shared" si="144"/>
        <v>45357</v>
      </c>
      <c r="D635" s="48" t="s">
        <v>424</v>
      </c>
      <c r="E635" s="37" t="str" cm="1">
        <f t="array" ref="E635">_xlfn.IFS(D635="delhi","north",D635="mumbai","west",D635="bengaluru","south",D635="chennai","south",D635="kolkata","east",TRUE,"west")</f>
        <v>south</v>
      </c>
      <c r="F635" s="46" t="s">
        <v>919</v>
      </c>
      <c r="G635" s="37" t="str">
        <f t="shared" si="145"/>
        <v>xpressbees</v>
      </c>
      <c r="H635" s="46" t="s">
        <v>440</v>
      </c>
      <c r="I635" s="37" t="str">
        <f t="shared" si="146"/>
        <v>road</v>
      </c>
      <c r="J635" s="46" t="s">
        <v>612</v>
      </c>
      <c r="K635" s="37" t="str">
        <f t="shared" si="147"/>
        <v>grocery&amp;fmcg</v>
      </c>
      <c r="L635" s="46" t="s">
        <v>101</v>
      </c>
      <c r="M635" s="37" t="str">
        <f t="shared" si="148"/>
        <v>west</v>
      </c>
      <c r="N635" s="46" t="s">
        <v>187</v>
      </c>
      <c r="O635" s="41" t="str">
        <f t="shared" si="149"/>
        <v>Yes</v>
      </c>
      <c r="P635" s="49">
        <v>11.9</v>
      </c>
      <c r="Q635" s="49">
        <v>352</v>
      </c>
      <c r="R635" s="42">
        <f t="shared" si="150"/>
        <v>29.5798319327731</v>
      </c>
      <c r="S635" s="46">
        <v>8</v>
      </c>
      <c r="T635" s="46" t="s">
        <v>2490</v>
      </c>
      <c r="U635" s="43" t="str">
        <f t="shared" si="151"/>
        <v>15/03/2024</v>
      </c>
      <c r="V635" s="43">
        <f t="shared" si="152"/>
        <v>45366</v>
      </c>
      <c r="W635" s="44">
        <f t="array" ref="W635">_xlfn.IFS(TRIM(C635)="","",TRIM(V635)="","",TRUE,V635-C635)</f>
        <v>9</v>
      </c>
      <c r="X635" s="37">
        <f t="shared" si="153"/>
        <v>1</v>
      </c>
      <c r="Y635" s="46" t="s">
        <v>72</v>
      </c>
      <c r="Z635" s="37" t="str">
        <f t="shared" si="154"/>
        <v>delayed</v>
      </c>
      <c r="AA635" s="37" t="str">
        <f t="shared" si="155"/>
        <v>Late</v>
      </c>
      <c r="AB635" s="37" t="str">
        <f t="shared" si="158"/>
        <v>1</v>
      </c>
      <c r="AC635" s="37">
        <f t="shared" si="159"/>
        <v>1</v>
      </c>
      <c r="AD635" s="45">
        <f t="shared" si="157"/>
        <v>0.5125</v>
      </c>
      <c r="AE635" s="46">
        <v>2</v>
      </c>
      <c r="AF635" s="46" t="s">
        <v>152</v>
      </c>
      <c r="AG635" s="37" t="str">
        <f t="shared" si="156"/>
        <v>no</v>
      </c>
      <c r="AH635" s="37" t="str">
        <f t="array" ref="AH635">_xlfn.IFS(LOWER(AG635)="n","no",LOWER(AG635)="y","yes",TRUE,LOWER(AG635))</f>
        <v>no</v>
      </c>
      <c r="AI635" s="46" t="s">
        <v>4692</v>
      </c>
    </row>
    <row r="636" spans="1:35">
      <c r="A636" s="37" t="s">
        <v>2491</v>
      </c>
      <c r="B636" s="38">
        <v>45375</v>
      </c>
      <c r="C636" s="39">
        <f t="shared" si="144"/>
        <v>45375</v>
      </c>
      <c r="D636" s="40" t="s">
        <v>4699</v>
      </c>
      <c r="E636" s="37" t="str" cm="1">
        <f t="array" ref="E636">_xlfn.IFS(D636="delhi","north",D636="mumbai","west",D636="bengaluru","south",D636="chennai","south",D636="kolkata","east",TRUE,"west")</f>
        <v>west</v>
      </c>
      <c r="F636" s="37" t="s">
        <v>98</v>
      </c>
      <c r="G636" s="37" t="str">
        <f t="shared" si="145"/>
        <v>dtdc</v>
      </c>
      <c r="H636" s="37" t="s">
        <v>195</v>
      </c>
      <c r="I636" s="37" t="str">
        <f t="shared" si="146"/>
        <v>road</v>
      </c>
      <c r="J636" s="37" t="s">
        <v>582</v>
      </c>
      <c r="K636" s="37" t="str">
        <f t="shared" si="147"/>
        <v>grocery&amp;fmcg</v>
      </c>
      <c r="L636" s="37" t="s">
        <v>380</v>
      </c>
      <c r="M636" s="37" t="str">
        <f t="shared" si="148"/>
        <v>east</v>
      </c>
      <c r="N636" s="37" t="s">
        <v>91</v>
      </c>
      <c r="O636" s="41" t="str">
        <f t="shared" si="149"/>
        <v>Yes</v>
      </c>
      <c r="P636" s="41" t="s">
        <v>2492</v>
      </c>
      <c r="Q636" s="41">
        <v>383</v>
      </c>
      <c r="R636" s="42">
        <f t="shared" si="150"/>
        <v>23.2121212121212</v>
      </c>
      <c r="S636" s="37">
        <v>8</v>
      </c>
      <c r="T636" s="37" t="s">
        <v>2494</v>
      </c>
      <c r="U636" s="43" t="str">
        <f t="shared" si="151"/>
        <v>2024-04-03</v>
      </c>
      <c r="V636" s="43">
        <f t="shared" si="152"/>
        <v>45385</v>
      </c>
      <c r="W636" s="44">
        <f t="array" ref="W636">_xlfn.IFS(TRIM(C636)="","",TRIM(V636)="","",TRUE,V636-C636)</f>
        <v>10</v>
      </c>
      <c r="X636" s="37">
        <f t="shared" si="153"/>
        <v>2</v>
      </c>
      <c r="Y636" s="37" t="s">
        <v>172</v>
      </c>
      <c r="Z636" s="37" t="str">
        <f t="shared" si="154"/>
        <v>delayed</v>
      </c>
      <c r="AA636" s="37" t="str">
        <f t="shared" si="155"/>
        <v>Late</v>
      </c>
      <c r="AB636" s="37" t="str">
        <f t="shared" si="158"/>
        <v>1</v>
      </c>
      <c r="AC636" s="37">
        <f t="shared" si="159"/>
        <v>1</v>
      </c>
      <c r="AD636" s="45">
        <f t="shared" si="157"/>
        <v>0.511991657977059</v>
      </c>
      <c r="AE636" s="37">
        <v>3</v>
      </c>
      <c r="AF636" s="37" t="s">
        <v>106</v>
      </c>
      <c r="AG636" s="37" t="str">
        <f t="shared" si="156"/>
        <v>yes</v>
      </c>
      <c r="AH636" s="37" t="str">
        <f t="array" ref="AH636">_xlfn.IFS(LOWER(AG636)="n","no",LOWER(AG636)="y","yes",TRUE,LOWER(AG636))</f>
        <v>yes</v>
      </c>
      <c r="AI636" s="37" t="s">
        <v>4692</v>
      </c>
    </row>
    <row r="637" spans="1:35">
      <c r="A637" s="46" t="s">
        <v>2495</v>
      </c>
      <c r="B637" s="47">
        <v>45304</v>
      </c>
      <c r="C637" s="39">
        <f t="shared" si="144"/>
        <v>45304</v>
      </c>
      <c r="D637" s="48" t="s">
        <v>4695</v>
      </c>
      <c r="E637" s="37" t="str" cm="1">
        <f t="array" ref="E637">_xlfn.IFS(D637="delhi","north",D637="mumbai","west",D637="bengaluru","south",D637="chennai","south",D637="kolkata","east",TRUE,"west")</f>
        <v>west</v>
      </c>
      <c r="F637" s="46" t="s">
        <v>156</v>
      </c>
      <c r="G637" s="37" t="str">
        <f t="shared" si="145"/>
        <v>xpressbees</v>
      </c>
      <c r="H637" s="46" t="s">
        <v>224</v>
      </c>
      <c r="I637" s="37" t="str">
        <f t="shared" si="146"/>
        <v>air</v>
      </c>
      <c r="J637" s="46" t="s">
        <v>158</v>
      </c>
      <c r="K637" s="37" t="str">
        <f t="shared" si="147"/>
        <v>pharma</v>
      </c>
      <c r="L637" s="46" t="s">
        <v>92</v>
      </c>
      <c r="M637" s="37" t="str">
        <f t="shared" si="148"/>
        <v>east</v>
      </c>
      <c r="N637" s="46" t="s">
        <v>126</v>
      </c>
      <c r="O637" s="41" t="str">
        <f t="shared" si="149"/>
        <v>Yes</v>
      </c>
      <c r="P637" s="49" t="s">
        <v>1866</v>
      </c>
      <c r="Q637" s="49">
        <v>249</v>
      </c>
      <c r="R637" s="42">
        <f t="shared" si="150"/>
        <v>249</v>
      </c>
      <c r="S637" s="46">
        <v>4</v>
      </c>
      <c r="T637" s="46" t="s">
        <v>1606</v>
      </c>
      <c r="U637" s="43" t="str">
        <f t="shared" si="151"/>
        <v>18-jan-2024</v>
      </c>
      <c r="V637" s="43">
        <f t="shared" si="152"/>
        <v>45309</v>
      </c>
      <c r="W637" s="44">
        <f t="array" ref="W637">_xlfn.IFS(TRIM(C637)="","",TRIM(V637)="","",TRUE,V637-C637)</f>
        <v>5</v>
      </c>
      <c r="X637" s="37">
        <f t="shared" si="153"/>
        <v>1</v>
      </c>
      <c r="Y637" s="46" t="s">
        <v>172</v>
      </c>
      <c r="Z637" s="37" t="str">
        <f t="shared" si="154"/>
        <v>delayed</v>
      </c>
      <c r="AA637" s="37" t="str">
        <f t="shared" si="155"/>
        <v>Late</v>
      </c>
      <c r="AB637" s="37" t="str">
        <f t="shared" si="158"/>
        <v>1</v>
      </c>
      <c r="AC637" s="37">
        <f t="shared" si="159"/>
        <v>1</v>
      </c>
      <c r="AD637" s="45">
        <f t="shared" si="157"/>
        <v>0.511482254697286</v>
      </c>
      <c r="AE637" s="46">
        <v>1</v>
      </c>
      <c r="AF637" s="46" t="s">
        <v>191</v>
      </c>
      <c r="AG637" s="37" t="str">
        <f t="shared" si="156"/>
        <v>no</v>
      </c>
      <c r="AH637" s="37" t="str">
        <f t="array" ref="AH637">_xlfn.IFS(LOWER(AG637)="n","no",LOWER(AG637)="y","yes",TRUE,LOWER(AG637))</f>
        <v>no</v>
      </c>
      <c r="AI637" s="46" t="s">
        <v>4692</v>
      </c>
    </row>
    <row r="638" spans="1:35">
      <c r="A638" s="37" t="s">
        <v>2497</v>
      </c>
      <c r="B638" s="38">
        <v>45368</v>
      </c>
      <c r="C638" s="39">
        <f t="shared" si="144"/>
        <v>45368</v>
      </c>
      <c r="D638" s="40" t="s">
        <v>300</v>
      </c>
      <c r="E638" s="37" t="str" cm="1">
        <f t="array" ref="E638">_xlfn.IFS(D638="delhi","north",D638="mumbai","west",D638="bengaluru","south",D638="chennai","south",D638="kolkata","east",TRUE,"west")</f>
        <v>west</v>
      </c>
      <c r="F638" s="37" t="s">
        <v>367</v>
      </c>
      <c r="G638" s="37" t="str">
        <f t="shared" si="145"/>
        <v>dtdc</v>
      </c>
      <c r="H638" s="37" t="s">
        <v>157</v>
      </c>
      <c r="I638" s="37" t="str">
        <f t="shared" si="146"/>
        <v>surface</v>
      </c>
      <c r="J638" s="37" t="s">
        <v>237</v>
      </c>
      <c r="K638" s="37" t="str">
        <f t="shared" si="147"/>
        <v>automotiveparts</v>
      </c>
      <c r="L638" s="37" t="s">
        <v>87</v>
      </c>
      <c r="M638" s="37" t="str">
        <f t="shared" si="148"/>
        <v>north</v>
      </c>
      <c r="N638" s="37" t="s">
        <v>354</v>
      </c>
      <c r="O638" s="41" t="str">
        <f t="shared" si="149"/>
        <v>Yes</v>
      </c>
      <c r="P638" s="41">
        <v>29.4</v>
      </c>
      <c r="Q638" s="41">
        <v>836</v>
      </c>
      <c r="R638" s="42">
        <f t="shared" si="150"/>
        <v>28.4353741496599</v>
      </c>
      <c r="S638" s="37">
        <v>6</v>
      </c>
      <c r="T638" s="37" t="s">
        <v>2501</v>
      </c>
      <c r="U638" s="43" t="str">
        <f t="shared" si="151"/>
        <v>23/03/2024</v>
      </c>
      <c r="V638" s="43">
        <f t="shared" si="152"/>
        <v>45374</v>
      </c>
      <c r="W638" s="44">
        <f t="array" ref="W638">_xlfn.IFS(TRIM(C638)="","",TRIM(V638)="","",TRUE,V638-C638)</f>
        <v>6</v>
      </c>
      <c r="X638" s="37">
        <f t="shared" si="153"/>
        <v>0</v>
      </c>
      <c r="Y638" s="37" t="s">
        <v>163</v>
      </c>
      <c r="Z638" s="37" t="str">
        <f t="shared" si="154"/>
        <v>delivered</v>
      </c>
      <c r="AA638" s="37" t="str">
        <f t="shared" si="155"/>
        <v>On Time</v>
      </c>
      <c r="AB638" s="37" t="str">
        <f t="shared" si="158"/>
        <v>0</v>
      </c>
      <c r="AC638" s="37">
        <f t="shared" si="159"/>
        <v>0</v>
      </c>
      <c r="AD638" s="45">
        <f t="shared" si="157"/>
        <v>0.510971786833856</v>
      </c>
      <c r="AE638" s="37">
        <v>4</v>
      </c>
      <c r="AF638" s="37" t="s">
        <v>79</v>
      </c>
      <c r="AG638" s="37" t="str">
        <f t="shared" si="156"/>
        <v>yes</v>
      </c>
      <c r="AH638" s="37" t="str">
        <f t="array" ref="AH638">_xlfn.IFS(LOWER(AG638)="n","no",LOWER(AG638)="y","yes",TRUE,LOWER(AG638))</f>
        <v>yes</v>
      </c>
      <c r="AI638" s="37" t="s">
        <v>4692</v>
      </c>
    </row>
    <row r="639" spans="1:35">
      <c r="A639" s="46" t="s">
        <v>2502</v>
      </c>
      <c r="B639" s="47">
        <v>45405</v>
      </c>
      <c r="C639" s="39">
        <f t="shared" si="144"/>
        <v>45405</v>
      </c>
      <c r="D639" s="48" t="s">
        <v>4694</v>
      </c>
      <c r="E639" s="37" t="str" cm="1">
        <f t="array" ref="E639">_xlfn.IFS(D639="delhi","north",D639="mumbai","west",D639="bengaluru","south",D639="chennai","south",D639="kolkata","east",TRUE,"west")</f>
        <v>west</v>
      </c>
      <c r="F639" s="46" t="s">
        <v>98</v>
      </c>
      <c r="G639" s="37" t="str">
        <f t="shared" si="145"/>
        <v>dtdc</v>
      </c>
      <c r="H639" s="46" t="s">
        <v>137</v>
      </c>
      <c r="I639" s="37" t="str">
        <f t="shared" si="146"/>
        <v>road</v>
      </c>
      <c r="J639" s="46" t="s">
        <v>158</v>
      </c>
      <c r="K639" s="37" t="str">
        <f t="shared" si="147"/>
        <v>pharma</v>
      </c>
      <c r="L639" s="46" t="s">
        <v>257</v>
      </c>
      <c r="M639" s="37" t="str">
        <f t="shared" si="148"/>
        <v>west</v>
      </c>
      <c r="N639" s="46" t="s">
        <v>88</v>
      </c>
      <c r="O639" s="41" t="str">
        <f t="shared" si="149"/>
        <v>Yes</v>
      </c>
      <c r="P639" s="49">
        <v>2.2</v>
      </c>
      <c r="Q639" s="49">
        <v>227</v>
      </c>
      <c r="R639" s="42">
        <f t="shared" si="150"/>
        <v>103.181818181818</v>
      </c>
      <c r="S639" s="46">
        <v>8</v>
      </c>
      <c r="T639" s="46" t="s">
        <v>478</v>
      </c>
      <c r="U639" s="43" t="str">
        <f t="shared" si="151"/>
        <v>01/05/2024</v>
      </c>
      <c r="V639" s="43">
        <f t="shared" si="152"/>
        <v>45413</v>
      </c>
      <c r="W639" s="44">
        <f t="array" ref="W639">_xlfn.IFS(TRIM(C639)="","",TRIM(V639)="","",TRUE,V639-C639)</f>
        <v>8</v>
      </c>
      <c r="X639" s="37">
        <f t="shared" si="153"/>
        <v>0</v>
      </c>
      <c r="Y639" s="46" t="s">
        <v>219</v>
      </c>
      <c r="Z639" s="37" t="str">
        <f t="shared" si="154"/>
        <v>delivered</v>
      </c>
      <c r="AA639" s="37" t="str">
        <f t="shared" si="155"/>
        <v>On Time</v>
      </c>
      <c r="AB639" s="37" t="str">
        <f t="shared" si="158"/>
        <v>0</v>
      </c>
      <c r="AC639" s="37">
        <f t="shared" si="159"/>
        <v>0</v>
      </c>
      <c r="AD639" s="45">
        <f t="shared" si="157"/>
        <v>0.511506276150628</v>
      </c>
      <c r="AE639" s="46">
        <v>4</v>
      </c>
      <c r="AF639" s="46" t="s">
        <v>181</v>
      </c>
      <c r="AG639" s="37" t="str">
        <f t="shared" si="156"/>
        <v>y</v>
      </c>
      <c r="AH639" s="37" t="str">
        <f t="array" ref="AH639">_xlfn.IFS(LOWER(AG639)="n","no",LOWER(AG639)="y","yes",TRUE,LOWER(AG639))</f>
        <v>yes</v>
      </c>
      <c r="AI639" s="46" t="s">
        <v>4692</v>
      </c>
    </row>
    <row r="640" spans="1:35">
      <c r="A640" s="37" t="s">
        <v>2503</v>
      </c>
      <c r="B640" s="38">
        <v>45299</v>
      </c>
      <c r="C640" s="39">
        <f t="shared" si="144"/>
        <v>45299</v>
      </c>
      <c r="D640" s="40" t="s">
        <v>109</v>
      </c>
      <c r="E640" s="37" t="str" cm="1">
        <f t="array" ref="E640">_xlfn.IFS(D640="delhi","north",D640="mumbai","west",D640="bengaluru","south",D640="chennai","south",D640="kolkata","east",TRUE,"west")</f>
        <v>west</v>
      </c>
      <c r="F640" s="37" t="s">
        <v>367</v>
      </c>
      <c r="G640" s="37" t="str">
        <f t="shared" si="145"/>
        <v>dtdc</v>
      </c>
      <c r="H640" s="37" t="s">
        <v>224</v>
      </c>
      <c r="I640" s="37" t="str">
        <f t="shared" si="146"/>
        <v>air</v>
      </c>
      <c r="J640" s="37" t="s">
        <v>205</v>
      </c>
      <c r="K640" s="37" t="str">
        <f t="shared" si="147"/>
        <v>furniture</v>
      </c>
      <c r="L640" s="37" t="s">
        <v>302</v>
      </c>
      <c r="M640" s="37" t="str">
        <f t="shared" si="148"/>
        <v>east</v>
      </c>
      <c r="N640" s="37" t="s">
        <v>294</v>
      </c>
      <c r="O640" s="41" t="str">
        <f t="shared" si="149"/>
        <v>Yes</v>
      </c>
      <c r="P640" s="41" t="s">
        <v>2504</v>
      </c>
      <c r="Q640" s="50">
        <v>3727</v>
      </c>
      <c r="R640" s="42">
        <f t="shared" si="150"/>
        <v>46.8805031446541</v>
      </c>
      <c r="S640" s="37">
        <v>4</v>
      </c>
      <c r="T640" s="37" t="s">
        <v>1420</v>
      </c>
      <c r="U640" s="43" t="str">
        <f t="shared" si="151"/>
        <v>2024-01-19</v>
      </c>
      <c r="V640" s="43">
        <f t="shared" si="152"/>
        <v>45310</v>
      </c>
      <c r="W640" s="44">
        <f t="array" ref="W640">_xlfn.IFS(TRIM(C640)="","",TRIM(V640)="","",TRUE,V640-C640)</f>
        <v>11</v>
      </c>
      <c r="X640" s="37">
        <f t="shared" si="153"/>
        <v>7</v>
      </c>
      <c r="Y640" s="37" t="s">
        <v>172</v>
      </c>
      <c r="Z640" s="37" t="str">
        <f t="shared" si="154"/>
        <v>delayed</v>
      </c>
      <c r="AA640" s="37" t="str">
        <f t="shared" si="155"/>
        <v>Late</v>
      </c>
      <c r="AB640" s="37" t="str">
        <f t="shared" si="158"/>
        <v>1</v>
      </c>
      <c r="AC640" s="37">
        <f t="shared" si="159"/>
        <v>1</v>
      </c>
      <c r="AD640" s="45">
        <f t="shared" si="157"/>
        <v>0.512041884816754</v>
      </c>
      <c r="AE640" s="37">
        <v>4</v>
      </c>
      <c r="AF640" s="37" t="s">
        <v>79</v>
      </c>
      <c r="AG640" s="37" t="str">
        <f t="shared" si="156"/>
        <v>yes</v>
      </c>
      <c r="AH640" s="37" t="str">
        <f t="array" ref="AH640">_xlfn.IFS(LOWER(AG640)="n","no",LOWER(AG640)="y","yes",TRUE,LOWER(AG640))</f>
        <v>yes</v>
      </c>
      <c r="AI640" s="37" t="s">
        <v>4692</v>
      </c>
    </row>
    <row r="641" spans="1:35">
      <c r="A641" s="46" t="s">
        <v>2506</v>
      </c>
      <c r="B641" s="47">
        <v>45323</v>
      </c>
      <c r="C641" s="39">
        <f t="shared" si="144"/>
        <v>45323</v>
      </c>
      <c r="D641" s="48" t="s">
        <v>340</v>
      </c>
      <c r="E641" s="37" t="str" cm="1">
        <f t="array" ref="E641">_xlfn.IFS(D641="delhi","north",D641="mumbai","west",D641="bengaluru","south",D641="chennai","south",D641="kolkata","east",TRUE,"west")</f>
        <v>north</v>
      </c>
      <c r="F641" s="46" t="s">
        <v>37</v>
      </c>
      <c r="G641" s="37" t="str">
        <f t="shared" si="145"/>
        <v>bluedart</v>
      </c>
      <c r="H641" s="46" t="s">
        <v>137</v>
      </c>
      <c r="I641" s="37" t="str">
        <f t="shared" si="146"/>
        <v>road</v>
      </c>
      <c r="J641" s="46" t="s">
        <v>301</v>
      </c>
      <c r="K641" s="37" t="str">
        <f t="shared" si="147"/>
        <v>furniture</v>
      </c>
      <c r="L641" s="46" t="s">
        <v>92</v>
      </c>
      <c r="M641" s="37" t="str">
        <f t="shared" si="148"/>
        <v>east</v>
      </c>
      <c r="N641" s="46" t="s">
        <v>396</v>
      </c>
      <c r="O641" s="41" t="str">
        <f t="shared" si="149"/>
        <v>Yes</v>
      </c>
      <c r="P641" s="49">
        <v>41.9</v>
      </c>
      <c r="Q641" s="49">
        <v>771</v>
      </c>
      <c r="R641" s="42">
        <f t="shared" si="150"/>
        <v>18.4009546539379</v>
      </c>
      <c r="S641" s="46">
        <v>8</v>
      </c>
      <c r="T641" s="46" t="s">
        <v>336</v>
      </c>
      <c r="U641" s="43" t="str">
        <f t="shared" si="151"/>
        <v>09/02/2024</v>
      </c>
      <c r="V641" s="43">
        <f t="shared" si="152"/>
        <v>45331</v>
      </c>
      <c r="W641" s="44">
        <f t="array" ref="W641">_xlfn.IFS(TRIM(C641)="","",TRIM(V641)="","",TRUE,V641-C641)</f>
        <v>8</v>
      </c>
      <c r="X641" s="37">
        <f t="shared" si="153"/>
        <v>0</v>
      </c>
      <c r="Y641" s="46" t="s">
        <v>105</v>
      </c>
      <c r="Z641" s="37" t="str">
        <f t="shared" si="154"/>
        <v>delivered</v>
      </c>
      <c r="AA641" s="37" t="str">
        <f t="shared" si="155"/>
        <v>On Time</v>
      </c>
      <c r="AB641" s="37" t="str">
        <f t="shared" si="158"/>
        <v>0</v>
      </c>
      <c r="AC641" s="37">
        <f t="shared" si="159"/>
        <v>0</v>
      </c>
      <c r="AD641" s="45">
        <f t="shared" si="157"/>
        <v>0.511530398322851</v>
      </c>
      <c r="AE641" s="46">
        <v>2</v>
      </c>
      <c r="AF641" s="46" t="s">
        <v>131</v>
      </c>
      <c r="AG641" s="37" t="str">
        <f t="shared" si="156"/>
        <v>n</v>
      </c>
      <c r="AH641" s="37" t="str">
        <f t="array" ref="AH641">_xlfn.IFS(LOWER(AG641)="n","no",LOWER(AG641)="y","yes",TRUE,LOWER(AG641))</f>
        <v>no</v>
      </c>
      <c r="AI641" s="46" t="s">
        <v>4692</v>
      </c>
    </row>
    <row r="642" spans="1:35">
      <c r="A642" s="37" t="s">
        <v>2509</v>
      </c>
      <c r="B642" s="38">
        <v>45415</v>
      </c>
      <c r="C642" s="39">
        <f t="shared" ref="C642:C705" si="160">IF(ISNUMBER(B642),B642,DATE(RIGHT(TRIM(B642),4),MID(TRIM(B642),4,2),LEFT(TRIM(B642),2)))</f>
        <v>45415</v>
      </c>
      <c r="D642" s="40" t="s">
        <v>222</v>
      </c>
      <c r="E642" s="37" t="str" cm="1">
        <f t="array" ref="E642">_xlfn.IFS(D642="delhi","north",D642="mumbai","west",D642="bengaluru","south",D642="chennai","south",D642="kolkata","east",TRUE,"west")</f>
        <v>west</v>
      </c>
      <c r="F642" s="37" t="s">
        <v>156</v>
      </c>
      <c r="G642" s="37" t="str">
        <f t="shared" ref="G642:G705" si="161">SUBSTITUTE(LOWER(F642)," ","")</f>
        <v>xpressbees</v>
      </c>
      <c r="H642" s="37" t="s">
        <v>42</v>
      </c>
      <c r="I642" s="37" t="str">
        <f t="shared" ref="I642:I705" si="162">SUBSTITUTE(LOWER(H642)," ","")</f>
        <v>surface</v>
      </c>
      <c r="J642" s="37" t="s">
        <v>326</v>
      </c>
      <c r="K642" s="37" t="str">
        <f t="shared" ref="K642:K705" si="163">SUBSTITUTE(LOWER(J642)," ","")</f>
        <v>apparel</v>
      </c>
      <c r="L642" s="37" t="s">
        <v>89</v>
      </c>
      <c r="M642" s="37" t="str">
        <f t="shared" ref="M642:M705" si="164">SUBSTITUTE(LOWER(L642)," ","")</f>
        <v>west</v>
      </c>
      <c r="N642" s="37" t="s">
        <v>206</v>
      </c>
      <c r="O642" s="41" t="str">
        <f t="shared" ref="O642:O705" si="165">IF(OR(D642="",M642=""),"",IF(D642=M642,"No","Yes"))</f>
        <v>Yes</v>
      </c>
      <c r="P642" s="41">
        <v>7.2</v>
      </c>
      <c r="Q642" s="41">
        <v>210</v>
      </c>
      <c r="R642" s="42">
        <f t="shared" ref="R642:R705" si="166">IF(OR(Q642="",P642="",P642=0),"",Q642/P642)</f>
        <v>29.1666666666667</v>
      </c>
      <c r="S642" s="37">
        <v>4</v>
      </c>
      <c r="T642" s="37" t="s">
        <v>1032</v>
      </c>
      <c r="U642" s="43" t="str">
        <f t="shared" ref="U642:U705" si="167">SUBSTITUTE(LOWER(T642)," ","")</f>
        <v>06-may-2024</v>
      </c>
      <c r="V642" s="43">
        <f t="shared" ref="V642:V705" si="168">DATEVALUE(TEXT(U642,"yyyy-mm-dd"))</f>
        <v>45418</v>
      </c>
      <c r="W642" s="44">
        <f t="array" ref="W642">_xlfn.IFS(TRIM(C642)="","",TRIM(V642)="","",TRUE,V642-C642)</f>
        <v>3</v>
      </c>
      <c r="X642" s="37">
        <f t="shared" ref="X642:X705" si="169">IF(OR(W642="",S642=""),"",W642-S642)</f>
        <v>-1</v>
      </c>
      <c r="Y642" s="37" t="s">
        <v>219</v>
      </c>
      <c r="Z642" s="37" t="str">
        <f t="shared" ref="Z642:Z705" si="170">SUBSTITUTE(LOWER(Y642)," ","")</f>
        <v>delivered</v>
      </c>
      <c r="AA642" s="37" t="str">
        <f t="shared" ref="AA642:AA705" si="171">IF(Z642="In-Transit","N/A",IF(X642="","",IF(X642&gt;0,"Late","On Time")))</f>
        <v>On Time</v>
      </c>
      <c r="AB642" s="37" t="str">
        <f t="shared" si="158"/>
        <v>0</v>
      </c>
      <c r="AC642" s="37">
        <f t="shared" si="159"/>
        <v>0</v>
      </c>
      <c r="AD642" s="45">
        <f t="shared" si="157"/>
        <v>0.512067156348374</v>
      </c>
      <c r="AE642" s="37">
        <v>4</v>
      </c>
      <c r="AF642" s="37" t="s">
        <v>131</v>
      </c>
      <c r="AG642" s="37" t="str">
        <f t="shared" ref="AG642:AG705" si="172">SUBSTITUTE(LOWER(AF642)," ","")</f>
        <v>n</v>
      </c>
      <c r="AH642" s="37" t="str">
        <f t="array" ref="AH642">_xlfn.IFS(LOWER(AG642)="n","no",LOWER(AG642)="y","yes",TRUE,LOWER(AG642))</f>
        <v>no</v>
      </c>
      <c r="AI642" s="37" t="s">
        <v>4692</v>
      </c>
    </row>
    <row r="643" spans="1:35">
      <c r="A643" s="46" t="s">
        <v>2510</v>
      </c>
      <c r="B643" s="47" t="s">
        <v>4727</v>
      </c>
      <c r="C643" s="39">
        <f t="shared" si="160"/>
        <v>45361</v>
      </c>
      <c r="D643" s="48" t="s">
        <v>340</v>
      </c>
      <c r="E643" s="37" t="str" cm="1">
        <f t="array" ref="E643">_xlfn.IFS(D643="delhi","north",D643="mumbai","west",D643="bengaluru","south",D643="chennai","south",D643="kolkata","east",TRUE,"west")</f>
        <v>north</v>
      </c>
      <c r="F643" s="46" t="s">
        <v>184</v>
      </c>
      <c r="G643" s="37" t="str">
        <f t="shared" si="161"/>
        <v>ecomexpress</v>
      </c>
      <c r="H643" s="46" t="s">
        <v>185</v>
      </c>
      <c r="I643" s="37" t="str">
        <f t="shared" si="162"/>
        <v>surface</v>
      </c>
      <c r="J643" s="46" t="s">
        <v>582</v>
      </c>
      <c r="K643" s="37" t="str">
        <f t="shared" si="163"/>
        <v>grocery&amp;fmcg</v>
      </c>
      <c r="L643" s="46" t="s">
        <v>380</v>
      </c>
      <c r="M643" s="37" t="str">
        <f t="shared" si="164"/>
        <v>east</v>
      </c>
      <c r="N643" s="46" t="s">
        <v>396</v>
      </c>
      <c r="O643" s="41" t="str">
        <f t="shared" si="165"/>
        <v>Yes</v>
      </c>
      <c r="P643" s="49">
        <v>6.1</v>
      </c>
      <c r="Q643" s="49" t="s">
        <v>2511</v>
      </c>
      <c r="R643" s="42">
        <f t="shared" si="166"/>
        <v>51.9672131147541</v>
      </c>
      <c r="S643" s="46">
        <v>6</v>
      </c>
      <c r="T643" s="46" t="s">
        <v>969</v>
      </c>
      <c r="U643" s="43" t="str">
        <f t="shared" si="167"/>
        <v>16/03/2024</v>
      </c>
      <c r="V643" s="43">
        <f t="shared" si="168"/>
        <v>45367</v>
      </c>
      <c r="W643" s="44">
        <f t="array" ref="W643">_xlfn.IFS(TRIM(C643)="","",TRIM(V643)="","",TRUE,V643-C643)</f>
        <v>6</v>
      </c>
      <c r="X643" s="37">
        <f t="shared" si="169"/>
        <v>0</v>
      </c>
      <c r="Y643" s="46" t="s">
        <v>117</v>
      </c>
      <c r="Z643" s="37" t="str">
        <f t="shared" si="170"/>
        <v>delivered</v>
      </c>
      <c r="AA643" s="37" t="str">
        <f t="shared" si="171"/>
        <v>On Time</v>
      </c>
      <c r="AB643" s="37" t="str">
        <f t="shared" si="158"/>
        <v>0</v>
      </c>
      <c r="AC643" s="37">
        <f t="shared" si="159"/>
        <v>0</v>
      </c>
      <c r="AD643" s="45">
        <f t="shared" ref="AD643:AD706" si="173">COUNTIF(AC643:AC2242,1)/COUNT(AC643:AC2242)</f>
        <v>0.512605042016807</v>
      </c>
      <c r="AE643" s="46">
        <v>4</v>
      </c>
      <c r="AF643" s="46" t="s">
        <v>118</v>
      </c>
      <c r="AG643" s="37" t="str">
        <f t="shared" si="172"/>
        <v>no</v>
      </c>
      <c r="AH643" s="37" t="str">
        <f t="array" ref="AH643">_xlfn.IFS(LOWER(AG643)="n","no",LOWER(AG643)="y","yes",TRUE,LOWER(AG643))</f>
        <v>no</v>
      </c>
      <c r="AI643" s="46" t="s">
        <v>4692</v>
      </c>
    </row>
    <row r="644" spans="1:35">
      <c r="A644" s="37" t="s">
        <v>2512</v>
      </c>
      <c r="B644" s="38">
        <v>45323</v>
      </c>
      <c r="C644" s="39">
        <f t="shared" si="160"/>
        <v>45323</v>
      </c>
      <c r="D644" s="40" t="s">
        <v>424</v>
      </c>
      <c r="E644" s="37" t="str" cm="1">
        <f t="array" ref="E644">_xlfn.IFS(D644="delhi","north",D644="mumbai","west",D644="bengaluru","south",D644="chennai","south",D644="kolkata","east",TRUE,"west")</f>
        <v>south</v>
      </c>
      <c r="F644" s="37" t="s">
        <v>213</v>
      </c>
      <c r="G644" s="37" t="str">
        <f t="shared" si="161"/>
        <v>dtdc</v>
      </c>
      <c r="H644" s="37" t="s">
        <v>224</v>
      </c>
      <c r="I644" s="37" t="str">
        <f t="shared" si="162"/>
        <v>air</v>
      </c>
      <c r="J644" s="37" t="s">
        <v>158</v>
      </c>
      <c r="K644" s="37" t="str">
        <f t="shared" si="163"/>
        <v>pharma</v>
      </c>
      <c r="L644" s="37" t="s">
        <v>264</v>
      </c>
      <c r="M644" s="37" t="str">
        <f t="shared" si="164"/>
        <v>west</v>
      </c>
      <c r="N644" s="37" t="s">
        <v>278</v>
      </c>
      <c r="O644" s="41" t="str">
        <f t="shared" si="165"/>
        <v>Yes</v>
      </c>
      <c r="P644" s="41">
        <v>3.9</v>
      </c>
      <c r="Q644" s="41">
        <v>317</v>
      </c>
      <c r="R644" s="42">
        <f t="shared" si="166"/>
        <v>81.2820512820513</v>
      </c>
      <c r="S644" s="37">
        <v>4</v>
      </c>
      <c r="T644" s="37" t="s">
        <v>688</v>
      </c>
      <c r="U644" s="43" t="str">
        <f t="shared" si="167"/>
        <v>04/02/2024</v>
      </c>
      <c r="V644" s="43">
        <f t="shared" si="168"/>
        <v>45326</v>
      </c>
      <c r="W644" s="44">
        <f t="array" ref="W644">_xlfn.IFS(TRIM(C644)="","",TRIM(V644)="","",TRUE,V644-C644)</f>
        <v>3</v>
      </c>
      <c r="X644" s="37">
        <f t="shared" si="169"/>
        <v>-1</v>
      </c>
      <c r="Y644" s="37" t="s">
        <v>105</v>
      </c>
      <c r="Z644" s="37" t="str">
        <f t="shared" si="170"/>
        <v>delivered</v>
      </c>
      <c r="AA644" s="37" t="str">
        <f t="shared" si="171"/>
        <v>On Time</v>
      </c>
      <c r="AB644" s="37" t="str">
        <f t="shared" si="158"/>
        <v>0</v>
      </c>
      <c r="AC644" s="37">
        <f t="shared" si="159"/>
        <v>0</v>
      </c>
      <c r="AD644" s="45">
        <f t="shared" si="173"/>
        <v>0.513144058885384</v>
      </c>
      <c r="AE644" s="37">
        <v>3</v>
      </c>
      <c r="AF644" s="37" t="s">
        <v>286</v>
      </c>
      <c r="AG644" s="37" t="str">
        <f t="shared" si="172"/>
        <v>yes</v>
      </c>
      <c r="AH644" s="37" t="str">
        <f t="array" ref="AH644">_xlfn.IFS(LOWER(AG644)="n","no",LOWER(AG644)="y","yes",TRUE,LOWER(AG644))</f>
        <v>yes</v>
      </c>
      <c r="AI644" s="37" t="s">
        <v>4692</v>
      </c>
    </row>
    <row r="645" spans="1:35">
      <c r="A645" s="46" t="s">
        <v>2514</v>
      </c>
      <c r="B645" s="47">
        <v>45398</v>
      </c>
      <c r="C645" s="39">
        <f t="shared" si="160"/>
        <v>45398</v>
      </c>
      <c r="D645" s="48" t="s">
        <v>4712</v>
      </c>
      <c r="E645" s="37" t="str" cm="1">
        <f t="array" ref="E645">_xlfn.IFS(D645="delhi","north",D645="mumbai","west",D645="bengaluru","south",D645="chennai","south",D645="kolkata","east",TRUE,"west")</f>
        <v>west</v>
      </c>
      <c r="F645" s="46" t="s">
        <v>544</v>
      </c>
      <c r="G645" s="37" t="str">
        <f t="shared" si="161"/>
        <v>bluedart</v>
      </c>
      <c r="H645" s="46" t="s">
        <v>123</v>
      </c>
      <c r="I645" s="37" t="str">
        <f t="shared" si="162"/>
        <v>air</v>
      </c>
      <c r="J645" s="46" t="s">
        <v>313</v>
      </c>
      <c r="K645" s="37" t="str">
        <f t="shared" si="163"/>
        <v>automotiveparts</v>
      </c>
      <c r="L645" s="46" t="s">
        <v>92</v>
      </c>
      <c r="M645" s="37" t="str">
        <f t="shared" si="164"/>
        <v>east</v>
      </c>
      <c r="N645" s="46" t="s">
        <v>294</v>
      </c>
      <c r="O645" s="41" t="str">
        <f t="shared" si="165"/>
        <v>Yes</v>
      </c>
      <c r="P645" s="49" t="s">
        <v>2515</v>
      </c>
      <c r="Q645" s="49">
        <v>770</v>
      </c>
      <c r="R645" s="42">
        <f t="shared" si="166"/>
        <v>55</v>
      </c>
      <c r="S645" s="46">
        <v>4</v>
      </c>
      <c r="T645" s="46" t="s">
        <v>2517</v>
      </c>
      <c r="U645" s="43" t="str">
        <f t="shared" si="167"/>
        <v>19/04/2024</v>
      </c>
      <c r="V645" s="43">
        <f t="shared" si="168"/>
        <v>45401</v>
      </c>
      <c r="W645" s="44">
        <f t="array" ref="W645">_xlfn.IFS(TRIM(C645)="","",TRIM(V645)="","",TRUE,V645-C645)</f>
        <v>3</v>
      </c>
      <c r="X645" s="37">
        <f t="shared" si="169"/>
        <v>-1</v>
      </c>
      <c r="Y645" s="46" t="s">
        <v>163</v>
      </c>
      <c r="Z645" s="37" t="str">
        <f t="shared" si="170"/>
        <v>delivered</v>
      </c>
      <c r="AA645" s="37" t="str">
        <f t="shared" si="171"/>
        <v>On Time</v>
      </c>
      <c r="AB645" s="37" t="str">
        <f t="shared" si="158"/>
        <v>0</v>
      </c>
      <c r="AC645" s="37">
        <f t="shared" si="159"/>
        <v>0</v>
      </c>
      <c r="AD645" s="45">
        <f t="shared" si="173"/>
        <v>0.513684210526316</v>
      </c>
      <c r="AE645" s="46">
        <v>5</v>
      </c>
      <c r="AF645" s="46" t="s">
        <v>131</v>
      </c>
      <c r="AG645" s="37" t="str">
        <f t="shared" si="172"/>
        <v>n</v>
      </c>
      <c r="AH645" s="37" t="str">
        <f t="array" ref="AH645">_xlfn.IFS(LOWER(AG645)="n","no",LOWER(AG645)="y","yes",TRUE,LOWER(AG645))</f>
        <v>no</v>
      </c>
      <c r="AI645" s="46" t="s">
        <v>4692</v>
      </c>
    </row>
    <row r="646" spans="1:35">
      <c r="A646" s="46" t="s">
        <v>2518</v>
      </c>
      <c r="B646" s="47">
        <v>45418</v>
      </c>
      <c r="C646" s="39">
        <f t="shared" si="160"/>
        <v>45418</v>
      </c>
      <c r="D646" s="48" t="s">
        <v>424</v>
      </c>
      <c r="E646" s="37" t="str" cm="1">
        <f t="array" ref="E646">_xlfn.IFS(D646="delhi","north",D646="mumbai","west",D646="bengaluru","south",D646="chennai","south",D646="kolkata","east",TRUE,"west")</f>
        <v>south</v>
      </c>
      <c r="F646" s="46" t="s">
        <v>175</v>
      </c>
      <c r="G646" s="37" t="str">
        <f t="shared" si="161"/>
        <v>ecomexpress</v>
      </c>
      <c r="H646" s="46" t="s">
        <v>123</v>
      </c>
      <c r="I646" s="37" t="str">
        <f t="shared" si="162"/>
        <v>air</v>
      </c>
      <c r="J646" s="46" t="s">
        <v>100</v>
      </c>
      <c r="K646" s="37" t="str">
        <f t="shared" si="163"/>
        <v>electronics</v>
      </c>
      <c r="L646" s="46" t="s">
        <v>89</v>
      </c>
      <c r="M646" s="37" t="str">
        <f t="shared" si="164"/>
        <v>west</v>
      </c>
      <c r="N646" s="46" t="s">
        <v>187</v>
      </c>
      <c r="O646" s="41" t="str">
        <f t="shared" si="165"/>
        <v>Yes</v>
      </c>
      <c r="P646" s="49">
        <v>11.6</v>
      </c>
      <c r="Q646" s="49">
        <v>657</v>
      </c>
      <c r="R646" s="42">
        <f t="shared" si="166"/>
        <v>56.6379310344828</v>
      </c>
      <c r="S646" s="46">
        <v>4</v>
      </c>
      <c r="T646" s="46" t="s">
        <v>922</v>
      </c>
      <c r="U646" s="43" t="str">
        <f t="shared" si="167"/>
        <v>10/05/2024</v>
      </c>
      <c r="V646" s="43">
        <f t="shared" si="168"/>
        <v>45422</v>
      </c>
      <c r="W646" s="44">
        <f t="array" ref="W646">_xlfn.IFS(TRIM(C646)="","",TRIM(V646)="","",TRUE,V646-C646)</f>
        <v>4</v>
      </c>
      <c r="X646" s="37">
        <f t="shared" si="169"/>
        <v>0</v>
      </c>
      <c r="Y646" s="46" t="s">
        <v>105</v>
      </c>
      <c r="Z646" s="37" t="str">
        <f t="shared" si="170"/>
        <v>delivered</v>
      </c>
      <c r="AA646" s="37" t="str">
        <f t="shared" si="171"/>
        <v>On Time</v>
      </c>
      <c r="AB646" s="37" t="str">
        <f t="shared" ref="AB646:AB709" si="174">IF(Z646="In-Transit","N/A",IF(X646="","",IF(X646&gt;0,"1","0")))</f>
        <v>0</v>
      </c>
      <c r="AC646" s="37">
        <f t="shared" si="159"/>
        <v>0</v>
      </c>
      <c r="AD646" s="45">
        <f t="shared" si="173"/>
        <v>0.51422550052687</v>
      </c>
      <c r="AE646" s="46">
        <v>3</v>
      </c>
      <c r="AF646" s="46" t="s">
        <v>118</v>
      </c>
      <c r="AG646" s="37" t="str">
        <f t="shared" si="172"/>
        <v>no</v>
      </c>
      <c r="AH646" s="37" t="str">
        <f t="array" ref="AH646">_xlfn.IFS(LOWER(AG646)="n","no",LOWER(AG646)="y","yes",TRUE,LOWER(AG646))</f>
        <v>no</v>
      </c>
      <c r="AI646" s="46" t="s">
        <v>4692</v>
      </c>
    </row>
    <row r="647" spans="1:35">
      <c r="A647" s="37" t="s">
        <v>2520</v>
      </c>
      <c r="B647" s="38">
        <v>45316</v>
      </c>
      <c r="C647" s="39">
        <f t="shared" si="160"/>
        <v>45316</v>
      </c>
      <c r="D647" s="40" t="s">
        <v>424</v>
      </c>
      <c r="E647" s="37" t="str" cm="1">
        <f t="array" ref="E647">_xlfn.IFS(D647="delhi","north",D647="mumbai","west",D647="bengaluru","south",D647="chennai","south",D647="kolkata","east",TRUE,"west")</f>
        <v>south</v>
      </c>
      <c r="F647" s="37" t="s">
        <v>204</v>
      </c>
      <c r="G647" s="37" t="str">
        <f t="shared" si="161"/>
        <v>delhivery</v>
      </c>
      <c r="H647" s="37" t="s">
        <v>137</v>
      </c>
      <c r="I647" s="37" t="str">
        <f t="shared" si="162"/>
        <v>road</v>
      </c>
      <c r="J647" s="37" t="s">
        <v>100</v>
      </c>
      <c r="K647" s="37" t="str">
        <f t="shared" si="163"/>
        <v>electronics</v>
      </c>
      <c r="L647" s="37" t="s">
        <v>257</v>
      </c>
      <c r="M647" s="37" t="str">
        <f t="shared" si="164"/>
        <v>west</v>
      </c>
      <c r="N647" s="37" t="s">
        <v>206</v>
      </c>
      <c r="O647" s="41" t="str">
        <f t="shared" si="165"/>
        <v>Yes</v>
      </c>
      <c r="P647" s="41">
        <v>1.4</v>
      </c>
      <c r="Q647" s="41">
        <v>166</v>
      </c>
      <c r="R647" s="42">
        <f t="shared" si="166"/>
        <v>118.571428571429</v>
      </c>
      <c r="S647" s="37">
        <v>8</v>
      </c>
      <c r="T647" s="37" t="s">
        <v>1370</v>
      </c>
      <c r="U647" s="43" t="str">
        <f t="shared" si="167"/>
        <v>03/02/2024</v>
      </c>
      <c r="V647" s="43">
        <f t="shared" si="168"/>
        <v>45325</v>
      </c>
      <c r="W647" s="44">
        <f t="array" ref="W647">_xlfn.IFS(TRIM(C647)="","",TRIM(V647)="","",TRUE,V647-C647)</f>
        <v>9</v>
      </c>
      <c r="X647" s="37">
        <f t="shared" si="169"/>
        <v>1</v>
      </c>
      <c r="Y647" s="37" t="s">
        <v>143</v>
      </c>
      <c r="Z647" s="37" t="str">
        <f t="shared" si="170"/>
        <v>delayed</v>
      </c>
      <c r="AA647" s="37" t="str">
        <f t="shared" si="171"/>
        <v>Late</v>
      </c>
      <c r="AB647" s="37" t="str">
        <f t="shared" si="174"/>
        <v>1</v>
      </c>
      <c r="AC647" s="37">
        <f t="shared" ref="AC647:AC710" si="175">IF(TRIM(AB647&amp;"")="","",VALUE(TRIM(AB647&amp;"")))</f>
        <v>1</v>
      </c>
      <c r="AD647" s="45">
        <f t="shared" si="173"/>
        <v>0.514767932489452</v>
      </c>
      <c r="AE647" s="37">
        <v>4</v>
      </c>
      <c r="AF647" s="37" t="s">
        <v>152</v>
      </c>
      <c r="AG647" s="37" t="str">
        <f t="shared" si="172"/>
        <v>no</v>
      </c>
      <c r="AH647" s="37" t="str">
        <f t="array" ref="AH647">_xlfn.IFS(LOWER(AG647)="n","no",LOWER(AG647)="y","yes",TRUE,LOWER(AG647))</f>
        <v>no</v>
      </c>
      <c r="AI647" s="37" t="s">
        <v>4692</v>
      </c>
    </row>
    <row r="648" spans="1:35">
      <c r="A648" s="46" t="s">
        <v>2522</v>
      </c>
      <c r="B648" s="47" t="s">
        <v>4809</v>
      </c>
      <c r="C648" s="39">
        <f t="shared" si="160"/>
        <v>45332</v>
      </c>
      <c r="D648" s="48" t="s">
        <v>4704</v>
      </c>
      <c r="E648" s="37" t="str" cm="1">
        <f t="array" ref="E648">_xlfn.IFS(D648="delhi","north",D648="mumbai","west",D648="bengaluru","south",D648="chennai","south",D648="kolkata","east",TRUE,"west")</f>
        <v>west</v>
      </c>
      <c r="F648" s="46" t="s">
        <v>184</v>
      </c>
      <c r="G648" s="37" t="str">
        <f t="shared" si="161"/>
        <v>ecomexpress</v>
      </c>
      <c r="H648" s="46" t="s">
        <v>147</v>
      </c>
      <c r="I648" s="37" t="str">
        <f t="shared" si="162"/>
        <v>road</v>
      </c>
      <c r="J648" s="46" t="s">
        <v>582</v>
      </c>
      <c r="K648" s="37" t="str">
        <f t="shared" si="163"/>
        <v>grocery&amp;fmcg</v>
      </c>
      <c r="L648" s="46" t="s">
        <v>92</v>
      </c>
      <c r="M648" s="37" t="str">
        <f t="shared" si="164"/>
        <v>east</v>
      </c>
      <c r="N648" s="46" t="s">
        <v>126</v>
      </c>
      <c r="O648" s="41" t="str">
        <f t="shared" si="165"/>
        <v>Yes</v>
      </c>
      <c r="P648" s="49">
        <v>6.2</v>
      </c>
      <c r="Q648" s="49" t="s">
        <v>1872</v>
      </c>
      <c r="R648" s="42">
        <f t="shared" si="166"/>
        <v>19.1935483870968</v>
      </c>
      <c r="S648" s="46">
        <v>6</v>
      </c>
      <c r="T648" s="46" t="s">
        <v>2030</v>
      </c>
      <c r="U648" s="43" t="str">
        <f t="shared" si="167"/>
        <v>17/02/2024</v>
      </c>
      <c r="V648" s="43">
        <f t="shared" si="168"/>
        <v>45339</v>
      </c>
      <c r="W648" s="44">
        <f t="array" ref="W648">_xlfn.IFS(TRIM(C648)="","",TRIM(V648)="","",TRUE,V648-C648)</f>
        <v>7</v>
      </c>
      <c r="X648" s="37">
        <f t="shared" si="169"/>
        <v>1</v>
      </c>
      <c r="Y648" s="46" t="s">
        <v>200</v>
      </c>
      <c r="Z648" s="37" t="str">
        <f t="shared" si="170"/>
        <v>delayed</v>
      </c>
      <c r="AA648" s="37" t="str">
        <f t="shared" si="171"/>
        <v>Late</v>
      </c>
      <c r="AB648" s="37" t="str">
        <f t="shared" si="174"/>
        <v>1</v>
      </c>
      <c r="AC648" s="37">
        <f t="shared" si="175"/>
        <v>1</v>
      </c>
      <c r="AD648" s="45">
        <f t="shared" si="173"/>
        <v>0.514255543822598</v>
      </c>
      <c r="AE648" s="46">
        <v>1</v>
      </c>
      <c r="AF648" s="46" t="s">
        <v>118</v>
      </c>
      <c r="AG648" s="37" t="str">
        <f t="shared" si="172"/>
        <v>no</v>
      </c>
      <c r="AH648" s="37" t="str">
        <f t="array" ref="AH648">_xlfn.IFS(LOWER(AG648)="n","no",LOWER(AG648)="y","yes",TRUE,LOWER(AG648))</f>
        <v>no</v>
      </c>
      <c r="AI648" s="46" t="s">
        <v>4692</v>
      </c>
    </row>
    <row r="649" spans="1:35">
      <c r="A649" s="37" t="s">
        <v>2524</v>
      </c>
      <c r="B649" s="38">
        <v>45421</v>
      </c>
      <c r="C649" s="39">
        <f t="shared" si="160"/>
        <v>45421</v>
      </c>
      <c r="D649" s="40" t="s">
        <v>4712</v>
      </c>
      <c r="E649" s="37" t="str" cm="1">
        <f t="array" ref="E649">_xlfn.IFS(D649="delhi","north",D649="mumbai","west",D649="bengaluru","south",D649="chennai","south",D649="kolkata","east",TRUE,"west")</f>
        <v>west</v>
      </c>
      <c r="F649" s="37" t="s">
        <v>312</v>
      </c>
      <c r="G649" s="37" t="str">
        <f t="shared" si="161"/>
        <v>bluedart</v>
      </c>
      <c r="H649" s="37" t="s">
        <v>440</v>
      </c>
      <c r="I649" s="37" t="str">
        <f t="shared" si="162"/>
        <v>road</v>
      </c>
      <c r="J649" s="37" t="s">
        <v>1145</v>
      </c>
      <c r="K649" s="37" t="str">
        <f t="shared" si="163"/>
        <v>grocery&amp;fmcg</v>
      </c>
      <c r="L649" s="37" t="s">
        <v>51</v>
      </c>
      <c r="M649" s="37" t="str">
        <f t="shared" si="164"/>
        <v>south</v>
      </c>
      <c r="N649" s="37" t="s">
        <v>327</v>
      </c>
      <c r="O649" s="41" t="str">
        <f t="shared" si="165"/>
        <v>Yes</v>
      </c>
      <c r="P649" s="41">
        <v>4.3</v>
      </c>
      <c r="Q649" s="41" t="s">
        <v>432</v>
      </c>
      <c r="R649" s="42">
        <f t="shared" si="166"/>
        <v>18.6046511627907</v>
      </c>
      <c r="S649" s="37">
        <v>6</v>
      </c>
      <c r="T649" s="37" t="s">
        <v>2526</v>
      </c>
      <c r="U649" s="43" t="str">
        <f t="shared" si="167"/>
        <v>2024-05-14</v>
      </c>
      <c r="V649" s="43">
        <f t="shared" si="168"/>
        <v>45426</v>
      </c>
      <c r="W649" s="44">
        <f t="array" ref="W649">_xlfn.IFS(TRIM(C649)="","",TRIM(V649)="","",TRUE,V649-C649)</f>
        <v>5</v>
      </c>
      <c r="X649" s="37">
        <f t="shared" si="169"/>
        <v>-1</v>
      </c>
      <c r="Y649" s="37" t="s">
        <v>130</v>
      </c>
      <c r="Z649" s="37" t="str">
        <f t="shared" si="170"/>
        <v>damaged</v>
      </c>
      <c r="AA649" s="37" t="str">
        <f t="shared" si="171"/>
        <v>On Time</v>
      </c>
      <c r="AB649" s="37" t="str">
        <f t="shared" si="174"/>
        <v>0</v>
      </c>
      <c r="AC649" s="37">
        <f t="shared" si="175"/>
        <v>0</v>
      </c>
      <c r="AD649" s="45">
        <f t="shared" si="173"/>
        <v>0.513742071881607</v>
      </c>
      <c r="AE649" s="37"/>
      <c r="AF649" s="37" t="s">
        <v>79</v>
      </c>
      <c r="AG649" s="37" t="str">
        <f t="shared" si="172"/>
        <v>yes</v>
      </c>
      <c r="AH649" s="37" t="str">
        <f t="array" ref="AH649">_xlfn.IFS(LOWER(AG649)="n","no",LOWER(AG649)="y","yes",TRUE,LOWER(AG649))</f>
        <v>yes</v>
      </c>
      <c r="AI649" s="37" t="s">
        <v>132</v>
      </c>
    </row>
    <row r="650" spans="1:35">
      <c r="A650" s="46" t="s">
        <v>2527</v>
      </c>
      <c r="B650" s="47">
        <v>45440</v>
      </c>
      <c r="C650" s="39">
        <f t="shared" si="160"/>
        <v>45440</v>
      </c>
      <c r="D650" s="48" t="s">
        <v>243</v>
      </c>
      <c r="E650" s="37" t="str" cm="1">
        <f t="array" ref="E650">_xlfn.IFS(D650="delhi","north",D650="mumbai","west",D650="bengaluru","south",D650="chennai","south",D650="kolkata","east",TRUE,"west")</f>
        <v>west</v>
      </c>
      <c r="F650" s="46" t="s">
        <v>333</v>
      </c>
      <c r="G650" s="37" t="str">
        <f t="shared" si="161"/>
        <v>delhivery</v>
      </c>
      <c r="H650" s="46" t="s">
        <v>99</v>
      </c>
      <c r="I650" s="37" t="str">
        <f t="shared" si="162"/>
        <v>air</v>
      </c>
      <c r="J650" s="46" t="s">
        <v>271</v>
      </c>
      <c r="K650" s="37" t="str">
        <f t="shared" si="163"/>
        <v>electronics</v>
      </c>
      <c r="L650" s="46" t="s">
        <v>334</v>
      </c>
      <c r="M650" s="37" t="str">
        <f t="shared" si="164"/>
        <v>north</v>
      </c>
      <c r="N650" s="46" t="s">
        <v>215</v>
      </c>
      <c r="O650" s="41" t="str">
        <f t="shared" si="165"/>
        <v>Yes</v>
      </c>
      <c r="P650" s="49" t="s">
        <v>1762</v>
      </c>
      <c r="Q650" s="49">
        <v>339</v>
      </c>
      <c r="R650" s="42">
        <f t="shared" si="166"/>
        <v>80.7142857142857</v>
      </c>
      <c r="S650" s="46">
        <v>4</v>
      </c>
      <c r="T650" s="46" t="s">
        <v>2529</v>
      </c>
      <c r="U650" s="43" t="str">
        <f t="shared" si="167"/>
        <v>2024-05-31</v>
      </c>
      <c r="V650" s="43">
        <f t="shared" si="168"/>
        <v>45443</v>
      </c>
      <c r="W650" s="44">
        <f t="array" ref="W650">_xlfn.IFS(TRIM(C650)="","",TRIM(V650)="","",TRUE,V650-C650)</f>
        <v>3</v>
      </c>
      <c r="X650" s="37">
        <f t="shared" si="169"/>
        <v>-1</v>
      </c>
      <c r="Y650" s="46" t="s">
        <v>117</v>
      </c>
      <c r="Z650" s="37" t="str">
        <f t="shared" si="170"/>
        <v>delivered</v>
      </c>
      <c r="AA650" s="37" t="str">
        <f t="shared" si="171"/>
        <v>On Time</v>
      </c>
      <c r="AB650" s="37" t="str">
        <f t="shared" si="174"/>
        <v>0</v>
      </c>
      <c r="AC650" s="37">
        <f t="shared" si="175"/>
        <v>0</v>
      </c>
      <c r="AD650" s="45">
        <f t="shared" si="173"/>
        <v>0.514285714285714</v>
      </c>
      <c r="AE650" s="46">
        <v>4</v>
      </c>
      <c r="AF650" s="46" t="s">
        <v>181</v>
      </c>
      <c r="AG650" s="37" t="str">
        <f t="shared" si="172"/>
        <v>y</v>
      </c>
      <c r="AH650" s="37" t="str">
        <f t="array" ref="AH650">_xlfn.IFS(LOWER(AG650)="n","no",LOWER(AG650)="y","yes",TRUE,LOWER(AG650))</f>
        <v>yes</v>
      </c>
      <c r="AI650" s="46" t="s">
        <v>4692</v>
      </c>
    </row>
    <row r="651" spans="1:35">
      <c r="A651" s="37" t="s">
        <v>2530</v>
      </c>
      <c r="B651" s="38">
        <v>45345</v>
      </c>
      <c r="C651" s="39">
        <f t="shared" si="160"/>
        <v>45345</v>
      </c>
      <c r="D651" s="40" t="s">
        <v>4694</v>
      </c>
      <c r="E651" s="37" t="str" cm="1">
        <f t="array" ref="E651">_xlfn.IFS(D651="delhi","north",D651="mumbai","west",D651="bengaluru","south",D651="chennai","south",D651="kolkata","east",TRUE,"west")</f>
        <v>west</v>
      </c>
      <c r="F651" s="37" t="s">
        <v>146</v>
      </c>
      <c r="G651" s="37" t="str">
        <f t="shared" si="161"/>
        <v>ecomexpress</v>
      </c>
      <c r="H651" s="37" t="s">
        <v>325</v>
      </c>
      <c r="I651" s="37" t="str">
        <f t="shared" si="162"/>
        <v>air</v>
      </c>
      <c r="J651" s="37" t="s">
        <v>100</v>
      </c>
      <c r="K651" s="37" t="str">
        <f t="shared" si="163"/>
        <v>electronics</v>
      </c>
      <c r="L651" s="37" t="s">
        <v>159</v>
      </c>
      <c r="M651" s="37" t="str">
        <f t="shared" si="164"/>
        <v>south</v>
      </c>
      <c r="N651" s="37" t="s">
        <v>93</v>
      </c>
      <c r="O651" s="41" t="str">
        <f t="shared" si="165"/>
        <v>Yes</v>
      </c>
      <c r="P651" s="41" t="s">
        <v>2191</v>
      </c>
      <c r="Q651" s="41">
        <v>597</v>
      </c>
      <c r="R651" s="42">
        <f t="shared" si="166"/>
        <v>48.9344262295082</v>
      </c>
      <c r="S651" s="37">
        <v>2</v>
      </c>
      <c r="T651" s="37" t="s">
        <v>2532</v>
      </c>
      <c r="U651" s="43" t="str">
        <f t="shared" si="167"/>
        <v>2024-02-26</v>
      </c>
      <c r="V651" s="43">
        <f t="shared" si="168"/>
        <v>45348</v>
      </c>
      <c r="W651" s="44">
        <f t="array" ref="W651">_xlfn.IFS(TRIM(C651)="","",TRIM(V651)="","",TRUE,V651-C651)</f>
        <v>3</v>
      </c>
      <c r="X651" s="37">
        <f t="shared" si="169"/>
        <v>1</v>
      </c>
      <c r="Y651" s="37" t="s">
        <v>337</v>
      </c>
      <c r="Z651" s="37" t="str">
        <f t="shared" si="170"/>
        <v>damaged</v>
      </c>
      <c r="AA651" s="37" t="str">
        <f t="shared" si="171"/>
        <v>Late</v>
      </c>
      <c r="AB651" s="37" t="str">
        <f t="shared" si="174"/>
        <v>1</v>
      </c>
      <c r="AC651" s="37">
        <f t="shared" si="175"/>
        <v>1</v>
      </c>
      <c r="AD651" s="45">
        <f t="shared" si="173"/>
        <v>0.514830508474576</v>
      </c>
      <c r="AE651" s="37"/>
      <c r="AF651" s="37" t="s">
        <v>152</v>
      </c>
      <c r="AG651" s="37" t="str">
        <f t="shared" si="172"/>
        <v>no</v>
      </c>
      <c r="AH651" s="37" t="str">
        <f t="array" ref="AH651">_xlfn.IFS(LOWER(AG651)="n","no",LOWER(AG651)="y","yes",TRUE,LOWER(AG651))</f>
        <v>no</v>
      </c>
      <c r="AI651" s="37" t="s">
        <v>759</v>
      </c>
    </row>
    <row r="652" spans="1:35">
      <c r="A652" s="46" t="s">
        <v>2533</v>
      </c>
      <c r="B652" s="47">
        <v>45358</v>
      </c>
      <c r="C652" s="39">
        <f t="shared" si="160"/>
        <v>45358</v>
      </c>
      <c r="D652" s="48" t="s">
        <v>212</v>
      </c>
      <c r="E652" s="37" t="str" cm="1">
        <f t="array" ref="E652">_xlfn.IFS(D652="delhi","north",D652="mumbai","west",D652="bengaluru","south",D652="chennai","south",D652="kolkata","east",TRUE,"west")</f>
        <v>west</v>
      </c>
      <c r="F652" s="46" t="s">
        <v>204</v>
      </c>
      <c r="G652" s="37" t="str">
        <f t="shared" si="161"/>
        <v>delhivery</v>
      </c>
      <c r="H652" s="46" t="s">
        <v>195</v>
      </c>
      <c r="I652" s="37" t="str">
        <f t="shared" si="162"/>
        <v>road</v>
      </c>
      <c r="J652" s="46" t="s">
        <v>124</v>
      </c>
      <c r="K652" s="37" t="str">
        <f t="shared" si="163"/>
        <v>automotiveparts</v>
      </c>
      <c r="L652" s="46" t="s">
        <v>401</v>
      </c>
      <c r="M652" s="37" t="str">
        <f t="shared" si="164"/>
        <v>south</v>
      </c>
      <c r="N652" s="46" t="s">
        <v>54</v>
      </c>
      <c r="O652" s="41" t="str">
        <f t="shared" si="165"/>
        <v>Yes</v>
      </c>
      <c r="P652" s="49" t="s">
        <v>2534</v>
      </c>
      <c r="Q652" s="49" t="s">
        <v>726</v>
      </c>
      <c r="R652" s="42">
        <f t="shared" si="166"/>
        <v>36.4516129032258</v>
      </c>
      <c r="S652" s="46">
        <v>8</v>
      </c>
      <c r="T652" s="46" t="s">
        <v>2535</v>
      </c>
      <c r="U652" s="43" t="str">
        <f t="shared" si="167"/>
        <v>2024-03-16</v>
      </c>
      <c r="V652" s="43">
        <f t="shared" si="168"/>
        <v>45367</v>
      </c>
      <c r="W652" s="44">
        <f t="array" ref="W652">_xlfn.IFS(TRIM(C652)="","",TRIM(V652)="","",TRUE,V652-C652)</f>
        <v>9</v>
      </c>
      <c r="X652" s="37">
        <f t="shared" si="169"/>
        <v>1</v>
      </c>
      <c r="Y652" s="46" t="s">
        <v>72</v>
      </c>
      <c r="Z652" s="37" t="str">
        <f t="shared" si="170"/>
        <v>delayed</v>
      </c>
      <c r="AA652" s="37" t="str">
        <f t="shared" si="171"/>
        <v>Late</v>
      </c>
      <c r="AB652" s="37" t="str">
        <f t="shared" si="174"/>
        <v>1</v>
      </c>
      <c r="AC652" s="37">
        <f t="shared" si="175"/>
        <v>1</v>
      </c>
      <c r="AD652" s="45">
        <f t="shared" si="173"/>
        <v>0.514316012725345</v>
      </c>
      <c r="AE652" s="46">
        <v>1</v>
      </c>
      <c r="AF652" s="46" t="s">
        <v>152</v>
      </c>
      <c r="AG652" s="37" t="str">
        <f t="shared" si="172"/>
        <v>no</v>
      </c>
      <c r="AH652" s="37" t="str">
        <f t="array" ref="AH652">_xlfn.IFS(LOWER(AG652)="n","no",LOWER(AG652)="y","yes",TRUE,LOWER(AG652))</f>
        <v>no</v>
      </c>
      <c r="AI652" s="46" t="s">
        <v>4692</v>
      </c>
    </row>
    <row r="653" spans="1:35">
      <c r="A653" s="37" t="s">
        <v>2536</v>
      </c>
      <c r="B653" s="38" t="s">
        <v>4765</v>
      </c>
      <c r="C653" s="39">
        <f t="shared" si="160"/>
        <v>45456</v>
      </c>
      <c r="D653" s="40" t="s">
        <v>166</v>
      </c>
      <c r="E653" s="37" t="str" cm="1">
        <f t="array" ref="E653">_xlfn.IFS(D653="delhi","north",D653="mumbai","west",D653="bengaluru","south",D653="chennai","south",D653="kolkata","east",TRUE,"west")</f>
        <v>west</v>
      </c>
      <c r="F653" s="37" t="s">
        <v>367</v>
      </c>
      <c r="G653" s="37" t="str">
        <f t="shared" si="161"/>
        <v>dtdc</v>
      </c>
      <c r="H653" s="37" t="s">
        <v>185</v>
      </c>
      <c r="I653" s="37" t="str">
        <f t="shared" si="162"/>
        <v>surface</v>
      </c>
      <c r="J653" s="37" t="s">
        <v>263</v>
      </c>
      <c r="K653" s="37" t="str">
        <f t="shared" si="163"/>
        <v>apparel</v>
      </c>
      <c r="L653" s="37" t="s">
        <v>168</v>
      </c>
      <c r="M653" s="37" t="str">
        <f t="shared" si="164"/>
        <v>west</v>
      </c>
      <c r="N653" s="37" t="s">
        <v>187</v>
      </c>
      <c r="O653" s="41" t="str">
        <f t="shared" si="165"/>
        <v>Yes</v>
      </c>
      <c r="P653" s="41" t="s">
        <v>2537</v>
      </c>
      <c r="Q653" s="41" t="s">
        <v>2538</v>
      </c>
      <c r="R653" s="42">
        <f t="shared" si="166"/>
        <v>51.3725490196078</v>
      </c>
      <c r="S653" s="37">
        <v>6</v>
      </c>
      <c r="T653" s="37" t="s">
        <v>2223</v>
      </c>
      <c r="U653" s="43" t="str">
        <f t="shared" si="167"/>
        <v>20-jun-2024</v>
      </c>
      <c r="V653" s="43">
        <f t="shared" si="168"/>
        <v>45463</v>
      </c>
      <c r="W653" s="44">
        <f t="array" ref="W653">_xlfn.IFS(TRIM(C653)="","",TRIM(V653)="","",TRUE,V653-C653)</f>
        <v>7</v>
      </c>
      <c r="X653" s="37">
        <f t="shared" si="169"/>
        <v>1</v>
      </c>
      <c r="Y653" s="37" t="s">
        <v>143</v>
      </c>
      <c r="Z653" s="37" t="str">
        <f t="shared" si="170"/>
        <v>delayed</v>
      </c>
      <c r="AA653" s="37" t="str">
        <f t="shared" si="171"/>
        <v>Late</v>
      </c>
      <c r="AB653" s="37" t="str">
        <f t="shared" si="174"/>
        <v>1</v>
      </c>
      <c r="AC653" s="37">
        <f t="shared" si="175"/>
        <v>1</v>
      </c>
      <c r="AD653" s="45">
        <f t="shared" si="173"/>
        <v>0.51380042462845</v>
      </c>
      <c r="AE653" s="37">
        <v>2</v>
      </c>
      <c r="AF653" s="37" t="s">
        <v>131</v>
      </c>
      <c r="AG653" s="37" t="str">
        <f t="shared" si="172"/>
        <v>n</v>
      </c>
      <c r="AH653" s="37" t="str">
        <f t="array" ref="AH653">_xlfn.IFS(LOWER(AG653)="n","no",LOWER(AG653)="y","yes",TRUE,LOWER(AG653))</f>
        <v>no</v>
      </c>
      <c r="AI653" s="37" t="s">
        <v>4692</v>
      </c>
    </row>
    <row r="654" spans="1:35">
      <c r="A654" s="46" t="s">
        <v>2539</v>
      </c>
      <c r="B654" s="47">
        <v>45430</v>
      </c>
      <c r="C654" s="39">
        <f t="shared" si="160"/>
        <v>45430</v>
      </c>
      <c r="D654" s="48" t="s">
        <v>424</v>
      </c>
      <c r="E654" s="37" t="str" cm="1">
        <f t="array" ref="E654">_xlfn.IFS(D654="delhi","north",D654="mumbai","west",D654="bengaluru","south",D654="chennai","south",D654="kolkata","east",TRUE,"west")</f>
        <v>south</v>
      </c>
      <c r="F654" s="46" t="s">
        <v>175</v>
      </c>
      <c r="G654" s="37" t="str">
        <f t="shared" si="161"/>
        <v>ecomexpress</v>
      </c>
      <c r="H654" s="46" t="s">
        <v>224</v>
      </c>
      <c r="I654" s="37" t="str">
        <f t="shared" si="162"/>
        <v>air</v>
      </c>
      <c r="J654" s="46" t="s">
        <v>214</v>
      </c>
      <c r="K654" s="37" t="str">
        <f t="shared" si="163"/>
        <v>grocery&amp;fmcg</v>
      </c>
      <c r="L654" s="46" t="s">
        <v>470</v>
      </c>
      <c r="M654" s="37" t="str">
        <f t="shared" si="164"/>
        <v>east</v>
      </c>
      <c r="N654" s="46" t="s">
        <v>126</v>
      </c>
      <c r="O654" s="41" t="str">
        <f t="shared" si="165"/>
        <v>Yes</v>
      </c>
      <c r="P654" s="49" t="s">
        <v>2541</v>
      </c>
      <c r="Q654" s="49">
        <v>968</v>
      </c>
      <c r="R654" s="42">
        <f t="shared" si="166"/>
        <v>55.3142857142857</v>
      </c>
      <c r="S654" s="46">
        <v>4</v>
      </c>
      <c r="T654" s="46" t="s">
        <v>2529</v>
      </c>
      <c r="U654" s="43" t="str">
        <f t="shared" si="167"/>
        <v>2024-05-31</v>
      </c>
      <c r="V654" s="43">
        <f t="shared" si="168"/>
        <v>45443</v>
      </c>
      <c r="W654" s="44">
        <f t="array" ref="W654">_xlfn.IFS(TRIM(C654)="","",TRIM(V654)="","",TRUE,V654-C654)</f>
        <v>13</v>
      </c>
      <c r="X654" s="37">
        <f t="shared" si="169"/>
        <v>9</v>
      </c>
      <c r="Y654" s="46" t="s">
        <v>200</v>
      </c>
      <c r="Z654" s="37" t="str">
        <f t="shared" si="170"/>
        <v>delayed</v>
      </c>
      <c r="AA654" s="37" t="str">
        <f t="shared" si="171"/>
        <v>Late</v>
      </c>
      <c r="AB654" s="37" t="str">
        <f t="shared" si="174"/>
        <v>1</v>
      </c>
      <c r="AC654" s="37">
        <f t="shared" si="175"/>
        <v>1</v>
      </c>
      <c r="AD654" s="45">
        <f t="shared" si="173"/>
        <v>0.513283740701381</v>
      </c>
      <c r="AE654" s="46">
        <v>4</v>
      </c>
      <c r="AF654" s="46" t="s">
        <v>181</v>
      </c>
      <c r="AG654" s="37" t="str">
        <f t="shared" si="172"/>
        <v>y</v>
      </c>
      <c r="AH654" s="37" t="str">
        <f t="array" ref="AH654">_xlfn.IFS(LOWER(AG654)="n","no",LOWER(AG654)="y","yes",TRUE,LOWER(AG654))</f>
        <v>yes</v>
      </c>
      <c r="AI654" s="46" t="s">
        <v>4692</v>
      </c>
    </row>
    <row r="655" spans="1:35">
      <c r="A655" s="37" t="s">
        <v>2543</v>
      </c>
      <c r="B655" s="38" t="s">
        <v>4756</v>
      </c>
      <c r="C655" s="39">
        <f t="shared" si="160"/>
        <v>45346</v>
      </c>
      <c r="D655" s="40" t="s">
        <v>340</v>
      </c>
      <c r="E655" s="37" t="str" cm="1">
        <f t="array" ref="E655">_xlfn.IFS(D655="delhi","north",D655="mumbai","west",D655="bengaluru","south",D655="chennai","south",D655="kolkata","east",TRUE,"west")</f>
        <v>north</v>
      </c>
      <c r="F655" s="37" t="s">
        <v>352</v>
      </c>
      <c r="G655" s="37" t="str">
        <f t="shared" si="161"/>
        <v>delhivery</v>
      </c>
      <c r="H655" s="37" t="s">
        <v>123</v>
      </c>
      <c r="I655" s="37" t="str">
        <f t="shared" si="162"/>
        <v>air</v>
      </c>
      <c r="J655" s="37" t="s">
        <v>186</v>
      </c>
      <c r="K655" s="37" t="str">
        <f t="shared" si="163"/>
        <v>automotiveparts</v>
      </c>
      <c r="L655" s="37" t="s">
        <v>380</v>
      </c>
      <c r="M655" s="37" t="str">
        <f t="shared" si="164"/>
        <v>east</v>
      </c>
      <c r="N655" s="37" t="s">
        <v>294</v>
      </c>
      <c r="O655" s="41" t="str">
        <f t="shared" si="165"/>
        <v>Yes</v>
      </c>
      <c r="P655" s="41" t="s">
        <v>2544</v>
      </c>
      <c r="Q655" s="41">
        <v>479</v>
      </c>
      <c r="R655" s="42">
        <f t="shared" si="166"/>
        <v>73.6923076923077</v>
      </c>
      <c r="S655" s="37">
        <v>4</v>
      </c>
      <c r="T655" s="37" t="s">
        <v>306</v>
      </c>
      <c r="U655" s="43" t="str">
        <f t="shared" si="167"/>
        <v>28/02/2024</v>
      </c>
      <c r="V655" s="43">
        <f t="shared" si="168"/>
        <v>45350</v>
      </c>
      <c r="W655" s="44">
        <f t="array" ref="W655">_xlfn.IFS(TRIM(C655)="","",TRIM(V655)="","",TRUE,V655-C655)</f>
        <v>4</v>
      </c>
      <c r="X655" s="37">
        <f t="shared" si="169"/>
        <v>0</v>
      </c>
      <c r="Y655" s="37" t="s">
        <v>163</v>
      </c>
      <c r="Z655" s="37" t="str">
        <f t="shared" si="170"/>
        <v>delivered</v>
      </c>
      <c r="AA655" s="37" t="str">
        <f t="shared" si="171"/>
        <v>On Time</v>
      </c>
      <c r="AB655" s="37" t="str">
        <f t="shared" si="174"/>
        <v>0</v>
      </c>
      <c r="AC655" s="37">
        <f t="shared" si="175"/>
        <v>0</v>
      </c>
      <c r="AD655" s="45">
        <f t="shared" si="173"/>
        <v>0.512765957446809</v>
      </c>
      <c r="AE655" s="37">
        <v>2</v>
      </c>
      <c r="AF655" s="37" t="s">
        <v>286</v>
      </c>
      <c r="AG655" s="37" t="str">
        <f t="shared" si="172"/>
        <v>yes</v>
      </c>
      <c r="AH655" s="37" t="str">
        <f t="array" ref="AH655">_xlfn.IFS(LOWER(AG655)="n","no",LOWER(AG655)="y","yes",TRUE,LOWER(AG655))</f>
        <v>yes</v>
      </c>
      <c r="AI655" s="37" t="s">
        <v>4692</v>
      </c>
    </row>
    <row r="656" spans="1:35">
      <c r="A656" s="46" t="s">
        <v>2546</v>
      </c>
      <c r="B656" s="47">
        <v>45449</v>
      </c>
      <c r="C656" s="39">
        <f t="shared" si="160"/>
        <v>45449</v>
      </c>
      <c r="D656" s="48" t="s">
        <v>222</v>
      </c>
      <c r="E656" s="37" t="str" cm="1">
        <f t="array" ref="E656">_xlfn.IFS(D656="delhi","north",D656="mumbai","west",D656="bengaluru","south",D656="chennai","south",D656="kolkata","east",TRUE,"west")</f>
        <v>west</v>
      </c>
      <c r="F656" s="46" t="s">
        <v>146</v>
      </c>
      <c r="G656" s="37" t="str">
        <f t="shared" si="161"/>
        <v>ecomexpress</v>
      </c>
      <c r="H656" s="46" t="s">
        <v>176</v>
      </c>
      <c r="I656" s="37" t="str">
        <f t="shared" si="162"/>
        <v>road</v>
      </c>
      <c r="J656" s="46" t="s">
        <v>319</v>
      </c>
      <c r="K656" s="37" t="str">
        <f t="shared" si="163"/>
        <v>electronics</v>
      </c>
      <c r="L656" s="46" t="s">
        <v>401</v>
      </c>
      <c r="M656" s="37" t="str">
        <f t="shared" si="164"/>
        <v>south</v>
      </c>
      <c r="N656" s="46" t="s">
        <v>93</v>
      </c>
      <c r="O656" s="41" t="str">
        <f t="shared" si="165"/>
        <v>Yes</v>
      </c>
      <c r="P656" s="49">
        <v>4.1</v>
      </c>
      <c r="Q656" s="49">
        <v>223</v>
      </c>
      <c r="R656" s="42">
        <f t="shared" si="166"/>
        <v>54.390243902439</v>
      </c>
      <c r="S656" s="46">
        <v>8</v>
      </c>
      <c r="T656" s="46" t="s">
        <v>1409</v>
      </c>
      <c r="U656" s="43" t="str">
        <f t="shared" si="167"/>
        <v>15/06/2024</v>
      </c>
      <c r="V656" s="43">
        <f t="shared" si="168"/>
        <v>45458</v>
      </c>
      <c r="W656" s="44">
        <f t="array" ref="W656">_xlfn.IFS(TRIM(C656)="","",TRIM(V656)="","",TRUE,V656-C656)</f>
        <v>9</v>
      </c>
      <c r="X656" s="37">
        <f t="shared" si="169"/>
        <v>1</v>
      </c>
      <c r="Y656" s="46" t="s">
        <v>72</v>
      </c>
      <c r="Z656" s="37" t="str">
        <f t="shared" si="170"/>
        <v>delayed</v>
      </c>
      <c r="AA656" s="37" t="str">
        <f t="shared" si="171"/>
        <v>Late</v>
      </c>
      <c r="AB656" s="37" t="str">
        <f t="shared" si="174"/>
        <v>1</v>
      </c>
      <c r="AC656" s="37">
        <f t="shared" si="175"/>
        <v>1</v>
      </c>
      <c r="AD656" s="45">
        <f t="shared" si="173"/>
        <v>0.513312034078807</v>
      </c>
      <c r="AE656" s="46">
        <v>4</v>
      </c>
      <c r="AF656" s="46" t="s">
        <v>286</v>
      </c>
      <c r="AG656" s="37" t="str">
        <f t="shared" si="172"/>
        <v>yes</v>
      </c>
      <c r="AH656" s="37" t="str">
        <f t="array" ref="AH656">_xlfn.IFS(LOWER(AG656)="n","no",LOWER(AG656)="y","yes",TRUE,LOWER(AG656))</f>
        <v>yes</v>
      </c>
      <c r="AI656" s="46" t="s">
        <v>4692</v>
      </c>
    </row>
    <row r="657" spans="1:35">
      <c r="A657" s="37" t="s">
        <v>2549</v>
      </c>
      <c r="B657" s="38">
        <v>45329</v>
      </c>
      <c r="C657" s="39">
        <f t="shared" si="160"/>
        <v>45329</v>
      </c>
      <c r="D657" s="40" t="s">
        <v>109</v>
      </c>
      <c r="E657" s="37" t="str" cm="1">
        <f t="array" ref="E657">_xlfn.IFS(D657="delhi","north",D657="mumbai","west",D657="bengaluru","south",D657="chennai","south",D657="kolkata","east",TRUE,"west")</f>
        <v>west</v>
      </c>
      <c r="F657" s="37" t="s">
        <v>352</v>
      </c>
      <c r="G657" s="37" t="str">
        <f t="shared" si="161"/>
        <v>delhivery</v>
      </c>
      <c r="H657" s="37" t="s">
        <v>99</v>
      </c>
      <c r="I657" s="37" t="str">
        <f t="shared" si="162"/>
        <v>air</v>
      </c>
      <c r="J657" s="37" t="s">
        <v>47</v>
      </c>
      <c r="K657" s="37" t="str">
        <f t="shared" si="163"/>
        <v>electronics</v>
      </c>
      <c r="L657" s="37" t="s">
        <v>257</v>
      </c>
      <c r="M657" s="37" t="str">
        <f t="shared" si="164"/>
        <v>west</v>
      </c>
      <c r="N657" s="37" t="s">
        <v>278</v>
      </c>
      <c r="O657" s="41" t="str">
        <f t="shared" si="165"/>
        <v>Yes</v>
      </c>
      <c r="P657" s="41" t="s">
        <v>2550</v>
      </c>
      <c r="Q657" s="41">
        <v>330</v>
      </c>
      <c r="R657" s="42">
        <f t="shared" si="166"/>
        <v>44</v>
      </c>
      <c r="S657" s="37">
        <v>2</v>
      </c>
      <c r="T657" s="37" t="s">
        <v>1045</v>
      </c>
      <c r="U657" s="43" t="str">
        <f t="shared" si="167"/>
        <v>2024-02-10</v>
      </c>
      <c r="V657" s="43">
        <f t="shared" si="168"/>
        <v>45332</v>
      </c>
      <c r="W657" s="44">
        <f t="array" ref="W657">_xlfn.IFS(TRIM(C657)="","",TRIM(V657)="","",TRUE,V657-C657)</f>
        <v>3</v>
      </c>
      <c r="X657" s="37">
        <f t="shared" si="169"/>
        <v>1</v>
      </c>
      <c r="Y657" s="37" t="s">
        <v>200</v>
      </c>
      <c r="Z657" s="37" t="str">
        <f t="shared" si="170"/>
        <v>delayed</v>
      </c>
      <c r="AA657" s="37" t="str">
        <f t="shared" si="171"/>
        <v>Late</v>
      </c>
      <c r="AB657" s="37" t="str">
        <f t="shared" si="174"/>
        <v>1</v>
      </c>
      <c r="AC657" s="37">
        <f t="shared" si="175"/>
        <v>1</v>
      </c>
      <c r="AD657" s="45">
        <f t="shared" si="173"/>
        <v>0.512793176972281</v>
      </c>
      <c r="AE657" s="37">
        <v>3</v>
      </c>
      <c r="AF657" s="37" t="s">
        <v>191</v>
      </c>
      <c r="AG657" s="37" t="str">
        <f t="shared" si="172"/>
        <v>no</v>
      </c>
      <c r="AH657" s="37" t="str">
        <f t="array" ref="AH657">_xlfn.IFS(LOWER(AG657)="n","no",LOWER(AG657)="y","yes",TRUE,LOWER(AG657))</f>
        <v>no</v>
      </c>
      <c r="AI657" s="37" t="s">
        <v>4692</v>
      </c>
    </row>
    <row r="658" spans="1:35">
      <c r="A658" s="46" t="s">
        <v>2552</v>
      </c>
      <c r="B658" s="47" t="s">
        <v>4722</v>
      </c>
      <c r="C658" s="39">
        <f t="shared" si="160"/>
        <v>45439</v>
      </c>
      <c r="D658" s="48" t="s">
        <v>366</v>
      </c>
      <c r="E658" s="37" t="str" cm="1">
        <f t="array" ref="E658">_xlfn.IFS(D658="delhi","north",D658="mumbai","west",D658="bengaluru","south",D658="chennai","south",D658="kolkata","east",TRUE,"west")</f>
        <v>east</v>
      </c>
      <c r="F658" s="46" t="s">
        <v>37</v>
      </c>
      <c r="G658" s="37" t="str">
        <f t="shared" si="161"/>
        <v>bluedart</v>
      </c>
      <c r="H658" s="46" t="s">
        <v>345</v>
      </c>
      <c r="I658" s="37" t="str">
        <f t="shared" si="162"/>
        <v>surface</v>
      </c>
      <c r="J658" s="46" t="s">
        <v>498</v>
      </c>
      <c r="K658" s="37" t="str">
        <f t="shared" si="163"/>
        <v>apparel</v>
      </c>
      <c r="L658" s="46" t="s">
        <v>401</v>
      </c>
      <c r="M658" s="37" t="str">
        <f t="shared" si="164"/>
        <v>south</v>
      </c>
      <c r="N658" s="46" t="s">
        <v>93</v>
      </c>
      <c r="O658" s="41" t="str">
        <f t="shared" si="165"/>
        <v>Yes</v>
      </c>
      <c r="P658" s="49">
        <v>3.4</v>
      </c>
      <c r="Q658" s="49">
        <v>219</v>
      </c>
      <c r="R658" s="42">
        <f t="shared" si="166"/>
        <v>64.4117647058823</v>
      </c>
      <c r="S658" s="46">
        <v>6</v>
      </c>
      <c r="T658" s="46" t="s">
        <v>1144</v>
      </c>
      <c r="U658" s="43" t="str">
        <f t="shared" si="167"/>
        <v>03-jun-2024</v>
      </c>
      <c r="V658" s="43">
        <f t="shared" si="168"/>
        <v>45446</v>
      </c>
      <c r="W658" s="44">
        <f t="array" ref="W658">_xlfn.IFS(TRIM(C658)="","",TRIM(V658)="","",TRUE,V658-C658)</f>
        <v>7</v>
      </c>
      <c r="X658" s="37">
        <f t="shared" si="169"/>
        <v>1</v>
      </c>
      <c r="Y658" s="46" t="s">
        <v>200</v>
      </c>
      <c r="Z658" s="37" t="str">
        <f t="shared" si="170"/>
        <v>delayed</v>
      </c>
      <c r="AA658" s="37" t="str">
        <f t="shared" si="171"/>
        <v>Late</v>
      </c>
      <c r="AB658" s="37" t="str">
        <f t="shared" si="174"/>
        <v>1</v>
      </c>
      <c r="AC658" s="37">
        <f t="shared" si="175"/>
        <v>1</v>
      </c>
      <c r="AD658" s="45">
        <f t="shared" si="173"/>
        <v>0.512273212379936</v>
      </c>
      <c r="AE658" s="46">
        <v>4</v>
      </c>
      <c r="AF658" s="46" t="s">
        <v>181</v>
      </c>
      <c r="AG658" s="37" t="str">
        <f t="shared" si="172"/>
        <v>y</v>
      </c>
      <c r="AH658" s="37" t="str">
        <f t="array" ref="AH658">_xlfn.IFS(LOWER(AG658)="n","no",LOWER(AG658)="y","yes",TRUE,LOWER(AG658))</f>
        <v>yes</v>
      </c>
      <c r="AI658" s="46" t="s">
        <v>4692</v>
      </c>
    </row>
    <row r="659" spans="1:35">
      <c r="A659" s="37" t="s">
        <v>2554</v>
      </c>
      <c r="B659" s="38" t="s">
        <v>4747</v>
      </c>
      <c r="C659" s="39">
        <f t="shared" si="160"/>
        <v>45345</v>
      </c>
      <c r="D659" s="40" t="s">
        <v>340</v>
      </c>
      <c r="E659" s="37" t="str" cm="1">
        <f t="array" ref="E659">_xlfn.IFS(D659="delhi","north",D659="mumbai","west",D659="bengaluru","south",D659="chennai","south",D659="kolkata","east",TRUE,"west")</f>
        <v>north</v>
      </c>
      <c r="F659" s="37" t="s">
        <v>156</v>
      </c>
      <c r="G659" s="37" t="str">
        <f t="shared" si="161"/>
        <v>xpressbees</v>
      </c>
      <c r="H659" s="37" t="s">
        <v>123</v>
      </c>
      <c r="I659" s="37" t="str">
        <f t="shared" si="162"/>
        <v>air</v>
      </c>
      <c r="J659" s="37" t="s">
        <v>214</v>
      </c>
      <c r="K659" s="37" t="str">
        <f t="shared" si="163"/>
        <v>grocery&amp;fmcg</v>
      </c>
      <c r="L659" s="37" t="s">
        <v>168</v>
      </c>
      <c r="M659" s="37" t="str">
        <f t="shared" si="164"/>
        <v>west</v>
      </c>
      <c r="N659" s="37" t="s">
        <v>278</v>
      </c>
      <c r="O659" s="41" t="str">
        <f t="shared" si="165"/>
        <v>Yes</v>
      </c>
      <c r="P659" s="41" t="s">
        <v>2555</v>
      </c>
      <c r="Q659" s="41">
        <v>354</v>
      </c>
      <c r="R659" s="42">
        <f t="shared" si="166"/>
        <v>98.3333333333333</v>
      </c>
      <c r="S659" s="37">
        <v>4</v>
      </c>
      <c r="T659" s="37" t="s">
        <v>324</v>
      </c>
      <c r="U659" s="43" t="str">
        <f t="shared" si="167"/>
        <v>26/02/2024</v>
      </c>
      <c r="V659" s="43">
        <f t="shared" si="168"/>
        <v>45348</v>
      </c>
      <c r="W659" s="44">
        <f t="array" ref="W659">_xlfn.IFS(TRIM(C659)="","",TRIM(V659)="","",TRUE,V659-C659)</f>
        <v>3</v>
      </c>
      <c r="X659" s="37">
        <f t="shared" si="169"/>
        <v>-1</v>
      </c>
      <c r="Y659" s="37" t="s">
        <v>117</v>
      </c>
      <c r="Z659" s="37" t="str">
        <f t="shared" si="170"/>
        <v>delivered</v>
      </c>
      <c r="AA659" s="37" t="str">
        <f t="shared" si="171"/>
        <v>On Time</v>
      </c>
      <c r="AB659" s="37" t="str">
        <f t="shared" si="174"/>
        <v>0</v>
      </c>
      <c r="AC659" s="37">
        <f t="shared" si="175"/>
        <v>0</v>
      </c>
      <c r="AD659" s="45">
        <f t="shared" si="173"/>
        <v>0.511752136752137</v>
      </c>
      <c r="AE659" s="37">
        <v>3</v>
      </c>
      <c r="AF659" s="37" t="s">
        <v>191</v>
      </c>
      <c r="AG659" s="37" t="str">
        <f t="shared" si="172"/>
        <v>no</v>
      </c>
      <c r="AH659" s="37" t="str">
        <f t="array" ref="AH659">_xlfn.IFS(LOWER(AG659)="n","no",LOWER(AG659)="y","yes",TRUE,LOWER(AG659))</f>
        <v>no</v>
      </c>
      <c r="AI659" s="37" t="s">
        <v>4692</v>
      </c>
    </row>
    <row r="660" spans="1:35">
      <c r="A660" s="46" t="s">
        <v>2556</v>
      </c>
      <c r="B660" s="47" t="s">
        <v>4810</v>
      </c>
      <c r="C660" s="39">
        <f t="shared" si="160"/>
        <v>45340</v>
      </c>
      <c r="D660" s="48" t="s">
        <v>424</v>
      </c>
      <c r="E660" s="37" t="str" cm="1">
        <f t="array" ref="E660">_xlfn.IFS(D660="delhi","north",D660="mumbai","west",D660="bengaluru","south",D660="chennai","south",D660="kolkata","east",TRUE,"west")</f>
        <v>south</v>
      </c>
      <c r="F660" s="46" t="s">
        <v>333</v>
      </c>
      <c r="G660" s="37" t="str">
        <f t="shared" si="161"/>
        <v>delhivery</v>
      </c>
      <c r="H660" s="46" t="s">
        <v>224</v>
      </c>
      <c r="I660" s="37" t="str">
        <f t="shared" si="162"/>
        <v>air</v>
      </c>
      <c r="J660" s="46" t="s">
        <v>167</v>
      </c>
      <c r="K660" s="37" t="str">
        <f t="shared" si="163"/>
        <v>pharma</v>
      </c>
      <c r="L660" s="46" t="s">
        <v>168</v>
      </c>
      <c r="M660" s="37" t="str">
        <f t="shared" si="164"/>
        <v>west</v>
      </c>
      <c r="N660" s="46" t="s">
        <v>206</v>
      </c>
      <c r="O660" s="41" t="str">
        <f t="shared" si="165"/>
        <v>Yes</v>
      </c>
      <c r="P660" s="49" t="s">
        <v>1441</v>
      </c>
      <c r="Q660" s="49">
        <v>268</v>
      </c>
      <c r="R660" s="42">
        <f t="shared" si="166"/>
        <v>191.428571428571</v>
      </c>
      <c r="S660" s="46">
        <v>4</v>
      </c>
      <c r="T660" s="46" t="s">
        <v>242</v>
      </c>
      <c r="U660" s="43" t="str">
        <f t="shared" si="167"/>
        <v>2024-02-21</v>
      </c>
      <c r="V660" s="43">
        <f t="shared" si="168"/>
        <v>45343</v>
      </c>
      <c r="W660" s="44">
        <f t="array" ref="W660">_xlfn.IFS(TRIM(C660)="","",TRIM(V660)="","",TRUE,V660-C660)</f>
        <v>3</v>
      </c>
      <c r="X660" s="37">
        <f t="shared" si="169"/>
        <v>-1</v>
      </c>
      <c r="Y660" s="46" t="s">
        <v>219</v>
      </c>
      <c r="Z660" s="37" t="str">
        <f t="shared" si="170"/>
        <v>delivered</v>
      </c>
      <c r="AA660" s="37" t="str">
        <f t="shared" si="171"/>
        <v>On Time</v>
      </c>
      <c r="AB660" s="37" t="str">
        <f t="shared" si="174"/>
        <v>0</v>
      </c>
      <c r="AC660" s="37">
        <f t="shared" si="175"/>
        <v>0</v>
      </c>
      <c r="AD660" s="45">
        <f t="shared" si="173"/>
        <v>0.512299465240642</v>
      </c>
      <c r="AE660" s="46">
        <v>4</v>
      </c>
      <c r="AF660" s="46" t="s">
        <v>191</v>
      </c>
      <c r="AG660" s="37" t="str">
        <f t="shared" si="172"/>
        <v>no</v>
      </c>
      <c r="AH660" s="37" t="str">
        <f t="array" ref="AH660">_xlfn.IFS(LOWER(AG660)="n","no",LOWER(AG660)="y","yes",TRUE,LOWER(AG660))</f>
        <v>no</v>
      </c>
      <c r="AI660" s="46" t="s">
        <v>4692</v>
      </c>
    </row>
    <row r="661" spans="1:35">
      <c r="A661" s="37" t="s">
        <v>2559</v>
      </c>
      <c r="B661" s="38">
        <v>45436</v>
      </c>
      <c r="C661" s="39">
        <f t="shared" si="160"/>
        <v>45436</v>
      </c>
      <c r="D661" s="40" t="s">
        <v>633</v>
      </c>
      <c r="E661" s="37" t="str" cm="1">
        <f t="array" ref="E661">_xlfn.IFS(D661="delhi","north",D661="mumbai","west",D661="bengaluru","south",D661="chennai","south",D661="kolkata","east",TRUE,"west")</f>
        <v>south</v>
      </c>
      <c r="F661" s="37" t="s">
        <v>352</v>
      </c>
      <c r="G661" s="37" t="str">
        <f t="shared" si="161"/>
        <v>delhivery</v>
      </c>
      <c r="H661" s="37" t="s">
        <v>440</v>
      </c>
      <c r="I661" s="37" t="str">
        <f t="shared" si="162"/>
        <v>road</v>
      </c>
      <c r="J661" s="37" t="s">
        <v>430</v>
      </c>
      <c r="K661" s="37" t="str">
        <f t="shared" si="163"/>
        <v>pharma</v>
      </c>
      <c r="L661" s="37" t="s">
        <v>159</v>
      </c>
      <c r="M661" s="37" t="str">
        <f t="shared" si="164"/>
        <v>south</v>
      </c>
      <c r="N661" s="37" t="s">
        <v>54</v>
      </c>
      <c r="O661" s="41" t="str">
        <f t="shared" si="165"/>
        <v>Yes</v>
      </c>
      <c r="P661" s="41" t="s">
        <v>2560</v>
      </c>
      <c r="Q661" s="41" t="s">
        <v>432</v>
      </c>
      <c r="R661" s="42">
        <f t="shared" si="166"/>
        <v>20</v>
      </c>
      <c r="S661" s="37">
        <v>6</v>
      </c>
      <c r="T661" s="37" t="s">
        <v>256</v>
      </c>
      <c r="U661" s="43" t="str">
        <f t="shared" si="167"/>
        <v>2024-06-04</v>
      </c>
      <c r="V661" s="43">
        <f t="shared" si="168"/>
        <v>45447</v>
      </c>
      <c r="W661" s="44">
        <f t="array" ref="W661">_xlfn.IFS(TRIM(C661)="","",TRIM(V661)="","",TRUE,V661-C661)</f>
        <v>11</v>
      </c>
      <c r="X661" s="37">
        <f t="shared" si="169"/>
        <v>5</v>
      </c>
      <c r="Y661" s="37" t="s">
        <v>200</v>
      </c>
      <c r="Z661" s="37" t="str">
        <f t="shared" si="170"/>
        <v>delayed</v>
      </c>
      <c r="AA661" s="37" t="str">
        <f t="shared" si="171"/>
        <v>Late</v>
      </c>
      <c r="AB661" s="37" t="str">
        <f t="shared" si="174"/>
        <v>1</v>
      </c>
      <c r="AC661" s="37">
        <f t="shared" si="175"/>
        <v>1</v>
      </c>
      <c r="AD661" s="45">
        <f t="shared" si="173"/>
        <v>0.512847965738758</v>
      </c>
      <c r="AE661" s="37">
        <v>4</v>
      </c>
      <c r="AF661" s="37" t="s">
        <v>286</v>
      </c>
      <c r="AG661" s="37" t="str">
        <f t="shared" si="172"/>
        <v>yes</v>
      </c>
      <c r="AH661" s="37" t="str">
        <f t="array" ref="AH661">_xlfn.IFS(LOWER(AG661)="n","no",LOWER(AG661)="y","yes",TRUE,LOWER(AG661))</f>
        <v>yes</v>
      </c>
      <c r="AI661" s="37" t="s">
        <v>4692</v>
      </c>
    </row>
    <row r="662" spans="1:35">
      <c r="A662" s="46" t="s">
        <v>2561</v>
      </c>
      <c r="B662" s="47" t="s">
        <v>4811</v>
      </c>
      <c r="C662" s="39">
        <f t="shared" si="160"/>
        <v>45374</v>
      </c>
      <c r="D662" s="48" t="s">
        <v>424</v>
      </c>
      <c r="E662" s="37" t="str" cm="1">
        <f t="array" ref="E662">_xlfn.IFS(D662="delhi","north",D662="mumbai","west",D662="bengaluru","south",D662="chennai","south",D662="kolkata","east",TRUE,"west")</f>
        <v>south</v>
      </c>
      <c r="F662" s="46" t="s">
        <v>352</v>
      </c>
      <c r="G662" s="37" t="str">
        <f t="shared" si="161"/>
        <v>delhivery</v>
      </c>
      <c r="H662" s="46" t="s">
        <v>440</v>
      </c>
      <c r="I662" s="37" t="str">
        <f t="shared" si="162"/>
        <v>road</v>
      </c>
      <c r="J662" s="46" t="s">
        <v>612</v>
      </c>
      <c r="K662" s="37" t="str">
        <f t="shared" si="163"/>
        <v>grocery&amp;fmcg</v>
      </c>
      <c r="L662" s="46" t="s">
        <v>302</v>
      </c>
      <c r="M662" s="37" t="str">
        <f t="shared" si="164"/>
        <v>east</v>
      </c>
      <c r="N662" s="46" t="s">
        <v>91</v>
      </c>
      <c r="O662" s="41" t="str">
        <f t="shared" si="165"/>
        <v>Yes</v>
      </c>
      <c r="P662" s="49" t="s">
        <v>2562</v>
      </c>
      <c r="Q662" s="49">
        <v>239</v>
      </c>
      <c r="R662" s="42">
        <f t="shared" si="166"/>
        <v>29.5061728395062</v>
      </c>
      <c r="S662" s="46">
        <v>8</v>
      </c>
      <c r="T662" s="46" t="s">
        <v>699</v>
      </c>
      <c r="U662" s="43" t="str">
        <f t="shared" si="167"/>
        <v>02/04/2024</v>
      </c>
      <c r="V662" s="43">
        <f t="shared" si="168"/>
        <v>45384</v>
      </c>
      <c r="W662" s="44">
        <f t="array" ref="W662">_xlfn.IFS(TRIM(C662)="","",TRIM(V662)="","",TRUE,V662-C662)</f>
        <v>10</v>
      </c>
      <c r="X662" s="37">
        <f t="shared" si="169"/>
        <v>2</v>
      </c>
      <c r="Y662" s="46" t="s">
        <v>72</v>
      </c>
      <c r="Z662" s="37" t="str">
        <f t="shared" si="170"/>
        <v>delayed</v>
      </c>
      <c r="AA662" s="37" t="str">
        <f t="shared" si="171"/>
        <v>Late</v>
      </c>
      <c r="AB662" s="37" t="str">
        <f t="shared" si="174"/>
        <v>1</v>
      </c>
      <c r="AC662" s="37">
        <f t="shared" si="175"/>
        <v>1</v>
      </c>
      <c r="AD662" s="45">
        <f t="shared" si="173"/>
        <v>0.512325830653805</v>
      </c>
      <c r="AE662" s="46">
        <v>1</v>
      </c>
      <c r="AF662" s="46" t="s">
        <v>118</v>
      </c>
      <c r="AG662" s="37" t="str">
        <f t="shared" si="172"/>
        <v>no</v>
      </c>
      <c r="AH662" s="37" t="str">
        <f t="array" ref="AH662">_xlfn.IFS(LOWER(AG662)="n","no",LOWER(AG662)="y","yes",TRUE,LOWER(AG662))</f>
        <v>no</v>
      </c>
      <c r="AI662" s="46" t="s">
        <v>4692</v>
      </c>
    </row>
    <row r="663" spans="1:35">
      <c r="A663" s="37" t="s">
        <v>2564</v>
      </c>
      <c r="B663" s="38" t="s">
        <v>4696</v>
      </c>
      <c r="C663" s="39">
        <f t="shared" si="160"/>
        <v>45293</v>
      </c>
      <c r="D663" s="40" t="s">
        <v>4700</v>
      </c>
      <c r="E663" s="37" t="str" cm="1">
        <f t="array" ref="E663">_xlfn.IFS(D663="delhi","north",D663="mumbai","west",D663="bengaluru","south",D663="chennai","south",D663="kolkata","east",TRUE,"west")</f>
        <v>west</v>
      </c>
      <c r="F663" s="37" t="s">
        <v>122</v>
      </c>
      <c r="G663" s="37" t="str">
        <f t="shared" si="161"/>
        <v>delhivery</v>
      </c>
      <c r="H663" s="37" t="s">
        <v>99</v>
      </c>
      <c r="I663" s="37" t="str">
        <f t="shared" si="162"/>
        <v>air</v>
      </c>
      <c r="J663" s="37" t="s">
        <v>582</v>
      </c>
      <c r="K663" s="37" t="str">
        <f t="shared" si="163"/>
        <v>grocery&amp;fmcg</v>
      </c>
      <c r="L663" s="37" t="s">
        <v>159</v>
      </c>
      <c r="M663" s="37" t="str">
        <f t="shared" si="164"/>
        <v>south</v>
      </c>
      <c r="N663" s="37" t="s">
        <v>327</v>
      </c>
      <c r="O663" s="41" t="str">
        <f t="shared" si="165"/>
        <v/>
      </c>
      <c r="P663" s="41" t="s">
        <v>2368</v>
      </c>
      <c r="Q663" s="41">
        <v>523</v>
      </c>
      <c r="R663" s="42">
        <f t="shared" si="166"/>
        <v>43.9495798319328</v>
      </c>
      <c r="S663" s="37">
        <v>2</v>
      </c>
      <c r="T663" s="37" t="s">
        <v>2356</v>
      </c>
      <c r="U663" s="43" t="str">
        <f t="shared" si="167"/>
        <v>04/01/2024</v>
      </c>
      <c r="V663" s="43">
        <f t="shared" si="168"/>
        <v>45295</v>
      </c>
      <c r="W663" s="44">
        <f t="array" ref="W663">_xlfn.IFS(TRIM(C663)="","",TRIM(V663)="","",TRUE,V663-C663)</f>
        <v>2</v>
      </c>
      <c r="X663" s="37">
        <f t="shared" si="169"/>
        <v>0</v>
      </c>
      <c r="Y663" s="37" t="s">
        <v>105</v>
      </c>
      <c r="Z663" s="37" t="str">
        <f t="shared" si="170"/>
        <v>delivered</v>
      </c>
      <c r="AA663" s="37" t="str">
        <f t="shared" si="171"/>
        <v>On Time</v>
      </c>
      <c r="AB663" s="37" t="str">
        <f t="shared" si="174"/>
        <v>0</v>
      </c>
      <c r="AC663" s="37">
        <f t="shared" si="175"/>
        <v>0</v>
      </c>
      <c r="AD663" s="45">
        <f t="shared" si="173"/>
        <v>0.511802575107296</v>
      </c>
      <c r="AE663" s="37">
        <v>2</v>
      </c>
      <c r="AF663" s="37" t="s">
        <v>152</v>
      </c>
      <c r="AG663" s="37" t="str">
        <f t="shared" si="172"/>
        <v>no</v>
      </c>
      <c r="AH663" s="37" t="str">
        <f t="array" ref="AH663">_xlfn.IFS(LOWER(AG663)="n","no",LOWER(AG663)="y","yes",TRUE,LOWER(AG663))</f>
        <v>no</v>
      </c>
      <c r="AI663" s="37" t="s">
        <v>4692</v>
      </c>
    </row>
    <row r="664" spans="1:35">
      <c r="A664" s="46" t="s">
        <v>2566</v>
      </c>
      <c r="B664" s="47">
        <v>45446</v>
      </c>
      <c r="C664" s="39">
        <f t="shared" si="160"/>
        <v>45446</v>
      </c>
      <c r="D664" s="48" t="s">
        <v>166</v>
      </c>
      <c r="E664" s="37" t="str" cm="1">
        <f t="array" ref="E664">_xlfn.IFS(D664="delhi","north",D664="mumbai","west",D664="bengaluru","south",D664="chennai","south",D664="kolkata","east",TRUE,"west")</f>
        <v>west</v>
      </c>
      <c r="F664" s="46" t="s">
        <v>156</v>
      </c>
      <c r="G664" s="37" t="str">
        <f t="shared" si="161"/>
        <v>xpressbees</v>
      </c>
      <c r="H664" s="46" t="s">
        <v>195</v>
      </c>
      <c r="I664" s="37" t="str">
        <f t="shared" si="162"/>
        <v>road</v>
      </c>
      <c r="J664" s="46" t="s">
        <v>158</v>
      </c>
      <c r="K664" s="37" t="str">
        <f t="shared" si="163"/>
        <v>pharma</v>
      </c>
      <c r="L664" s="46" t="s">
        <v>92</v>
      </c>
      <c r="M664" s="37" t="str">
        <f t="shared" si="164"/>
        <v>east</v>
      </c>
      <c r="N664" s="46" t="s">
        <v>91</v>
      </c>
      <c r="O664" s="41" t="str">
        <f t="shared" si="165"/>
        <v>Yes</v>
      </c>
      <c r="P664" s="49">
        <v>4.1</v>
      </c>
      <c r="Q664" s="49" t="s">
        <v>432</v>
      </c>
      <c r="R664" s="42">
        <f t="shared" si="166"/>
        <v>19.5121951219512</v>
      </c>
      <c r="S664" s="46">
        <v>6</v>
      </c>
      <c r="T664" s="46" t="s">
        <v>632</v>
      </c>
      <c r="U664" s="43" t="str">
        <f t="shared" si="167"/>
        <v>09/06/2024</v>
      </c>
      <c r="V664" s="43">
        <f t="shared" si="168"/>
        <v>45452</v>
      </c>
      <c r="W664" s="44">
        <f t="array" ref="W664">_xlfn.IFS(TRIM(C664)="","",TRIM(V664)="","",TRUE,V664-C664)</f>
        <v>6</v>
      </c>
      <c r="X664" s="37">
        <f t="shared" si="169"/>
        <v>0</v>
      </c>
      <c r="Y664" s="46" t="s">
        <v>117</v>
      </c>
      <c r="Z664" s="37" t="str">
        <f t="shared" si="170"/>
        <v>delivered</v>
      </c>
      <c r="AA664" s="37" t="str">
        <f t="shared" si="171"/>
        <v>On Time</v>
      </c>
      <c r="AB664" s="37" t="str">
        <f t="shared" si="174"/>
        <v>0</v>
      </c>
      <c r="AC664" s="37">
        <f t="shared" si="175"/>
        <v>0</v>
      </c>
      <c r="AD664" s="45">
        <f t="shared" si="173"/>
        <v>0.512352309344791</v>
      </c>
      <c r="AE664" s="46">
        <v>4</v>
      </c>
      <c r="AF664" s="46" t="s">
        <v>79</v>
      </c>
      <c r="AG664" s="37" t="str">
        <f t="shared" si="172"/>
        <v>yes</v>
      </c>
      <c r="AH664" s="37" t="str">
        <f t="array" ref="AH664">_xlfn.IFS(LOWER(AG664)="n","no",LOWER(AG664)="y","yes",TRUE,LOWER(AG664))</f>
        <v>yes</v>
      </c>
      <c r="AI664" s="46" t="s">
        <v>4692</v>
      </c>
    </row>
    <row r="665" spans="1:35">
      <c r="A665" s="37" t="s">
        <v>2567</v>
      </c>
      <c r="B665" s="38">
        <v>45402</v>
      </c>
      <c r="C665" s="39">
        <f t="shared" si="160"/>
        <v>45402</v>
      </c>
      <c r="D665" s="40" t="s">
        <v>121</v>
      </c>
      <c r="E665" s="37" t="str" cm="1">
        <f t="array" ref="E665">_xlfn.IFS(D665="delhi","north",D665="mumbai","west",D665="bengaluru","south",D665="chennai","south",D665="kolkata","east",TRUE,"west")</f>
        <v>west</v>
      </c>
      <c r="F665" s="37" t="s">
        <v>184</v>
      </c>
      <c r="G665" s="37" t="str">
        <f t="shared" si="161"/>
        <v>ecomexpress</v>
      </c>
      <c r="H665" s="37" t="s">
        <v>224</v>
      </c>
      <c r="I665" s="37" t="str">
        <f t="shared" si="162"/>
        <v>air</v>
      </c>
      <c r="J665" s="37" t="s">
        <v>592</v>
      </c>
      <c r="K665" s="37" t="str">
        <f t="shared" si="163"/>
        <v>grocery&amp;fmcg</v>
      </c>
      <c r="L665" s="37" t="s">
        <v>51</v>
      </c>
      <c r="M665" s="37" t="str">
        <f t="shared" si="164"/>
        <v>south</v>
      </c>
      <c r="N665" s="37" t="s">
        <v>327</v>
      </c>
      <c r="O665" s="41" t="str">
        <f t="shared" si="165"/>
        <v>Yes</v>
      </c>
      <c r="P665" s="41" t="s">
        <v>2105</v>
      </c>
      <c r="Q665" s="41" t="s">
        <v>2062</v>
      </c>
      <c r="R665" s="42">
        <f t="shared" si="166"/>
        <v>91.219512195122</v>
      </c>
      <c r="S665" s="37">
        <v>4</v>
      </c>
      <c r="T665" s="37" t="s">
        <v>2331</v>
      </c>
      <c r="U665" s="43" t="str">
        <f t="shared" si="167"/>
        <v>25/04/2024</v>
      </c>
      <c r="V665" s="43">
        <f t="shared" si="168"/>
        <v>45407</v>
      </c>
      <c r="W665" s="44">
        <f t="array" ref="W665">_xlfn.IFS(TRIM(C665)="","",TRIM(V665)="","",TRUE,V665-C665)</f>
        <v>5</v>
      </c>
      <c r="X665" s="37">
        <f t="shared" si="169"/>
        <v>1</v>
      </c>
      <c r="Y665" s="37" t="s">
        <v>143</v>
      </c>
      <c r="Z665" s="37" t="str">
        <f t="shared" si="170"/>
        <v>delayed</v>
      </c>
      <c r="AA665" s="37" t="str">
        <f t="shared" si="171"/>
        <v>Late</v>
      </c>
      <c r="AB665" s="37" t="str">
        <f t="shared" si="174"/>
        <v>1</v>
      </c>
      <c r="AC665" s="37">
        <f t="shared" si="175"/>
        <v>1</v>
      </c>
      <c r="AD665" s="45">
        <f t="shared" si="173"/>
        <v>0.512903225806452</v>
      </c>
      <c r="AE665" s="37">
        <v>1</v>
      </c>
      <c r="AF665" s="37" t="s">
        <v>118</v>
      </c>
      <c r="AG665" s="37" t="str">
        <f t="shared" si="172"/>
        <v>no</v>
      </c>
      <c r="AH665" s="37" t="str">
        <f t="array" ref="AH665">_xlfn.IFS(LOWER(AG665)="n","no",LOWER(AG665)="y","yes",TRUE,LOWER(AG665))</f>
        <v>no</v>
      </c>
      <c r="AI665" s="37" t="s">
        <v>4692</v>
      </c>
    </row>
    <row r="666" spans="1:35">
      <c r="A666" s="46" t="s">
        <v>2568</v>
      </c>
      <c r="B666" s="47">
        <v>45413</v>
      </c>
      <c r="C666" s="39">
        <f t="shared" si="160"/>
        <v>45413</v>
      </c>
      <c r="D666" s="48" t="s">
        <v>4705</v>
      </c>
      <c r="E666" s="37" t="str" cm="1">
        <f t="array" ref="E666">_xlfn.IFS(D666="delhi","north",D666="mumbai","west",D666="bengaluru","south",D666="chennai","south",D666="kolkata","east",TRUE,"west")</f>
        <v>west</v>
      </c>
      <c r="F666" s="46" t="s">
        <v>230</v>
      </c>
      <c r="G666" s="37" t="str">
        <f t="shared" si="161"/>
        <v>dtdc</v>
      </c>
      <c r="H666" s="46" t="s">
        <v>99</v>
      </c>
      <c r="I666" s="37" t="str">
        <f t="shared" si="162"/>
        <v>air</v>
      </c>
      <c r="J666" s="46" t="s">
        <v>100</v>
      </c>
      <c r="K666" s="37" t="str">
        <f t="shared" si="163"/>
        <v>electronics</v>
      </c>
      <c r="L666" s="46" t="s">
        <v>302</v>
      </c>
      <c r="M666" s="37" t="str">
        <f t="shared" si="164"/>
        <v>east</v>
      </c>
      <c r="N666" s="46" t="s">
        <v>126</v>
      </c>
      <c r="O666" s="41" t="str">
        <f t="shared" si="165"/>
        <v>Yes</v>
      </c>
      <c r="P666" s="49">
        <v>13.8</v>
      </c>
      <c r="Q666" s="49" t="s">
        <v>2569</v>
      </c>
      <c r="R666" s="42">
        <f t="shared" si="166"/>
        <v>55.2898550724638</v>
      </c>
      <c r="S666" s="46">
        <v>4</v>
      </c>
      <c r="T666" s="46" t="s">
        <v>2160</v>
      </c>
      <c r="U666" s="43" t="str">
        <f t="shared" si="167"/>
        <v>2024-05-05</v>
      </c>
      <c r="V666" s="43">
        <f t="shared" si="168"/>
        <v>45417</v>
      </c>
      <c r="W666" s="44">
        <f t="array" ref="W666">_xlfn.IFS(TRIM(C666)="","",TRIM(V666)="","",TRUE,V666-C666)</f>
        <v>4</v>
      </c>
      <c r="X666" s="37">
        <f t="shared" si="169"/>
        <v>0</v>
      </c>
      <c r="Y666" s="46" t="s">
        <v>219</v>
      </c>
      <c r="Z666" s="37" t="str">
        <f t="shared" si="170"/>
        <v>delivered</v>
      </c>
      <c r="AA666" s="37" t="str">
        <f t="shared" si="171"/>
        <v>On Time</v>
      </c>
      <c r="AB666" s="37" t="str">
        <f t="shared" si="174"/>
        <v>0</v>
      </c>
      <c r="AC666" s="37">
        <f t="shared" si="175"/>
        <v>0</v>
      </c>
      <c r="AD666" s="45">
        <f t="shared" si="173"/>
        <v>0.51237890204521</v>
      </c>
      <c r="AE666" s="46">
        <v>5</v>
      </c>
      <c r="AF666" s="46" t="s">
        <v>191</v>
      </c>
      <c r="AG666" s="37" t="str">
        <f t="shared" si="172"/>
        <v>no</v>
      </c>
      <c r="AH666" s="37" t="str">
        <f t="array" ref="AH666">_xlfn.IFS(LOWER(AG666)="n","no",LOWER(AG666)="y","yes",TRUE,LOWER(AG666))</f>
        <v>no</v>
      </c>
      <c r="AI666" s="46" t="s">
        <v>4692</v>
      </c>
    </row>
    <row r="667" spans="1:35">
      <c r="A667" s="37" t="s">
        <v>2570</v>
      </c>
      <c r="B667" s="38" t="s">
        <v>4806</v>
      </c>
      <c r="C667" s="39">
        <f t="shared" si="160"/>
        <v>45301</v>
      </c>
      <c r="D667" s="40" t="s">
        <v>212</v>
      </c>
      <c r="E667" s="37" t="str" cm="1">
        <f t="array" ref="E667">_xlfn.IFS(D667="delhi","north",D667="mumbai","west",D667="bengaluru","south",D667="chennai","south",D667="kolkata","east",TRUE,"west")</f>
        <v>west</v>
      </c>
      <c r="F667" s="37" t="s">
        <v>919</v>
      </c>
      <c r="G667" s="37" t="str">
        <f t="shared" si="161"/>
        <v>xpressbees</v>
      </c>
      <c r="H667" s="37" t="s">
        <v>440</v>
      </c>
      <c r="I667" s="37" t="str">
        <f t="shared" si="162"/>
        <v>road</v>
      </c>
      <c r="J667" s="37" t="s">
        <v>582</v>
      </c>
      <c r="K667" s="37" t="str">
        <f t="shared" si="163"/>
        <v>grocery&amp;fmcg</v>
      </c>
      <c r="L667" s="37" t="s">
        <v>380</v>
      </c>
      <c r="M667" s="37" t="str">
        <f t="shared" si="164"/>
        <v>east</v>
      </c>
      <c r="N667" s="37" t="s">
        <v>126</v>
      </c>
      <c r="O667" s="41" t="str">
        <f t="shared" si="165"/>
        <v>Yes</v>
      </c>
      <c r="P667" s="41">
        <v>17.2</v>
      </c>
      <c r="Q667" s="41" t="s">
        <v>2572</v>
      </c>
      <c r="R667" s="42">
        <f t="shared" si="166"/>
        <v>22.2674418604651</v>
      </c>
      <c r="S667" s="37">
        <v>8</v>
      </c>
      <c r="T667" s="37" t="s">
        <v>1182</v>
      </c>
      <c r="U667" s="43" t="str">
        <f t="shared" si="167"/>
        <v>2024-01-22</v>
      </c>
      <c r="V667" s="43">
        <f t="shared" si="168"/>
        <v>45313</v>
      </c>
      <c r="W667" s="44">
        <f t="array" ref="W667">_xlfn.IFS(TRIM(C667)="","",TRIM(V667)="","",TRUE,V667-C667)</f>
        <v>12</v>
      </c>
      <c r="X667" s="37">
        <f t="shared" si="169"/>
        <v>4</v>
      </c>
      <c r="Y667" s="37" t="s">
        <v>143</v>
      </c>
      <c r="Z667" s="37" t="str">
        <f t="shared" si="170"/>
        <v>delayed</v>
      </c>
      <c r="AA667" s="37" t="str">
        <f t="shared" si="171"/>
        <v>Late</v>
      </c>
      <c r="AB667" s="37" t="str">
        <f t="shared" si="174"/>
        <v>1</v>
      </c>
      <c r="AC667" s="37">
        <f t="shared" si="175"/>
        <v>1</v>
      </c>
      <c r="AD667" s="45">
        <f t="shared" si="173"/>
        <v>0.512931034482759</v>
      </c>
      <c r="AE667" s="37">
        <v>1</v>
      </c>
      <c r="AF667" s="37" t="s">
        <v>131</v>
      </c>
      <c r="AG667" s="37" t="str">
        <f t="shared" si="172"/>
        <v>n</v>
      </c>
      <c r="AH667" s="37" t="str">
        <f t="array" ref="AH667">_xlfn.IFS(LOWER(AG667)="n","no",LOWER(AG667)="y","yes",TRUE,LOWER(AG667))</f>
        <v>no</v>
      </c>
      <c r="AI667" s="37" t="s">
        <v>4692</v>
      </c>
    </row>
    <row r="668" spans="1:35">
      <c r="A668" s="46" t="s">
        <v>2573</v>
      </c>
      <c r="B668" s="47">
        <v>45466</v>
      </c>
      <c r="C668" s="39">
        <f t="shared" si="160"/>
        <v>45466</v>
      </c>
      <c r="D668" s="48" t="s">
        <v>633</v>
      </c>
      <c r="E668" s="37" t="str" cm="1">
        <f t="array" ref="E668">_xlfn.IFS(D668="delhi","north",D668="mumbai","west",D668="bengaluru","south",D668="chennai","south",D668="kolkata","east",TRUE,"west")</f>
        <v>south</v>
      </c>
      <c r="F668" s="46" t="s">
        <v>312</v>
      </c>
      <c r="G668" s="37" t="str">
        <f t="shared" si="161"/>
        <v>bluedart</v>
      </c>
      <c r="H668" s="46" t="s">
        <v>176</v>
      </c>
      <c r="I668" s="37" t="str">
        <f t="shared" si="162"/>
        <v>road</v>
      </c>
      <c r="J668" s="46" t="s">
        <v>167</v>
      </c>
      <c r="K668" s="37" t="str">
        <f t="shared" si="163"/>
        <v>pharma</v>
      </c>
      <c r="L668" s="46" t="s">
        <v>257</v>
      </c>
      <c r="M668" s="37" t="str">
        <f t="shared" si="164"/>
        <v>west</v>
      </c>
      <c r="N668" s="46" t="s">
        <v>278</v>
      </c>
      <c r="O668" s="41" t="str">
        <f t="shared" si="165"/>
        <v>Yes</v>
      </c>
      <c r="P668" s="49">
        <v>1</v>
      </c>
      <c r="Q668" s="49">
        <v>149</v>
      </c>
      <c r="R668" s="42">
        <f t="shared" si="166"/>
        <v>149</v>
      </c>
      <c r="S668" s="46">
        <v>8</v>
      </c>
      <c r="T668" s="46" t="s">
        <v>2576</v>
      </c>
      <c r="U668" s="43" t="str">
        <f t="shared" si="167"/>
        <v>2024-07-02</v>
      </c>
      <c r="V668" s="43">
        <f t="shared" si="168"/>
        <v>45475</v>
      </c>
      <c r="W668" s="44">
        <f t="array" ref="W668">_xlfn.IFS(TRIM(C668)="","",TRIM(V668)="","",TRUE,V668-C668)</f>
        <v>9</v>
      </c>
      <c r="X668" s="37">
        <f t="shared" si="169"/>
        <v>1</v>
      </c>
      <c r="Y668" s="46" t="s">
        <v>200</v>
      </c>
      <c r="Z668" s="37" t="str">
        <f t="shared" si="170"/>
        <v>delayed</v>
      </c>
      <c r="AA668" s="37" t="str">
        <f t="shared" si="171"/>
        <v>Late</v>
      </c>
      <c r="AB668" s="37" t="str">
        <f t="shared" si="174"/>
        <v>1</v>
      </c>
      <c r="AC668" s="37">
        <f t="shared" si="175"/>
        <v>1</v>
      </c>
      <c r="AD668" s="45">
        <f t="shared" si="173"/>
        <v>0.512405609492988</v>
      </c>
      <c r="AE668" s="46">
        <v>1</v>
      </c>
      <c r="AF668" s="46" t="s">
        <v>152</v>
      </c>
      <c r="AG668" s="37" t="str">
        <f t="shared" si="172"/>
        <v>no</v>
      </c>
      <c r="AH668" s="37" t="str">
        <f t="array" ref="AH668">_xlfn.IFS(LOWER(AG668)="n","no",LOWER(AG668)="y","yes",TRUE,LOWER(AG668))</f>
        <v>no</v>
      </c>
      <c r="AI668" s="46" t="s">
        <v>4692</v>
      </c>
    </row>
    <row r="669" spans="1:35">
      <c r="A669" s="37" t="s">
        <v>2577</v>
      </c>
      <c r="B669" s="38">
        <v>45302</v>
      </c>
      <c r="C669" s="39">
        <f t="shared" si="160"/>
        <v>45302</v>
      </c>
      <c r="D669" s="40" t="s">
        <v>366</v>
      </c>
      <c r="E669" s="37" t="str" cm="1">
        <f t="array" ref="E669">_xlfn.IFS(D669="delhi","north",D669="mumbai","west",D669="bengaluru","south",D669="chennai","south",D669="kolkata","east",TRUE,"west")</f>
        <v>east</v>
      </c>
      <c r="F669" s="37" t="s">
        <v>122</v>
      </c>
      <c r="G669" s="37" t="str">
        <f t="shared" si="161"/>
        <v>delhivery</v>
      </c>
      <c r="H669" s="37" t="s">
        <v>123</v>
      </c>
      <c r="I669" s="37" t="str">
        <f t="shared" si="162"/>
        <v>air</v>
      </c>
      <c r="J669" s="37" t="s">
        <v>158</v>
      </c>
      <c r="K669" s="37" t="str">
        <f t="shared" si="163"/>
        <v>pharma</v>
      </c>
      <c r="L669" s="37" t="s">
        <v>401</v>
      </c>
      <c r="M669" s="37" t="str">
        <f t="shared" si="164"/>
        <v>south</v>
      </c>
      <c r="N669" s="37" t="s">
        <v>90</v>
      </c>
      <c r="O669" s="41" t="str">
        <f t="shared" si="165"/>
        <v>Yes</v>
      </c>
      <c r="P669" s="41">
        <v>2.5</v>
      </c>
      <c r="Q669" s="41" t="s">
        <v>2579</v>
      </c>
      <c r="R669" s="42">
        <f t="shared" si="166"/>
        <v>101.6</v>
      </c>
      <c r="S669" s="37">
        <v>4</v>
      </c>
      <c r="T669" s="37" t="s">
        <v>415</v>
      </c>
      <c r="U669" s="43" t="str">
        <f t="shared" si="167"/>
        <v>15/01/2024</v>
      </c>
      <c r="V669" s="43">
        <f t="shared" si="168"/>
        <v>45306</v>
      </c>
      <c r="W669" s="44">
        <f t="array" ref="W669">_xlfn.IFS(TRIM(C669)="","",TRIM(V669)="","",TRUE,V669-C669)</f>
        <v>4</v>
      </c>
      <c r="X669" s="37">
        <f t="shared" si="169"/>
        <v>0</v>
      </c>
      <c r="Y669" s="37" t="s">
        <v>105</v>
      </c>
      <c r="Z669" s="37" t="str">
        <f t="shared" si="170"/>
        <v>delivered</v>
      </c>
      <c r="AA669" s="37" t="str">
        <f t="shared" si="171"/>
        <v>On Time</v>
      </c>
      <c r="AB669" s="37" t="str">
        <f t="shared" si="174"/>
        <v>0</v>
      </c>
      <c r="AC669" s="37">
        <f t="shared" si="175"/>
        <v>0</v>
      </c>
      <c r="AD669" s="45">
        <f t="shared" si="173"/>
        <v>0.511879049676026</v>
      </c>
      <c r="AE669" s="37">
        <v>5</v>
      </c>
      <c r="AF669" s="37" t="s">
        <v>191</v>
      </c>
      <c r="AG669" s="37" t="str">
        <f t="shared" si="172"/>
        <v>no</v>
      </c>
      <c r="AH669" s="37" t="str">
        <f t="array" ref="AH669">_xlfn.IFS(LOWER(AG669)="n","no",LOWER(AG669)="y","yes",TRUE,LOWER(AG669))</f>
        <v>no</v>
      </c>
      <c r="AI669" s="37" t="s">
        <v>4692</v>
      </c>
    </row>
    <row r="670" spans="1:35">
      <c r="A670" s="46" t="s">
        <v>2580</v>
      </c>
      <c r="B670" s="47">
        <v>45469</v>
      </c>
      <c r="C670" s="39">
        <f t="shared" si="160"/>
        <v>45469</v>
      </c>
      <c r="D670" s="48" t="s">
        <v>109</v>
      </c>
      <c r="E670" s="37" t="str" cm="1">
        <f t="array" ref="E670">_xlfn.IFS(D670="delhi","north",D670="mumbai","west",D670="bengaluru","south",D670="chennai","south",D670="kolkata","east",TRUE,"west")</f>
        <v>west</v>
      </c>
      <c r="F670" s="46" t="s">
        <v>136</v>
      </c>
      <c r="G670" s="37" t="str">
        <f t="shared" si="161"/>
        <v>bluedart</v>
      </c>
      <c r="H670" s="46" t="s">
        <v>176</v>
      </c>
      <c r="I670" s="37" t="str">
        <f t="shared" si="162"/>
        <v>road</v>
      </c>
      <c r="J670" s="46" t="s">
        <v>458</v>
      </c>
      <c r="K670" s="37" t="str">
        <f t="shared" si="163"/>
        <v>electronics</v>
      </c>
      <c r="L670" s="46" t="s">
        <v>89</v>
      </c>
      <c r="M670" s="37" t="str">
        <f t="shared" si="164"/>
        <v>west</v>
      </c>
      <c r="N670" s="46" t="s">
        <v>187</v>
      </c>
      <c r="O670" s="41" t="str">
        <f t="shared" si="165"/>
        <v>Yes</v>
      </c>
      <c r="P670" s="49">
        <v>7.2</v>
      </c>
      <c r="Q670" s="49">
        <v>137</v>
      </c>
      <c r="R670" s="42">
        <f t="shared" si="166"/>
        <v>19.0277777777778</v>
      </c>
      <c r="S670" s="46">
        <v>6</v>
      </c>
      <c r="T670" s="46" t="s">
        <v>2014</v>
      </c>
      <c r="U670" s="43" t="str">
        <f t="shared" si="167"/>
        <v>01/07/2024</v>
      </c>
      <c r="V670" s="43">
        <f t="shared" si="168"/>
        <v>45474</v>
      </c>
      <c r="W670" s="44">
        <f t="array" ref="W670">_xlfn.IFS(TRIM(C670)="","",TRIM(V670)="","",TRUE,V670-C670)</f>
        <v>5</v>
      </c>
      <c r="X670" s="37">
        <f t="shared" si="169"/>
        <v>-1</v>
      </c>
      <c r="Y670" s="46" t="s">
        <v>337</v>
      </c>
      <c r="Z670" s="37" t="str">
        <f t="shared" si="170"/>
        <v>damaged</v>
      </c>
      <c r="AA670" s="37" t="str">
        <f t="shared" si="171"/>
        <v>On Time</v>
      </c>
      <c r="AB670" s="37" t="str">
        <f t="shared" si="174"/>
        <v>0</v>
      </c>
      <c r="AC670" s="37">
        <f t="shared" si="175"/>
        <v>0</v>
      </c>
      <c r="AD670" s="45">
        <f t="shared" si="173"/>
        <v>0.512432432432432</v>
      </c>
      <c r="AE670" s="46"/>
      <c r="AF670" s="46" t="s">
        <v>106</v>
      </c>
      <c r="AG670" s="37" t="str">
        <f t="shared" si="172"/>
        <v>yes</v>
      </c>
      <c r="AH670" s="37" t="str">
        <f t="array" ref="AH670">_xlfn.IFS(LOWER(AG670)="n","no",LOWER(AG670)="y","yes",TRUE,LOWER(AG670))</f>
        <v>yes</v>
      </c>
      <c r="AI670" s="46" t="s">
        <v>759</v>
      </c>
    </row>
    <row r="671" spans="1:35">
      <c r="A671" s="37" t="s">
        <v>2583</v>
      </c>
      <c r="B671" s="38" t="s">
        <v>4708</v>
      </c>
      <c r="C671" s="39">
        <f t="shared" si="160"/>
        <v>45464</v>
      </c>
      <c r="D671" s="40" t="s">
        <v>4699</v>
      </c>
      <c r="E671" s="37" t="str" cm="1">
        <f t="array" ref="E671">_xlfn.IFS(D671="delhi","north",D671="mumbai","west",D671="bengaluru","south",D671="chennai","south",D671="kolkata","east",TRUE,"west")</f>
        <v>west</v>
      </c>
      <c r="F671" s="37" t="s">
        <v>184</v>
      </c>
      <c r="G671" s="37" t="str">
        <f t="shared" si="161"/>
        <v>ecomexpress</v>
      </c>
      <c r="H671" s="37" t="s">
        <v>440</v>
      </c>
      <c r="I671" s="37" t="str">
        <f t="shared" si="162"/>
        <v>road</v>
      </c>
      <c r="J671" s="37" t="s">
        <v>231</v>
      </c>
      <c r="K671" s="37" t="str">
        <f t="shared" si="163"/>
        <v>furniture</v>
      </c>
      <c r="L671" s="37" t="s">
        <v>264</v>
      </c>
      <c r="M671" s="37" t="str">
        <f t="shared" si="164"/>
        <v>west</v>
      </c>
      <c r="N671" s="37" t="s">
        <v>88</v>
      </c>
      <c r="O671" s="41" t="str">
        <f t="shared" si="165"/>
        <v>Yes</v>
      </c>
      <c r="P671" s="41" t="s">
        <v>2584</v>
      </c>
      <c r="Q671" s="41">
        <v>607</v>
      </c>
      <c r="R671" s="42">
        <f t="shared" si="166"/>
        <v>14.9507389162562</v>
      </c>
      <c r="S671" s="37">
        <v>6</v>
      </c>
      <c r="T671" s="37" t="s">
        <v>1485</v>
      </c>
      <c r="U671" s="43" t="str">
        <f t="shared" si="167"/>
        <v>26/06/2024</v>
      </c>
      <c r="V671" s="43">
        <f t="shared" si="168"/>
        <v>45469</v>
      </c>
      <c r="W671" s="44">
        <f t="array" ref="W671">_xlfn.IFS(TRIM(C671)="","",TRIM(V671)="","",TRUE,V671-C671)</f>
        <v>5</v>
      </c>
      <c r="X671" s="37">
        <f t="shared" si="169"/>
        <v>-1</v>
      </c>
      <c r="Y671" s="37" t="s">
        <v>219</v>
      </c>
      <c r="Z671" s="37" t="str">
        <f t="shared" si="170"/>
        <v>delivered</v>
      </c>
      <c r="AA671" s="37" t="str">
        <f t="shared" si="171"/>
        <v>On Time</v>
      </c>
      <c r="AB671" s="37" t="str">
        <f t="shared" si="174"/>
        <v>0</v>
      </c>
      <c r="AC671" s="37">
        <f t="shared" si="175"/>
        <v>0</v>
      </c>
      <c r="AD671" s="45">
        <f t="shared" si="173"/>
        <v>0.512987012987013</v>
      </c>
      <c r="AE671" s="37">
        <v>5</v>
      </c>
      <c r="AF671" s="37" t="s">
        <v>79</v>
      </c>
      <c r="AG671" s="37" t="str">
        <f t="shared" si="172"/>
        <v>yes</v>
      </c>
      <c r="AH671" s="37" t="str">
        <f t="array" ref="AH671">_xlfn.IFS(LOWER(AG671)="n","no",LOWER(AG671)="y","yes",TRUE,LOWER(AG671))</f>
        <v>yes</v>
      </c>
      <c r="AI671" s="37" t="s">
        <v>4692</v>
      </c>
    </row>
    <row r="672" spans="1:35">
      <c r="A672" s="46" t="s">
        <v>2586</v>
      </c>
      <c r="B672" s="47">
        <v>45435</v>
      </c>
      <c r="C672" s="39">
        <f t="shared" si="160"/>
        <v>45435</v>
      </c>
      <c r="D672" s="48" t="s">
        <v>212</v>
      </c>
      <c r="E672" s="37" t="str" cm="1">
        <f t="array" ref="E672">_xlfn.IFS(D672="delhi","north",D672="mumbai","west",D672="bengaluru","south",D672="chennai","south",D672="kolkata","east",TRUE,"west")</f>
        <v>west</v>
      </c>
      <c r="F672" s="46" t="s">
        <v>146</v>
      </c>
      <c r="G672" s="37" t="str">
        <f t="shared" si="161"/>
        <v>ecomexpress</v>
      </c>
      <c r="H672" s="46" t="s">
        <v>147</v>
      </c>
      <c r="I672" s="37" t="str">
        <f t="shared" si="162"/>
        <v>road</v>
      </c>
      <c r="J672" s="46" t="s">
        <v>664</v>
      </c>
      <c r="K672" s="37" t="str">
        <f t="shared" si="163"/>
        <v>grocery&amp;fmcg</v>
      </c>
      <c r="L672" s="46" t="s">
        <v>418</v>
      </c>
      <c r="M672" s="37" t="str">
        <f t="shared" si="164"/>
        <v>south</v>
      </c>
      <c r="N672" s="46" t="s">
        <v>93</v>
      </c>
      <c r="O672" s="41" t="str">
        <f t="shared" si="165"/>
        <v>Yes</v>
      </c>
      <c r="P672" s="49" t="s">
        <v>2587</v>
      </c>
      <c r="Q672" s="49">
        <v>369</v>
      </c>
      <c r="R672" s="42">
        <f t="shared" si="166"/>
        <v>26.5467625899281</v>
      </c>
      <c r="S672" s="46">
        <v>8</v>
      </c>
      <c r="T672" s="46" t="s">
        <v>2529</v>
      </c>
      <c r="U672" s="43" t="str">
        <f t="shared" si="167"/>
        <v>2024-05-31</v>
      </c>
      <c r="V672" s="43">
        <f t="shared" si="168"/>
        <v>45443</v>
      </c>
      <c r="W672" s="44">
        <f t="array" ref="W672">_xlfn.IFS(TRIM(C672)="","",TRIM(V672)="","",TRUE,V672-C672)</f>
        <v>8</v>
      </c>
      <c r="X672" s="37">
        <f t="shared" si="169"/>
        <v>0</v>
      </c>
      <c r="Y672" s="46" t="s">
        <v>105</v>
      </c>
      <c r="Z672" s="37" t="str">
        <f t="shared" si="170"/>
        <v>delivered</v>
      </c>
      <c r="AA672" s="37" t="str">
        <f t="shared" si="171"/>
        <v>On Time</v>
      </c>
      <c r="AB672" s="37" t="str">
        <f t="shared" si="174"/>
        <v>0</v>
      </c>
      <c r="AC672" s="37">
        <f t="shared" si="175"/>
        <v>0</v>
      </c>
      <c r="AD672" s="45">
        <f t="shared" si="173"/>
        <v>0.513542795232936</v>
      </c>
      <c r="AE672" s="46">
        <v>4</v>
      </c>
      <c r="AF672" s="46" t="s">
        <v>152</v>
      </c>
      <c r="AG672" s="37" t="str">
        <f t="shared" si="172"/>
        <v>no</v>
      </c>
      <c r="AH672" s="37" t="str">
        <f t="array" ref="AH672">_xlfn.IFS(LOWER(AG672)="n","no",LOWER(AG672)="y","yes",TRUE,LOWER(AG672))</f>
        <v>no</v>
      </c>
      <c r="AI672" s="46" t="s">
        <v>4692</v>
      </c>
    </row>
    <row r="673" spans="1:35">
      <c r="A673" s="37" t="s">
        <v>2589</v>
      </c>
      <c r="B673" s="38">
        <v>45455</v>
      </c>
      <c r="C673" s="39">
        <f t="shared" si="160"/>
        <v>45455</v>
      </c>
      <c r="D673" s="40" t="s">
        <v>121</v>
      </c>
      <c r="E673" s="37" t="str" cm="1">
        <f t="array" ref="E673">_xlfn.IFS(D673="delhi","north",D673="mumbai","west",D673="bengaluru","south",D673="chennai","south",D673="kolkata","east",TRUE,"west")</f>
        <v>west</v>
      </c>
      <c r="F673" s="37" t="s">
        <v>544</v>
      </c>
      <c r="G673" s="37" t="str">
        <f t="shared" si="161"/>
        <v>bluedart</v>
      </c>
      <c r="H673" s="37" t="s">
        <v>110</v>
      </c>
      <c r="I673" s="37" t="str">
        <f t="shared" si="162"/>
        <v>surface</v>
      </c>
      <c r="J673" s="37" t="s">
        <v>263</v>
      </c>
      <c r="K673" s="37" t="str">
        <f t="shared" si="163"/>
        <v>apparel</v>
      </c>
      <c r="L673" s="37" t="s">
        <v>302</v>
      </c>
      <c r="M673" s="37" t="str">
        <f t="shared" si="164"/>
        <v>east</v>
      </c>
      <c r="N673" s="37" t="s">
        <v>294</v>
      </c>
      <c r="O673" s="41" t="str">
        <f t="shared" si="165"/>
        <v>Yes</v>
      </c>
      <c r="P673" s="41">
        <v>1</v>
      </c>
      <c r="Q673" s="41">
        <v>153</v>
      </c>
      <c r="R673" s="42">
        <f t="shared" si="166"/>
        <v>153</v>
      </c>
      <c r="S673" s="37">
        <v>6</v>
      </c>
      <c r="T673" s="37" t="s">
        <v>1083</v>
      </c>
      <c r="U673" s="43" t="str">
        <f t="shared" si="167"/>
        <v>17/06/2024</v>
      </c>
      <c r="V673" s="43">
        <f t="shared" si="168"/>
        <v>45460</v>
      </c>
      <c r="W673" s="44">
        <f t="array" ref="W673">_xlfn.IFS(TRIM(C673)="","",TRIM(V673)="","",TRUE,V673-C673)</f>
        <v>5</v>
      </c>
      <c r="X673" s="37">
        <f t="shared" si="169"/>
        <v>-1</v>
      </c>
      <c r="Y673" s="37" t="s">
        <v>117</v>
      </c>
      <c r="Z673" s="37" t="str">
        <f t="shared" si="170"/>
        <v>delivered</v>
      </c>
      <c r="AA673" s="37" t="str">
        <f t="shared" si="171"/>
        <v>On Time</v>
      </c>
      <c r="AB673" s="37" t="str">
        <f t="shared" si="174"/>
        <v>0</v>
      </c>
      <c r="AC673" s="37">
        <f t="shared" si="175"/>
        <v>0</v>
      </c>
      <c r="AD673" s="45">
        <f t="shared" si="173"/>
        <v>0.51409978308026</v>
      </c>
      <c r="AE673" s="37">
        <v>4</v>
      </c>
      <c r="AF673" s="37" t="s">
        <v>191</v>
      </c>
      <c r="AG673" s="37" t="str">
        <f t="shared" si="172"/>
        <v>no</v>
      </c>
      <c r="AH673" s="37" t="str">
        <f t="array" ref="AH673">_xlfn.IFS(LOWER(AG673)="n","no",LOWER(AG673)="y","yes",TRUE,LOWER(AG673))</f>
        <v>no</v>
      </c>
      <c r="AI673" s="37" t="s">
        <v>4692</v>
      </c>
    </row>
    <row r="674" spans="1:35">
      <c r="A674" s="37" t="s">
        <v>2591</v>
      </c>
      <c r="B674" s="38" t="s">
        <v>4804</v>
      </c>
      <c r="C674" s="39">
        <f t="shared" si="160"/>
        <v>45395</v>
      </c>
      <c r="D674" s="40" t="s">
        <v>4700</v>
      </c>
      <c r="E674" s="37" t="str" cm="1">
        <f t="array" ref="E674">_xlfn.IFS(D674="delhi","north",D674="mumbai","west",D674="bengaluru","south",D674="chennai","south",D674="kolkata","east",TRUE,"west")</f>
        <v>west</v>
      </c>
      <c r="F674" s="37" t="s">
        <v>223</v>
      </c>
      <c r="G674" s="37" t="str">
        <f t="shared" si="161"/>
        <v>xpressbees</v>
      </c>
      <c r="H674" s="37" t="s">
        <v>99</v>
      </c>
      <c r="I674" s="37" t="str">
        <f t="shared" si="162"/>
        <v>air</v>
      </c>
      <c r="J674" s="37" t="s">
        <v>313</v>
      </c>
      <c r="K674" s="37" t="str">
        <f t="shared" si="163"/>
        <v>automotiveparts</v>
      </c>
      <c r="L674" s="37" t="s">
        <v>159</v>
      </c>
      <c r="M674" s="37" t="str">
        <f t="shared" si="164"/>
        <v>south</v>
      </c>
      <c r="N674" s="37" t="s">
        <v>93</v>
      </c>
      <c r="O674" s="41" t="str">
        <f t="shared" si="165"/>
        <v/>
      </c>
      <c r="P674" s="41" t="s">
        <v>2592</v>
      </c>
      <c r="Q674" s="41">
        <v>830</v>
      </c>
      <c r="R674" s="42">
        <f t="shared" si="166"/>
        <v>57.2413793103448</v>
      </c>
      <c r="S674" s="37">
        <v>4</v>
      </c>
      <c r="T674" s="37" t="s">
        <v>2040</v>
      </c>
      <c r="U674" s="43" t="str">
        <f t="shared" si="167"/>
        <v>16/04/2024</v>
      </c>
      <c r="V674" s="43">
        <f t="shared" si="168"/>
        <v>45398</v>
      </c>
      <c r="W674" s="44">
        <f t="array" ref="W674">_xlfn.IFS(TRIM(C674)="","",TRIM(V674)="","",TRUE,V674-C674)</f>
        <v>3</v>
      </c>
      <c r="X674" s="37">
        <f t="shared" si="169"/>
        <v>-1</v>
      </c>
      <c r="Y674" s="37" t="s">
        <v>163</v>
      </c>
      <c r="Z674" s="37" t="str">
        <f t="shared" si="170"/>
        <v>delivered</v>
      </c>
      <c r="AA674" s="37" t="str">
        <f t="shared" si="171"/>
        <v>On Time</v>
      </c>
      <c r="AB674" s="37" t="str">
        <f t="shared" si="174"/>
        <v>0</v>
      </c>
      <c r="AC674" s="37">
        <f t="shared" si="175"/>
        <v>0</v>
      </c>
      <c r="AD674" s="45">
        <f t="shared" si="173"/>
        <v>0.514657980456026</v>
      </c>
      <c r="AE674" s="37">
        <v>4</v>
      </c>
      <c r="AF674" s="37" t="s">
        <v>118</v>
      </c>
      <c r="AG674" s="37" t="str">
        <f t="shared" si="172"/>
        <v>no</v>
      </c>
      <c r="AH674" s="37" t="str">
        <f t="array" ref="AH674">_xlfn.IFS(LOWER(AG674)="n","no",LOWER(AG674)="y","yes",TRUE,LOWER(AG674))</f>
        <v>no</v>
      </c>
      <c r="AI674" s="37" t="s">
        <v>4692</v>
      </c>
    </row>
    <row r="675" spans="1:35">
      <c r="A675" s="46" t="s">
        <v>2593</v>
      </c>
      <c r="B675" s="47" t="s">
        <v>4722</v>
      </c>
      <c r="C675" s="39">
        <f t="shared" si="160"/>
        <v>45439</v>
      </c>
      <c r="D675" s="48" t="s">
        <v>4705</v>
      </c>
      <c r="E675" s="37" t="str" cm="1">
        <f t="array" ref="E675">_xlfn.IFS(D675="delhi","north",D675="mumbai","west",D675="bengaluru","south",D675="chennai","south",D675="kolkata","east",TRUE,"west")</f>
        <v>west</v>
      </c>
      <c r="F675" s="46" t="s">
        <v>156</v>
      </c>
      <c r="G675" s="37" t="str">
        <f t="shared" si="161"/>
        <v>xpressbees</v>
      </c>
      <c r="H675" s="46" t="s">
        <v>325</v>
      </c>
      <c r="I675" s="37" t="str">
        <f t="shared" si="162"/>
        <v>air</v>
      </c>
      <c r="J675" s="46" t="s">
        <v>498</v>
      </c>
      <c r="K675" s="37" t="str">
        <f t="shared" si="163"/>
        <v>apparel</v>
      </c>
      <c r="L675" s="46" t="s">
        <v>470</v>
      </c>
      <c r="M675" s="37" t="str">
        <f t="shared" si="164"/>
        <v>east</v>
      </c>
      <c r="N675" s="46" t="s">
        <v>294</v>
      </c>
      <c r="O675" s="41" t="str">
        <f t="shared" si="165"/>
        <v>Yes</v>
      </c>
      <c r="P675" s="49">
        <v>1.9</v>
      </c>
      <c r="Q675" s="49" t="s">
        <v>2594</v>
      </c>
      <c r="R675" s="42">
        <f t="shared" si="166"/>
        <v>121.052631578947</v>
      </c>
      <c r="S675" s="46">
        <v>4</v>
      </c>
      <c r="T675" s="46" t="s">
        <v>2595</v>
      </c>
      <c r="U675" s="43" t="str">
        <f t="shared" si="167"/>
        <v>07-jun-2024</v>
      </c>
      <c r="V675" s="43">
        <f t="shared" si="168"/>
        <v>45450</v>
      </c>
      <c r="W675" s="44">
        <f t="array" ref="W675">_xlfn.IFS(TRIM(C675)="","",TRIM(V675)="","",TRUE,V675-C675)</f>
        <v>11</v>
      </c>
      <c r="X675" s="37">
        <f t="shared" si="169"/>
        <v>7</v>
      </c>
      <c r="Y675" s="46" t="s">
        <v>1513</v>
      </c>
      <c r="Z675" s="37" t="str">
        <f t="shared" si="170"/>
        <v>damaged</v>
      </c>
      <c r="AA675" s="37" t="str">
        <f t="shared" si="171"/>
        <v>Late</v>
      </c>
      <c r="AB675" s="37" t="str">
        <f t="shared" si="174"/>
        <v>1</v>
      </c>
      <c r="AC675" s="37">
        <f t="shared" si="175"/>
        <v>1</v>
      </c>
      <c r="AD675" s="45">
        <f t="shared" si="173"/>
        <v>0.515217391304348</v>
      </c>
      <c r="AE675" s="46"/>
      <c r="AF675" s="46" t="s">
        <v>118</v>
      </c>
      <c r="AG675" s="37" t="str">
        <f t="shared" si="172"/>
        <v>no</v>
      </c>
      <c r="AH675" s="37" t="str">
        <f t="array" ref="AH675">_xlfn.IFS(LOWER(AG675)="n","no",LOWER(AG675)="y","yes",TRUE,LOWER(AG675))</f>
        <v>no</v>
      </c>
      <c r="AI675" s="46" t="s">
        <v>132</v>
      </c>
    </row>
    <row r="676" spans="1:35">
      <c r="A676" s="37" t="s">
        <v>2596</v>
      </c>
      <c r="B676" s="38" t="s">
        <v>4812</v>
      </c>
      <c r="C676" s="39">
        <f t="shared" si="160"/>
        <v>45338</v>
      </c>
      <c r="D676" s="40" t="s">
        <v>424</v>
      </c>
      <c r="E676" s="37" t="str" cm="1">
        <f t="array" ref="E676">_xlfn.IFS(D676="delhi","north",D676="mumbai","west",D676="bengaluru","south",D676="chennai","south",D676="kolkata","east",TRUE,"west")</f>
        <v>south</v>
      </c>
      <c r="F676" s="37" t="s">
        <v>213</v>
      </c>
      <c r="G676" s="37" t="str">
        <f t="shared" si="161"/>
        <v>dtdc</v>
      </c>
      <c r="H676" s="37" t="s">
        <v>325</v>
      </c>
      <c r="I676" s="37" t="str">
        <f t="shared" si="162"/>
        <v>air</v>
      </c>
      <c r="J676" s="37" t="s">
        <v>271</v>
      </c>
      <c r="K676" s="37" t="str">
        <f t="shared" si="163"/>
        <v>electronics</v>
      </c>
      <c r="L676" s="37" t="s">
        <v>401</v>
      </c>
      <c r="M676" s="37" t="str">
        <f t="shared" si="164"/>
        <v>south</v>
      </c>
      <c r="N676" s="37" t="s">
        <v>90</v>
      </c>
      <c r="O676" s="41" t="str">
        <f t="shared" si="165"/>
        <v>Yes</v>
      </c>
      <c r="P676" s="41">
        <v>1.5</v>
      </c>
      <c r="Q676" s="41">
        <v>80</v>
      </c>
      <c r="R676" s="42">
        <f t="shared" si="166"/>
        <v>53.3333333333333</v>
      </c>
      <c r="S676" s="37">
        <v>2</v>
      </c>
      <c r="T676" s="37" t="s">
        <v>2030</v>
      </c>
      <c r="U676" s="43" t="str">
        <f t="shared" si="167"/>
        <v>17/02/2024</v>
      </c>
      <c r="V676" s="43">
        <f t="shared" si="168"/>
        <v>45339</v>
      </c>
      <c r="W676" s="44">
        <f t="array" ref="W676">_xlfn.IFS(TRIM(C676)="","",TRIM(V676)="","",TRUE,V676-C676)</f>
        <v>1</v>
      </c>
      <c r="X676" s="37">
        <f t="shared" si="169"/>
        <v>-1</v>
      </c>
      <c r="Y676" s="37" t="s">
        <v>219</v>
      </c>
      <c r="Z676" s="37" t="str">
        <f t="shared" si="170"/>
        <v>delivered</v>
      </c>
      <c r="AA676" s="37" t="str">
        <f t="shared" si="171"/>
        <v>On Time</v>
      </c>
      <c r="AB676" s="37" t="str">
        <f t="shared" si="174"/>
        <v>0</v>
      </c>
      <c r="AC676" s="37">
        <f t="shared" si="175"/>
        <v>0</v>
      </c>
      <c r="AD676" s="45">
        <f t="shared" si="173"/>
        <v>0.514689880304679</v>
      </c>
      <c r="AE676" s="37">
        <v>5</v>
      </c>
      <c r="AF676" s="37" t="s">
        <v>131</v>
      </c>
      <c r="AG676" s="37" t="str">
        <f t="shared" si="172"/>
        <v>n</v>
      </c>
      <c r="AH676" s="37" t="str">
        <f t="array" ref="AH676">_xlfn.IFS(LOWER(AG676)="n","no",LOWER(AG676)="y","yes",TRUE,LOWER(AG676))</f>
        <v>no</v>
      </c>
      <c r="AI676" s="37" t="s">
        <v>4692</v>
      </c>
    </row>
    <row r="677" spans="1:35">
      <c r="A677" s="46" t="s">
        <v>2597</v>
      </c>
      <c r="B677" s="47">
        <v>45299</v>
      </c>
      <c r="C677" s="39">
        <f t="shared" si="160"/>
        <v>45299</v>
      </c>
      <c r="D677" s="48" t="s">
        <v>4700</v>
      </c>
      <c r="E677" s="37" t="str" cm="1">
        <f t="array" ref="E677">_xlfn.IFS(D677="delhi","north",D677="mumbai","west",D677="bengaluru","south",D677="chennai","south",D677="kolkata","east",TRUE,"west")</f>
        <v>west</v>
      </c>
      <c r="F677" s="46" t="s">
        <v>136</v>
      </c>
      <c r="G677" s="37" t="str">
        <f t="shared" si="161"/>
        <v>bluedart</v>
      </c>
      <c r="H677" s="46" t="s">
        <v>137</v>
      </c>
      <c r="I677" s="37" t="str">
        <f t="shared" si="162"/>
        <v>road</v>
      </c>
      <c r="J677" s="46" t="s">
        <v>843</v>
      </c>
      <c r="K677" s="37" t="str">
        <f t="shared" si="163"/>
        <v>automotiveparts</v>
      </c>
      <c r="L677" s="46" t="s">
        <v>125</v>
      </c>
      <c r="M677" s="37" t="str">
        <f t="shared" si="164"/>
        <v>east</v>
      </c>
      <c r="N677" s="46" t="s">
        <v>396</v>
      </c>
      <c r="O677" s="41" t="str">
        <f t="shared" si="165"/>
        <v/>
      </c>
      <c r="P677" s="49">
        <v>10.7</v>
      </c>
      <c r="Q677" s="49">
        <v>321</v>
      </c>
      <c r="R677" s="42">
        <f t="shared" si="166"/>
        <v>30</v>
      </c>
      <c r="S677" s="46">
        <v>8</v>
      </c>
      <c r="T677" s="46" t="s">
        <v>1152</v>
      </c>
      <c r="U677" s="43" t="str">
        <f t="shared" si="167"/>
        <v>2024-01-17</v>
      </c>
      <c r="V677" s="43">
        <f t="shared" si="168"/>
        <v>45308</v>
      </c>
      <c r="W677" s="44">
        <f t="array" ref="W677">_xlfn.IFS(TRIM(C677)="","",TRIM(V677)="","",TRUE,V677-C677)</f>
        <v>9</v>
      </c>
      <c r="X677" s="37">
        <f t="shared" si="169"/>
        <v>1</v>
      </c>
      <c r="Y677" s="46" t="s">
        <v>200</v>
      </c>
      <c r="Z677" s="37" t="str">
        <f t="shared" si="170"/>
        <v>delayed</v>
      </c>
      <c r="AA677" s="37" t="str">
        <f t="shared" si="171"/>
        <v>Late</v>
      </c>
      <c r="AB677" s="37" t="str">
        <f t="shared" si="174"/>
        <v>1</v>
      </c>
      <c r="AC677" s="37">
        <f t="shared" si="175"/>
        <v>1</v>
      </c>
      <c r="AD677" s="45">
        <f t="shared" si="173"/>
        <v>0.515250544662309</v>
      </c>
      <c r="AE677" s="46">
        <v>4</v>
      </c>
      <c r="AF677" s="46" t="s">
        <v>131</v>
      </c>
      <c r="AG677" s="37" t="str">
        <f t="shared" si="172"/>
        <v>n</v>
      </c>
      <c r="AH677" s="37" t="str">
        <f t="array" ref="AH677">_xlfn.IFS(LOWER(AG677)="n","no",LOWER(AG677)="y","yes",TRUE,LOWER(AG677))</f>
        <v>no</v>
      </c>
      <c r="AI677" s="46" t="s">
        <v>4692</v>
      </c>
    </row>
    <row r="678" spans="1:35">
      <c r="A678" s="37" t="s">
        <v>2599</v>
      </c>
      <c r="B678" s="38">
        <v>45333</v>
      </c>
      <c r="C678" s="39">
        <f t="shared" si="160"/>
        <v>45333</v>
      </c>
      <c r="D678" s="40" t="s">
        <v>4704</v>
      </c>
      <c r="E678" s="37" t="str" cm="1">
        <f t="array" ref="E678">_xlfn.IFS(D678="delhi","north",D678="mumbai","west",D678="bengaluru","south",D678="chennai","south",D678="kolkata","east",TRUE,"west")</f>
        <v>west</v>
      </c>
      <c r="F678" s="37" t="s">
        <v>544</v>
      </c>
      <c r="G678" s="37" t="str">
        <f t="shared" si="161"/>
        <v>bluedart</v>
      </c>
      <c r="H678" s="37" t="s">
        <v>345</v>
      </c>
      <c r="I678" s="37" t="str">
        <f t="shared" si="162"/>
        <v>surface</v>
      </c>
      <c r="J678" s="37" t="s">
        <v>283</v>
      </c>
      <c r="K678" s="37" t="str">
        <f t="shared" si="163"/>
        <v>pharma</v>
      </c>
      <c r="L678" s="37" t="s">
        <v>380</v>
      </c>
      <c r="M678" s="37" t="str">
        <f t="shared" si="164"/>
        <v>east</v>
      </c>
      <c r="N678" s="37" t="s">
        <v>91</v>
      </c>
      <c r="O678" s="41" t="str">
        <f t="shared" si="165"/>
        <v>Yes</v>
      </c>
      <c r="P678" s="41">
        <v>4.5</v>
      </c>
      <c r="Q678" s="41" t="s">
        <v>2600</v>
      </c>
      <c r="R678" s="42">
        <f t="shared" si="166"/>
        <v>21.7777777777778</v>
      </c>
      <c r="S678" s="37">
        <v>4</v>
      </c>
      <c r="T678" s="37" t="s">
        <v>602</v>
      </c>
      <c r="U678" s="43" t="str">
        <f t="shared" si="167"/>
        <v>15/02/2024</v>
      </c>
      <c r="V678" s="43">
        <f t="shared" si="168"/>
        <v>45337</v>
      </c>
      <c r="W678" s="44">
        <f t="array" ref="W678">_xlfn.IFS(TRIM(C678)="","",TRIM(V678)="","",TRUE,V678-C678)</f>
        <v>4</v>
      </c>
      <c r="X678" s="37">
        <f t="shared" si="169"/>
        <v>0</v>
      </c>
      <c r="Y678" s="37" t="s">
        <v>219</v>
      </c>
      <c r="Z678" s="37" t="str">
        <f t="shared" si="170"/>
        <v>delivered</v>
      </c>
      <c r="AA678" s="37" t="str">
        <f t="shared" si="171"/>
        <v>On Time</v>
      </c>
      <c r="AB678" s="37" t="str">
        <f t="shared" si="174"/>
        <v>0</v>
      </c>
      <c r="AC678" s="37">
        <f t="shared" si="175"/>
        <v>0</v>
      </c>
      <c r="AD678" s="45">
        <f t="shared" si="173"/>
        <v>0.514721919302072</v>
      </c>
      <c r="AE678" s="37">
        <v>5</v>
      </c>
      <c r="AF678" s="37" t="s">
        <v>131</v>
      </c>
      <c r="AG678" s="37" t="str">
        <f t="shared" si="172"/>
        <v>n</v>
      </c>
      <c r="AH678" s="37" t="str">
        <f t="array" ref="AH678">_xlfn.IFS(LOWER(AG678)="n","no",LOWER(AG678)="y","yes",TRUE,LOWER(AG678))</f>
        <v>no</v>
      </c>
      <c r="AI678" s="37" t="s">
        <v>4692</v>
      </c>
    </row>
    <row r="679" spans="1:35">
      <c r="A679" s="46" t="s">
        <v>2601</v>
      </c>
      <c r="B679" s="47">
        <v>45431</v>
      </c>
      <c r="C679" s="39">
        <f t="shared" si="160"/>
        <v>45431</v>
      </c>
      <c r="D679" s="48" t="s">
        <v>4700</v>
      </c>
      <c r="E679" s="37" t="str" cm="1">
        <f t="array" ref="E679">_xlfn.IFS(D679="delhi","north",D679="mumbai","west",D679="bengaluru","south",D679="chennai","south",D679="kolkata","east",TRUE,"west")</f>
        <v>west</v>
      </c>
      <c r="F679" s="46" t="s">
        <v>270</v>
      </c>
      <c r="G679" s="37" t="str">
        <f t="shared" si="161"/>
        <v>ecomexpress</v>
      </c>
      <c r="H679" s="46" t="s">
        <v>244</v>
      </c>
      <c r="I679" s="37" t="str">
        <f t="shared" si="162"/>
        <v>air</v>
      </c>
      <c r="J679" s="46" t="s">
        <v>186</v>
      </c>
      <c r="K679" s="37" t="str">
        <f t="shared" si="163"/>
        <v>automotiveparts</v>
      </c>
      <c r="L679" s="46" t="s">
        <v>302</v>
      </c>
      <c r="M679" s="37" t="str">
        <f t="shared" si="164"/>
        <v>east</v>
      </c>
      <c r="N679" s="46" t="s">
        <v>91</v>
      </c>
      <c r="O679" s="41" t="str">
        <f t="shared" si="165"/>
        <v/>
      </c>
      <c r="P679" s="49" t="s">
        <v>2603</v>
      </c>
      <c r="Q679" s="49">
        <v>581</v>
      </c>
      <c r="R679" s="42">
        <f t="shared" si="166"/>
        <v>70</v>
      </c>
      <c r="S679" s="46">
        <v>4</v>
      </c>
      <c r="T679" s="46" t="s">
        <v>2179</v>
      </c>
      <c r="U679" s="43" t="str">
        <f t="shared" si="167"/>
        <v>22-may-2024</v>
      </c>
      <c r="V679" s="43">
        <f t="shared" si="168"/>
        <v>45434</v>
      </c>
      <c r="W679" s="44">
        <f t="array" ref="W679">_xlfn.IFS(TRIM(C679)="","",TRIM(V679)="","",TRUE,V679-C679)</f>
        <v>3</v>
      </c>
      <c r="X679" s="37">
        <f t="shared" si="169"/>
        <v>-1</v>
      </c>
      <c r="Y679" s="46" t="s">
        <v>219</v>
      </c>
      <c r="Z679" s="37" t="str">
        <f t="shared" si="170"/>
        <v>delivered</v>
      </c>
      <c r="AA679" s="37" t="str">
        <f t="shared" si="171"/>
        <v>On Time</v>
      </c>
      <c r="AB679" s="37" t="str">
        <f t="shared" si="174"/>
        <v>0</v>
      </c>
      <c r="AC679" s="37">
        <f t="shared" si="175"/>
        <v>0</v>
      </c>
      <c r="AD679" s="45">
        <f t="shared" si="173"/>
        <v>0.51528384279476</v>
      </c>
      <c r="AE679" s="46">
        <v>5</v>
      </c>
      <c r="AF679" s="46" t="s">
        <v>152</v>
      </c>
      <c r="AG679" s="37" t="str">
        <f t="shared" si="172"/>
        <v>no</v>
      </c>
      <c r="AH679" s="37" t="str">
        <f t="array" ref="AH679">_xlfn.IFS(LOWER(AG679)="n","no",LOWER(AG679)="y","yes",TRUE,LOWER(AG679))</f>
        <v>no</v>
      </c>
      <c r="AI679" s="46" t="s">
        <v>4692</v>
      </c>
    </row>
    <row r="680" spans="1:35">
      <c r="A680" s="37" t="s">
        <v>2605</v>
      </c>
      <c r="B680" s="38">
        <v>45305</v>
      </c>
      <c r="C680" s="39">
        <f t="shared" si="160"/>
        <v>45305</v>
      </c>
      <c r="D680" s="40" t="s">
        <v>633</v>
      </c>
      <c r="E680" s="37" t="str" cm="1">
        <f t="array" ref="E680">_xlfn.IFS(D680="delhi","north",D680="mumbai","west",D680="bengaluru","south",D680="chennai","south",D680="kolkata","east",TRUE,"west")</f>
        <v>south</v>
      </c>
      <c r="F680" s="37" t="s">
        <v>270</v>
      </c>
      <c r="G680" s="37" t="str">
        <f t="shared" si="161"/>
        <v>ecomexpress</v>
      </c>
      <c r="H680" s="37" t="s">
        <v>42</v>
      </c>
      <c r="I680" s="37" t="str">
        <f t="shared" si="162"/>
        <v>surface</v>
      </c>
      <c r="J680" s="37" t="s">
        <v>1734</v>
      </c>
      <c r="K680" s="37" t="str">
        <f t="shared" si="163"/>
        <v>automotiveparts</v>
      </c>
      <c r="L680" s="37" t="s">
        <v>197</v>
      </c>
      <c r="M680" s="37" t="str">
        <f t="shared" si="164"/>
        <v>south</v>
      </c>
      <c r="N680" s="37" t="s">
        <v>90</v>
      </c>
      <c r="O680" s="41" t="str">
        <f t="shared" si="165"/>
        <v>Yes</v>
      </c>
      <c r="P680" s="41">
        <v>6.7</v>
      </c>
      <c r="Q680" s="41">
        <v>167</v>
      </c>
      <c r="R680" s="42">
        <f t="shared" si="166"/>
        <v>24.9253731343284</v>
      </c>
      <c r="S680" s="37">
        <v>4</v>
      </c>
      <c r="T680" s="37" t="s">
        <v>1782</v>
      </c>
      <c r="U680" s="43" t="str">
        <f t="shared" si="167"/>
        <v>19/01/2024</v>
      </c>
      <c r="V680" s="43">
        <f t="shared" si="168"/>
        <v>45310</v>
      </c>
      <c r="W680" s="44">
        <f t="array" ref="W680">_xlfn.IFS(TRIM(C680)="","",TRIM(V680)="","",TRUE,V680-C680)</f>
        <v>5</v>
      </c>
      <c r="X680" s="37">
        <f t="shared" si="169"/>
        <v>1</v>
      </c>
      <c r="Y680" s="37" t="s">
        <v>172</v>
      </c>
      <c r="Z680" s="37" t="str">
        <f t="shared" si="170"/>
        <v>delayed</v>
      </c>
      <c r="AA680" s="37" t="str">
        <f t="shared" si="171"/>
        <v>Late</v>
      </c>
      <c r="AB680" s="37" t="str">
        <f t="shared" si="174"/>
        <v>1</v>
      </c>
      <c r="AC680" s="37">
        <f t="shared" si="175"/>
        <v>1</v>
      </c>
      <c r="AD680" s="45">
        <f t="shared" si="173"/>
        <v>0.515846994535519</v>
      </c>
      <c r="AE680" s="37">
        <v>1</v>
      </c>
      <c r="AF680" s="37" t="s">
        <v>152</v>
      </c>
      <c r="AG680" s="37" t="str">
        <f t="shared" si="172"/>
        <v>no</v>
      </c>
      <c r="AH680" s="37" t="str">
        <f t="array" ref="AH680">_xlfn.IFS(LOWER(AG680)="n","no",LOWER(AG680)="y","yes",TRUE,LOWER(AG680))</f>
        <v>no</v>
      </c>
      <c r="AI680" s="37" t="s">
        <v>4692</v>
      </c>
    </row>
    <row r="681" spans="1:35">
      <c r="A681" s="46" t="s">
        <v>2608</v>
      </c>
      <c r="B681" s="47">
        <v>45389</v>
      </c>
      <c r="C681" s="39">
        <f t="shared" si="160"/>
        <v>45389</v>
      </c>
      <c r="D681" s="48" t="s">
        <v>4704</v>
      </c>
      <c r="E681" s="37" t="str" cm="1">
        <f t="array" ref="E681">_xlfn.IFS(D681="delhi","north",D681="mumbai","west",D681="bengaluru","south",D681="chennai","south",D681="kolkata","east",TRUE,"west")</f>
        <v>west</v>
      </c>
      <c r="F681" s="46" t="s">
        <v>213</v>
      </c>
      <c r="G681" s="37" t="str">
        <f t="shared" si="161"/>
        <v>dtdc</v>
      </c>
      <c r="H681" s="46" t="s">
        <v>195</v>
      </c>
      <c r="I681" s="37" t="str">
        <f t="shared" si="162"/>
        <v>road</v>
      </c>
      <c r="J681" s="46" t="s">
        <v>124</v>
      </c>
      <c r="K681" s="37" t="str">
        <f t="shared" si="163"/>
        <v>automotiveparts</v>
      </c>
      <c r="L681" s="46" t="s">
        <v>51</v>
      </c>
      <c r="M681" s="37" t="str">
        <f t="shared" si="164"/>
        <v>south</v>
      </c>
      <c r="N681" s="46" t="s">
        <v>327</v>
      </c>
      <c r="O681" s="41" t="str">
        <f t="shared" si="165"/>
        <v>Yes</v>
      </c>
      <c r="P681" s="49">
        <v>10.8</v>
      </c>
      <c r="Q681" s="49" t="s">
        <v>2610</v>
      </c>
      <c r="R681" s="42">
        <f t="shared" si="166"/>
        <v>32.962962962963</v>
      </c>
      <c r="S681" s="46">
        <v>8</v>
      </c>
      <c r="T681" s="46" t="s">
        <v>2611</v>
      </c>
      <c r="U681" s="43" t="str">
        <f t="shared" si="167"/>
        <v>2024-04-15</v>
      </c>
      <c r="V681" s="43">
        <f t="shared" si="168"/>
        <v>45397</v>
      </c>
      <c r="W681" s="44">
        <f t="array" ref="W681">_xlfn.IFS(TRIM(C681)="","",TRIM(V681)="","",TRUE,V681-C681)</f>
        <v>8</v>
      </c>
      <c r="X681" s="37">
        <f t="shared" si="169"/>
        <v>0</v>
      </c>
      <c r="Y681" s="46" t="s">
        <v>117</v>
      </c>
      <c r="Z681" s="37" t="str">
        <f t="shared" si="170"/>
        <v>delivered</v>
      </c>
      <c r="AA681" s="37" t="str">
        <f t="shared" si="171"/>
        <v>On Time</v>
      </c>
      <c r="AB681" s="37" t="str">
        <f t="shared" si="174"/>
        <v>0</v>
      </c>
      <c r="AC681" s="37">
        <f t="shared" si="175"/>
        <v>0</v>
      </c>
      <c r="AD681" s="45">
        <f t="shared" si="173"/>
        <v>0.515317286652079</v>
      </c>
      <c r="AE681" s="46">
        <v>2</v>
      </c>
      <c r="AF681" s="46" t="s">
        <v>191</v>
      </c>
      <c r="AG681" s="37" t="str">
        <f t="shared" si="172"/>
        <v>no</v>
      </c>
      <c r="AH681" s="37" t="str">
        <f t="array" ref="AH681">_xlfn.IFS(LOWER(AG681)="n","no",LOWER(AG681)="y","yes",TRUE,LOWER(AG681))</f>
        <v>no</v>
      </c>
      <c r="AI681" s="46" t="s">
        <v>4692</v>
      </c>
    </row>
    <row r="682" spans="1:35">
      <c r="A682" s="37" t="s">
        <v>2612</v>
      </c>
      <c r="B682" s="38">
        <v>45468</v>
      </c>
      <c r="C682" s="39">
        <f t="shared" si="160"/>
        <v>45468</v>
      </c>
      <c r="D682" s="40" t="s">
        <v>424</v>
      </c>
      <c r="E682" s="37" t="str" cm="1">
        <f t="array" ref="E682">_xlfn.IFS(D682="delhi","north",D682="mumbai","west",D682="bengaluru","south",D682="chennai","south",D682="kolkata","east",TRUE,"west")</f>
        <v>south</v>
      </c>
      <c r="F682" s="37" t="s">
        <v>919</v>
      </c>
      <c r="G682" s="37" t="str">
        <f t="shared" si="161"/>
        <v>xpressbees</v>
      </c>
      <c r="H682" s="37" t="s">
        <v>325</v>
      </c>
      <c r="I682" s="37" t="str">
        <f t="shared" si="162"/>
        <v>air</v>
      </c>
      <c r="J682" s="37" t="s">
        <v>843</v>
      </c>
      <c r="K682" s="37" t="str">
        <f t="shared" si="163"/>
        <v>automotiveparts</v>
      </c>
      <c r="L682" s="37" t="s">
        <v>470</v>
      </c>
      <c r="M682" s="37" t="str">
        <f t="shared" si="164"/>
        <v>east</v>
      </c>
      <c r="N682" s="37" t="s">
        <v>91</v>
      </c>
      <c r="O682" s="41" t="str">
        <f t="shared" si="165"/>
        <v>Yes</v>
      </c>
      <c r="P682" s="41" t="s">
        <v>1279</v>
      </c>
      <c r="Q682" s="50">
        <v>1953</v>
      </c>
      <c r="R682" s="42">
        <f t="shared" si="166"/>
        <v>49.3181818181818</v>
      </c>
      <c r="S682" s="37">
        <v>4</v>
      </c>
      <c r="T682" s="37" t="s">
        <v>2005</v>
      </c>
      <c r="U682" s="43" t="str">
        <f t="shared" si="167"/>
        <v>30/06/2024</v>
      </c>
      <c r="V682" s="43">
        <f t="shared" si="168"/>
        <v>45473</v>
      </c>
      <c r="W682" s="44">
        <f t="array" ref="W682">_xlfn.IFS(TRIM(C682)="","",TRIM(V682)="","",TRUE,V682-C682)</f>
        <v>5</v>
      </c>
      <c r="X682" s="37">
        <f t="shared" si="169"/>
        <v>1</v>
      </c>
      <c r="Y682" s="37" t="s">
        <v>72</v>
      </c>
      <c r="Z682" s="37" t="str">
        <f t="shared" si="170"/>
        <v>delayed</v>
      </c>
      <c r="AA682" s="37" t="str">
        <f t="shared" si="171"/>
        <v>Late</v>
      </c>
      <c r="AB682" s="37" t="str">
        <f t="shared" si="174"/>
        <v>1</v>
      </c>
      <c r="AC682" s="37">
        <f t="shared" si="175"/>
        <v>1</v>
      </c>
      <c r="AD682" s="45">
        <f t="shared" si="173"/>
        <v>0.515881708652793</v>
      </c>
      <c r="AE682" s="37">
        <v>3</v>
      </c>
      <c r="AF682" s="37" t="s">
        <v>181</v>
      </c>
      <c r="AG682" s="37" t="str">
        <f t="shared" si="172"/>
        <v>y</v>
      </c>
      <c r="AH682" s="37" t="str">
        <f t="array" ref="AH682">_xlfn.IFS(LOWER(AG682)="n","no",LOWER(AG682)="y","yes",TRUE,LOWER(AG682))</f>
        <v>yes</v>
      </c>
      <c r="AI682" s="37" t="s">
        <v>4692</v>
      </c>
    </row>
    <row r="683" spans="1:35">
      <c r="A683" s="46" t="s">
        <v>2614</v>
      </c>
      <c r="B683" s="47">
        <v>45467</v>
      </c>
      <c r="C683" s="39">
        <f t="shared" si="160"/>
        <v>45467</v>
      </c>
      <c r="D683" s="48" t="s">
        <v>222</v>
      </c>
      <c r="E683" s="37" t="str" cm="1">
        <f t="array" ref="E683">_xlfn.IFS(D683="delhi","north",D683="mumbai","west",D683="bengaluru","south",D683="chennai","south",D683="kolkata","east",TRUE,"west")</f>
        <v>west</v>
      </c>
      <c r="F683" s="46" t="s">
        <v>194</v>
      </c>
      <c r="G683" s="37" t="str">
        <f t="shared" si="161"/>
        <v>xpressbees</v>
      </c>
      <c r="H683" s="46" t="s">
        <v>224</v>
      </c>
      <c r="I683" s="37" t="str">
        <f t="shared" si="162"/>
        <v>air</v>
      </c>
      <c r="J683" s="46" t="s">
        <v>158</v>
      </c>
      <c r="K683" s="37" t="str">
        <f t="shared" si="163"/>
        <v>pharma</v>
      </c>
      <c r="L683" s="46" t="s">
        <v>139</v>
      </c>
      <c r="M683" s="37" t="str">
        <f t="shared" si="164"/>
        <v>north</v>
      </c>
      <c r="N683" s="46" t="s">
        <v>113</v>
      </c>
      <c r="O683" s="41" t="str">
        <f t="shared" si="165"/>
        <v>Yes</v>
      </c>
      <c r="P683" s="49">
        <v>3.9</v>
      </c>
      <c r="Q683" s="49">
        <v>305</v>
      </c>
      <c r="R683" s="42">
        <f t="shared" si="166"/>
        <v>78.2051282051282</v>
      </c>
      <c r="S683" s="46">
        <v>4</v>
      </c>
      <c r="T683" s="46" t="s">
        <v>1120</v>
      </c>
      <c r="U683" s="43" t="str">
        <f t="shared" si="167"/>
        <v>03/07/2024</v>
      </c>
      <c r="V683" s="43">
        <f t="shared" si="168"/>
        <v>45476</v>
      </c>
      <c r="W683" s="44">
        <f t="array" ref="W683">_xlfn.IFS(TRIM(C683)="","",TRIM(V683)="","",TRUE,V683-C683)</f>
        <v>9</v>
      </c>
      <c r="X683" s="37">
        <f t="shared" si="169"/>
        <v>5</v>
      </c>
      <c r="Y683" s="46" t="s">
        <v>172</v>
      </c>
      <c r="Z683" s="37" t="str">
        <f t="shared" si="170"/>
        <v>delayed</v>
      </c>
      <c r="AA683" s="37" t="str">
        <f t="shared" si="171"/>
        <v>Late</v>
      </c>
      <c r="AB683" s="37" t="str">
        <f t="shared" si="174"/>
        <v>1</v>
      </c>
      <c r="AC683" s="37">
        <f t="shared" si="175"/>
        <v>1</v>
      </c>
      <c r="AD683" s="45">
        <f t="shared" si="173"/>
        <v>0.515350877192982</v>
      </c>
      <c r="AE683" s="46">
        <v>3</v>
      </c>
      <c r="AF683" s="46" t="s">
        <v>191</v>
      </c>
      <c r="AG683" s="37" t="str">
        <f t="shared" si="172"/>
        <v>no</v>
      </c>
      <c r="AH683" s="37" t="str">
        <f t="array" ref="AH683">_xlfn.IFS(LOWER(AG683)="n","no",LOWER(AG683)="y","yes",TRUE,LOWER(AG683))</f>
        <v>no</v>
      </c>
      <c r="AI683" s="46" t="s">
        <v>4692</v>
      </c>
    </row>
    <row r="684" spans="1:35">
      <c r="A684" s="37" t="s">
        <v>2616</v>
      </c>
      <c r="B684" s="38">
        <v>45343</v>
      </c>
      <c r="C684" s="39">
        <f t="shared" si="160"/>
        <v>45343</v>
      </c>
      <c r="D684" s="40" t="s">
        <v>109</v>
      </c>
      <c r="E684" s="37" t="str" cm="1">
        <f t="array" ref="E684">_xlfn.IFS(D684="delhi","north",D684="mumbai","west",D684="bengaluru","south",D684="chennai","south",D684="kolkata","east",TRUE,"west")</f>
        <v>west</v>
      </c>
      <c r="F684" s="37" t="s">
        <v>204</v>
      </c>
      <c r="G684" s="37" t="str">
        <f t="shared" si="161"/>
        <v>delhivery</v>
      </c>
      <c r="H684" s="37" t="s">
        <v>147</v>
      </c>
      <c r="I684" s="37" t="str">
        <f t="shared" si="162"/>
        <v>road</v>
      </c>
      <c r="J684" s="37" t="s">
        <v>533</v>
      </c>
      <c r="K684" s="37" t="str">
        <f t="shared" si="163"/>
        <v>pharma</v>
      </c>
      <c r="L684" s="37" t="s">
        <v>380</v>
      </c>
      <c r="M684" s="37" t="str">
        <f t="shared" si="164"/>
        <v>east</v>
      </c>
      <c r="N684" s="37" t="s">
        <v>396</v>
      </c>
      <c r="O684" s="41" t="str">
        <f t="shared" si="165"/>
        <v>Yes</v>
      </c>
      <c r="P684" s="41">
        <v>3.4</v>
      </c>
      <c r="Q684" s="41">
        <v>220</v>
      </c>
      <c r="R684" s="42">
        <f t="shared" si="166"/>
        <v>64.7058823529412</v>
      </c>
      <c r="S684" s="37">
        <v>8</v>
      </c>
      <c r="T684" s="37" t="s">
        <v>2618</v>
      </c>
      <c r="U684" s="43" t="str">
        <f t="shared" si="167"/>
        <v>2024-03-01</v>
      </c>
      <c r="V684" s="43">
        <f t="shared" si="168"/>
        <v>45352</v>
      </c>
      <c r="W684" s="44">
        <f t="array" ref="W684">_xlfn.IFS(TRIM(C684)="","",TRIM(V684)="","",TRUE,V684-C684)</f>
        <v>9</v>
      </c>
      <c r="X684" s="37">
        <f t="shared" si="169"/>
        <v>1</v>
      </c>
      <c r="Y684" s="37" t="s">
        <v>143</v>
      </c>
      <c r="Z684" s="37" t="str">
        <f t="shared" si="170"/>
        <v>delayed</v>
      </c>
      <c r="AA684" s="37" t="str">
        <f t="shared" si="171"/>
        <v>Late</v>
      </c>
      <c r="AB684" s="37" t="str">
        <f t="shared" si="174"/>
        <v>1</v>
      </c>
      <c r="AC684" s="37">
        <f t="shared" si="175"/>
        <v>1</v>
      </c>
      <c r="AD684" s="45">
        <f t="shared" si="173"/>
        <v>0.514818880351262</v>
      </c>
      <c r="AE684" s="37">
        <v>3</v>
      </c>
      <c r="AF684" s="37" t="s">
        <v>118</v>
      </c>
      <c r="AG684" s="37" t="str">
        <f t="shared" si="172"/>
        <v>no</v>
      </c>
      <c r="AH684" s="37" t="str">
        <f t="array" ref="AH684">_xlfn.IFS(LOWER(AG684)="n","no",LOWER(AG684)="y","yes",TRUE,LOWER(AG684))</f>
        <v>no</v>
      </c>
      <c r="AI684" s="37" t="s">
        <v>4692</v>
      </c>
    </row>
    <row r="685" spans="1:35">
      <c r="A685" s="46" t="s">
        <v>2619</v>
      </c>
      <c r="B685" s="47" t="s">
        <v>4813</v>
      </c>
      <c r="C685" s="39">
        <f t="shared" si="160"/>
        <v>45354</v>
      </c>
      <c r="D685" s="48" t="s">
        <v>212</v>
      </c>
      <c r="E685" s="37" t="str" cm="1">
        <f t="array" ref="E685">_xlfn.IFS(D685="delhi","north",D685="mumbai","west",D685="bengaluru","south",D685="chennai","south",D685="kolkata","east",TRUE,"west")</f>
        <v>west</v>
      </c>
      <c r="F685" s="46" t="s">
        <v>352</v>
      </c>
      <c r="G685" s="37" t="str">
        <f t="shared" si="161"/>
        <v>delhivery</v>
      </c>
      <c r="H685" s="46" t="s">
        <v>345</v>
      </c>
      <c r="I685" s="37" t="str">
        <f t="shared" si="162"/>
        <v>surface</v>
      </c>
      <c r="J685" s="46" t="s">
        <v>177</v>
      </c>
      <c r="K685" s="37" t="str">
        <f t="shared" si="163"/>
        <v>pharma</v>
      </c>
      <c r="L685" s="46" t="s">
        <v>112</v>
      </c>
      <c r="M685" s="37" t="str">
        <f t="shared" si="164"/>
        <v>north</v>
      </c>
      <c r="N685" s="46" t="s">
        <v>215</v>
      </c>
      <c r="O685" s="41" t="str">
        <f t="shared" si="165"/>
        <v>Yes</v>
      </c>
      <c r="P685" s="49">
        <v>1.5</v>
      </c>
      <c r="Q685" s="49">
        <v>197</v>
      </c>
      <c r="R685" s="42">
        <f t="shared" si="166"/>
        <v>131.333333333333</v>
      </c>
      <c r="S685" s="46">
        <v>6</v>
      </c>
      <c r="T685" s="46" t="s">
        <v>1377</v>
      </c>
      <c r="U685" s="43" t="str">
        <f t="shared" si="167"/>
        <v>12/03/2024</v>
      </c>
      <c r="V685" s="43">
        <f t="shared" si="168"/>
        <v>45363</v>
      </c>
      <c r="W685" s="44">
        <f t="array" ref="W685">_xlfn.IFS(TRIM(C685)="","",TRIM(V685)="","",TRUE,V685-C685)</f>
        <v>9</v>
      </c>
      <c r="X685" s="37">
        <f t="shared" si="169"/>
        <v>3</v>
      </c>
      <c r="Y685" s="46" t="s">
        <v>200</v>
      </c>
      <c r="Z685" s="37" t="str">
        <f t="shared" si="170"/>
        <v>delayed</v>
      </c>
      <c r="AA685" s="37" t="str">
        <f t="shared" si="171"/>
        <v>Late</v>
      </c>
      <c r="AB685" s="37" t="str">
        <f t="shared" si="174"/>
        <v>1</v>
      </c>
      <c r="AC685" s="37">
        <f t="shared" si="175"/>
        <v>1</v>
      </c>
      <c r="AD685" s="45">
        <f t="shared" si="173"/>
        <v>0.514285714285714</v>
      </c>
      <c r="AE685" s="46">
        <v>2</v>
      </c>
      <c r="AF685" s="46" t="s">
        <v>118</v>
      </c>
      <c r="AG685" s="37" t="str">
        <f t="shared" si="172"/>
        <v>no</v>
      </c>
      <c r="AH685" s="37" t="str">
        <f t="array" ref="AH685">_xlfn.IFS(LOWER(AG685)="n","no",LOWER(AG685)="y","yes",TRUE,LOWER(AG685))</f>
        <v>no</v>
      </c>
      <c r="AI685" s="46" t="s">
        <v>4692</v>
      </c>
    </row>
    <row r="686" spans="1:35">
      <c r="A686" s="37" t="s">
        <v>2622</v>
      </c>
      <c r="B686" s="38" t="s">
        <v>4814</v>
      </c>
      <c r="C686" s="39">
        <f t="shared" si="160"/>
        <v>45410</v>
      </c>
      <c r="D686" s="40" t="s">
        <v>4704</v>
      </c>
      <c r="E686" s="37" t="str" cm="1">
        <f t="array" ref="E686">_xlfn.IFS(D686="delhi","north",D686="mumbai","west",D686="bengaluru","south",D686="chennai","south",D686="kolkata","east",TRUE,"west")</f>
        <v>west</v>
      </c>
      <c r="F686" s="37" t="s">
        <v>122</v>
      </c>
      <c r="G686" s="37" t="str">
        <f t="shared" si="161"/>
        <v>delhivery</v>
      </c>
      <c r="H686" s="37" t="s">
        <v>110</v>
      </c>
      <c r="I686" s="37" t="str">
        <f t="shared" si="162"/>
        <v>surface</v>
      </c>
      <c r="J686" s="37" t="s">
        <v>612</v>
      </c>
      <c r="K686" s="37" t="str">
        <f t="shared" si="163"/>
        <v>grocery&amp;fmcg</v>
      </c>
      <c r="L686" s="37" t="s">
        <v>159</v>
      </c>
      <c r="M686" s="37" t="str">
        <f t="shared" si="164"/>
        <v>south</v>
      </c>
      <c r="N686" s="37" t="s">
        <v>54</v>
      </c>
      <c r="O686" s="41" t="str">
        <f t="shared" si="165"/>
        <v>Yes</v>
      </c>
      <c r="P686" s="41">
        <v>3.4</v>
      </c>
      <c r="Q686" s="41">
        <v>233</v>
      </c>
      <c r="R686" s="42">
        <f t="shared" si="166"/>
        <v>68.5294117647059</v>
      </c>
      <c r="S686" s="37">
        <v>6</v>
      </c>
      <c r="T686" s="37" t="s">
        <v>2160</v>
      </c>
      <c r="U686" s="43" t="str">
        <f t="shared" si="167"/>
        <v>2024-05-05</v>
      </c>
      <c r="V686" s="43">
        <f t="shared" si="168"/>
        <v>45417</v>
      </c>
      <c r="W686" s="44">
        <f t="array" ref="W686">_xlfn.IFS(TRIM(C686)="","",TRIM(V686)="","",TRUE,V686-C686)</f>
        <v>7</v>
      </c>
      <c r="X686" s="37">
        <f t="shared" si="169"/>
        <v>1</v>
      </c>
      <c r="Y686" s="37" t="s">
        <v>72</v>
      </c>
      <c r="Z686" s="37" t="str">
        <f t="shared" si="170"/>
        <v>delayed</v>
      </c>
      <c r="AA686" s="37" t="str">
        <f t="shared" si="171"/>
        <v>Late</v>
      </c>
      <c r="AB686" s="37" t="str">
        <f t="shared" si="174"/>
        <v>1</v>
      </c>
      <c r="AC686" s="37">
        <f t="shared" si="175"/>
        <v>1</v>
      </c>
      <c r="AD686" s="45">
        <f t="shared" si="173"/>
        <v>0.513751375137514</v>
      </c>
      <c r="AE686" s="37">
        <v>3</v>
      </c>
      <c r="AF686" s="37" t="s">
        <v>152</v>
      </c>
      <c r="AG686" s="37" t="str">
        <f t="shared" si="172"/>
        <v>no</v>
      </c>
      <c r="AH686" s="37" t="str">
        <f t="array" ref="AH686">_xlfn.IFS(LOWER(AG686)="n","no",LOWER(AG686)="y","yes",TRUE,LOWER(AG686))</f>
        <v>no</v>
      </c>
      <c r="AI686" s="37" t="s">
        <v>4692</v>
      </c>
    </row>
    <row r="687" spans="1:35">
      <c r="A687" s="46" t="s">
        <v>2624</v>
      </c>
      <c r="B687" s="47">
        <v>45331</v>
      </c>
      <c r="C687" s="39">
        <f t="shared" si="160"/>
        <v>45331</v>
      </c>
      <c r="D687" s="48" t="s">
        <v>424</v>
      </c>
      <c r="E687" s="37" t="str" cm="1">
        <f t="array" ref="E687">_xlfn.IFS(D687="delhi","north",D687="mumbai","west",D687="bengaluru","south",D687="chennai","south",D687="kolkata","east",TRUE,"west")</f>
        <v>south</v>
      </c>
      <c r="F687" s="46" t="s">
        <v>37</v>
      </c>
      <c r="G687" s="37" t="str">
        <f t="shared" si="161"/>
        <v>bluedart</v>
      </c>
      <c r="H687" s="46" t="s">
        <v>185</v>
      </c>
      <c r="I687" s="37" t="str">
        <f t="shared" si="162"/>
        <v>surface</v>
      </c>
      <c r="J687" s="46" t="s">
        <v>231</v>
      </c>
      <c r="K687" s="37" t="str">
        <f t="shared" si="163"/>
        <v>furniture</v>
      </c>
      <c r="L687" s="46" t="s">
        <v>418</v>
      </c>
      <c r="M687" s="37" t="str">
        <f t="shared" si="164"/>
        <v>south</v>
      </c>
      <c r="N687" s="46" t="s">
        <v>327</v>
      </c>
      <c r="O687" s="41" t="str">
        <f t="shared" si="165"/>
        <v>Yes</v>
      </c>
      <c r="P687" s="49">
        <v>26.3</v>
      </c>
      <c r="Q687" s="49">
        <v>588</v>
      </c>
      <c r="R687" s="42">
        <f t="shared" si="166"/>
        <v>22.3574144486692</v>
      </c>
      <c r="S687" s="46">
        <v>4</v>
      </c>
      <c r="T687" s="46" t="s">
        <v>2388</v>
      </c>
      <c r="U687" s="43" t="str">
        <f t="shared" si="167"/>
        <v>2024-02-12</v>
      </c>
      <c r="V687" s="43">
        <f t="shared" si="168"/>
        <v>45334</v>
      </c>
      <c r="W687" s="44">
        <f t="array" ref="W687">_xlfn.IFS(TRIM(C687)="","",TRIM(V687)="","",TRUE,V687-C687)</f>
        <v>3</v>
      </c>
      <c r="X687" s="37">
        <f t="shared" si="169"/>
        <v>-1</v>
      </c>
      <c r="Y687" s="46" t="s">
        <v>117</v>
      </c>
      <c r="Z687" s="37" t="str">
        <f t="shared" si="170"/>
        <v>delivered</v>
      </c>
      <c r="AA687" s="37" t="str">
        <f t="shared" si="171"/>
        <v>On Time</v>
      </c>
      <c r="AB687" s="37" t="str">
        <f t="shared" si="174"/>
        <v>0</v>
      </c>
      <c r="AC687" s="37">
        <f t="shared" si="175"/>
        <v>0</v>
      </c>
      <c r="AD687" s="45">
        <f t="shared" si="173"/>
        <v>0.513215859030837</v>
      </c>
      <c r="AE687" s="46">
        <v>5</v>
      </c>
      <c r="AF687" s="46" t="s">
        <v>131</v>
      </c>
      <c r="AG687" s="37" t="str">
        <f t="shared" si="172"/>
        <v>n</v>
      </c>
      <c r="AH687" s="37" t="str">
        <f t="array" ref="AH687">_xlfn.IFS(LOWER(AG687)="n","no",LOWER(AG687)="y","yes",TRUE,LOWER(AG687))</f>
        <v>no</v>
      </c>
      <c r="AI687" s="46" t="s">
        <v>4692</v>
      </c>
    </row>
    <row r="688" spans="1:35">
      <c r="A688" s="37" t="s">
        <v>2627</v>
      </c>
      <c r="B688" s="38">
        <v>45450</v>
      </c>
      <c r="C688" s="39">
        <f t="shared" si="160"/>
        <v>45450</v>
      </c>
      <c r="D688" s="40" t="s">
        <v>633</v>
      </c>
      <c r="E688" s="37" t="str" cm="1">
        <f t="array" ref="E688">_xlfn.IFS(D688="delhi","north",D688="mumbai","west",D688="bengaluru","south",D688="chennai","south",D688="kolkata","east",TRUE,"west")</f>
        <v>south</v>
      </c>
      <c r="F688" s="37" t="s">
        <v>213</v>
      </c>
      <c r="G688" s="37" t="str">
        <f t="shared" si="161"/>
        <v>dtdc</v>
      </c>
      <c r="H688" s="37" t="s">
        <v>99</v>
      </c>
      <c r="I688" s="37" t="str">
        <f t="shared" si="162"/>
        <v>air</v>
      </c>
      <c r="J688" s="37" t="s">
        <v>1794</v>
      </c>
      <c r="K688" s="37" t="str">
        <f t="shared" si="163"/>
        <v>grocery&amp;fmcg</v>
      </c>
      <c r="L688" s="37" t="s">
        <v>401</v>
      </c>
      <c r="M688" s="37" t="str">
        <f t="shared" si="164"/>
        <v>south</v>
      </c>
      <c r="N688" s="37" t="s">
        <v>327</v>
      </c>
      <c r="O688" s="41" t="str">
        <f t="shared" si="165"/>
        <v>Yes</v>
      </c>
      <c r="P688" s="41">
        <v>10.3</v>
      </c>
      <c r="Q688" s="41">
        <v>456</v>
      </c>
      <c r="R688" s="42">
        <f t="shared" si="166"/>
        <v>44.2718446601942</v>
      </c>
      <c r="S688" s="37">
        <v>2</v>
      </c>
      <c r="T688" s="37" t="s">
        <v>267</v>
      </c>
      <c r="U688" s="43" t="str">
        <f t="shared" si="167"/>
        <v>10-jun-2024</v>
      </c>
      <c r="V688" s="43">
        <f t="shared" si="168"/>
        <v>45453</v>
      </c>
      <c r="W688" s="44">
        <f t="array" ref="W688">_xlfn.IFS(TRIM(C688)="","",TRIM(V688)="","",TRUE,V688-C688)</f>
        <v>3</v>
      </c>
      <c r="X688" s="37">
        <f t="shared" si="169"/>
        <v>1</v>
      </c>
      <c r="Y688" s="37" t="s">
        <v>72</v>
      </c>
      <c r="Z688" s="37" t="str">
        <f t="shared" si="170"/>
        <v>delayed</v>
      </c>
      <c r="AA688" s="37" t="str">
        <f t="shared" si="171"/>
        <v>Late</v>
      </c>
      <c r="AB688" s="37" t="str">
        <f t="shared" si="174"/>
        <v>1</v>
      </c>
      <c r="AC688" s="37">
        <f t="shared" si="175"/>
        <v>1</v>
      </c>
      <c r="AD688" s="45">
        <f t="shared" si="173"/>
        <v>0.513781697905182</v>
      </c>
      <c r="AE688" s="37">
        <v>2</v>
      </c>
      <c r="AF688" s="37" t="s">
        <v>131</v>
      </c>
      <c r="AG688" s="37" t="str">
        <f t="shared" si="172"/>
        <v>n</v>
      </c>
      <c r="AH688" s="37" t="str">
        <f t="array" ref="AH688">_xlfn.IFS(LOWER(AG688)="n","no",LOWER(AG688)="y","yes",TRUE,LOWER(AG688))</f>
        <v>no</v>
      </c>
      <c r="AI688" s="37" t="s">
        <v>4692</v>
      </c>
    </row>
    <row r="689" spans="1:35">
      <c r="A689" s="46" t="s">
        <v>2630</v>
      </c>
      <c r="B689" s="47">
        <v>45398</v>
      </c>
      <c r="C689" s="39">
        <f t="shared" si="160"/>
        <v>45398</v>
      </c>
      <c r="D689" s="48" t="s">
        <v>212</v>
      </c>
      <c r="E689" s="37" t="str" cm="1">
        <f t="array" ref="E689">_xlfn.IFS(D689="delhi","north",D689="mumbai","west",D689="bengaluru","south",D689="chennai","south",D689="kolkata","east",TRUE,"west")</f>
        <v>west</v>
      </c>
      <c r="F689" s="46" t="s">
        <v>194</v>
      </c>
      <c r="G689" s="37" t="str">
        <f t="shared" si="161"/>
        <v>xpressbees</v>
      </c>
      <c r="H689" s="46" t="s">
        <v>176</v>
      </c>
      <c r="I689" s="37" t="str">
        <f t="shared" si="162"/>
        <v>road</v>
      </c>
      <c r="J689" s="46" t="s">
        <v>498</v>
      </c>
      <c r="K689" s="37" t="str">
        <f t="shared" si="163"/>
        <v>apparel</v>
      </c>
      <c r="L689" s="46" t="s">
        <v>418</v>
      </c>
      <c r="M689" s="37" t="str">
        <f t="shared" si="164"/>
        <v>south</v>
      </c>
      <c r="N689" s="46" t="s">
        <v>54</v>
      </c>
      <c r="O689" s="41" t="str">
        <f t="shared" si="165"/>
        <v>Yes</v>
      </c>
      <c r="P689" s="49">
        <v>1.4</v>
      </c>
      <c r="Q689" s="49" t="s">
        <v>2631</v>
      </c>
      <c r="R689" s="42">
        <f t="shared" si="166"/>
        <v>112.142857142857</v>
      </c>
      <c r="S689" s="46">
        <v>8</v>
      </c>
      <c r="T689" s="46" t="s">
        <v>2429</v>
      </c>
      <c r="U689" s="43" t="str">
        <f t="shared" si="167"/>
        <v>25-apr-2024</v>
      </c>
      <c r="V689" s="43">
        <f t="shared" si="168"/>
        <v>45407</v>
      </c>
      <c r="W689" s="44">
        <f t="array" ref="W689">_xlfn.IFS(TRIM(C689)="","",TRIM(V689)="","",TRUE,V689-C689)</f>
        <v>9</v>
      </c>
      <c r="X689" s="37">
        <f t="shared" si="169"/>
        <v>1</v>
      </c>
      <c r="Y689" s="46" t="s">
        <v>172</v>
      </c>
      <c r="Z689" s="37" t="str">
        <f t="shared" si="170"/>
        <v>delayed</v>
      </c>
      <c r="AA689" s="37" t="str">
        <f t="shared" si="171"/>
        <v>Late</v>
      </c>
      <c r="AB689" s="37" t="str">
        <f t="shared" si="174"/>
        <v>1</v>
      </c>
      <c r="AC689" s="37">
        <f t="shared" si="175"/>
        <v>1</v>
      </c>
      <c r="AD689" s="45">
        <f t="shared" si="173"/>
        <v>0.513245033112583</v>
      </c>
      <c r="AE689" s="46">
        <v>1</v>
      </c>
      <c r="AF689" s="46" t="s">
        <v>131</v>
      </c>
      <c r="AG689" s="37" t="str">
        <f t="shared" si="172"/>
        <v>n</v>
      </c>
      <c r="AH689" s="37" t="str">
        <f t="array" ref="AH689">_xlfn.IFS(LOWER(AG689)="n","no",LOWER(AG689)="y","yes",TRUE,LOWER(AG689))</f>
        <v>no</v>
      </c>
      <c r="AI689" s="46" t="s">
        <v>4692</v>
      </c>
    </row>
    <row r="690" spans="1:35">
      <c r="A690" s="37" t="s">
        <v>2632</v>
      </c>
      <c r="B690" s="38" t="s">
        <v>4697</v>
      </c>
      <c r="C690" s="39">
        <f t="shared" si="160"/>
        <v>45414</v>
      </c>
      <c r="D690" s="40" t="s">
        <v>4695</v>
      </c>
      <c r="E690" s="37" t="str" cm="1">
        <f t="array" ref="E690">_xlfn.IFS(D690="delhi","north",D690="mumbai","west",D690="bengaluru","south",D690="chennai","south",D690="kolkata","east",TRUE,"west")</f>
        <v>west</v>
      </c>
      <c r="F690" s="37" t="s">
        <v>98</v>
      </c>
      <c r="G690" s="37" t="str">
        <f t="shared" si="161"/>
        <v>dtdc</v>
      </c>
      <c r="H690" s="37" t="s">
        <v>157</v>
      </c>
      <c r="I690" s="37" t="str">
        <f t="shared" si="162"/>
        <v>surface</v>
      </c>
      <c r="J690" s="37" t="s">
        <v>283</v>
      </c>
      <c r="K690" s="37" t="str">
        <f t="shared" si="163"/>
        <v>pharma</v>
      </c>
      <c r="L690" s="37" t="s">
        <v>197</v>
      </c>
      <c r="M690" s="37" t="str">
        <f t="shared" si="164"/>
        <v>south</v>
      </c>
      <c r="N690" s="37" t="s">
        <v>54</v>
      </c>
      <c r="O690" s="41" t="str">
        <f t="shared" si="165"/>
        <v>Yes</v>
      </c>
      <c r="P690" s="41">
        <v>2.3</v>
      </c>
      <c r="Q690" s="41">
        <v>233</v>
      </c>
      <c r="R690" s="42">
        <f t="shared" si="166"/>
        <v>101.304347826087</v>
      </c>
      <c r="S690" s="37">
        <v>6</v>
      </c>
      <c r="T690" s="37" t="s">
        <v>638</v>
      </c>
      <c r="U690" s="43" t="str">
        <f t="shared" si="167"/>
        <v>08-may-2024</v>
      </c>
      <c r="V690" s="43">
        <f t="shared" si="168"/>
        <v>45420</v>
      </c>
      <c r="W690" s="44">
        <f t="array" ref="W690">_xlfn.IFS(TRIM(C690)="","",TRIM(V690)="","",TRUE,V690-C690)</f>
        <v>6</v>
      </c>
      <c r="X690" s="37">
        <f t="shared" si="169"/>
        <v>0</v>
      </c>
      <c r="Y690" s="37" t="s">
        <v>105</v>
      </c>
      <c r="Z690" s="37" t="str">
        <f t="shared" si="170"/>
        <v>delivered</v>
      </c>
      <c r="AA690" s="37" t="str">
        <f t="shared" si="171"/>
        <v>On Time</v>
      </c>
      <c r="AB690" s="37" t="str">
        <f t="shared" si="174"/>
        <v>0</v>
      </c>
      <c r="AC690" s="37">
        <f t="shared" si="175"/>
        <v>0</v>
      </c>
      <c r="AD690" s="45">
        <f t="shared" si="173"/>
        <v>0.512707182320442</v>
      </c>
      <c r="AE690" s="37">
        <v>4</v>
      </c>
      <c r="AF690" s="37" t="s">
        <v>152</v>
      </c>
      <c r="AG690" s="37" t="str">
        <f t="shared" si="172"/>
        <v>no</v>
      </c>
      <c r="AH690" s="37" t="str">
        <f t="array" ref="AH690">_xlfn.IFS(LOWER(AG690)="n","no",LOWER(AG690)="y","yes",TRUE,LOWER(AG690))</f>
        <v>no</v>
      </c>
      <c r="AI690" s="37" t="s">
        <v>4692</v>
      </c>
    </row>
    <row r="691" spans="1:35">
      <c r="A691" s="46" t="s">
        <v>2633</v>
      </c>
      <c r="B691" s="47">
        <v>45439</v>
      </c>
      <c r="C691" s="39">
        <f t="shared" si="160"/>
        <v>45439</v>
      </c>
      <c r="D691" s="48" t="s">
        <v>633</v>
      </c>
      <c r="E691" s="37" t="str" cm="1">
        <f t="array" ref="E691">_xlfn.IFS(D691="delhi","north",D691="mumbai","west",D691="bengaluru","south",D691="chennai","south",D691="kolkata","east",TRUE,"west")</f>
        <v>south</v>
      </c>
      <c r="F691" s="46" t="s">
        <v>270</v>
      </c>
      <c r="G691" s="37" t="str">
        <f t="shared" si="161"/>
        <v>ecomexpress</v>
      </c>
      <c r="H691" s="46" t="s">
        <v>185</v>
      </c>
      <c r="I691" s="37" t="str">
        <f t="shared" si="162"/>
        <v>surface</v>
      </c>
      <c r="J691" s="46" t="s">
        <v>271</v>
      </c>
      <c r="K691" s="37" t="str">
        <f t="shared" si="163"/>
        <v>electronics</v>
      </c>
      <c r="L691" s="46" t="s">
        <v>139</v>
      </c>
      <c r="M691" s="37" t="str">
        <f t="shared" si="164"/>
        <v>north</v>
      </c>
      <c r="N691" s="46" t="s">
        <v>215</v>
      </c>
      <c r="O691" s="41" t="str">
        <f t="shared" si="165"/>
        <v>Yes</v>
      </c>
      <c r="P691" s="49" t="s">
        <v>2587</v>
      </c>
      <c r="Q691" s="49">
        <v>508</v>
      </c>
      <c r="R691" s="42">
        <f t="shared" si="166"/>
        <v>36.5467625899281</v>
      </c>
      <c r="S691" s="46">
        <v>6</v>
      </c>
      <c r="T691" s="46" t="s">
        <v>1903</v>
      </c>
      <c r="U691" s="43" t="str">
        <f t="shared" si="167"/>
        <v>03/06/2024</v>
      </c>
      <c r="V691" s="43">
        <f t="shared" si="168"/>
        <v>45446</v>
      </c>
      <c r="W691" s="44">
        <f t="array" ref="W691">_xlfn.IFS(TRIM(C691)="","",TRIM(V691)="","",TRUE,V691-C691)</f>
        <v>7</v>
      </c>
      <c r="X691" s="37">
        <f t="shared" si="169"/>
        <v>1</v>
      </c>
      <c r="Y691" s="46" t="s">
        <v>72</v>
      </c>
      <c r="Z691" s="37" t="str">
        <f t="shared" si="170"/>
        <v>delayed</v>
      </c>
      <c r="AA691" s="37" t="str">
        <f t="shared" si="171"/>
        <v>Late</v>
      </c>
      <c r="AB691" s="37" t="str">
        <f t="shared" si="174"/>
        <v>1</v>
      </c>
      <c r="AC691" s="37">
        <f t="shared" si="175"/>
        <v>1</v>
      </c>
      <c r="AD691" s="45">
        <f t="shared" si="173"/>
        <v>0.513274336283186</v>
      </c>
      <c r="AE691" s="46">
        <v>3</v>
      </c>
      <c r="AF691" s="46" t="s">
        <v>286</v>
      </c>
      <c r="AG691" s="37" t="str">
        <f t="shared" si="172"/>
        <v>yes</v>
      </c>
      <c r="AH691" s="37" t="str">
        <f t="array" ref="AH691">_xlfn.IFS(LOWER(AG691)="n","no",LOWER(AG691)="y","yes",TRUE,LOWER(AG691))</f>
        <v>yes</v>
      </c>
      <c r="AI691" s="46" t="s">
        <v>4692</v>
      </c>
    </row>
    <row r="692" spans="1:35">
      <c r="A692" s="37" t="s">
        <v>2635</v>
      </c>
      <c r="B692" s="38" t="s">
        <v>4789</v>
      </c>
      <c r="C692" s="39">
        <f t="shared" si="160"/>
        <v>45324</v>
      </c>
      <c r="D692" s="40" t="s">
        <v>212</v>
      </c>
      <c r="E692" s="37" t="str" cm="1">
        <f t="array" ref="E692">_xlfn.IFS(D692="delhi","north",D692="mumbai","west",D692="bengaluru","south",D692="chennai","south",D692="kolkata","east",TRUE,"west")</f>
        <v>west</v>
      </c>
      <c r="F692" s="37" t="s">
        <v>156</v>
      </c>
      <c r="G692" s="37" t="str">
        <f t="shared" si="161"/>
        <v>xpressbees</v>
      </c>
      <c r="H692" s="37" t="s">
        <v>110</v>
      </c>
      <c r="I692" s="37" t="str">
        <f t="shared" si="162"/>
        <v>surface</v>
      </c>
      <c r="J692" s="37" t="s">
        <v>177</v>
      </c>
      <c r="K692" s="37" t="str">
        <f t="shared" si="163"/>
        <v>pharma</v>
      </c>
      <c r="L692" s="37" t="s">
        <v>168</v>
      </c>
      <c r="M692" s="37" t="str">
        <f t="shared" si="164"/>
        <v>west</v>
      </c>
      <c r="N692" s="37" t="s">
        <v>88</v>
      </c>
      <c r="O692" s="41" t="str">
        <f t="shared" si="165"/>
        <v>Yes</v>
      </c>
      <c r="P692" s="41" t="s">
        <v>2636</v>
      </c>
      <c r="Q692" s="41">
        <v>80</v>
      </c>
      <c r="R692" s="42">
        <f t="shared" si="166"/>
        <v>100</v>
      </c>
      <c r="S692" s="37">
        <v>4</v>
      </c>
      <c r="T692" s="37" t="s">
        <v>227</v>
      </c>
      <c r="U692" s="43" t="str">
        <f t="shared" si="167"/>
        <v>06-feb-2024</v>
      </c>
      <c r="V692" s="43">
        <f t="shared" si="168"/>
        <v>45328</v>
      </c>
      <c r="W692" s="44">
        <f t="array" ref="W692">_xlfn.IFS(TRIM(C692)="","",TRIM(V692)="","",TRUE,V692-C692)</f>
        <v>4</v>
      </c>
      <c r="X692" s="37">
        <f t="shared" si="169"/>
        <v>0</v>
      </c>
      <c r="Y692" s="37" t="s">
        <v>105</v>
      </c>
      <c r="Z692" s="37" t="str">
        <f t="shared" si="170"/>
        <v>delivered</v>
      </c>
      <c r="AA692" s="37" t="str">
        <f t="shared" si="171"/>
        <v>On Time</v>
      </c>
      <c r="AB692" s="37" t="str">
        <f t="shared" si="174"/>
        <v>0</v>
      </c>
      <c r="AC692" s="37">
        <f t="shared" si="175"/>
        <v>0</v>
      </c>
      <c r="AD692" s="45">
        <f t="shared" si="173"/>
        <v>0.512735326688815</v>
      </c>
      <c r="AE692" s="37">
        <v>3</v>
      </c>
      <c r="AF692" s="37" t="s">
        <v>118</v>
      </c>
      <c r="AG692" s="37" t="str">
        <f t="shared" si="172"/>
        <v>no</v>
      </c>
      <c r="AH692" s="37" t="str">
        <f t="array" ref="AH692">_xlfn.IFS(LOWER(AG692)="n","no",LOWER(AG692)="y","yes",TRUE,LOWER(AG692))</f>
        <v>no</v>
      </c>
      <c r="AI692" s="37" t="s">
        <v>4692</v>
      </c>
    </row>
    <row r="693" spans="1:35">
      <c r="A693" s="46" t="s">
        <v>2637</v>
      </c>
      <c r="B693" s="47">
        <v>45356</v>
      </c>
      <c r="C693" s="39">
        <f t="shared" si="160"/>
        <v>45356</v>
      </c>
      <c r="D693" s="48" t="s">
        <v>212</v>
      </c>
      <c r="E693" s="37" t="str" cm="1">
        <f t="array" ref="E693">_xlfn.IFS(D693="delhi","north",D693="mumbai","west",D693="bengaluru","south",D693="chennai","south",D693="kolkata","east",TRUE,"west")</f>
        <v>west</v>
      </c>
      <c r="F693" s="46" t="s">
        <v>230</v>
      </c>
      <c r="G693" s="37" t="str">
        <f t="shared" si="161"/>
        <v>dtdc</v>
      </c>
      <c r="H693" s="46" t="s">
        <v>110</v>
      </c>
      <c r="I693" s="37" t="str">
        <f t="shared" si="162"/>
        <v>surface</v>
      </c>
      <c r="J693" s="46" t="s">
        <v>100</v>
      </c>
      <c r="K693" s="37" t="str">
        <f t="shared" si="163"/>
        <v>electronics</v>
      </c>
      <c r="L693" s="46" t="s">
        <v>89</v>
      </c>
      <c r="M693" s="37" t="str">
        <f t="shared" si="164"/>
        <v>west</v>
      </c>
      <c r="N693" s="46" t="s">
        <v>278</v>
      </c>
      <c r="O693" s="41" t="str">
        <f t="shared" si="165"/>
        <v>Yes</v>
      </c>
      <c r="P693" s="49">
        <v>12</v>
      </c>
      <c r="Q693" s="49">
        <v>279</v>
      </c>
      <c r="R693" s="42">
        <f t="shared" si="166"/>
        <v>23.25</v>
      </c>
      <c r="S693" s="46">
        <v>4</v>
      </c>
      <c r="T693" s="46" t="s">
        <v>309</v>
      </c>
      <c r="U693" s="43" t="str">
        <f t="shared" si="167"/>
        <v>08/03/2024</v>
      </c>
      <c r="V693" s="43">
        <f t="shared" si="168"/>
        <v>45359</v>
      </c>
      <c r="W693" s="44">
        <f t="array" ref="W693">_xlfn.IFS(TRIM(C693)="","",TRIM(V693)="","",TRUE,V693-C693)</f>
        <v>3</v>
      </c>
      <c r="X693" s="37">
        <f t="shared" si="169"/>
        <v>-1</v>
      </c>
      <c r="Y693" s="46" t="s">
        <v>105</v>
      </c>
      <c r="Z693" s="37" t="str">
        <f t="shared" si="170"/>
        <v>delivered</v>
      </c>
      <c r="AA693" s="37" t="str">
        <f t="shared" si="171"/>
        <v>On Time</v>
      </c>
      <c r="AB693" s="37" t="str">
        <f t="shared" si="174"/>
        <v>0</v>
      </c>
      <c r="AC693" s="37">
        <f t="shared" si="175"/>
        <v>0</v>
      </c>
      <c r="AD693" s="45">
        <f t="shared" si="173"/>
        <v>0.51330376940133</v>
      </c>
      <c r="AE693" s="46">
        <v>4</v>
      </c>
      <c r="AF693" s="46" t="s">
        <v>106</v>
      </c>
      <c r="AG693" s="37" t="str">
        <f t="shared" si="172"/>
        <v>yes</v>
      </c>
      <c r="AH693" s="37" t="str">
        <f t="array" ref="AH693">_xlfn.IFS(LOWER(AG693)="n","no",LOWER(AG693)="y","yes",TRUE,LOWER(AG693))</f>
        <v>yes</v>
      </c>
      <c r="AI693" s="46" t="s">
        <v>4692</v>
      </c>
    </row>
    <row r="694" spans="1:35">
      <c r="A694" s="37" t="s">
        <v>2638</v>
      </c>
      <c r="B694" s="38">
        <v>45301</v>
      </c>
      <c r="C694" s="39">
        <f t="shared" si="160"/>
        <v>45301</v>
      </c>
      <c r="D694" s="40" t="s">
        <v>4694</v>
      </c>
      <c r="E694" s="37" t="str" cm="1">
        <f t="array" ref="E694">_xlfn.IFS(D694="delhi","north",D694="mumbai","west",D694="bengaluru","south",D694="chennai","south",D694="kolkata","east",TRUE,"west")</f>
        <v>west</v>
      </c>
      <c r="F694" s="37" t="s">
        <v>312</v>
      </c>
      <c r="G694" s="37" t="str">
        <f t="shared" si="161"/>
        <v>bluedart</v>
      </c>
      <c r="H694" s="37" t="s">
        <v>137</v>
      </c>
      <c r="I694" s="37" t="str">
        <f t="shared" si="162"/>
        <v>road</v>
      </c>
      <c r="J694" s="37" t="s">
        <v>47</v>
      </c>
      <c r="K694" s="37" t="str">
        <f t="shared" si="163"/>
        <v>electronics</v>
      </c>
      <c r="L694" s="37" t="s">
        <v>51</v>
      </c>
      <c r="M694" s="37" t="str">
        <f t="shared" si="164"/>
        <v>south</v>
      </c>
      <c r="N694" s="37" t="s">
        <v>54</v>
      </c>
      <c r="O694" s="41" t="str">
        <f t="shared" si="165"/>
        <v>Yes</v>
      </c>
      <c r="P694" s="41">
        <v>1.1</v>
      </c>
      <c r="Q694" s="41">
        <v>80</v>
      </c>
      <c r="R694" s="42">
        <f t="shared" si="166"/>
        <v>72.7272727272727</v>
      </c>
      <c r="S694" s="37">
        <v>6</v>
      </c>
      <c r="T694" s="37" t="s">
        <v>1763</v>
      </c>
      <c r="U694" s="43" t="str">
        <f t="shared" si="167"/>
        <v>16-jan-2024</v>
      </c>
      <c r="V694" s="43">
        <f t="shared" si="168"/>
        <v>45307</v>
      </c>
      <c r="W694" s="44">
        <f t="array" ref="W694">_xlfn.IFS(TRIM(C694)="","",TRIM(V694)="","",TRUE,V694-C694)</f>
        <v>6</v>
      </c>
      <c r="X694" s="37">
        <f t="shared" si="169"/>
        <v>0</v>
      </c>
      <c r="Y694" s="37" t="s">
        <v>105</v>
      </c>
      <c r="Z694" s="37" t="str">
        <f t="shared" si="170"/>
        <v>delivered</v>
      </c>
      <c r="AA694" s="37" t="str">
        <f t="shared" si="171"/>
        <v>On Time</v>
      </c>
      <c r="AB694" s="37" t="str">
        <f t="shared" si="174"/>
        <v>0</v>
      </c>
      <c r="AC694" s="37">
        <f t="shared" si="175"/>
        <v>0</v>
      </c>
      <c r="AD694" s="45">
        <f t="shared" si="173"/>
        <v>0.513873473917869</v>
      </c>
      <c r="AE694" s="37">
        <v>4</v>
      </c>
      <c r="AF694" s="37" t="s">
        <v>79</v>
      </c>
      <c r="AG694" s="37" t="str">
        <f t="shared" si="172"/>
        <v>yes</v>
      </c>
      <c r="AH694" s="37" t="str">
        <f t="array" ref="AH694">_xlfn.IFS(LOWER(AG694)="n","no",LOWER(AG694)="y","yes",TRUE,LOWER(AG694))</f>
        <v>yes</v>
      </c>
      <c r="AI694" s="37" t="s">
        <v>4692</v>
      </c>
    </row>
    <row r="695" spans="1:35">
      <c r="A695" s="46" t="s">
        <v>2639</v>
      </c>
      <c r="B695" s="47">
        <v>45425</v>
      </c>
      <c r="C695" s="39">
        <f t="shared" si="160"/>
        <v>45425</v>
      </c>
      <c r="D695" s="48" t="s">
        <v>424</v>
      </c>
      <c r="E695" s="37" t="str" cm="1">
        <f t="array" ref="E695">_xlfn.IFS(D695="delhi","north",D695="mumbai","west",D695="bengaluru","south",D695="chennai","south",D695="kolkata","east",TRUE,"west")</f>
        <v>south</v>
      </c>
      <c r="F695" s="46" t="s">
        <v>194</v>
      </c>
      <c r="G695" s="37" t="str">
        <f t="shared" si="161"/>
        <v>xpressbees</v>
      </c>
      <c r="H695" s="46" t="s">
        <v>195</v>
      </c>
      <c r="I695" s="37" t="str">
        <f t="shared" si="162"/>
        <v>road</v>
      </c>
      <c r="J695" s="46" t="s">
        <v>385</v>
      </c>
      <c r="K695" s="37" t="str">
        <f t="shared" si="163"/>
        <v>furniture</v>
      </c>
      <c r="L695" s="46" t="s">
        <v>89</v>
      </c>
      <c r="M695" s="37" t="str">
        <f t="shared" si="164"/>
        <v>west</v>
      </c>
      <c r="N695" s="46" t="s">
        <v>88</v>
      </c>
      <c r="O695" s="41" t="str">
        <f t="shared" si="165"/>
        <v>Yes</v>
      </c>
      <c r="P695" s="49">
        <v>16.4</v>
      </c>
      <c r="Q695" s="49" t="s">
        <v>2642</v>
      </c>
      <c r="R695" s="42">
        <f t="shared" si="166"/>
        <v>22.0731707317073</v>
      </c>
      <c r="S695" s="46">
        <v>8</v>
      </c>
      <c r="T695" s="46" t="s">
        <v>595</v>
      </c>
      <c r="U695" s="43" t="str">
        <f t="shared" si="167"/>
        <v>2024-05-22</v>
      </c>
      <c r="V695" s="43">
        <f t="shared" si="168"/>
        <v>45434</v>
      </c>
      <c r="W695" s="44">
        <f t="array" ref="W695">_xlfn.IFS(TRIM(C695)="","",TRIM(V695)="","",TRUE,V695-C695)</f>
        <v>9</v>
      </c>
      <c r="X695" s="37">
        <f t="shared" si="169"/>
        <v>1</v>
      </c>
      <c r="Y695" s="46" t="s">
        <v>172</v>
      </c>
      <c r="Z695" s="37" t="str">
        <f t="shared" si="170"/>
        <v>delayed</v>
      </c>
      <c r="AA695" s="37" t="str">
        <f t="shared" si="171"/>
        <v>Late</v>
      </c>
      <c r="AB695" s="37" t="str">
        <f t="shared" si="174"/>
        <v>1</v>
      </c>
      <c r="AC695" s="37">
        <f t="shared" si="175"/>
        <v>1</v>
      </c>
      <c r="AD695" s="45">
        <f t="shared" si="173"/>
        <v>0.514444444444444</v>
      </c>
      <c r="AE695" s="46">
        <v>1</v>
      </c>
      <c r="AF695" s="46" t="s">
        <v>131</v>
      </c>
      <c r="AG695" s="37" t="str">
        <f t="shared" si="172"/>
        <v>n</v>
      </c>
      <c r="AH695" s="37" t="str">
        <f t="array" ref="AH695">_xlfn.IFS(LOWER(AG695)="n","no",LOWER(AG695)="y","yes",TRUE,LOWER(AG695))</f>
        <v>no</v>
      </c>
      <c r="AI695" s="46" t="s">
        <v>4692</v>
      </c>
    </row>
    <row r="696" spans="1:35">
      <c r="A696" s="37" t="s">
        <v>2643</v>
      </c>
      <c r="B696" s="38" t="s">
        <v>4814</v>
      </c>
      <c r="C696" s="39">
        <f t="shared" si="160"/>
        <v>45410</v>
      </c>
      <c r="D696" s="40" t="s">
        <v>166</v>
      </c>
      <c r="E696" s="37" t="str" cm="1">
        <f t="array" ref="E696">_xlfn.IFS(D696="delhi","north",D696="mumbai","west",D696="bengaluru","south",D696="chennai","south",D696="kolkata","east",TRUE,"west")</f>
        <v>west</v>
      </c>
      <c r="F696" s="37" t="s">
        <v>230</v>
      </c>
      <c r="G696" s="37" t="str">
        <f t="shared" si="161"/>
        <v>dtdc</v>
      </c>
      <c r="H696" s="37" t="s">
        <v>345</v>
      </c>
      <c r="I696" s="37" t="str">
        <f t="shared" si="162"/>
        <v>surface</v>
      </c>
      <c r="J696" s="37" t="s">
        <v>263</v>
      </c>
      <c r="K696" s="37" t="str">
        <f t="shared" si="163"/>
        <v>apparel</v>
      </c>
      <c r="L696" s="37" t="s">
        <v>168</v>
      </c>
      <c r="M696" s="37" t="str">
        <f t="shared" si="164"/>
        <v>west</v>
      </c>
      <c r="N696" s="37" t="s">
        <v>88</v>
      </c>
      <c r="O696" s="41" t="str">
        <f t="shared" si="165"/>
        <v>Yes</v>
      </c>
      <c r="P696" s="41">
        <v>3.7</v>
      </c>
      <c r="Q696" s="41" t="s">
        <v>2644</v>
      </c>
      <c r="R696" s="42">
        <f t="shared" si="166"/>
        <v>76.4864864864865</v>
      </c>
      <c r="S696" s="37">
        <v>6</v>
      </c>
      <c r="T696" s="37" t="s">
        <v>2278</v>
      </c>
      <c r="U696" s="43" t="str">
        <f t="shared" si="167"/>
        <v>05/05/2024</v>
      </c>
      <c r="V696" s="43">
        <f t="shared" si="168"/>
        <v>45417</v>
      </c>
      <c r="W696" s="44">
        <f t="array" ref="W696">_xlfn.IFS(TRIM(C696)="","",TRIM(V696)="","",TRUE,V696-C696)</f>
        <v>7</v>
      </c>
      <c r="X696" s="37">
        <f t="shared" si="169"/>
        <v>1</v>
      </c>
      <c r="Y696" s="37" t="s">
        <v>143</v>
      </c>
      <c r="Z696" s="37" t="str">
        <f t="shared" si="170"/>
        <v>delayed</v>
      </c>
      <c r="AA696" s="37" t="str">
        <f t="shared" si="171"/>
        <v>Late</v>
      </c>
      <c r="AB696" s="37" t="str">
        <f t="shared" si="174"/>
        <v>1</v>
      </c>
      <c r="AC696" s="37">
        <f t="shared" si="175"/>
        <v>1</v>
      </c>
      <c r="AD696" s="45">
        <f t="shared" si="173"/>
        <v>0.513904338153504</v>
      </c>
      <c r="AE696" s="37">
        <v>4</v>
      </c>
      <c r="AF696" s="37" t="s">
        <v>118</v>
      </c>
      <c r="AG696" s="37" t="str">
        <f t="shared" si="172"/>
        <v>no</v>
      </c>
      <c r="AH696" s="37" t="str">
        <f t="array" ref="AH696">_xlfn.IFS(LOWER(AG696)="n","no",LOWER(AG696)="y","yes",TRUE,LOWER(AG696))</f>
        <v>no</v>
      </c>
      <c r="AI696" s="37" t="s">
        <v>4692</v>
      </c>
    </row>
    <row r="697" spans="1:35">
      <c r="A697" s="46" t="s">
        <v>2645</v>
      </c>
      <c r="B697" s="47" t="s">
        <v>4815</v>
      </c>
      <c r="C697" s="39">
        <f t="shared" si="160"/>
        <v>45353</v>
      </c>
      <c r="D697" s="48" t="s">
        <v>366</v>
      </c>
      <c r="E697" s="37" t="str" cm="1">
        <f t="array" ref="E697">_xlfn.IFS(D697="delhi","north",D697="mumbai","west",D697="bengaluru","south",D697="chennai","south",D697="kolkata","east",TRUE,"west")</f>
        <v>east</v>
      </c>
      <c r="F697" s="46" t="s">
        <v>270</v>
      </c>
      <c r="G697" s="37" t="str">
        <f t="shared" si="161"/>
        <v>ecomexpress</v>
      </c>
      <c r="H697" s="46" t="s">
        <v>224</v>
      </c>
      <c r="I697" s="37" t="str">
        <f t="shared" si="162"/>
        <v>air</v>
      </c>
      <c r="J697" s="46" t="s">
        <v>263</v>
      </c>
      <c r="K697" s="37" t="str">
        <f t="shared" si="163"/>
        <v>apparel</v>
      </c>
      <c r="L697" s="46" t="s">
        <v>418</v>
      </c>
      <c r="M697" s="37" t="str">
        <f t="shared" si="164"/>
        <v>south</v>
      </c>
      <c r="N697" s="46" t="s">
        <v>327</v>
      </c>
      <c r="O697" s="41" t="str">
        <f t="shared" si="165"/>
        <v>Yes</v>
      </c>
      <c r="P697" s="49">
        <v>4.4</v>
      </c>
      <c r="Q697" s="49">
        <v>327</v>
      </c>
      <c r="R697" s="42">
        <f t="shared" si="166"/>
        <v>74.3181818181818</v>
      </c>
      <c r="S697" s="46">
        <v>4</v>
      </c>
      <c r="T697" s="46" t="s">
        <v>835</v>
      </c>
      <c r="U697" s="43" t="str">
        <f t="shared" si="167"/>
        <v>13/03/2024</v>
      </c>
      <c r="V697" s="43">
        <f t="shared" si="168"/>
        <v>45364</v>
      </c>
      <c r="W697" s="44">
        <f t="array" ref="W697">_xlfn.IFS(TRIM(C697)="","",TRIM(V697)="","",TRUE,V697-C697)</f>
        <v>11</v>
      </c>
      <c r="X697" s="37">
        <f t="shared" si="169"/>
        <v>7</v>
      </c>
      <c r="Y697" s="46" t="s">
        <v>172</v>
      </c>
      <c r="Z697" s="37" t="str">
        <f t="shared" si="170"/>
        <v>delayed</v>
      </c>
      <c r="AA697" s="37" t="str">
        <f t="shared" si="171"/>
        <v>Late</v>
      </c>
      <c r="AB697" s="37" t="str">
        <f t="shared" si="174"/>
        <v>1</v>
      </c>
      <c r="AC697" s="37">
        <f t="shared" si="175"/>
        <v>1</v>
      </c>
      <c r="AD697" s="45">
        <f t="shared" si="173"/>
        <v>0.513363028953229</v>
      </c>
      <c r="AE697" s="46">
        <v>4</v>
      </c>
      <c r="AF697" s="46" t="s">
        <v>118</v>
      </c>
      <c r="AG697" s="37" t="str">
        <f t="shared" si="172"/>
        <v>no</v>
      </c>
      <c r="AH697" s="37" t="str">
        <f t="array" ref="AH697">_xlfn.IFS(LOWER(AG697)="n","no",LOWER(AG697)="y","yes",TRUE,LOWER(AG697))</f>
        <v>no</v>
      </c>
      <c r="AI697" s="46" t="s">
        <v>4692</v>
      </c>
    </row>
    <row r="698" spans="1:35">
      <c r="A698" s="37" t="s">
        <v>2647</v>
      </c>
      <c r="B698" s="38" t="s">
        <v>4762</v>
      </c>
      <c r="C698" s="39">
        <f t="shared" si="160"/>
        <v>45421</v>
      </c>
      <c r="D698" s="40" t="s">
        <v>222</v>
      </c>
      <c r="E698" s="37" t="str" cm="1">
        <f t="array" ref="E698">_xlfn.IFS(D698="delhi","north",D698="mumbai","west",D698="bengaluru","south",D698="chennai","south",D698="kolkata","east",TRUE,"west")</f>
        <v>west</v>
      </c>
      <c r="F698" s="37" t="s">
        <v>270</v>
      </c>
      <c r="G698" s="37" t="str">
        <f t="shared" si="161"/>
        <v>ecomexpress</v>
      </c>
      <c r="H698" s="37" t="s">
        <v>137</v>
      </c>
      <c r="I698" s="37" t="str">
        <f t="shared" si="162"/>
        <v>road</v>
      </c>
      <c r="J698" s="37" t="s">
        <v>612</v>
      </c>
      <c r="K698" s="37" t="str">
        <f t="shared" si="163"/>
        <v>grocery&amp;fmcg</v>
      </c>
      <c r="L698" s="37" t="s">
        <v>401</v>
      </c>
      <c r="M698" s="37" t="str">
        <f t="shared" si="164"/>
        <v>south</v>
      </c>
      <c r="N698" s="37" t="s">
        <v>54</v>
      </c>
      <c r="O698" s="41" t="str">
        <f t="shared" si="165"/>
        <v>Yes</v>
      </c>
      <c r="P698" s="41">
        <v>15.7</v>
      </c>
      <c r="Q698" s="41">
        <v>370</v>
      </c>
      <c r="R698" s="42">
        <f t="shared" si="166"/>
        <v>23.5668789808917</v>
      </c>
      <c r="S698" s="37">
        <v>8</v>
      </c>
      <c r="T698" s="37" t="s">
        <v>1521</v>
      </c>
      <c r="U698" s="43" t="str">
        <f t="shared" si="167"/>
        <v>21/05/2024</v>
      </c>
      <c r="V698" s="43">
        <f t="shared" si="168"/>
        <v>45433</v>
      </c>
      <c r="W698" s="44">
        <f t="array" ref="W698">_xlfn.IFS(TRIM(C698)="","",TRIM(V698)="","",TRUE,V698-C698)</f>
        <v>12</v>
      </c>
      <c r="X698" s="37">
        <f t="shared" si="169"/>
        <v>4</v>
      </c>
      <c r="Y698" s="37" t="s">
        <v>72</v>
      </c>
      <c r="Z698" s="37" t="str">
        <f t="shared" si="170"/>
        <v>delayed</v>
      </c>
      <c r="AA698" s="37" t="str">
        <f t="shared" si="171"/>
        <v>Late</v>
      </c>
      <c r="AB698" s="37" t="str">
        <f t="shared" si="174"/>
        <v>1</v>
      </c>
      <c r="AC698" s="37">
        <f t="shared" si="175"/>
        <v>1</v>
      </c>
      <c r="AD698" s="45">
        <f t="shared" si="173"/>
        <v>0.512820512820513</v>
      </c>
      <c r="AE698" s="37">
        <v>3</v>
      </c>
      <c r="AF698" s="37" t="s">
        <v>181</v>
      </c>
      <c r="AG698" s="37" t="str">
        <f t="shared" si="172"/>
        <v>y</v>
      </c>
      <c r="AH698" s="37" t="str">
        <f t="array" ref="AH698">_xlfn.IFS(LOWER(AG698)="n","no",LOWER(AG698)="y","yes",TRUE,LOWER(AG698))</f>
        <v>yes</v>
      </c>
      <c r="AI698" s="37" t="s">
        <v>4692</v>
      </c>
    </row>
    <row r="699" spans="1:35">
      <c r="A699" s="46" t="s">
        <v>2650</v>
      </c>
      <c r="B699" s="47" t="s">
        <v>4698</v>
      </c>
      <c r="C699" s="39">
        <f t="shared" si="160"/>
        <v>45302</v>
      </c>
      <c r="D699" s="48" t="s">
        <v>633</v>
      </c>
      <c r="E699" s="37" t="str" cm="1">
        <f t="array" ref="E699">_xlfn.IFS(D699="delhi","north",D699="mumbai","west",D699="bengaluru","south",D699="chennai","south",D699="kolkata","east",TRUE,"west")</f>
        <v>south</v>
      </c>
      <c r="F699" s="46" t="s">
        <v>352</v>
      </c>
      <c r="G699" s="37" t="str">
        <f t="shared" si="161"/>
        <v>delhivery</v>
      </c>
      <c r="H699" s="46" t="s">
        <v>345</v>
      </c>
      <c r="I699" s="37" t="str">
        <f t="shared" si="162"/>
        <v>surface</v>
      </c>
      <c r="J699" s="46" t="s">
        <v>47</v>
      </c>
      <c r="K699" s="37" t="str">
        <f t="shared" si="163"/>
        <v>electronics</v>
      </c>
      <c r="L699" s="46" t="s">
        <v>302</v>
      </c>
      <c r="M699" s="37" t="str">
        <f t="shared" si="164"/>
        <v>east</v>
      </c>
      <c r="N699" s="46" t="s">
        <v>91</v>
      </c>
      <c r="O699" s="41" t="str">
        <f t="shared" si="165"/>
        <v>Yes</v>
      </c>
      <c r="P699" s="49">
        <v>5.5</v>
      </c>
      <c r="Q699" s="49">
        <v>316</v>
      </c>
      <c r="R699" s="42">
        <f t="shared" si="166"/>
        <v>57.4545454545455</v>
      </c>
      <c r="S699" s="46">
        <v>6</v>
      </c>
      <c r="T699" s="46" t="s">
        <v>513</v>
      </c>
      <c r="U699" s="43" t="str">
        <f t="shared" si="167"/>
        <v>17/01/2024</v>
      </c>
      <c r="V699" s="43">
        <f t="shared" si="168"/>
        <v>45308</v>
      </c>
      <c r="W699" s="44">
        <f t="array" ref="W699">_xlfn.IFS(TRIM(C699)="","",TRIM(V699)="","",TRUE,V699-C699)</f>
        <v>6</v>
      </c>
      <c r="X699" s="37">
        <f t="shared" si="169"/>
        <v>0</v>
      </c>
      <c r="Y699" s="46" t="s">
        <v>163</v>
      </c>
      <c r="Z699" s="37" t="str">
        <f t="shared" si="170"/>
        <v>delivered</v>
      </c>
      <c r="AA699" s="37" t="str">
        <f t="shared" si="171"/>
        <v>On Time</v>
      </c>
      <c r="AB699" s="37" t="str">
        <f t="shared" si="174"/>
        <v>0</v>
      </c>
      <c r="AC699" s="37">
        <f t="shared" si="175"/>
        <v>0</v>
      </c>
      <c r="AD699" s="45">
        <f t="shared" si="173"/>
        <v>0.512276785714286</v>
      </c>
      <c r="AE699" s="46">
        <v>3</v>
      </c>
      <c r="AF699" s="46" t="s">
        <v>118</v>
      </c>
      <c r="AG699" s="37" t="str">
        <f t="shared" si="172"/>
        <v>no</v>
      </c>
      <c r="AH699" s="37" t="str">
        <f t="array" ref="AH699">_xlfn.IFS(LOWER(AG699)="n","no",LOWER(AG699)="y","yes",TRUE,LOWER(AG699))</f>
        <v>no</v>
      </c>
      <c r="AI699" s="46" t="s">
        <v>4692</v>
      </c>
    </row>
    <row r="700" spans="1:35">
      <c r="A700" s="37" t="s">
        <v>2653</v>
      </c>
      <c r="B700" s="38">
        <v>45395</v>
      </c>
      <c r="C700" s="39">
        <f t="shared" si="160"/>
        <v>45395</v>
      </c>
      <c r="D700" s="40" t="s">
        <v>212</v>
      </c>
      <c r="E700" s="37" t="str" cm="1">
        <f t="array" ref="E700">_xlfn.IFS(D700="delhi","north",D700="mumbai","west",D700="bengaluru","south",D700="chennai","south",D700="kolkata","east",TRUE,"west")</f>
        <v>west</v>
      </c>
      <c r="F700" s="37" t="s">
        <v>184</v>
      </c>
      <c r="G700" s="37" t="str">
        <f t="shared" si="161"/>
        <v>ecomexpress</v>
      </c>
      <c r="H700" s="37" t="s">
        <v>99</v>
      </c>
      <c r="I700" s="37" t="str">
        <f t="shared" si="162"/>
        <v>air</v>
      </c>
      <c r="J700" s="37" t="s">
        <v>47</v>
      </c>
      <c r="K700" s="37" t="str">
        <f t="shared" si="163"/>
        <v>electronics</v>
      </c>
      <c r="L700" s="37" t="s">
        <v>139</v>
      </c>
      <c r="M700" s="37" t="str">
        <f t="shared" si="164"/>
        <v>north</v>
      </c>
      <c r="N700" s="37" t="s">
        <v>32</v>
      </c>
      <c r="O700" s="41" t="str">
        <f t="shared" si="165"/>
        <v>Yes</v>
      </c>
      <c r="P700" s="41">
        <v>4.6</v>
      </c>
      <c r="Q700" s="41">
        <v>396</v>
      </c>
      <c r="R700" s="42">
        <f t="shared" si="166"/>
        <v>86.0869565217391</v>
      </c>
      <c r="S700" s="37">
        <v>4</v>
      </c>
      <c r="T700" s="37" t="s">
        <v>2656</v>
      </c>
      <c r="U700" s="43" t="str">
        <f t="shared" si="167"/>
        <v>2024-04-22</v>
      </c>
      <c r="V700" s="43">
        <f t="shared" si="168"/>
        <v>45404</v>
      </c>
      <c r="W700" s="44">
        <f t="array" ref="W700">_xlfn.IFS(TRIM(C700)="","",TRIM(V700)="","",TRUE,V700-C700)</f>
        <v>9</v>
      </c>
      <c r="X700" s="37">
        <f t="shared" si="169"/>
        <v>5</v>
      </c>
      <c r="Y700" s="37" t="s">
        <v>337</v>
      </c>
      <c r="Z700" s="37" t="str">
        <f t="shared" si="170"/>
        <v>damaged</v>
      </c>
      <c r="AA700" s="37" t="str">
        <f t="shared" si="171"/>
        <v>Late</v>
      </c>
      <c r="AB700" s="37" t="str">
        <f t="shared" si="174"/>
        <v>1</v>
      </c>
      <c r="AC700" s="37">
        <f t="shared" si="175"/>
        <v>1</v>
      </c>
      <c r="AD700" s="45">
        <f t="shared" si="173"/>
        <v>0.512849162011173</v>
      </c>
      <c r="AE700" s="37"/>
      <c r="AF700" s="37" t="s">
        <v>131</v>
      </c>
      <c r="AG700" s="37" t="str">
        <f t="shared" si="172"/>
        <v>n</v>
      </c>
      <c r="AH700" s="37" t="str">
        <f t="array" ref="AH700">_xlfn.IFS(LOWER(AG700)="n","no",LOWER(AG700)="y","yes",TRUE,LOWER(AG700))</f>
        <v>no</v>
      </c>
      <c r="AI700" s="37" t="s">
        <v>759</v>
      </c>
    </row>
    <row r="701" spans="1:35">
      <c r="A701" s="46" t="s">
        <v>2657</v>
      </c>
      <c r="B701" s="47" t="s">
        <v>4816</v>
      </c>
      <c r="C701" s="39">
        <f t="shared" si="160"/>
        <v>45369</v>
      </c>
      <c r="D701" s="48" t="s">
        <v>212</v>
      </c>
      <c r="E701" s="37" t="str" cm="1">
        <f t="array" ref="E701">_xlfn.IFS(D701="delhi","north",D701="mumbai","west",D701="bengaluru","south",D701="chennai","south",D701="kolkata","east",TRUE,"west")</f>
        <v>west</v>
      </c>
      <c r="F701" s="46" t="s">
        <v>204</v>
      </c>
      <c r="G701" s="37" t="str">
        <f t="shared" si="161"/>
        <v>delhivery</v>
      </c>
      <c r="H701" s="46" t="s">
        <v>345</v>
      </c>
      <c r="I701" s="37" t="str">
        <f t="shared" si="162"/>
        <v>surface</v>
      </c>
      <c r="J701" s="46" t="s">
        <v>277</v>
      </c>
      <c r="K701" s="37" t="str">
        <f t="shared" si="163"/>
        <v>apparel</v>
      </c>
      <c r="L701" s="46" t="s">
        <v>125</v>
      </c>
      <c r="M701" s="37" t="str">
        <f t="shared" si="164"/>
        <v>east</v>
      </c>
      <c r="N701" s="46" t="s">
        <v>294</v>
      </c>
      <c r="O701" s="41" t="str">
        <f t="shared" si="165"/>
        <v>Yes</v>
      </c>
      <c r="P701" s="49">
        <v>5.9</v>
      </c>
      <c r="Q701" s="49">
        <v>326</v>
      </c>
      <c r="R701" s="42">
        <f t="shared" si="166"/>
        <v>55.2542372881356</v>
      </c>
      <c r="S701" s="46">
        <v>6</v>
      </c>
      <c r="T701" s="46" t="s">
        <v>154</v>
      </c>
      <c r="U701" s="43" t="str">
        <f t="shared" si="167"/>
        <v>24/03/2024</v>
      </c>
      <c r="V701" s="43">
        <f t="shared" si="168"/>
        <v>45375</v>
      </c>
      <c r="W701" s="44">
        <f t="array" ref="W701">_xlfn.IFS(TRIM(C701)="","",TRIM(V701)="","",TRUE,V701-C701)</f>
        <v>6</v>
      </c>
      <c r="X701" s="37">
        <f t="shared" si="169"/>
        <v>0</v>
      </c>
      <c r="Y701" s="46" t="s">
        <v>117</v>
      </c>
      <c r="Z701" s="37" t="str">
        <f t="shared" si="170"/>
        <v>delivered</v>
      </c>
      <c r="AA701" s="37" t="str">
        <f t="shared" si="171"/>
        <v>On Time</v>
      </c>
      <c r="AB701" s="37" t="str">
        <f t="shared" si="174"/>
        <v>0</v>
      </c>
      <c r="AC701" s="37">
        <f t="shared" si="175"/>
        <v>0</v>
      </c>
      <c r="AD701" s="45">
        <f t="shared" si="173"/>
        <v>0.512304250559284</v>
      </c>
      <c r="AE701" s="46">
        <v>4</v>
      </c>
      <c r="AF701" s="46" t="s">
        <v>118</v>
      </c>
      <c r="AG701" s="37" t="str">
        <f t="shared" si="172"/>
        <v>no</v>
      </c>
      <c r="AH701" s="37" t="str">
        <f t="array" ref="AH701">_xlfn.IFS(LOWER(AG701)="n","no",LOWER(AG701)="y","yes",TRUE,LOWER(AG701))</f>
        <v>no</v>
      </c>
      <c r="AI701" s="46" t="s">
        <v>4692</v>
      </c>
    </row>
    <row r="702" spans="1:35">
      <c r="A702" s="37" t="s">
        <v>2659</v>
      </c>
      <c r="B702" s="38">
        <v>45394</v>
      </c>
      <c r="C702" s="39">
        <f t="shared" si="160"/>
        <v>45394</v>
      </c>
      <c r="D702" s="40" t="s">
        <v>212</v>
      </c>
      <c r="E702" s="37" t="str" cm="1">
        <f t="array" ref="E702">_xlfn.IFS(D702="delhi","north",D702="mumbai","west",D702="bengaluru","south",D702="chennai","south",D702="kolkata","east",TRUE,"west")</f>
        <v>west</v>
      </c>
      <c r="F702" s="37" t="s">
        <v>156</v>
      </c>
      <c r="G702" s="37" t="str">
        <f t="shared" si="161"/>
        <v>xpressbees</v>
      </c>
      <c r="H702" s="37" t="s">
        <v>325</v>
      </c>
      <c r="I702" s="37" t="str">
        <f t="shared" si="162"/>
        <v>air</v>
      </c>
      <c r="J702" s="37" t="s">
        <v>368</v>
      </c>
      <c r="K702" s="37" t="str">
        <f t="shared" si="163"/>
        <v>furniture</v>
      </c>
      <c r="L702" s="37" t="s">
        <v>197</v>
      </c>
      <c r="M702" s="37" t="str">
        <f t="shared" si="164"/>
        <v>south</v>
      </c>
      <c r="N702" s="37" t="s">
        <v>93</v>
      </c>
      <c r="O702" s="41" t="str">
        <f t="shared" si="165"/>
        <v>Yes</v>
      </c>
      <c r="P702" s="41">
        <v>31.7</v>
      </c>
      <c r="Q702" s="50">
        <v>1591</v>
      </c>
      <c r="R702" s="42">
        <f t="shared" si="166"/>
        <v>50.1892744479495</v>
      </c>
      <c r="S702" s="37">
        <v>4</v>
      </c>
      <c r="T702" s="37" t="s">
        <v>466</v>
      </c>
      <c r="U702" s="43" t="str">
        <f t="shared" si="167"/>
        <v>2024-04-16</v>
      </c>
      <c r="V702" s="43">
        <f t="shared" si="168"/>
        <v>45398</v>
      </c>
      <c r="W702" s="44">
        <f t="array" ref="W702">_xlfn.IFS(TRIM(C702)="","",TRIM(V702)="","",TRUE,V702-C702)</f>
        <v>4</v>
      </c>
      <c r="X702" s="37">
        <f t="shared" si="169"/>
        <v>0</v>
      </c>
      <c r="Y702" s="37" t="s">
        <v>117</v>
      </c>
      <c r="Z702" s="37" t="str">
        <f t="shared" si="170"/>
        <v>delivered</v>
      </c>
      <c r="AA702" s="37" t="str">
        <f t="shared" si="171"/>
        <v>On Time</v>
      </c>
      <c r="AB702" s="37" t="str">
        <f t="shared" si="174"/>
        <v>0</v>
      </c>
      <c r="AC702" s="37">
        <f t="shared" si="175"/>
        <v>0</v>
      </c>
      <c r="AD702" s="45">
        <f t="shared" si="173"/>
        <v>0.512877939529675</v>
      </c>
      <c r="AE702" s="37">
        <v>5</v>
      </c>
      <c r="AF702" s="37" t="s">
        <v>79</v>
      </c>
      <c r="AG702" s="37" t="str">
        <f t="shared" si="172"/>
        <v>yes</v>
      </c>
      <c r="AH702" s="37" t="str">
        <f t="array" ref="AH702">_xlfn.IFS(LOWER(AG702)="n","no",LOWER(AG702)="y","yes",TRUE,LOWER(AG702))</f>
        <v>yes</v>
      </c>
      <c r="AI702" s="37" t="s">
        <v>4692</v>
      </c>
    </row>
    <row r="703" spans="1:35">
      <c r="A703" s="46" t="s">
        <v>2662</v>
      </c>
      <c r="B703" s="47">
        <v>45318</v>
      </c>
      <c r="C703" s="39">
        <f t="shared" si="160"/>
        <v>45318</v>
      </c>
      <c r="D703" s="48" t="s">
        <v>243</v>
      </c>
      <c r="E703" s="37" t="str" cm="1">
        <f t="array" ref="E703">_xlfn.IFS(D703="delhi","north",D703="mumbai","west",D703="bengaluru","south",D703="chennai","south",D703="kolkata","east",TRUE,"west")</f>
        <v>west</v>
      </c>
      <c r="F703" s="46" t="s">
        <v>136</v>
      </c>
      <c r="G703" s="37" t="str">
        <f t="shared" si="161"/>
        <v>bluedart</v>
      </c>
      <c r="H703" s="46" t="s">
        <v>110</v>
      </c>
      <c r="I703" s="37" t="str">
        <f t="shared" si="162"/>
        <v>surface</v>
      </c>
      <c r="J703" s="46" t="s">
        <v>124</v>
      </c>
      <c r="K703" s="37" t="str">
        <f t="shared" si="163"/>
        <v>automotiveparts</v>
      </c>
      <c r="L703" s="46" t="s">
        <v>87</v>
      </c>
      <c r="M703" s="37" t="str">
        <f t="shared" si="164"/>
        <v>north</v>
      </c>
      <c r="N703" s="46" t="s">
        <v>32</v>
      </c>
      <c r="O703" s="41" t="str">
        <f t="shared" si="165"/>
        <v>Yes</v>
      </c>
      <c r="P703" s="49">
        <v>16.6</v>
      </c>
      <c r="Q703" s="49">
        <v>558</v>
      </c>
      <c r="R703" s="42">
        <f t="shared" si="166"/>
        <v>33.6144578313253</v>
      </c>
      <c r="S703" s="46">
        <v>6</v>
      </c>
      <c r="T703" s="46" t="s">
        <v>1370</v>
      </c>
      <c r="U703" s="43" t="str">
        <f t="shared" si="167"/>
        <v>03/02/2024</v>
      </c>
      <c r="V703" s="43">
        <f t="shared" si="168"/>
        <v>45325</v>
      </c>
      <c r="W703" s="44">
        <f t="array" ref="W703">_xlfn.IFS(TRIM(C703)="","",TRIM(V703)="","",TRUE,V703-C703)</f>
        <v>7</v>
      </c>
      <c r="X703" s="37">
        <f t="shared" si="169"/>
        <v>1</v>
      </c>
      <c r="Y703" s="46" t="s">
        <v>1513</v>
      </c>
      <c r="Z703" s="37" t="str">
        <f t="shared" si="170"/>
        <v>damaged</v>
      </c>
      <c r="AA703" s="37" t="str">
        <f t="shared" si="171"/>
        <v>Late</v>
      </c>
      <c r="AB703" s="37" t="str">
        <f t="shared" si="174"/>
        <v>1</v>
      </c>
      <c r="AC703" s="37">
        <f t="shared" si="175"/>
        <v>1</v>
      </c>
      <c r="AD703" s="45">
        <f t="shared" si="173"/>
        <v>0.513452914798206</v>
      </c>
      <c r="AE703" s="46"/>
      <c r="AF703" s="46" t="s">
        <v>181</v>
      </c>
      <c r="AG703" s="37" t="str">
        <f t="shared" si="172"/>
        <v>y</v>
      </c>
      <c r="AH703" s="37" t="str">
        <f t="array" ref="AH703">_xlfn.IFS(LOWER(AG703)="n","no",LOWER(AG703)="y","yes",TRUE,LOWER(AG703))</f>
        <v>yes</v>
      </c>
      <c r="AI703" s="46" t="s">
        <v>132</v>
      </c>
    </row>
    <row r="704" spans="1:35">
      <c r="A704" s="37" t="s">
        <v>2665</v>
      </c>
      <c r="B704" s="38">
        <v>45437</v>
      </c>
      <c r="C704" s="39">
        <f t="shared" si="160"/>
        <v>45437</v>
      </c>
      <c r="D704" s="40" t="s">
        <v>212</v>
      </c>
      <c r="E704" s="37" t="str" cm="1">
        <f t="array" ref="E704">_xlfn.IFS(D704="delhi","north",D704="mumbai","west",D704="bengaluru","south",D704="chennai","south",D704="kolkata","east",TRUE,"west")</f>
        <v>west</v>
      </c>
      <c r="F704" s="37" t="s">
        <v>270</v>
      </c>
      <c r="G704" s="37" t="str">
        <f t="shared" si="161"/>
        <v>ecomexpress</v>
      </c>
      <c r="H704" s="37" t="s">
        <v>147</v>
      </c>
      <c r="I704" s="37" t="str">
        <f t="shared" si="162"/>
        <v>road</v>
      </c>
      <c r="J704" s="37" t="s">
        <v>167</v>
      </c>
      <c r="K704" s="37" t="str">
        <f t="shared" si="163"/>
        <v>pharma</v>
      </c>
      <c r="L704" s="37" t="s">
        <v>139</v>
      </c>
      <c r="M704" s="37" t="str">
        <f t="shared" si="164"/>
        <v>north</v>
      </c>
      <c r="N704" s="37" t="s">
        <v>354</v>
      </c>
      <c r="O704" s="41" t="str">
        <f t="shared" si="165"/>
        <v>Yes</v>
      </c>
      <c r="P704" s="41" t="s">
        <v>723</v>
      </c>
      <c r="Q704" s="41" t="s">
        <v>731</v>
      </c>
      <c r="R704" s="42">
        <f t="shared" si="166"/>
        <v>81.6666666666667</v>
      </c>
      <c r="S704" s="37">
        <v>8</v>
      </c>
      <c r="T704" s="37" t="s">
        <v>1144</v>
      </c>
      <c r="U704" s="43" t="str">
        <f t="shared" si="167"/>
        <v>03-jun-2024</v>
      </c>
      <c r="V704" s="43">
        <f t="shared" si="168"/>
        <v>45446</v>
      </c>
      <c r="W704" s="44">
        <f t="array" ref="W704">_xlfn.IFS(TRIM(C704)="","",TRIM(V704)="","",TRUE,V704-C704)</f>
        <v>9</v>
      </c>
      <c r="X704" s="37">
        <f t="shared" si="169"/>
        <v>1</v>
      </c>
      <c r="Y704" s="37" t="s">
        <v>72</v>
      </c>
      <c r="Z704" s="37" t="str">
        <f t="shared" si="170"/>
        <v>delayed</v>
      </c>
      <c r="AA704" s="37" t="str">
        <f t="shared" si="171"/>
        <v>Late</v>
      </c>
      <c r="AB704" s="37" t="str">
        <f t="shared" si="174"/>
        <v>1</v>
      </c>
      <c r="AC704" s="37">
        <f t="shared" si="175"/>
        <v>1</v>
      </c>
      <c r="AD704" s="45">
        <f t="shared" si="173"/>
        <v>0.51290684624018</v>
      </c>
      <c r="AE704" s="37">
        <v>2</v>
      </c>
      <c r="AF704" s="37" t="s">
        <v>118</v>
      </c>
      <c r="AG704" s="37" t="str">
        <f t="shared" si="172"/>
        <v>no</v>
      </c>
      <c r="AH704" s="37" t="str">
        <f t="array" ref="AH704">_xlfn.IFS(LOWER(AG704)="n","no",LOWER(AG704)="y","yes",TRUE,LOWER(AG704))</f>
        <v>no</v>
      </c>
      <c r="AI704" s="37" t="s">
        <v>4692</v>
      </c>
    </row>
    <row r="705" spans="1:35">
      <c r="A705" s="46" t="s">
        <v>2667</v>
      </c>
      <c r="B705" s="47" t="s">
        <v>4701</v>
      </c>
      <c r="C705" s="39">
        <f t="shared" si="160"/>
        <v>45326</v>
      </c>
      <c r="D705" s="48" t="s">
        <v>366</v>
      </c>
      <c r="E705" s="37" t="str" cm="1">
        <f t="array" ref="E705">_xlfn.IFS(D705="delhi","north",D705="mumbai","west",D705="bengaluru","south",D705="chennai","south",D705="kolkata","east",TRUE,"west")</f>
        <v>east</v>
      </c>
      <c r="F705" s="46" t="s">
        <v>136</v>
      </c>
      <c r="G705" s="37" t="str">
        <f t="shared" si="161"/>
        <v>bluedart</v>
      </c>
      <c r="H705" s="46" t="s">
        <v>244</v>
      </c>
      <c r="I705" s="37" t="str">
        <f t="shared" si="162"/>
        <v>air</v>
      </c>
      <c r="J705" s="46" t="s">
        <v>205</v>
      </c>
      <c r="K705" s="37" t="str">
        <f t="shared" si="163"/>
        <v>furniture</v>
      </c>
      <c r="L705" s="46" t="s">
        <v>401</v>
      </c>
      <c r="M705" s="37" t="str">
        <f t="shared" si="164"/>
        <v>south</v>
      </c>
      <c r="N705" s="46" t="s">
        <v>93</v>
      </c>
      <c r="O705" s="41" t="str">
        <f t="shared" si="165"/>
        <v>Yes</v>
      </c>
      <c r="P705" s="49">
        <v>40.6</v>
      </c>
      <c r="Q705" s="49" t="s">
        <v>2669</v>
      </c>
      <c r="R705" s="42">
        <f t="shared" si="166"/>
        <v>49.8768472906404</v>
      </c>
      <c r="S705" s="46">
        <v>4</v>
      </c>
      <c r="T705" s="46" t="s">
        <v>2670</v>
      </c>
      <c r="U705" s="43" t="str">
        <f t="shared" si="167"/>
        <v>08/02/2024</v>
      </c>
      <c r="V705" s="43">
        <f t="shared" si="168"/>
        <v>45330</v>
      </c>
      <c r="W705" s="44">
        <f t="array" ref="W705">_xlfn.IFS(TRIM(C705)="","",TRIM(V705)="","",TRUE,V705-C705)</f>
        <v>4</v>
      </c>
      <c r="X705" s="37">
        <f t="shared" si="169"/>
        <v>0</v>
      </c>
      <c r="Y705" s="46" t="s">
        <v>105</v>
      </c>
      <c r="Z705" s="37" t="str">
        <f t="shared" si="170"/>
        <v>delivered</v>
      </c>
      <c r="AA705" s="37" t="str">
        <f t="shared" si="171"/>
        <v>On Time</v>
      </c>
      <c r="AB705" s="37" t="str">
        <f t="shared" si="174"/>
        <v>0</v>
      </c>
      <c r="AC705" s="37">
        <f t="shared" si="175"/>
        <v>0</v>
      </c>
      <c r="AD705" s="45">
        <f t="shared" si="173"/>
        <v>0.512359550561798</v>
      </c>
      <c r="AE705" s="46">
        <v>3</v>
      </c>
      <c r="AF705" s="46" t="s">
        <v>181</v>
      </c>
      <c r="AG705" s="37" t="str">
        <f t="shared" si="172"/>
        <v>y</v>
      </c>
      <c r="AH705" s="37" t="str">
        <f t="array" ref="AH705">_xlfn.IFS(LOWER(AG705)="n","no",LOWER(AG705)="y","yes",TRUE,LOWER(AG705))</f>
        <v>yes</v>
      </c>
      <c r="AI705" s="46" t="s">
        <v>4692</v>
      </c>
    </row>
    <row r="706" spans="1:35">
      <c r="A706" s="37" t="s">
        <v>2671</v>
      </c>
      <c r="B706" s="38" t="s">
        <v>4817</v>
      </c>
      <c r="C706" s="39">
        <f t="shared" ref="C706:C769" si="176">IF(ISNUMBER(B706),B706,DATE(RIGHT(TRIM(B706),4),MID(TRIM(B706),4,2),LEFT(TRIM(B706),2)))</f>
        <v>45325</v>
      </c>
      <c r="D706" s="40" t="s">
        <v>121</v>
      </c>
      <c r="E706" s="37" t="str" cm="1">
        <f t="array" ref="E706">_xlfn.IFS(D706="delhi","north",D706="mumbai","west",D706="bengaluru","south",D706="chennai","south",D706="kolkata","east",TRUE,"west")</f>
        <v>west</v>
      </c>
      <c r="F706" s="37" t="s">
        <v>146</v>
      </c>
      <c r="G706" s="37" t="str">
        <f t="shared" ref="G706:G769" si="177">SUBSTITUTE(LOWER(F706)," ","")</f>
        <v>ecomexpress</v>
      </c>
      <c r="H706" s="37" t="s">
        <v>157</v>
      </c>
      <c r="I706" s="37" t="str">
        <f t="shared" ref="I706:I769" si="178">SUBSTITUTE(LOWER(H706)," ","")</f>
        <v>surface</v>
      </c>
      <c r="J706" s="37" t="s">
        <v>368</v>
      </c>
      <c r="K706" s="37" t="str">
        <f t="shared" ref="K706:K769" si="179">SUBSTITUTE(LOWER(J706)," ","")</f>
        <v>furniture</v>
      </c>
      <c r="L706" s="37" t="s">
        <v>380</v>
      </c>
      <c r="M706" s="37" t="str">
        <f t="shared" ref="M706:M769" si="180">SUBSTITUTE(LOWER(L706)," ","")</f>
        <v>east</v>
      </c>
      <c r="N706" s="37" t="s">
        <v>294</v>
      </c>
      <c r="O706" s="41" t="str">
        <f t="shared" ref="O706:O769" si="181">IF(OR(D706="",M706=""),"",IF(D706=M706,"No","Yes"))</f>
        <v>Yes</v>
      </c>
      <c r="P706" s="41">
        <v>23.2</v>
      </c>
      <c r="Q706" s="41" t="s">
        <v>2674</v>
      </c>
      <c r="R706" s="42">
        <f t="shared" ref="R706:R769" si="182">IF(OR(Q706="",P706="",P706=0),"",Q706/P706)</f>
        <v>28.448275862069</v>
      </c>
      <c r="S706" s="37">
        <v>6</v>
      </c>
      <c r="T706" s="37" t="s">
        <v>2675</v>
      </c>
      <c r="U706" s="43" t="str">
        <f t="shared" ref="U706:U769" si="183">SUBSTITUTE(LOWER(T706)," ","")</f>
        <v>2024-02-09</v>
      </c>
      <c r="V706" s="43">
        <f t="shared" ref="V706:V769" si="184">DATEVALUE(TEXT(U706,"yyyy-mm-dd"))</f>
        <v>45331</v>
      </c>
      <c r="W706" s="44">
        <f t="array" ref="W706">_xlfn.IFS(TRIM(C706)="","",TRIM(V706)="","",TRUE,V706-C706)</f>
        <v>6</v>
      </c>
      <c r="X706" s="37">
        <f t="shared" ref="X706:X769" si="185">IF(OR(W706="",S706=""),"",W706-S706)</f>
        <v>0</v>
      </c>
      <c r="Y706" s="37" t="s">
        <v>219</v>
      </c>
      <c r="Z706" s="37" t="str">
        <f t="shared" ref="Z706:Z769" si="186">SUBSTITUTE(LOWER(Y706)," ","")</f>
        <v>delivered</v>
      </c>
      <c r="AA706" s="37" t="str">
        <f t="shared" ref="AA706:AA769" si="187">IF(Z706="In-Transit","N/A",IF(X706="","",IF(X706&gt;0,"Late","On Time")))</f>
        <v>On Time</v>
      </c>
      <c r="AB706" s="37" t="str">
        <f t="shared" si="174"/>
        <v>0</v>
      </c>
      <c r="AC706" s="37">
        <f t="shared" si="175"/>
        <v>0</v>
      </c>
      <c r="AD706" s="45">
        <f t="shared" si="173"/>
        <v>0.512935883014623</v>
      </c>
      <c r="AE706" s="37">
        <v>5</v>
      </c>
      <c r="AF706" s="37" t="s">
        <v>131</v>
      </c>
      <c r="AG706" s="37" t="str">
        <f t="shared" ref="AG706:AG769" si="188">SUBSTITUTE(LOWER(AF706)," ","")</f>
        <v>n</v>
      </c>
      <c r="AH706" s="37" t="str">
        <f t="array" ref="AH706">_xlfn.IFS(LOWER(AG706)="n","no",LOWER(AG706)="y","yes",TRUE,LOWER(AG706))</f>
        <v>no</v>
      </c>
      <c r="AI706" s="37" t="s">
        <v>4692</v>
      </c>
    </row>
    <row r="707" spans="1:35">
      <c r="A707" s="46" t="s">
        <v>2676</v>
      </c>
      <c r="B707" s="47">
        <v>45367</v>
      </c>
      <c r="C707" s="39">
        <f t="shared" si="176"/>
        <v>45367</v>
      </c>
      <c r="D707" s="48" t="s">
        <v>366</v>
      </c>
      <c r="E707" s="37" t="str" cm="1">
        <f t="array" ref="E707">_xlfn.IFS(D707="delhi","north",D707="mumbai","west",D707="bengaluru","south",D707="chennai","south",D707="kolkata","east",TRUE,"west")</f>
        <v>east</v>
      </c>
      <c r="F707" s="46" t="s">
        <v>213</v>
      </c>
      <c r="G707" s="37" t="str">
        <f t="shared" si="177"/>
        <v>dtdc</v>
      </c>
      <c r="H707" s="46" t="s">
        <v>244</v>
      </c>
      <c r="I707" s="37" t="str">
        <f t="shared" si="178"/>
        <v>air</v>
      </c>
      <c r="J707" s="46" t="s">
        <v>263</v>
      </c>
      <c r="K707" s="37" t="str">
        <f t="shared" si="179"/>
        <v>apparel</v>
      </c>
      <c r="L707" s="46" t="s">
        <v>264</v>
      </c>
      <c r="M707" s="37" t="str">
        <f t="shared" si="180"/>
        <v>west</v>
      </c>
      <c r="N707" s="46" t="s">
        <v>206</v>
      </c>
      <c r="O707" s="41" t="str">
        <f t="shared" si="181"/>
        <v>Yes</v>
      </c>
      <c r="P707" s="49">
        <v>2.9</v>
      </c>
      <c r="Q707" s="49">
        <v>331</v>
      </c>
      <c r="R707" s="42">
        <f t="shared" si="182"/>
        <v>114.137931034483</v>
      </c>
      <c r="S707" s="46">
        <v>4</v>
      </c>
      <c r="T707" s="46" t="s">
        <v>299</v>
      </c>
      <c r="U707" s="43" t="str">
        <f t="shared" si="183"/>
        <v>2024-03-19</v>
      </c>
      <c r="V707" s="43">
        <f t="shared" si="184"/>
        <v>45370</v>
      </c>
      <c r="W707" s="44">
        <f t="array" ref="W707">_xlfn.IFS(TRIM(C707)="","",TRIM(V707)="","",TRUE,V707-C707)</f>
        <v>3</v>
      </c>
      <c r="X707" s="37">
        <f t="shared" si="185"/>
        <v>-1</v>
      </c>
      <c r="Y707" s="46" t="s">
        <v>817</v>
      </c>
      <c r="Z707" s="37" t="str">
        <f t="shared" si="186"/>
        <v>returned</v>
      </c>
      <c r="AA707" s="37" t="str">
        <f t="shared" si="187"/>
        <v>On Time</v>
      </c>
      <c r="AB707" s="37" t="str">
        <f t="shared" si="174"/>
        <v>0</v>
      </c>
      <c r="AC707" s="37">
        <f t="shared" si="175"/>
        <v>0</v>
      </c>
      <c r="AD707" s="45">
        <f t="shared" ref="AD707:AD770" si="189">COUNTIF(AC707:AC2306,1)/COUNT(AC707:AC2306)</f>
        <v>0.513513513513513</v>
      </c>
      <c r="AE707" s="46"/>
      <c r="AF707" s="46" t="s">
        <v>106</v>
      </c>
      <c r="AG707" s="37" t="str">
        <f t="shared" si="188"/>
        <v>yes</v>
      </c>
      <c r="AH707" s="37" t="str">
        <f t="array" ref="AH707">_xlfn.IFS(LOWER(AG707)="n","no",LOWER(AG707)="y","yes",TRUE,LOWER(AG707))</f>
        <v>yes</v>
      </c>
      <c r="AI707" s="46" t="s">
        <v>83</v>
      </c>
    </row>
    <row r="708" spans="1:35">
      <c r="A708" s="37" t="s">
        <v>2678</v>
      </c>
      <c r="B708" s="38" t="s">
        <v>4818</v>
      </c>
      <c r="C708" s="39">
        <f t="shared" si="176"/>
        <v>45451</v>
      </c>
      <c r="D708" s="40" t="s">
        <v>633</v>
      </c>
      <c r="E708" s="37" t="str" cm="1">
        <f t="array" ref="E708">_xlfn.IFS(D708="delhi","north",D708="mumbai","west",D708="bengaluru","south",D708="chennai","south",D708="kolkata","east",TRUE,"west")</f>
        <v>south</v>
      </c>
      <c r="F708" s="37" t="s">
        <v>194</v>
      </c>
      <c r="G708" s="37" t="str">
        <f t="shared" si="177"/>
        <v>xpressbees</v>
      </c>
      <c r="H708" s="37" t="s">
        <v>195</v>
      </c>
      <c r="I708" s="37" t="str">
        <f t="shared" si="178"/>
        <v>road</v>
      </c>
      <c r="J708" s="37" t="s">
        <v>271</v>
      </c>
      <c r="K708" s="37" t="str">
        <f t="shared" si="179"/>
        <v>electronics</v>
      </c>
      <c r="L708" s="37" t="s">
        <v>159</v>
      </c>
      <c r="M708" s="37" t="str">
        <f t="shared" si="180"/>
        <v>south</v>
      </c>
      <c r="N708" s="37" t="s">
        <v>327</v>
      </c>
      <c r="O708" s="41" t="str">
        <f t="shared" si="181"/>
        <v>Yes</v>
      </c>
      <c r="P708" s="41">
        <v>5.5</v>
      </c>
      <c r="Q708" s="41">
        <v>89</v>
      </c>
      <c r="R708" s="42">
        <f t="shared" si="182"/>
        <v>16.1818181818182</v>
      </c>
      <c r="S708" s="37">
        <v>6</v>
      </c>
      <c r="T708" s="37" t="s">
        <v>2681</v>
      </c>
      <c r="U708" s="43" t="str">
        <f t="shared" si="183"/>
        <v>15/06/2024</v>
      </c>
      <c r="V708" s="43">
        <f t="shared" si="184"/>
        <v>45458</v>
      </c>
      <c r="W708" s="44">
        <f t="array" ref="W708">_xlfn.IFS(TRIM(C708)="","",TRIM(V708)="","",TRUE,V708-C708)</f>
        <v>7</v>
      </c>
      <c r="X708" s="37">
        <f t="shared" si="185"/>
        <v>1</v>
      </c>
      <c r="Y708" s="37" t="s">
        <v>143</v>
      </c>
      <c r="Z708" s="37" t="str">
        <f t="shared" si="186"/>
        <v>delayed</v>
      </c>
      <c r="AA708" s="37" t="str">
        <f t="shared" si="187"/>
        <v>Late</v>
      </c>
      <c r="AB708" s="37" t="str">
        <f t="shared" si="174"/>
        <v>1</v>
      </c>
      <c r="AC708" s="37">
        <f t="shared" si="175"/>
        <v>1</v>
      </c>
      <c r="AD708" s="45">
        <f t="shared" si="189"/>
        <v>0.514092446448703</v>
      </c>
      <c r="AE708" s="37">
        <v>5</v>
      </c>
      <c r="AF708" s="37" t="s">
        <v>106</v>
      </c>
      <c r="AG708" s="37" t="str">
        <f t="shared" si="188"/>
        <v>yes</v>
      </c>
      <c r="AH708" s="37" t="str">
        <f t="array" ref="AH708">_xlfn.IFS(LOWER(AG708)="n","no",LOWER(AG708)="y","yes",TRUE,LOWER(AG708))</f>
        <v>yes</v>
      </c>
      <c r="AI708" s="37" t="s">
        <v>4692</v>
      </c>
    </row>
    <row r="709" spans="1:35">
      <c r="A709" s="46" t="s">
        <v>2682</v>
      </c>
      <c r="B709" s="47">
        <v>45300</v>
      </c>
      <c r="C709" s="39">
        <f t="shared" si="176"/>
        <v>45300</v>
      </c>
      <c r="D709" s="48" t="s">
        <v>212</v>
      </c>
      <c r="E709" s="37" t="str" cm="1">
        <f t="array" ref="E709">_xlfn.IFS(D709="delhi","north",D709="mumbai","west",D709="bengaluru","south",D709="chennai","south",D709="kolkata","east",TRUE,"west")</f>
        <v>west</v>
      </c>
      <c r="F709" s="46" t="s">
        <v>156</v>
      </c>
      <c r="G709" s="37" t="str">
        <f t="shared" si="177"/>
        <v>xpressbees</v>
      </c>
      <c r="H709" s="46" t="s">
        <v>185</v>
      </c>
      <c r="I709" s="37" t="str">
        <f t="shared" si="178"/>
        <v>surface</v>
      </c>
      <c r="J709" s="46" t="s">
        <v>664</v>
      </c>
      <c r="K709" s="37" t="str">
        <f t="shared" si="179"/>
        <v>grocery&amp;fmcg</v>
      </c>
      <c r="L709" s="46" t="s">
        <v>257</v>
      </c>
      <c r="M709" s="37" t="str">
        <f t="shared" si="180"/>
        <v>west</v>
      </c>
      <c r="N709" s="46" t="s">
        <v>278</v>
      </c>
      <c r="O709" s="41" t="str">
        <f t="shared" si="181"/>
        <v>Yes</v>
      </c>
      <c r="P709" s="49"/>
      <c r="Q709" s="49" t="s">
        <v>563</v>
      </c>
      <c r="R709" s="42" t="str">
        <f t="shared" si="182"/>
        <v/>
      </c>
      <c r="S709" s="46">
        <v>4</v>
      </c>
      <c r="T709" s="46" t="s">
        <v>965</v>
      </c>
      <c r="U709" s="43" t="str">
        <f t="shared" si="183"/>
        <v>14-jan-2024</v>
      </c>
      <c r="V709" s="43">
        <f t="shared" si="184"/>
        <v>45305</v>
      </c>
      <c r="W709" s="44">
        <f t="array" ref="W709">_xlfn.IFS(TRIM(C709)="","",TRIM(V709)="","",TRUE,V709-C709)</f>
        <v>5</v>
      </c>
      <c r="X709" s="37">
        <f t="shared" si="185"/>
        <v>1</v>
      </c>
      <c r="Y709" s="46" t="s">
        <v>200</v>
      </c>
      <c r="Z709" s="37" t="str">
        <f t="shared" si="186"/>
        <v>delayed</v>
      </c>
      <c r="AA709" s="37" t="str">
        <f t="shared" si="187"/>
        <v>Late</v>
      </c>
      <c r="AB709" s="37" t="str">
        <f t="shared" si="174"/>
        <v>1</v>
      </c>
      <c r="AC709" s="37">
        <f t="shared" si="175"/>
        <v>1</v>
      </c>
      <c r="AD709" s="45">
        <f t="shared" si="189"/>
        <v>0.513544018058691</v>
      </c>
      <c r="AE709" s="46">
        <v>1</v>
      </c>
      <c r="AF709" s="46" t="s">
        <v>181</v>
      </c>
      <c r="AG709" s="37" t="str">
        <f t="shared" si="188"/>
        <v>y</v>
      </c>
      <c r="AH709" s="37" t="str">
        <f t="array" ref="AH709">_xlfn.IFS(LOWER(AG709)="n","no",LOWER(AG709)="y","yes",TRUE,LOWER(AG709))</f>
        <v>yes</v>
      </c>
      <c r="AI709" s="46" t="s">
        <v>4692</v>
      </c>
    </row>
    <row r="710" spans="1:35">
      <c r="A710" s="37" t="s">
        <v>2684</v>
      </c>
      <c r="B710" s="38">
        <v>45360</v>
      </c>
      <c r="C710" s="39">
        <f t="shared" si="176"/>
        <v>45360</v>
      </c>
      <c r="D710" s="40" t="s">
        <v>4695</v>
      </c>
      <c r="E710" s="37" t="str" cm="1">
        <f t="array" ref="E710">_xlfn.IFS(D710="delhi","north",D710="mumbai","west",D710="bengaluru","south",D710="chennai","south",D710="kolkata","east",TRUE,"west")</f>
        <v>west</v>
      </c>
      <c r="F710" s="37" t="s">
        <v>37</v>
      </c>
      <c r="G710" s="37" t="str">
        <f t="shared" si="177"/>
        <v>bluedart</v>
      </c>
      <c r="H710" s="37" t="s">
        <v>110</v>
      </c>
      <c r="I710" s="37" t="str">
        <f t="shared" si="178"/>
        <v>surface</v>
      </c>
      <c r="J710" s="37" t="s">
        <v>231</v>
      </c>
      <c r="K710" s="37" t="str">
        <f t="shared" si="179"/>
        <v>furniture</v>
      </c>
      <c r="L710" s="37" t="s">
        <v>257</v>
      </c>
      <c r="M710" s="37" t="str">
        <f t="shared" si="180"/>
        <v>west</v>
      </c>
      <c r="N710" s="37" t="s">
        <v>206</v>
      </c>
      <c r="O710" s="41" t="str">
        <f t="shared" si="181"/>
        <v>Yes</v>
      </c>
      <c r="P710" s="41" t="s">
        <v>2685</v>
      </c>
      <c r="Q710" s="41">
        <v>1465</v>
      </c>
      <c r="R710" s="42">
        <f t="shared" si="182"/>
        <v>22.5731895223421</v>
      </c>
      <c r="S710" s="37">
        <v>4</v>
      </c>
      <c r="T710" s="37" t="s">
        <v>390</v>
      </c>
      <c r="U710" s="43" t="str">
        <f t="shared" si="183"/>
        <v>2024-03-13</v>
      </c>
      <c r="V710" s="43">
        <f t="shared" si="184"/>
        <v>45364</v>
      </c>
      <c r="W710" s="44">
        <f t="array" ref="W710">_xlfn.IFS(TRIM(C710)="","",TRIM(V710)="","",TRUE,V710-C710)</f>
        <v>4</v>
      </c>
      <c r="X710" s="37">
        <f t="shared" si="185"/>
        <v>0</v>
      </c>
      <c r="Y710" s="37" t="s">
        <v>163</v>
      </c>
      <c r="Z710" s="37" t="str">
        <f t="shared" si="186"/>
        <v>delivered</v>
      </c>
      <c r="AA710" s="37" t="str">
        <f t="shared" si="187"/>
        <v>On Time</v>
      </c>
      <c r="AB710" s="37" t="str">
        <f t="shared" ref="AB710:AB773" si="190">IF(Z710="In-Transit","N/A",IF(X710="","",IF(X710&gt;0,"1","0")))</f>
        <v>0</v>
      </c>
      <c r="AC710" s="37">
        <f t="shared" si="175"/>
        <v>0</v>
      </c>
      <c r="AD710" s="45">
        <f t="shared" si="189"/>
        <v>0.512994350282486</v>
      </c>
      <c r="AE710" s="37">
        <v>5</v>
      </c>
      <c r="AF710" s="37" t="s">
        <v>181</v>
      </c>
      <c r="AG710" s="37" t="str">
        <f t="shared" si="188"/>
        <v>y</v>
      </c>
      <c r="AH710" s="37" t="str">
        <f t="array" ref="AH710">_xlfn.IFS(LOWER(AG710)="n","no",LOWER(AG710)="y","yes",TRUE,LOWER(AG710))</f>
        <v>yes</v>
      </c>
      <c r="AI710" s="37" t="s">
        <v>4692</v>
      </c>
    </row>
    <row r="711" spans="1:35">
      <c r="A711" s="46" t="s">
        <v>2687</v>
      </c>
      <c r="B711" s="47">
        <v>45356</v>
      </c>
      <c r="C711" s="39">
        <f t="shared" si="176"/>
        <v>45356</v>
      </c>
      <c r="D711" s="48" t="s">
        <v>366</v>
      </c>
      <c r="E711" s="37" t="str" cm="1">
        <f t="array" ref="E711">_xlfn.IFS(D711="delhi","north",D711="mumbai","west",D711="bengaluru","south",D711="chennai","south",D711="kolkata","east",TRUE,"west")</f>
        <v>east</v>
      </c>
      <c r="F711" s="46" t="s">
        <v>175</v>
      </c>
      <c r="G711" s="37" t="str">
        <f t="shared" si="177"/>
        <v>ecomexpress</v>
      </c>
      <c r="H711" s="46" t="s">
        <v>440</v>
      </c>
      <c r="I711" s="37" t="str">
        <f t="shared" si="178"/>
        <v>road</v>
      </c>
      <c r="J711" s="46" t="s">
        <v>158</v>
      </c>
      <c r="K711" s="37" t="str">
        <f t="shared" si="179"/>
        <v>pharma</v>
      </c>
      <c r="L711" s="46" t="s">
        <v>159</v>
      </c>
      <c r="M711" s="37" t="str">
        <f t="shared" si="180"/>
        <v>south</v>
      </c>
      <c r="N711" s="46" t="s">
        <v>327</v>
      </c>
      <c r="O711" s="41" t="str">
        <f t="shared" si="181"/>
        <v>Yes</v>
      </c>
      <c r="P711" s="49" t="s">
        <v>1441</v>
      </c>
      <c r="Q711" s="49">
        <v>216</v>
      </c>
      <c r="R711" s="42">
        <f t="shared" si="182"/>
        <v>154.285714285714</v>
      </c>
      <c r="S711" s="46">
        <v>8</v>
      </c>
      <c r="T711" s="46" t="s">
        <v>1021</v>
      </c>
      <c r="U711" s="43" t="str">
        <f t="shared" si="183"/>
        <v>13-mar-2024</v>
      </c>
      <c r="V711" s="43">
        <f t="shared" si="184"/>
        <v>45364</v>
      </c>
      <c r="W711" s="44">
        <f t="array" ref="W711">_xlfn.IFS(TRIM(C711)="","",TRIM(V711)="","",TRUE,V711-C711)</f>
        <v>8</v>
      </c>
      <c r="X711" s="37">
        <f t="shared" si="185"/>
        <v>0</v>
      </c>
      <c r="Y711" s="46" t="s">
        <v>105</v>
      </c>
      <c r="Z711" s="37" t="str">
        <f t="shared" si="186"/>
        <v>delivered</v>
      </c>
      <c r="AA711" s="37" t="str">
        <f t="shared" si="187"/>
        <v>On Time</v>
      </c>
      <c r="AB711" s="37" t="str">
        <f t="shared" si="190"/>
        <v>0</v>
      </c>
      <c r="AC711" s="37">
        <f t="shared" ref="AC711:AC774" si="191">IF(TRIM(AB711&amp;"")="","",VALUE(TRIM(AB711&amp;"")))</f>
        <v>0</v>
      </c>
      <c r="AD711" s="45">
        <f t="shared" si="189"/>
        <v>0.513574660633484</v>
      </c>
      <c r="AE711" s="46">
        <v>5</v>
      </c>
      <c r="AF711" s="46" t="s">
        <v>191</v>
      </c>
      <c r="AG711" s="37" t="str">
        <f t="shared" si="188"/>
        <v>no</v>
      </c>
      <c r="AH711" s="37" t="str">
        <f t="array" ref="AH711">_xlfn.IFS(LOWER(AG711)="n","no",LOWER(AG711)="y","yes",TRUE,LOWER(AG711))</f>
        <v>no</v>
      </c>
      <c r="AI711" s="46" t="s">
        <v>4692</v>
      </c>
    </row>
    <row r="712" spans="1:35">
      <c r="A712" s="46" t="s">
        <v>2688</v>
      </c>
      <c r="B712" s="47" t="s">
        <v>4728</v>
      </c>
      <c r="C712" s="39">
        <f t="shared" si="176"/>
        <v>45432</v>
      </c>
      <c r="D712" s="48" t="s">
        <v>633</v>
      </c>
      <c r="E712" s="37" t="str" cm="1">
        <f t="array" ref="E712">_xlfn.IFS(D712="delhi","north",D712="mumbai","west",D712="bengaluru","south",D712="chennai","south",D712="kolkata","east",TRUE,"west")</f>
        <v>south</v>
      </c>
      <c r="F712" s="46" t="s">
        <v>122</v>
      </c>
      <c r="G712" s="37" t="str">
        <f t="shared" si="177"/>
        <v>delhivery</v>
      </c>
      <c r="H712" s="46" t="s">
        <v>185</v>
      </c>
      <c r="I712" s="37" t="str">
        <f t="shared" si="178"/>
        <v>surface</v>
      </c>
      <c r="J712" s="46" t="s">
        <v>283</v>
      </c>
      <c r="K712" s="37" t="str">
        <f t="shared" si="179"/>
        <v>pharma</v>
      </c>
      <c r="L712" s="46" t="s">
        <v>197</v>
      </c>
      <c r="M712" s="37" t="str">
        <f t="shared" si="180"/>
        <v>south</v>
      </c>
      <c r="N712" s="46" t="s">
        <v>327</v>
      </c>
      <c r="O712" s="41" t="str">
        <f t="shared" si="181"/>
        <v>Yes</v>
      </c>
      <c r="P712" s="49">
        <v>2.7</v>
      </c>
      <c r="Q712" s="49" t="s">
        <v>432</v>
      </c>
      <c r="R712" s="42">
        <f t="shared" si="182"/>
        <v>29.6296296296296</v>
      </c>
      <c r="S712" s="46">
        <v>4</v>
      </c>
      <c r="T712" s="46" t="s">
        <v>383</v>
      </c>
      <c r="U712" s="43" t="str">
        <f t="shared" si="183"/>
        <v>24/05/2024</v>
      </c>
      <c r="V712" s="43">
        <f t="shared" si="184"/>
        <v>45436</v>
      </c>
      <c r="W712" s="44">
        <f t="array" ref="W712">_xlfn.IFS(TRIM(C712)="","",TRIM(V712)="","",TRUE,V712-C712)</f>
        <v>4</v>
      </c>
      <c r="X712" s="37">
        <f t="shared" si="185"/>
        <v>0</v>
      </c>
      <c r="Y712" s="46" t="s">
        <v>117</v>
      </c>
      <c r="Z712" s="37" t="str">
        <f t="shared" si="186"/>
        <v>delivered</v>
      </c>
      <c r="AA712" s="37" t="str">
        <f t="shared" si="187"/>
        <v>On Time</v>
      </c>
      <c r="AB712" s="37" t="str">
        <f t="shared" si="190"/>
        <v>0</v>
      </c>
      <c r="AC712" s="37">
        <f t="shared" si="191"/>
        <v>0</v>
      </c>
      <c r="AD712" s="45">
        <f t="shared" si="189"/>
        <v>0.514156285390713</v>
      </c>
      <c r="AE712" s="46">
        <v>4</v>
      </c>
      <c r="AF712" s="46" t="s">
        <v>131</v>
      </c>
      <c r="AG712" s="37" t="str">
        <f t="shared" si="188"/>
        <v>n</v>
      </c>
      <c r="AH712" s="37" t="str">
        <f t="array" ref="AH712">_xlfn.IFS(LOWER(AG712)="n","no",LOWER(AG712)="y","yes",TRUE,LOWER(AG712))</f>
        <v>no</v>
      </c>
      <c r="AI712" s="46" t="s">
        <v>4692</v>
      </c>
    </row>
    <row r="713" spans="1:35">
      <c r="A713" s="37" t="s">
        <v>2690</v>
      </c>
      <c r="B713" s="38" t="s">
        <v>4691</v>
      </c>
      <c r="C713" s="39">
        <f t="shared" si="176"/>
        <v>45313</v>
      </c>
      <c r="D713" s="40" t="s">
        <v>212</v>
      </c>
      <c r="E713" s="37" t="str" cm="1">
        <f t="array" ref="E713">_xlfn.IFS(D713="delhi","north",D713="mumbai","west",D713="bengaluru","south",D713="chennai","south",D713="kolkata","east",TRUE,"west")</f>
        <v>west</v>
      </c>
      <c r="F713" s="37" t="s">
        <v>230</v>
      </c>
      <c r="G713" s="37" t="str">
        <f t="shared" si="177"/>
        <v>dtdc</v>
      </c>
      <c r="H713" s="37" t="s">
        <v>244</v>
      </c>
      <c r="I713" s="37" t="str">
        <f t="shared" si="178"/>
        <v>air</v>
      </c>
      <c r="J713" s="37" t="s">
        <v>301</v>
      </c>
      <c r="K713" s="37" t="str">
        <f t="shared" si="179"/>
        <v>furniture</v>
      </c>
      <c r="L713" s="37" t="s">
        <v>112</v>
      </c>
      <c r="M713" s="37" t="str">
        <f t="shared" si="180"/>
        <v>north</v>
      </c>
      <c r="N713" s="37" t="s">
        <v>354</v>
      </c>
      <c r="O713" s="41" t="str">
        <f t="shared" si="181"/>
        <v>Yes</v>
      </c>
      <c r="P713" s="41" t="s">
        <v>2691</v>
      </c>
      <c r="Q713" s="41">
        <v>907</v>
      </c>
      <c r="R713" s="42">
        <f t="shared" si="182"/>
        <v>53.3529411764706</v>
      </c>
      <c r="S713" s="37">
        <v>4</v>
      </c>
      <c r="T713" s="37" t="s">
        <v>1034</v>
      </c>
      <c r="U713" s="43" t="str">
        <f t="shared" si="183"/>
        <v>27/01/2024</v>
      </c>
      <c r="V713" s="43">
        <f t="shared" si="184"/>
        <v>45318</v>
      </c>
      <c r="W713" s="44">
        <f t="array" ref="W713">_xlfn.IFS(TRIM(C713)="","",TRIM(V713)="","",TRUE,V713-C713)</f>
        <v>5</v>
      </c>
      <c r="X713" s="37">
        <f t="shared" si="185"/>
        <v>1</v>
      </c>
      <c r="Y713" s="37" t="s">
        <v>200</v>
      </c>
      <c r="Z713" s="37" t="str">
        <f t="shared" si="186"/>
        <v>delayed</v>
      </c>
      <c r="AA713" s="37" t="str">
        <f t="shared" si="187"/>
        <v>Late</v>
      </c>
      <c r="AB713" s="37" t="str">
        <f t="shared" si="190"/>
        <v>1</v>
      </c>
      <c r="AC713" s="37">
        <f t="shared" si="191"/>
        <v>1</v>
      </c>
      <c r="AD713" s="45">
        <f t="shared" si="189"/>
        <v>0.514739229024943</v>
      </c>
      <c r="AE713" s="37">
        <v>3</v>
      </c>
      <c r="AF713" s="37" t="s">
        <v>181</v>
      </c>
      <c r="AG713" s="37" t="str">
        <f t="shared" si="188"/>
        <v>y</v>
      </c>
      <c r="AH713" s="37" t="str">
        <f t="array" ref="AH713">_xlfn.IFS(LOWER(AG713)="n","no",LOWER(AG713)="y","yes",TRUE,LOWER(AG713))</f>
        <v>yes</v>
      </c>
      <c r="AI713" s="37" t="s">
        <v>4692</v>
      </c>
    </row>
    <row r="714" spans="1:35">
      <c r="A714" s="46" t="s">
        <v>2693</v>
      </c>
      <c r="B714" s="47">
        <v>45333</v>
      </c>
      <c r="C714" s="39">
        <f t="shared" si="176"/>
        <v>45333</v>
      </c>
      <c r="D714" s="48" t="s">
        <v>340</v>
      </c>
      <c r="E714" s="37" t="str" cm="1">
        <f t="array" ref="E714">_xlfn.IFS(D714="delhi","north",D714="mumbai","west",D714="bengaluru","south",D714="chennai","south",D714="kolkata","east",TRUE,"west")</f>
        <v>north</v>
      </c>
      <c r="F714" s="46" t="s">
        <v>367</v>
      </c>
      <c r="G714" s="37" t="str">
        <f t="shared" si="177"/>
        <v>dtdc</v>
      </c>
      <c r="H714" s="46" t="s">
        <v>176</v>
      </c>
      <c r="I714" s="37" t="str">
        <f t="shared" si="178"/>
        <v>road</v>
      </c>
      <c r="J714" s="46" t="s">
        <v>47</v>
      </c>
      <c r="K714" s="37" t="str">
        <f t="shared" si="179"/>
        <v>electronics</v>
      </c>
      <c r="L714" s="46" t="s">
        <v>346</v>
      </c>
      <c r="M714" s="37" t="str">
        <f t="shared" si="180"/>
        <v>north</v>
      </c>
      <c r="N714" s="46" t="s">
        <v>113</v>
      </c>
      <c r="O714" s="41" t="str">
        <f t="shared" si="181"/>
        <v>Yes</v>
      </c>
      <c r="P714" s="49">
        <v>10.7</v>
      </c>
      <c r="Q714" s="49">
        <v>195</v>
      </c>
      <c r="R714" s="42">
        <f t="shared" si="182"/>
        <v>18.2242990654206</v>
      </c>
      <c r="S714" s="46">
        <v>6</v>
      </c>
      <c r="T714" s="46" t="s">
        <v>2030</v>
      </c>
      <c r="U714" s="43" t="str">
        <f t="shared" si="183"/>
        <v>17/02/2024</v>
      </c>
      <c r="V714" s="43">
        <f t="shared" si="184"/>
        <v>45339</v>
      </c>
      <c r="W714" s="44">
        <f t="array" ref="W714">_xlfn.IFS(TRIM(C714)="","",TRIM(V714)="","",TRUE,V714-C714)</f>
        <v>6</v>
      </c>
      <c r="X714" s="37">
        <f t="shared" si="185"/>
        <v>0</v>
      </c>
      <c r="Y714" s="46" t="s">
        <v>117</v>
      </c>
      <c r="Z714" s="37" t="str">
        <f t="shared" si="186"/>
        <v>delivered</v>
      </c>
      <c r="AA714" s="37" t="str">
        <f t="shared" si="187"/>
        <v>On Time</v>
      </c>
      <c r="AB714" s="37" t="str">
        <f t="shared" si="190"/>
        <v>0</v>
      </c>
      <c r="AC714" s="37">
        <f t="shared" si="191"/>
        <v>0</v>
      </c>
      <c r="AD714" s="45">
        <f t="shared" si="189"/>
        <v>0.514188422247446</v>
      </c>
      <c r="AE714" s="46">
        <v>5</v>
      </c>
      <c r="AF714" s="46" t="s">
        <v>106</v>
      </c>
      <c r="AG714" s="37" t="str">
        <f t="shared" si="188"/>
        <v>yes</v>
      </c>
      <c r="AH714" s="37" t="str">
        <f t="array" ref="AH714">_xlfn.IFS(LOWER(AG714)="n","no",LOWER(AG714)="y","yes",TRUE,LOWER(AG714))</f>
        <v>yes</v>
      </c>
      <c r="AI714" s="46" t="s">
        <v>4692</v>
      </c>
    </row>
    <row r="715" spans="1:35">
      <c r="A715" s="37" t="s">
        <v>2695</v>
      </c>
      <c r="B715" s="38">
        <v>45325</v>
      </c>
      <c r="C715" s="39">
        <f t="shared" si="176"/>
        <v>45325</v>
      </c>
      <c r="D715" s="40" t="s">
        <v>4694</v>
      </c>
      <c r="E715" s="37" t="str" cm="1">
        <f t="array" ref="E715">_xlfn.IFS(D715="delhi","north",D715="mumbai","west",D715="bengaluru","south",D715="chennai","south",D715="kolkata","east",TRUE,"west")</f>
        <v>west</v>
      </c>
      <c r="F715" s="37" t="s">
        <v>194</v>
      </c>
      <c r="G715" s="37" t="str">
        <f t="shared" si="177"/>
        <v>xpressbees</v>
      </c>
      <c r="H715" s="37" t="s">
        <v>244</v>
      </c>
      <c r="I715" s="37" t="str">
        <f t="shared" si="178"/>
        <v>air</v>
      </c>
      <c r="J715" s="37" t="s">
        <v>177</v>
      </c>
      <c r="K715" s="37" t="str">
        <f t="shared" si="179"/>
        <v>pharma</v>
      </c>
      <c r="L715" s="37" t="s">
        <v>257</v>
      </c>
      <c r="M715" s="37" t="str">
        <f t="shared" si="180"/>
        <v>west</v>
      </c>
      <c r="N715" s="37" t="s">
        <v>187</v>
      </c>
      <c r="O715" s="41" t="str">
        <f t="shared" si="181"/>
        <v>Yes</v>
      </c>
      <c r="P715" s="41">
        <v>3.1</v>
      </c>
      <c r="Q715" s="41" t="s">
        <v>2696</v>
      </c>
      <c r="R715" s="42">
        <f t="shared" si="182"/>
        <v>90.6451612903226</v>
      </c>
      <c r="S715" s="37">
        <v>4</v>
      </c>
      <c r="T715" s="37" t="s">
        <v>1489</v>
      </c>
      <c r="U715" s="43" t="str">
        <f t="shared" si="183"/>
        <v>06/02/2024</v>
      </c>
      <c r="V715" s="43">
        <f t="shared" si="184"/>
        <v>45328</v>
      </c>
      <c r="W715" s="44">
        <f t="array" ref="W715">_xlfn.IFS(TRIM(C715)="","",TRIM(V715)="","",TRUE,V715-C715)</f>
        <v>3</v>
      </c>
      <c r="X715" s="37">
        <f t="shared" si="185"/>
        <v>-1</v>
      </c>
      <c r="Y715" s="37" t="s">
        <v>219</v>
      </c>
      <c r="Z715" s="37" t="str">
        <f t="shared" si="186"/>
        <v>delivered</v>
      </c>
      <c r="AA715" s="37" t="str">
        <f t="shared" si="187"/>
        <v>On Time</v>
      </c>
      <c r="AB715" s="37" t="str">
        <f t="shared" si="190"/>
        <v>0</v>
      </c>
      <c r="AC715" s="37">
        <f t="shared" si="191"/>
        <v>0</v>
      </c>
      <c r="AD715" s="45">
        <f t="shared" si="189"/>
        <v>0.514772727272727</v>
      </c>
      <c r="AE715" s="37">
        <v>5</v>
      </c>
      <c r="AF715" s="37" t="s">
        <v>79</v>
      </c>
      <c r="AG715" s="37" t="str">
        <f t="shared" si="188"/>
        <v>yes</v>
      </c>
      <c r="AH715" s="37" t="str">
        <f t="array" ref="AH715">_xlfn.IFS(LOWER(AG715)="n","no",LOWER(AG715)="y","yes",TRUE,LOWER(AG715))</f>
        <v>yes</v>
      </c>
      <c r="AI715" s="37" t="s">
        <v>4692</v>
      </c>
    </row>
    <row r="716" spans="1:35">
      <c r="A716" s="46" t="s">
        <v>2697</v>
      </c>
      <c r="B716" s="47">
        <v>45426</v>
      </c>
      <c r="C716" s="39">
        <f t="shared" si="176"/>
        <v>45426</v>
      </c>
      <c r="D716" s="48" t="s">
        <v>340</v>
      </c>
      <c r="E716" s="37" t="str" cm="1">
        <f t="array" ref="E716">_xlfn.IFS(D716="delhi","north",D716="mumbai","west",D716="bengaluru","south",D716="chennai","south",D716="kolkata","east",TRUE,"west")</f>
        <v>north</v>
      </c>
      <c r="F716" s="46" t="s">
        <v>98</v>
      </c>
      <c r="G716" s="37" t="str">
        <f t="shared" si="177"/>
        <v>dtdc</v>
      </c>
      <c r="H716" s="46" t="s">
        <v>224</v>
      </c>
      <c r="I716" s="37" t="str">
        <f t="shared" si="178"/>
        <v>air</v>
      </c>
      <c r="J716" s="46" t="s">
        <v>734</v>
      </c>
      <c r="K716" s="37" t="str">
        <f t="shared" si="179"/>
        <v>grocery&amp;fmcg</v>
      </c>
      <c r="L716" s="46" t="s">
        <v>125</v>
      </c>
      <c r="M716" s="37" t="str">
        <f t="shared" si="180"/>
        <v>east</v>
      </c>
      <c r="N716" s="46" t="s">
        <v>294</v>
      </c>
      <c r="O716" s="41" t="str">
        <f t="shared" si="181"/>
        <v>Yes</v>
      </c>
      <c r="P716" s="49" t="s">
        <v>2698</v>
      </c>
      <c r="Q716" s="49">
        <v>726</v>
      </c>
      <c r="R716" s="42">
        <f t="shared" si="182"/>
        <v>56.2790697674419</v>
      </c>
      <c r="S716" s="46">
        <v>4</v>
      </c>
      <c r="T716" s="46" t="s">
        <v>2700</v>
      </c>
      <c r="U716" s="43" t="str">
        <f t="shared" si="183"/>
        <v>22/05/2024</v>
      </c>
      <c r="V716" s="43">
        <f t="shared" si="184"/>
        <v>45434</v>
      </c>
      <c r="W716" s="44">
        <f t="array" ref="W716">_xlfn.IFS(TRIM(C716)="","",TRIM(V716)="","",TRUE,V716-C716)</f>
        <v>8</v>
      </c>
      <c r="X716" s="37">
        <f t="shared" si="185"/>
        <v>4</v>
      </c>
      <c r="Y716" s="46" t="s">
        <v>143</v>
      </c>
      <c r="Z716" s="37" t="str">
        <f t="shared" si="186"/>
        <v>delayed</v>
      </c>
      <c r="AA716" s="37" t="str">
        <f t="shared" si="187"/>
        <v>Late</v>
      </c>
      <c r="AB716" s="37" t="str">
        <f t="shared" si="190"/>
        <v>1</v>
      </c>
      <c r="AC716" s="37">
        <f t="shared" si="191"/>
        <v>1</v>
      </c>
      <c r="AD716" s="45">
        <f t="shared" si="189"/>
        <v>0.515358361774744</v>
      </c>
      <c r="AE716" s="46">
        <v>3</v>
      </c>
      <c r="AF716" s="46" t="s">
        <v>118</v>
      </c>
      <c r="AG716" s="37" t="str">
        <f t="shared" si="188"/>
        <v>no</v>
      </c>
      <c r="AH716" s="37" t="str">
        <f t="array" ref="AH716">_xlfn.IFS(LOWER(AG716)="n","no",LOWER(AG716)="y","yes",TRUE,LOWER(AG716))</f>
        <v>no</v>
      </c>
      <c r="AI716" s="46" t="s">
        <v>4692</v>
      </c>
    </row>
    <row r="717" spans="1:35">
      <c r="A717" s="37" t="s">
        <v>2701</v>
      </c>
      <c r="B717" s="38">
        <v>45358</v>
      </c>
      <c r="C717" s="39">
        <f t="shared" si="176"/>
        <v>45358</v>
      </c>
      <c r="D717" s="40" t="s">
        <v>121</v>
      </c>
      <c r="E717" s="37" t="str" cm="1">
        <f t="array" ref="E717">_xlfn.IFS(D717="delhi","north",D717="mumbai","west",D717="bengaluru","south",D717="chennai","south",D717="kolkata","east",TRUE,"west")</f>
        <v>west</v>
      </c>
      <c r="F717" s="37" t="s">
        <v>175</v>
      </c>
      <c r="G717" s="37" t="str">
        <f t="shared" si="177"/>
        <v>ecomexpress</v>
      </c>
      <c r="H717" s="37" t="s">
        <v>147</v>
      </c>
      <c r="I717" s="37" t="str">
        <f t="shared" si="178"/>
        <v>road</v>
      </c>
      <c r="J717" s="37" t="s">
        <v>498</v>
      </c>
      <c r="K717" s="37" t="str">
        <f t="shared" si="179"/>
        <v>apparel</v>
      </c>
      <c r="L717" s="37" t="s">
        <v>159</v>
      </c>
      <c r="M717" s="37" t="str">
        <f t="shared" si="180"/>
        <v>south</v>
      </c>
      <c r="N717" s="37" t="s">
        <v>54</v>
      </c>
      <c r="O717" s="41" t="str">
        <f t="shared" si="181"/>
        <v>Yes</v>
      </c>
      <c r="P717" s="41" t="s">
        <v>745</v>
      </c>
      <c r="Q717" s="41" t="s">
        <v>1534</v>
      </c>
      <c r="R717" s="42">
        <f t="shared" si="182"/>
        <v>49.7058823529412</v>
      </c>
      <c r="S717" s="37">
        <v>8</v>
      </c>
      <c r="T717" s="37" t="s">
        <v>667</v>
      </c>
      <c r="U717" s="43" t="str">
        <f t="shared" si="183"/>
        <v>14/03/2024</v>
      </c>
      <c r="V717" s="43">
        <f t="shared" si="184"/>
        <v>45365</v>
      </c>
      <c r="W717" s="44">
        <f t="array" ref="W717">_xlfn.IFS(TRIM(C717)="","",TRIM(V717)="","",TRUE,V717-C717)</f>
        <v>7</v>
      </c>
      <c r="X717" s="37">
        <f t="shared" si="185"/>
        <v>-1</v>
      </c>
      <c r="Y717" s="37" t="s">
        <v>117</v>
      </c>
      <c r="Z717" s="37" t="str">
        <f t="shared" si="186"/>
        <v>delivered</v>
      </c>
      <c r="AA717" s="37" t="str">
        <f t="shared" si="187"/>
        <v>On Time</v>
      </c>
      <c r="AB717" s="37" t="str">
        <f t="shared" si="190"/>
        <v>0</v>
      </c>
      <c r="AC717" s="37">
        <f t="shared" si="191"/>
        <v>0</v>
      </c>
      <c r="AD717" s="45">
        <f t="shared" si="189"/>
        <v>0.514806378132118</v>
      </c>
      <c r="AE717" s="37">
        <v>1</v>
      </c>
      <c r="AF717" s="37" t="s">
        <v>118</v>
      </c>
      <c r="AG717" s="37" t="str">
        <f t="shared" si="188"/>
        <v>no</v>
      </c>
      <c r="AH717" s="37" t="str">
        <f t="array" ref="AH717">_xlfn.IFS(LOWER(AG717)="n","no",LOWER(AG717)="y","yes",TRUE,LOWER(AG717))</f>
        <v>no</v>
      </c>
      <c r="AI717" s="37" t="s">
        <v>4692</v>
      </c>
    </row>
    <row r="718" spans="1:35">
      <c r="A718" s="46" t="s">
        <v>2702</v>
      </c>
      <c r="B718" s="47">
        <v>45457</v>
      </c>
      <c r="C718" s="39">
        <f t="shared" si="176"/>
        <v>45457</v>
      </c>
      <c r="D718" s="48" t="s">
        <v>109</v>
      </c>
      <c r="E718" s="37" t="str" cm="1">
        <f t="array" ref="E718">_xlfn.IFS(D718="delhi","north",D718="mumbai","west",D718="bengaluru","south",D718="chennai","south",D718="kolkata","east",TRUE,"west")</f>
        <v>west</v>
      </c>
      <c r="F718" s="46" t="s">
        <v>204</v>
      </c>
      <c r="G718" s="37" t="str">
        <f t="shared" si="177"/>
        <v>delhivery</v>
      </c>
      <c r="H718" s="46" t="s">
        <v>99</v>
      </c>
      <c r="I718" s="37" t="str">
        <f t="shared" si="178"/>
        <v>air</v>
      </c>
      <c r="J718" s="46" t="s">
        <v>664</v>
      </c>
      <c r="K718" s="37" t="str">
        <f t="shared" si="179"/>
        <v>grocery&amp;fmcg</v>
      </c>
      <c r="L718" s="46" t="s">
        <v>101</v>
      </c>
      <c r="M718" s="37" t="str">
        <f t="shared" si="180"/>
        <v>west</v>
      </c>
      <c r="N718" s="46" t="s">
        <v>278</v>
      </c>
      <c r="O718" s="41" t="str">
        <f t="shared" si="181"/>
        <v>Yes</v>
      </c>
      <c r="P718" s="49">
        <v>9.2</v>
      </c>
      <c r="Q718" s="49" t="s">
        <v>2704</v>
      </c>
      <c r="R718" s="42">
        <f t="shared" si="182"/>
        <v>50.9782608695652</v>
      </c>
      <c r="S718" s="46">
        <v>2</v>
      </c>
      <c r="T718" s="46" t="s">
        <v>1083</v>
      </c>
      <c r="U718" s="43" t="str">
        <f t="shared" si="183"/>
        <v>17/06/2024</v>
      </c>
      <c r="V718" s="43">
        <f t="shared" si="184"/>
        <v>45460</v>
      </c>
      <c r="W718" s="44">
        <f t="array" ref="W718">_xlfn.IFS(TRIM(C718)="","",TRIM(V718)="","",TRUE,V718-C718)</f>
        <v>3</v>
      </c>
      <c r="X718" s="37">
        <f t="shared" si="185"/>
        <v>1</v>
      </c>
      <c r="Y718" s="46" t="s">
        <v>172</v>
      </c>
      <c r="Z718" s="37" t="str">
        <f t="shared" si="186"/>
        <v>delayed</v>
      </c>
      <c r="AA718" s="37" t="str">
        <f t="shared" si="187"/>
        <v>Late</v>
      </c>
      <c r="AB718" s="37" t="str">
        <f t="shared" si="190"/>
        <v>1</v>
      </c>
      <c r="AC718" s="37">
        <f t="shared" si="191"/>
        <v>1</v>
      </c>
      <c r="AD718" s="45">
        <f t="shared" si="189"/>
        <v>0.51539338654504</v>
      </c>
      <c r="AE718" s="46">
        <v>1</v>
      </c>
      <c r="AF718" s="46" t="s">
        <v>131</v>
      </c>
      <c r="AG718" s="37" t="str">
        <f t="shared" si="188"/>
        <v>n</v>
      </c>
      <c r="AH718" s="37" t="str">
        <f t="array" ref="AH718">_xlfn.IFS(LOWER(AG718)="n","no",LOWER(AG718)="y","yes",TRUE,LOWER(AG718))</f>
        <v>no</v>
      </c>
      <c r="AI718" s="46" t="s">
        <v>4692</v>
      </c>
    </row>
    <row r="719" spans="1:35">
      <c r="A719" s="37" t="s">
        <v>2705</v>
      </c>
      <c r="B719" s="38">
        <v>45303</v>
      </c>
      <c r="C719" s="39">
        <f t="shared" si="176"/>
        <v>45303</v>
      </c>
      <c r="D719" s="40" t="s">
        <v>340</v>
      </c>
      <c r="E719" s="37" t="str" cm="1">
        <f t="array" ref="E719">_xlfn.IFS(D719="delhi","north",D719="mumbai","west",D719="bengaluru","south",D719="chennai","south",D719="kolkata","east",TRUE,"west")</f>
        <v>north</v>
      </c>
      <c r="F719" s="37" t="s">
        <v>213</v>
      </c>
      <c r="G719" s="37" t="str">
        <f t="shared" si="177"/>
        <v>dtdc</v>
      </c>
      <c r="H719" s="37" t="s">
        <v>42</v>
      </c>
      <c r="I719" s="37" t="str">
        <f t="shared" si="178"/>
        <v>surface</v>
      </c>
      <c r="J719" s="37" t="s">
        <v>430</v>
      </c>
      <c r="K719" s="37" t="str">
        <f t="shared" si="179"/>
        <v>pharma</v>
      </c>
      <c r="L719" s="37" t="s">
        <v>302</v>
      </c>
      <c r="M719" s="37" t="str">
        <f t="shared" si="180"/>
        <v>east</v>
      </c>
      <c r="N719" s="37" t="s">
        <v>91</v>
      </c>
      <c r="O719" s="41" t="str">
        <f t="shared" si="181"/>
        <v>Yes</v>
      </c>
      <c r="P719" s="41" t="s">
        <v>613</v>
      </c>
      <c r="Q719" s="41" t="s">
        <v>2706</v>
      </c>
      <c r="R719" s="42">
        <f t="shared" si="182"/>
        <v>72.4242424242424</v>
      </c>
      <c r="S719" s="37">
        <v>6</v>
      </c>
      <c r="T719" s="37" t="s">
        <v>1420</v>
      </c>
      <c r="U719" s="43" t="str">
        <f t="shared" si="183"/>
        <v>2024-01-19</v>
      </c>
      <c r="V719" s="43">
        <f t="shared" si="184"/>
        <v>45310</v>
      </c>
      <c r="W719" s="44">
        <f t="array" ref="W719">_xlfn.IFS(TRIM(C719)="","",TRIM(V719)="","",TRUE,V719-C719)</f>
        <v>7</v>
      </c>
      <c r="X719" s="37">
        <f t="shared" si="185"/>
        <v>1</v>
      </c>
      <c r="Y719" s="37" t="s">
        <v>172</v>
      </c>
      <c r="Z719" s="37" t="str">
        <f t="shared" si="186"/>
        <v>delayed</v>
      </c>
      <c r="AA719" s="37" t="str">
        <f t="shared" si="187"/>
        <v>Late</v>
      </c>
      <c r="AB719" s="37" t="str">
        <f t="shared" si="190"/>
        <v>1</v>
      </c>
      <c r="AC719" s="37">
        <f t="shared" si="191"/>
        <v>1</v>
      </c>
      <c r="AD719" s="45">
        <f t="shared" si="189"/>
        <v>0.514840182648402</v>
      </c>
      <c r="AE719" s="37">
        <v>4</v>
      </c>
      <c r="AF719" s="37" t="s">
        <v>118</v>
      </c>
      <c r="AG719" s="37" t="str">
        <f t="shared" si="188"/>
        <v>no</v>
      </c>
      <c r="AH719" s="37" t="str">
        <f t="array" ref="AH719">_xlfn.IFS(LOWER(AG719)="n","no",LOWER(AG719)="y","yes",TRUE,LOWER(AG719))</f>
        <v>no</v>
      </c>
      <c r="AI719" s="37" t="s">
        <v>4692</v>
      </c>
    </row>
    <row r="720" spans="1:35">
      <c r="A720" s="46" t="s">
        <v>2707</v>
      </c>
      <c r="B720" s="47">
        <v>45386</v>
      </c>
      <c r="C720" s="39">
        <f t="shared" si="176"/>
        <v>45386</v>
      </c>
      <c r="D720" s="48" t="s">
        <v>4695</v>
      </c>
      <c r="E720" s="37" t="str" cm="1">
        <f t="array" ref="E720">_xlfn.IFS(D720="delhi","north",D720="mumbai","west",D720="bengaluru","south",D720="chennai","south",D720="kolkata","east",TRUE,"west")</f>
        <v>west</v>
      </c>
      <c r="F720" s="46" t="s">
        <v>37</v>
      </c>
      <c r="G720" s="37" t="str">
        <f t="shared" si="177"/>
        <v>bluedart</v>
      </c>
      <c r="H720" s="46" t="s">
        <v>147</v>
      </c>
      <c r="I720" s="37" t="str">
        <f t="shared" si="178"/>
        <v>road</v>
      </c>
      <c r="J720" s="46" t="s">
        <v>205</v>
      </c>
      <c r="K720" s="37" t="str">
        <f t="shared" si="179"/>
        <v>furniture</v>
      </c>
      <c r="L720" s="46" t="s">
        <v>87</v>
      </c>
      <c r="M720" s="37" t="str">
        <f t="shared" si="180"/>
        <v>north</v>
      </c>
      <c r="N720" s="46" t="s">
        <v>32</v>
      </c>
      <c r="O720" s="41" t="str">
        <f t="shared" si="181"/>
        <v>Yes</v>
      </c>
      <c r="P720" s="49">
        <v>66.2</v>
      </c>
      <c r="Q720" s="49" t="s">
        <v>2709</v>
      </c>
      <c r="R720" s="42">
        <f t="shared" si="182"/>
        <v>16.5256797583082</v>
      </c>
      <c r="S720" s="46">
        <v>8</v>
      </c>
      <c r="T720" s="46" t="s">
        <v>1269</v>
      </c>
      <c r="U720" s="43" t="str">
        <f t="shared" si="183"/>
        <v>12/04/2024</v>
      </c>
      <c r="V720" s="43">
        <f t="shared" si="184"/>
        <v>45394</v>
      </c>
      <c r="W720" s="44">
        <f t="array" ref="W720">_xlfn.IFS(TRIM(C720)="","",TRIM(V720)="","",TRUE,V720-C720)</f>
        <v>8</v>
      </c>
      <c r="X720" s="37">
        <f t="shared" si="185"/>
        <v>0</v>
      </c>
      <c r="Y720" s="46" t="s">
        <v>117</v>
      </c>
      <c r="Z720" s="37" t="str">
        <f t="shared" si="186"/>
        <v>delivered</v>
      </c>
      <c r="AA720" s="37" t="str">
        <f t="shared" si="187"/>
        <v>On Time</v>
      </c>
      <c r="AB720" s="37" t="str">
        <f t="shared" si="190"/>
        <v>0</v>
      </c>
      <c r="AC720" s="37">
        <f t="shared" si="191"/>
        <v>0</v>
      </c>
      <c r="AD720" s="45">
        <f t="shared" si="189"/>
        <v>0.514285714285714</v>
      </c>
      <c r="AE720" s="46">
        <v>2</v>
      </c>
      <c r="AF720" s="46" t="s">
        <v>118</v>
      </c>
      <c r="AG720" s="37" t="str">
        <f t="shared" si="188"/>
        <v>no</v>
      </c>
      <c r="AH720" s="37" t="str">
        <f t="array" ref="AH720">_xlfn.IFS(LOWER(AG720)="n","no",LOWER(AG720)="y","yes",TRUE,LOWER(AG720))</f>
        <v>no</v>
      </c>
      <c r="AI720" s="46" t="s">
        <v>4692</v>
      </c>
    </row>
    <row r="721" spans="1:35">
      <c r="A721" s="37" t="s">
        <v>2710</v>
      </c>
      <c r="B721" s="38">
        <v>45433</v>
      </c>
      <c r="C721" s="39">
        <f t="shared" si="176"/>
        <v>45433</v>
      </c>
      <c r="D721" s="40" t="s">
        <v>633</v>
      </c>
      <c r="E721" s="37" t="str" cm="1">
        <f t="array" ref="E721">_xlfn.IFS(D721="delhi","north",D721="mumbai","west",D721="bengaluru","south",D721="chennai","south",D721="kolkata","east",TRUE,"west")</f>
        <v>south</v>
      </c>
      <c r="F721" s="37" t="s">
        <v>156</v>
      </c>
      <c r="G721" s="37" t="str">
        <f t="shared" si="177"/>
        <v>xpressbees</v>
      </c>
      <c r="H721" s="37" t="s">
        <v>224</v>
      </c>
      <c r="I721" s="37" t="str">
        <f t="shared" si="178"/>
        <v>air</v>
      </c>
      <c r="J721" s="37" t="s">
        <v>452</v>
      </c>
      <c r="K721" s="37" t="str">
        <f t="shared" si="179"/>
        <v>apparel</v>
      </c>
      <c r="L721" s="37" t="s">
        <v>89</v>
      </c>
      <c r="M721" s="37" t="str">
        <f t="shared" si="180"/>
        <v>west</v>
      </c>
      <c r="N721" s="37" t="s">
        <v>206</v>
      </c>
      <c r="O721" s="41" t="str">
        <f t="shared" si="181"/>
        <v>Yes</v>
      </c>
      <c r="P721" s="41">
        <v>5.9</v>
      </c>
      <c r="Q721" s="41">
        <v>434</v>
      </c>
      <c r="R721" s="42">
        <f t="shared" si="182"/>
        <v>73.5593220338983</v>
      </c>
      <c r="S721" s="37">
        <v>4</v>
      </c>
      <c r="T721" s="37" t="s">
        <v>1015</v>
      </c>
      <c r="U721" s="43" t="str">
        <f t="shared" si="183"/>
        <v>28/05/2024</v>
      </c>
      <c r="V721" s="43">
        <f t="shared" si="184"/>
        <v>45440</v>
      </c>
      <c r="W721" s="44">
        <f t="array" ref="W721">_xlfn.IFS(TRIM(C721)="","",TRIM(V721)="","",TRUE,V721-C721)</f>
        <v>7</v>
      </c>
      <c r="X721" s="37">
        <f t="shared" si="185"/>
        <v>3</v>
      </c>
      <c r="Y721" s="37" t="s">
        <v>72</v>
      </c>
      <c r="Z721" s="37" t="str">
        <f t="shared" si="186"/>
        <v>delayed</v>
      </c>
      <c r="AA721" s="37" t="str">
        <f t="shared" si="187"/>
        <v>Late</v>
      </c>
      <c r="AB721" s="37" t="str">
        <f t="shared" si="190"/>
        <v>1</v>
      </c>
      <c r="AC721" s="37">
        <f t="shared" si="191"/>
        <v>1</v>
      </c>
      <c r="AD721" s="45">
        <f t="shared" si="189"/>
        <v>0.51487414187643</v>
      </c>
      <c r="AE721" s="37">
        <v>1</v>
      </c>
      <c r="AF721" s="37" t="s">
        <v>286</v>
      </c>
      <c r="AG721" s="37" t="str">
        <f t="shared" si="188"/>
        <v>yes</v>
      </c>
      <c r="AH721" s="37" t="str">
        <f t="array" ref="AH721">_xlfn.IFS(LOWER(AG721)="n","no",LOWER(AG721)="y","yes",TRUE,LOWER(AG721))</f>
        <v>yes</v>
      </c>
      <c r="AI721" s="37" t="s">
        <v>4692</v>
      </c>
    </row>
    <row r="722" spans="1:35">
      <c r="A722" s="46" t="s">
        <v>2712</v>
      </c>
      <c r="B722" s="47">
        <v>45300</v>
      </c>
      <c r="C722" s="39">
        <f t="shared" si="176"/>
        <v>45300</v>
      </c>
      <c r="D722" s="48" t="s">
        <v>212</v>
      </c>
      <c r="E722" s="37" t="str" cm="1">
        <f t="array" ref="E722">_xlfn.IFS(D722="delhi","north",D722="mumbai","west",D722="bengaluru","south",D722="chennai","south",D722="kolkata","east",TRUE,"west")</f>
        <v>west</v>
      </c>
      <c r="F722" s="46" t="s">
        <v>122</v>
      </c>
      <c r="G722" s="37" t="str">
        <f t="shared" si="177"/>
        <v>delhivery</v>
      </c>
      <c r="H722" s="46" t="s">
        <v>185</v>
      </c>
      <c r="I722" s="37" t="str">
        <f t="shared" si="178"/>
        <v>surface</v>
      </c>
      <c r="J722" s="46" t="s">
        <v>186</v>
      </c>
      <c r="K722" s="37" t="str">
        <f t="shared" si="179"/>
        <v>automotiveparts</v>
      </c>
      <c r="L722" s="46" t="s">
        <v>112</v>
      </c>
      <c r="M722" s="37" t="str">
        <f t="shared" si="180"/>
        <v>north</v>
      </c>
      <c r="N722" s="46" t="s">
        <v>215</v>
      </c>
      <c r="O722" s="41" t="str">
        <f t="shared" si="181"/>
        <v>Yes</v>
      </c>
      <c r="P722" s="49">
        <v>30.3</v>
      </c>
      <c r="Q722" s="49">
        <v>858</v>
      </c>
      <c r="R722" s="42">
        <f t="shared" si="182"/>
        <v>28.3168316831683</v>
      </c>
      <c r="S722" s="46">
        <v>6</v>
      </c>
      <c r="T722" s="46" t="s">
        <v>2715</v>
      </c>
      <c r="U722" s="43" t="str">
        <f t="shared" si="183"/>
        <v>14/01/2024</v>
      </c>
      <c r="V722" s="43">
        <f t="shared" si="184"/>
        <v>45305</v>
      </c>
      <c r="W722" s="44">
        <f t="array" ref="W722">_xlfn.IFS(TRIM(C722)="","",TRIM(V722)="","",TRUE,V722-C722)</f>
        <v>5</v>
      </c>
      <c r="X722" s="37">
        <f t="shared" si="185"/>
        <v>-1</v>
      </c>
      <c r="Y722" s="46" t="s">
        <v>219</v>
      </c>
      <c r="Z722" s="37" t="str">
        <f t="shared" si="186"/>
        <v>delivered</v>
      </c>
      <c r="AA722" s="37" t="str">
        <f t="shared" si="187"/>
        <v>On Time</v>
      </c>
      <c r="AB722" s="37" t="str">
        <f t="shared" si="190"/>
        <v>0</v>
      </c>
      <c r="AC722" s="37">
        <f t="shared" si="191"/>
        <v>0</v>
      </c>
      <c r="AD722" s="45">
        <f t="shared" si="189"/>
        <v>0.514318442153494</v>
      </c>
      <c r="AE722" s="46">
        <v>5</v>
      </c>
      <c r="AF722" s="46" t="s">
        <v>106</v>
      </c>
      <c r="AG722" s="37" t="str">
        <f t="shared" si="188"/>
        <v>yes</v>
      </c>
      <c r="AH722" s="37" t="str">
        <f t="array" ref="AH722">_xlfn.IFS(LOWER(AG722)="n","no",LOWER(AG722)="y","yes",TRUE,LOWER(AG722))</f>
        <v>yes</v>
      </c>
      <c r="AI722" s="46" t="s">
        <v>4692</v>
      </c>
    </row>
    <row r="723" spans="1:35">
      <c r="A723" s="37" t="s">
        <v>2716</v>
      </c>
      <c r="B723" s="38">
        <v>45414</v>
      </c>
      <c r="C723" s="39">
        <f t="shared" si="176"/>
        <v>45414</v>
      </c>
      <c r="D723" s="40" t="s">
        <v>424</v>
      </c>
      <c r="E723" s="37" t="str" cm="1">
        <f t="array" ref="E723">_xlfn.IFS(D723="delhi","north",D723="mumbai","west",D723="bengaluru","south",D723="chennai","south",D723="kolkata","east",TRUE,"west")</f>
        <v>south</v>
      </c>
      <c r="F723" s="37" t="s">
        <v>312</v>
      </c>
      <c r="G723" s="37" t="str">
        <f t="shared" si="177"/>
        <v>bluedart</v>
      </c>
      <c r="H723" s="37" t="s">
        <v>99</v>
      </c>
      <c r="I723" s="37" t="str">
        <f t="shared" si="178"/>
        <v>air</v>
      </c>
      <c r="J723" s="37" t="s">
        <v>1145</v>
      </c>
      <c r="K723" s="37" t="str">
        <f t="shared" si="179"/>
        <v>grocery&amp;fmcg</v>
      </c>
      <c r="L723" s="37" t="s">
        <v>302</v>
      </c>
      <c r="M723" s="37" t="str">
        <f t="shared" si="180"/>
        <v>east</v>
      </c>
      <c r="N723" s="37" t="s">
        <v>396</v>
      </c>
      <c r="O723" s="41" t="str">
        <f t="shared" si="181"/>
        <v>Yes</v>
      </c>
      <c r="P723" s="41">
        <v>16.6</v>
      </c>
      <c r="Q723" s="41" t="s">
        <v>2717</v>
      </c>
      <c r="R723" s="42">
        <f t="shared" si="182"/>
        <v>56.2048192771084</v>
      </c>
      <c r="S723" s="37">
        <v>4</v>
      </c>
      <c r="T723" s="37" t="s">
        <v>2160</v>
      </c>
      <c r="U723" s="43" t="str">
        <f t="shared" si="183"/>
        <v>2024-05-05</v>
      </c>
      <c r="V723" s="43">
        <f t="shared" si="184"/>
        <v>45417</v>
      </c>
      <c r="W723" s="44">
        <f t="array" ref="W723">_xlfn.IFS(TRIM(C723)="","",TRIM(V723)="","",TRUE,V723-C723)</f>
        <v>3</v>
      </c>
      <c r="X723" s="37">
        <f t="shared" si="185"/>
        <v>-1</v>
      </c>
      <c r="Y723" s="37" t="s">
        <v>105</v>
      </c>
      <c r="Z723" s="37" t="str">
        <f t="shared" si="186"/>
        <v>delivered</v>
      </c>
      <c r="AA723" s="37" t="str">
        <f t="shared" si="187"/>
        <v>On Time</v>
      </c>
      <c r="AB723" s="37" t="str">
        <f t="shared" si="190"/>
        <v>0</v>
      </c>
      <c r="AC723" s="37">
        <f t="shared" si="191"/>
        <v>0</v>
      </c>
      <c r="AD723" s="45">
        <f t="shared" si="189"/>
        <v>0.514908256880734</v>
      </c>
      <c r="AE723" s="37">
        <v>4</v>
      </c>
      <c r="AF723" s="37" t="s">
        <v>191</v>
      </c>
      <c r="AG723" s="37" t="str">
        <f t="shared" si="188"/>
        <v>no</v>
      </c>
      <c r="AH723" s="37" t="str">
        <f t="array" ref="AH723">_xlfn.IFS(LOWER(AG723)="n","no",LOWER(AG723)="y","yes",TRUE,LOWER(AG723))</f>
        <v>no</v>
      </c>
      <c r="AI723" s="37" t="s">
        <v>4692</v>
      </c>
    </row>
    <row r="724" spans="1:35">
      <c r="A724" s="46" t="s">
        <v>2718</v>
      </c>
      <c r="B724" s="47">
        <v>45431</v>
      </c>
      <c r="C724" s="39">
        <f t="shared" si="176"/>
        <v>45431</v>
      </c>
      <c r="D724" s="48" t="s">
        <v>633</v>
      </c>
      <c r="E724" s="37" t="str" cm="1">
        <f t="array" ref="E724">_xlfn.IFS(D724="delhi","north",D724="mumbai","west",D724="bengaluru","south",D724="chennai","south",D724="kolkata","east",TRUE,"west")</f>
        <v>south</v>
      </c>
      <c r="F724" s="46" t="s">
        <v>146</v>
      </c>
      <c r="G724" s="37" t="str">
        <f t="shared" si="177"/>
        <v>ecomexpress</v>
      </c>
      <c r="H724" s="46" t="s">
        <v>345</v>
      </c>
      <c r="I724" s="37" t="str">
        <f t="shared" si="178"/>
        <v>surface</v>
      </c>
      <c r="J724" s="46" t="s">
        <v>138</v>
      </c>
      <c r="K724" s="37" t="str">
        <f t="shared" si="179"/>
        <v>apparel</v>
      </c>
      <c r="L724" s="46" t="s">
        <v>168</v>
      </c>
      <c r="M724" s="37" t="str">
        <f t="shared" si="180"/>
        <v>west</v>
      </c>
      <c r="N724" s="46" t="s">
        <v>278</v>
      </c>
      <c r="O724" s="41" t="str">
        <f t="shared" si="181"/>
        <v>Yes</v>
      </c>
      <c r="P724" s="49">
        <v>7.6</v>
      </c>
      <c r="Q724" s="49">
        <v>328</v>
      </c>
      <c r="R724" s="42">
        <f t="shared" si="182"/>
        <v>43.1578947368421</v>
      </c>
      <c r="S724" s="46">
        <v>6</v>
      </c>
      <c r="T724" s="46" t="s">
        <v>796</v>
      </c>
      <c r="U724" s="43" t="str">
        <f t="shared" si="183"/>
        <v>2024-05-26</v>
      </c>
      <c r="V724" s="43">
        <f t="shared" si="184"/>
        <v>45438</v>
      </c>
      <c r="W724" s="44">
        <f t="array" ref="W724">_xlfn.IFS(TRIM(C724)="","",TRIM(V724)="","",TRUE,V724-C724)</f>
        <v>7</v>
      </c>
      <c r="X724" s="37">
        <f t="shared" si="185"/>
        <v>1</v>
      </c>
      <c r="Y724" s="46" t="s">
        <v>200</v>
      </c>
      <c r="Z724" s="37" t="str">
        <f t="shared" si="186"/>
        <v>delayed</v>
      </c>
      <c r="AA724" s="37" t="str">
        <f t="shared" si="187"/>
        <v>Late</v>
      </c>
      <c r="AB724" s="37" t="str">
        <f t="shared" si="190"/>
        <v>1</v>
      </c>
      <c r="AC724" s="37">
        <f t="shared" si="191"/>
        <v>1</v>
      </c>
      <c r="AD724" s="45">
        <f t="shared" si="189"/>
        <v>0.515499425947187</v>
      </c>
      <c r="AE724" s="46">
        <v>2</v>
      </c>
      <c r="AF724" s="46" t="s">
        <v>131</v>
      </c>
      <c r="AG724" s="37" t="str">
        <f t="shared" si="188"/>
        <v>n</v>
      </c>
      <c r="AH724" s="37" t="str">
        <f t="array" ref="AH724">_xlfn.IFS(LOWER(AG724)="n","no",LOWER(AG724)="y","yes",TRUE,LOWER(AG724))</f>
        <v>no</v>
      </c>
      <c r="AI724" s="46" t="s">
        <v>4692</v>
      </c>
    </row>
    <row r="725" spans="1:35">
      <c r="A725" s="37" t="s">
        <v>2719</v>
      </c>
      <c r="B725" s="38">
        <v>45432</v>
      </c>
      <c r="C725" s="39">
        <f t="shared" si="176"/>
        <v>45432</v>
      </c>
      <c r="D725" s="40" t="s">
        <v>340</v>
      </c>
      <c r="E725" s="37" t="str" cm="1">
        <f t="array" ref="E725">_xlfn.IFS(D725="delhi","north",D725="mumbai","west",D725="bengaluru","south",D725="chennai","south",D725="kolkata","east",TRUE,"west")</f>
        <v>north</v>
      </c>
      <c r="F725" s="37" t="s">
        <v>230</v>
      </c>
      <c r="G725" s="37" t="str">
        <f t="shared" si="177"/>
        <v>dtdc</v>
      </c>
      <c r="H725" s="37" t="s">
        <v>123</v>
      </c>
      <c r="I725" s="37" t="str">
        <f t="shared" si="178"/>
        <v>air</v>
      </c>
      <c r="J725" s="37" t="s">
        <v>100</v>
      </c>
      <c r="K725" s="37" t="str">
        <f t="shared" si="179"/>
        <v>electronics</v>
      </c>
      <c r="L725" s="37" t="s">
        <v>264</v>
      </c>
      <c r="M725" s="37" t="str">
        <f t="shared" si="180"/>
        <v>west</v>
      </c>
      <c r="N725" s="37" t="s">
        <v>88</v>
      </c>
      <c r="O725" s="41" t="str">
        <f t="shared" si="181"/>
        <v>Yes</v>
      </c>
      <c r="P725" s="41">
        <v>9.8</v>
      </c>
      <c r="Q725" s="41">
        <v>594</v>
      </c>
      <c r="R725" s="42">
        <f t="shared" si="182"/>
        <v>60.6122448979592</v>
      </c>
      <c r="S725" s="37">
        <v>4</v>
      </c>
      <c r="T725" s="37" t="s">
        <v>1105</v>
      </c>
      <c r="U725" s="43" t="str">
        <f t="shared" si="183"/>
        <v>25-may-2024</v>
      </c>
      <c r="V725" s="43">
        <f t="shared" si="184"/>
        <v>45437</v>
      </c>
      <c r="W725" s="44">
        <f t="array" ref="W725">_xlfn.IFS(TRIM(C725)="","",TRIM(V725)="","",TRUE,V725-C725)</f>
        <v>5</v>
      </c>
      <c r="X725" s="37">
        <f t="shared" si="185"/>
        <v>1</v>
      </c>
      <c r="Y725" s="37" t="s">
        <v>143</v>
      </c>
      <c r="Z725" s="37" t="str">
        <f t="shared" si="186"/>
        <v>delayed</v>
      </c>
      <c r="AA725" s="37" t="str">
        <f t="shared" si="187"/>
        <v>Late</v>
      </c>
      <c r="AB725" s="37" t="str">
        <f t="shared" si="190"/>
        <v>1</v>
      </c>
      <c r="AC725" s="37">
        <f t="shared" si="191"/>
        <v>1</v>
      </c>
      <c r="AD725" s="45">
        <f t="shared" si="189"/>
        <v>0.514942528735632</v>
      </c>
      <c r="AE725" s="37">
        <v>2</v>
      </c>
      <c r="AF725" s="37" t="s">
        <v>191</v>
      </c>
      <c r="AG725" s="37" t="str">
        <f t="shared" si="188"/>
        <v>no</v>
      </c>
      <c r="AH725" s="37" t="str">
        <f t="array" ref="AH725">_xlfn.IFS(LOWER(AG725)="n","no",LOWER(AG725)="y","yes",TRUE,LOWER(AG725))</f>
        <v>no</v>
      </c>
      <c r="AI725" s="37" t="s">
        <v>4692</v>
      </c>
    </row>
    <row r="726" spans="1:35">
      <c r="A726" s="46" t="s">
        <v>2723</v>
      </c>
      <c r="B726" s="47" t="s">
        <v>4774</v>
      </c>
      <c r="C726" s="39">
        <f t="shared" si="176"/>
        <v>45367</v>
      </c>
      <c r="D726" s="48" t="s">
        <v>633</v>
      </c>
      <c r="E726" s="37" t="str" cm="1">
        <f t="array" ref="E726">_xlfn.IFS(D726="delhi","north",D726="mumbai","west",D726="bengaluru","south",D726="chennai","south",D726="kolkata","east",TRUE,"west")</f>
        <v>south</v>
      </c>
      <c r="F726" s="46" t="s">
        <v>544</v>
      </c>
      <c r="G726" s="37" t="str">
        <f t="shared" si="177"/>
        <v>bluedart</v>
      </c>
      <c r="H726" s="46" t="s">
        <v>176</v>
      </c>
      <c r="I726" s="37" t="str">
        <f t="shared" si="178"/>
        <v>road</v>
      </c>
      <c r="J726" s="46" t="s">
        <v>186</v>
      </c>
      <c r="K726" s="37" t="str">
        <f t="shared" si="179"/>
        <v>automotiveparts</v>
      </c>
      <c r="L726" s="46" t="s">
        <v>401</v>
      </c>
      <c r="M726" s="37" t="str">
        <f t="shared" si="180"/>
        <v>south</v>
      </c>
      <c r="N726" s="46" t="s">
        <v>327</v>
      </c>
      <c r="O726" s="41" t="str">
        <f t="shared" si="181"/>
        <v>Yes</v>
      </c>
      <c r="P726" s="49" t="s">
        <v>2724</v>
      </c>
      <c r="Q726" s="49">
        <v>303</v>
      </c>
      <c r="R726" s="42">
        <f t="shared" si="182"/>
        <v>14.5673076923077</v>
      </c>
      <c r="S726" s="46">
        <v>6</v>
      </c>
      <c r="T726" s="46" t="s">
        <v>972</v>
      </c>
      <c r="U726" s="43" t="str">
        <f t="shared" si="183"/>
        <v>21/03/2024</v>
      </c>
      <c r="V726" s="43">
        <f t="shared" si="184"/>
        <v>45372</v>
      </c>
      <c r="W726" s="44">
        <f t="array" ref="W726">_xlfn.IFS(TRIM(C726)="","",TRIM(V726)="","",TRUE,V726-C726)</f>
        <v>5</v>
      </c>
      <c r="X726" s="37">
        <f t="shared" si="185"/>
        <v>-1</v>
      </c>
      <c r="Y726" s="46" t="s">
        <v>163</v>
      </c>
      <c r="Z726" s="37" t="str">
        <f t="shared" si="186"/>
        <v>delivered</v>
      </c>
      <c r="AA726" s="37" t="str">
        <f t="shared" si="187"/>
        <v>On Time</v>
      </c>
      <c r="AB726" s="37" t="str">
        <f t="shared" si="190"/>
        <v>0</v>
      </c>
      <c r="AC726" s="37">
        <f t="shared" si="191"/>
        <v>0</v>
      </c>
      <c r="AD726" s="45">
        <f t="shared" si="189"/>
        <v>0.514384349827388</v>
      </c>
      <c r="AE726" s="46">
        <v>5</v>
      </c>
      <c r="AF726" s="46" t="s">
        <v>106</v>
      </c>
      <c r="AG726" s="37" t="str">
        <f t="shared" si="188"/>
        <v>yes</v>
      </c>
      <c r="AH726" s="37" t="str">
        <f t="array" ref="AH726">_xlfn.IFS(LOWER(AG726)="n","no",LOWER(AG726)="y","yes",TRUE,LOWER(AG726))</f>
        <v>yes</v>
      </c>
      <c r="AI726" s="46" t="s">
        <v>4692</v>
      </c>
    </row>
    <row r="727" spans="1:35">
      <c r="A727" s="37" t="s">
        <v>2725</v>
      </c>
      <c r="B727" s="38">
        <v>45295</v>
      </c>
      <c r="C727" s="39">
        <f t="shared" si="176"/>
        <v>45295</v>
      </c>
      <c r="D727" s="40" t="s">
        <v>4695</v>
      </c>
      <c r="E727" s="37" t="str" cm="1">
        <f t="array" ref="E727">_xlfn.IFS(D727="delhi","north",D727="mumbai","west",D727="bengaluru","south",D727="chennai","south",D727="kolkata","east",TRUE,"west")</f>
        <v>west</v>
      </c>
      <c r="F727" s="37" t="s">
        <v>230</v>
      </c>
      <c r="G727" s="37" t="str">
        <f t="shared" si="177"/>
        <v>dtdc</v>
      </c>
      <c r="H727" s="37" t="s">
        <v>123</v>
      </c>
      <c r="I727" s="37" t="str">
        <f t="shared" si="178"/>
        <v>air</v>
      </c>
      <c r="J727" s="37" t="s">
        <v>237</v>
      </c>
      <c r="K727" s="37" t="str">
        <f t="shared" si="179"/>
        <v>automotiveparts</v>
      </c>
      <c r="L727" s="37" t="s">
        <v>101</v>
      </c>
      <c r="M727" s="37" t="str">
        <f t="shared" si="180"/>
        <v>west</v>
      </c>
      <c r="N727" s="37" t="s">
        <v>206</v>
      </c>
      <c r="O727" s="41" t="str">
        <f t="shared" si="181"/>
        <v>Yes</v>
      </c>
      <c r="P727" s="41">
        <v>11.4</v>
      </c>
      <c r="Q727" s="41">
        <v>512</v>
      </c>
      <c r="R727" s="42">
        <f t="shared" si="182"/>
        <v>44.9122807017544</v>
      </c>
      <c r="S727" s="37">
        <v>2</v>
      </c>
      <c r="T727" s="37" t="s">
        <v>1540</v>
      </c>
      <c r="U727" s="43" t="str">
        <f t="shared" si="183"/>
        <v>2024-01-06</v>
      </c>
      <c r="V727" s="43">
        <f t="shared" si="184"/>
        <v>45297</v>
      </c>
      <c r="W727" s="44">
        <f t="array" ref="W727">_xlfn.IFS(TRIM(C727)="","",TRIM(V727)="","",TRUE,V727-C727)</f>
        <v>2</v>
      </c>
      <c r="X727" s="37">
        <f t="shared" si="185"/>
        <v>0</v>
      </c>
      <c r="Y727" s="37" t="s">
        <v>163</v>
      </c>
      <c r="Z727" s="37" t="str">
        <f t="shared" si="186"/>
        <v>delivered</v>
      </c>
      <c r="AA727" s="37" t="str">
        <f t="shared" si="187"/>
        <v>On Time</v>
      </c>
      <c r="AB727" s="37" t="str">
        <f t="shared" si="190"/>
        <v>0</v>
      </c>
      <c r="AC727" s="37">
        <f t="shared" si="191"/>
        <v>0</v>
      </c>
      <c r="AD727" s="45">
        <f t="shared" si="189"/>
        <v>0.514976958525346</v>
      </c>
      <c r="AE727" s="37">
        <v>5</v>
      </c>
      <c r="AF727" s="37" t="s">
        <v>131</v>
      </c>
      <c r="AG727" s="37" t="str">
        <f t="shared" si="188"/>
        <v>n</v>
      </c>
      <c r="AH727" s="37" t="str">
        <f t="array" ref="AH727">_xlfn.IFS(LOWER(AG727)="n","no",LOWER(AG727)="y","yes",TRUE,LOWER(AG727))</f>
        <v>no</v>
      </c>
      <c r="AI727" s="37" t="s">
        <v>4692</v>
      </c>
    </row>
    <row r="728" spans="1:35">
      <c r="A728" s="46" t="s">
        <v>2728</v>
      </c>
      <c r="B728" s="47">
        <v>45391</v>
      </c>
      <c r="C728" s="39">
        <f t="shared" si="176"/>
        <v>45391</v>
      </c>
      <c r="D728" s="48" t="s">
        <v>366</v>
      </c>
      <c r="E728" s="37" t="str" cm="1">
        <f t="array" ref="E728">_xlfn.IFS(D728="delhi","north",D728="mumbai","west",D728="bengaluru","south",D728="chennai","south",D728="kolkata","east",TRUE,"west")</f>
        <v>east</v>
      </c>
      <c r="F728" s="46" t="s">
        <v>98</v>
      </c>
      <c r="G728" s="37" t="str">
        <f t="shared" si="177"/>
        <v>dtdc</v>
      </c>
      <c r="H728" s="46" t="s">
        <v>123</v>
      </c>
      <c r="I728" s="37" t="str">
        <f t="shared" si="178"/>
        <v>air</v>
      </c>
      <c r="J728" s="46" t="s">
        <v>664</v>
      </c>
      <c r="K728" s="37" t="str">
        <f t="shared" si="179"/>
        <v>grocery&amp;fmcg</v>
      </c>
      <c r="L728" s="46" t="s">
        <v>197</v>
      </c>
      <c r="M728" s="37" t="str">
        <f t="shared" si="180"/>
        <v>south</v>
      </c>
      <c r="N728" s="46" t="s">
        <v>93</v>
      </c>
      <c r="O728" s="41" t="str">
        <f t="shared" si="181"/>
        <v>Yes</v>
      </c>
      <c r="P728" s="49" t="s">
        <v>2729</v>
      </c>
      <c r="Q728" s="49">
        <v>621</v>
      </c>
      <c r="R728" s="42">
        <f t="shared" si="182"/>
        <v>57.5</v>
      </c>
      <c r="S728" s="46">
        <v>4</v>
      </c>
      <c r="T728" s="46" t="s">
        <v>2731</v>
      </c>
      <c r="U728" s="43" t="str">
        <f t="shared" si="183"/>
        <v>14/04/2024</v>
      </c>
      <c r="V728" s="43">
        <f t="shared" si="184"/>
        <v>45396</v>
      </c>
      <c r="W728" s="44">
        <f t="array" ref="W728">_xlfn.IFS(TRIM(C728)="","",TRIM(V728)="","",TRUE,V728-C728)</f>
        <v>5</v>
      </c>
      <c r="X728" s="37">
        <f t="shared" si="185"/>
        <v>1</v>
      </c>
      <c r="Y728" s="46" t="s">
        <v>72</v>
      </c>
      <c r="Z728" s="37" t="str">
        <f t="shared" si="186"/>
        <v>delayed</v>
      </c>
      <c r="AA728" s="37" t="str">
        <f t="shared" si="187"/>
        <v>Late</v>
      </c>
      <c r="AB728" s="37" t="str">
        <f t="shared" si="190"/>
        <v>1</v>
      </c>
      <c r="AC728" s="37">
        <f t="shared" si="191"/>
        <v>1</v>
      </c>
      <c r="AD728" s="45">
        <f t="shared" si="189"/>
        <v>0.515570934256055</v>
      </c>
      <c r="AE728" s="46">
        <v>1</v>
      </c>
      <c r="AF728" s="46" t="s">
        <v>79</v>
      </c>
      <c r="AG728" s="37" t="str">
        <f t="shared" si="188"/>
        <v>yes</v>
      </c>
      <c r="AH728" s="37" t="str">
        <f t="array" ref="AH728">_xlfn.IFS(LOWER(AG728)="n","no",LOWER(AG728)="y","yes",TRUE,LOWER(AG728))</f>
        <v>yes</v>
      </c>
      <c r="AI728" s="46" t="s">
        <v>4692</v>
      </c>
    </row>
    <row r="729" spans="1:35">
      <c r="A729" s="37" t="s">
        <v>2732</v>
      </c>
      <c r="B729" s="38" t="s">
        <v>4819</v>
      </c>
      <c r="C729" s="39">
        <f t="shared" si="176"/>
        <v>45371</v>
      </c>
      <c r="D729" s="40" t="s">
        <v>109</v>
      </c>
      <c r="E729" s="37" t="str" cm="1">
        <f t="array" ref="E729">_xlfn.IFS(D729="delhi","north",D729="mumbai","west",D729="bengaluru","south",D729="chennai","south",D729="kolkata","east",TRUE,"west")</f>
        <v>west</v>
      </c>
      <c r="F729" s="37" t="s">
        <v>230</v>
      </c>
      <c r="G729" s="37" t="str">
        <f t="shared" si="177"/>
        <v>dtdc</v>
      </c>
      <c r="H729" s="37" t="s">
        <v>110</v>
      </c>
      <c r="I729" s="37" t="str">
        <f t="shared" si="178"/>
        <v>surface</v>
      </c>
      <c r="J729" s="37" t="s">
        <v>843</v>
      </c>
      <c r="K729" s="37" t="str">
        <f t="shared" si="179"/>
        <v>automotiveparts</v>
      </c>
      <c r="L729" s="37" t="s">
        <v>380</v>
      </c>
      <c r="M729" s="37" t="str">
        <f t="shared" si="180"/>
        <v>east</v>
      </c>
      <c r="N729" s="37" t="s">
        <v>91</v>
      </c>
      <c r="O729" s="41" t="str">
        <f t="shared" si="181"/>
        <v>Yes</v>
      </c>
      <c r="P729" s="41" t="s">
        <v>2733</v>
      </c>
      <c r="Q729" s="41">
        <v>323</v>
      </c>
      <c r="R729" s="42">
        <f t="shared" si="182"/>
        <v>41.9480519480519</v>
      </c>
      <c r="S729" s="37">
        <v>6</v>
      </c>
      <c r="T729" s="37" t="s">
        <v>609</v>
      </c>
      <c r="U729" s="43" t="str">
        <f t="shared" si="183"/>
        <v>2024-03-26</v>
      </c>
      <c r="V729" s="43">
        <f t="shared" si="184"/>
        <v>45377</v>
      </c>
      <c r="W729" s="44">
        <f t="array" ref="W729">_xlfn.IFS(TRIM(C729)="","",TRIM(V729)="","",TRUE,V729-C729)</f>
        <v>6</v>
      </c>
      <c r="X729" s="37">
        <f t="shared" si="185"/>
        <v>0</v>
      </c>
      <c r="Y729" s="37" t="s">
        <v>117</v>
      </c>
      <c r="Z729" s="37" t="str">
        <f t="shared" si="186"/>
        <v>delivered</v>
      </c>
      <c r="AA729" s="37" t="str">
        <f t="shared" si="187"/>
        <v>On Time</v>
      </c>
      <c r="AB729" s="37" t="str">
        <f t="shared" si="190"/>
        <v>0</v>
      </c>
      <c r="AC729" s="37">
        <f t="shared" si="191"/>
        <v>0</v>
      </c>
      <c r="AD729" s="45">
        <f t="shared" si="189"/>
        <v>0.515011547344111</v>
      </c>
      <c r="AE729" s="37">
        <v>5</v>
      </c>
      <c r="AF729" s="37" t="s">
        <v>152</v>
      </c>
      <c r="AG729" s="37" t="str">
        <f t="shared" si="188"/>
        <v>no</v>
      </c>
      <c r="AH729" s="37" t="str">
        <f t="array" ref="AH729">_xlfn.IFS(LOWER(AG729)="n","no",LOWER(AG729)="y","yes",TRUE,LOWER(AG729))</f>
        <v>no</v>
      </c>
      <c r="AI729" s="37" t="s">
        <v>4692</v>
      </c>
    </row>
    <row r="730" spans="1:35">
      <c r="A730" s="46" t="s">
        <v>2735</v>
      </c>
      <c r="B730" s="47" t="s">
        <v>4697</v>
      </c>
      <c r="C730" s="39">
        <f t="shared" si="176"/>
        <v>45414</v>
      </c>
      <c r="D730" s="48" t="s">
        <v>424</v>
      </c>
      <c r="E730" s="37" t="str" cm="1">
        <f t="array" ref="E730">_xlfn.IFS(D730="delhi","north",D730="mumbai","west",D730="bengaluru","south",D730="chennai","south",D730="kolkata","east",TRUE,"west")</f>
        <v>south</v>
      </c>
      <c r="F730" s="46" t="s">
        <v>367</v>
      </c>
      <c r="G730" s="37" t="str">
        <f t="shared" si="177"/>
        <v>dtdc</v>
      </c>
      <c r="H730" s="46" t="s">
        <v>440</v>
      </c>
      <c r="I730" s="37" t="str">
        <f t="shared" si="178"/>
        <v>road</v>
      </c>
      <c r="J730" s="46" t="s">
        <v>353</v>
      </c>
      <c r="K730" s="37" t="str">
        <f t="shared" si="179"/>
        <v>automotiveparts</v>
      </c>
      <c r="L730" s="46" t="s">
        <v>334</v>
      </c>
      <c r="M730" s="37" t="str">
        <f t="shared" si="180"/>
        <v>north</v>
      </c>
      <c r="N730" s="46" t="s">
        <v>32</v>
      </c>
      <c r="O730" s="41" t="str">
        <f t="shared" si="181"/>
        <v>Yes</v>
      </c>
      <c r="P730" s="49" t="s">
        <v>2736</v>
      </c>
      <c r="Q730" s="49">
        <v>610</v>
      </c>
      <c r="R730" s="42">
        <f t="shared" si="182"/>
        <v>17.8885630498534</v>
      </c>
      <c r="S730" s="46">
        <v>8</v>
      </c>
      <c r="T730" s="46" t="s">
        <v>1190</v>
      </c>
      <c r="U730" s="43" t="str">
        <f t="shared" si="183"/>
        <v>10/05/2024</v>
      </c>
      <c r="V730" s="43">
        <f t="shared" si="184"/>
        <v>45422</v>
      </c>
      <c r="W730" s="44">
        <f t="array" ref="W730">_xlfn.IFS(TRIM(C730)="","",TRIM(V730)="","",TRUE,V730-C730)</f>
        <v>8</v>
      </c>
      <c r="X730" s="37">
        <f t="shared" si="185"/>
        <v>0</v>
      </c>
      <c r="Y730" s="46" t="s">
        <v>163</v>
      </c>
      <c r="Z730" s="37" t="str">
        <f t="shared" si="186"/>
        <v>delivered</v>
      </c>
      <c r="AA730" s="37" t="str">
        <f t="shared" si="187"/>
        <v>On Time</v>
      </c>
      <c r="AB730" s="37" t="str">
        <f t="shared" si="190"/>
        <v>0</v>
      </c>
      <c r="AC730" s="37">
        <f t="shared" si="191"/>
        <v>0</v>
      </c>
      <c r="AD730" s="45">
        <f t="shared" si="189"/>
        <v>0.515606936416185</v>
      </c>
      <c r="AE730" s="46">
        <v>3</v>
      </c>
      <c r="AF730" s="46" t="s">
        <v>191</v>
      </c>
      <c r="AG730" s="37" t="str">
        <f t="shared" si="188"/>
        <v>no</v>
      </c>
      <c r="AH730" s="37" t="str">
        <f t="array" ref="AH730">_xlfn.IFS(LOWER(AG730)="n","no",LOWER(AG730)="y","yes",TRUE,LOWER(AG730))</f>
        <v>no</v>
      </c>
      <c r="AI730" s="46" t="s">
        <v>4692</v>
      </c>
    </row>
    <row r="731" spans="1:35">
      <c r="A731" s="37" t="s">
        <v>2738</v>
      </c>
      <c r="B731" s="38">
        <v>45365</v>
      </c>
      <c r="C731" s="39">
        <f t="shared" si="176"/>
        <v>45365</v>
      </c>
      <c r="D731" s="40" t="s">
        <v>366</v>
      </c>
      <c r="E731" s="37" t="str" cm="1">
        <f t="array" ref="E731">_xlfn.IFS(D731="delhi","north",D731="mumbai","west",D731="bengaluru","south",D731="chennai","south",D731="kolkata","east",TRUE,"west")</f>
        <v>east</v>
      </c>
      <c r="F731" s="37" t="s">
        <v>204</v>
      </c>
      <c r="G731" s="37" t="str">
        <f t="shared" si="177"/>
        <v>delhivery</v>
      </c>
      <c r="H731" s="37" t="s">
        <v>176</v>
      </c>
      <c r="I731" s="37" t="str">
        <f t="shared" si="178"/>
        <v>road</v>
      </c>
      <c r="J731" s="37" t="s">
        <v>158</v>
      </c>
      <c r="K731" s="37" t="str">
        <f t="shared" si="179"/>
        <v>pharma</v>
      </c>
      <c r="L731" s="37" t="s">
        <v>89</v>
      </c>
      <c r="M731" s="37" t="str">
        <f t="shared" si="180"/>
        <v>west</v>
      </c>
      <c r="N731" s="37" t="s">
        <v>187</v>
      </c>
      <c r="O731" s="41" t="str">
        <f t="shared" si="181"/>
        <v>Yes</v>
      </c>
      <c r="P731" s="41">
        <v>4.8</v>
      </c>
      <c r="Q731" s="41">
        <v>271</v>
      </c>
      <c r="R731" s="42">
        <f t="shared" si="182"/>
        <v>56.4583333333333</v>
      </c>
      <c r="S731" s="37">
        <v>8</v>
      </c>
      <c r="T731" s="37" t="s">
        <v>661</v>
      </c>
      <c r="U731" s="43" t="str">
        <f t="shared" si="183"/>
        <v>2024-03-21</v>
      </c>
      <c r="V731" s="43">
        <f t="shared" si="184"/>
        <v>45372</v>
      </c>
      <c r="W731" s="44">
        <f t="array" ref="W731">_xlfn.IFS(TRIM(C731)="","",TRIM(V731)="","",TRUE,V731-C731)</f>
        <v>7</v>
      </c>
      <c r="X731" s="37">
        <f t="shared" si="185"/>
        <v>-1</v>
      </c>
      <c r="Y731" s="37" t="s">
        <v>219</v>
      </c>
      <c r="Z731" s="37" t="str">
        <f t="shared" si="186"/>
        <v>delivered</v>
      </c>
      <c r="AA731" s="37" t="str">
        <f t="shared" si="187"/>
        <v>On Time</v>
      </c>
      <c r="AB731" s="37" t="str">
        <f t="shared" si="190"/>
        <v>0</v>
      </c>
      <c r="AC731" s="37">
        <f t="shared" si="191"/>
        <v>0</v>
      </c>
      <c r="AD731" s="45">
        <f t="shared" si="189"/>
        <v>0.516203703703704</v>
      </c>
      <c r="AE731" s="37">
        <v>3</v>
      </c>
      <c r="AF731" s="37" t="s">
        <v>181</v>
      </c>
      <c r="AG731" s="37" t="str">
        <f t="shared" si="188"/>
        <v>y</v>
      </c>
      <c r="AH731" s="37" t="str">
        <f t="array" ref="AH731">_xlfn.IFS(LOWER(AG731)="n","no",LOWER(AG731)="y","yes",TRUE,LOWER(AG731))</f>
        <v>yes</v>
      </c>
      <c r="AI731" s="37" t="s">
        <v>4692</v>
      </c>
    </row>
    <row r="732" spans="1:35">
      <c r="A732" s="46" t="s">
        <v>2741</v>
      </c>
      <c r="B732" s="47">
        <v>45433</v>
      </c>
      <c r="C732" s="39">
        <f t="shared" si="176"/>
        <v>45433</v>
      </c>
      <c r="D732" s="48" t="s">
        <v>109</v>
      </c>
      <c r="E732" s="37" t="str" cm="1">
        <f t="array" ref="E732">_xlfn.IFS(D732="delhi","north",D732="mumbai","west",D732="bengaluru","south",D732="chennai","south",D732="kolkata","east",TRUE,"west")</f>
        <v>west</v>
      </c>
      <c r="F732" s="46" t="s">
        <v>194</v>
      </c>
      <c r="G732" s="37" t="str">
        <f t="shared" si="177"/>
        <v>xpressbees</v>
      </c>
      <c r="H732" s="46" t="s">
        <v>244</v>
      </c>
      <c r="I732" s="37" t="str">
        <f t="shared" si="178"/>
        <v>air</v>
      </c>
      <c r="J732" s="46" t="s">
        <v>177</v>
      </c>
      <c r="K732" s="37" t="str">
        <f t="shared" si="179"/>
        <v>pharma</v>
      </c>
      <c r="L732" s="46" t="s">
        <v>87</v>
      </c>
      <c r="M732" s="37" t="str">
        <f t="shared" si="180"/>
        <v>north</v>
      </c>
      <c r="N732" s="46" t="s">
        <v>215</v>
      </c>
      <c r="O732" s="41" t="str">
        <f t="shared" si="181"/>
        <v>Yes</v>
      </c>
      <c r="P732" s="49">
        <v>4.2</v>
      </c>
      <c r="Q732" s="49">
        <v>335</v>
      </c>
      <c r="R732" s="42">
        <f t="shared" si="182"/>
        <v>79.7619047619048</v>
      </c>
      <c r="S732" s="46">
        <v>4</v>
      </c>
      <c r="T732" s="46" t="s">
        <v>2666</v>
      </c>
      <c r="U732" s="43" t="str">
        <f t="shared" si="183"/>
        <v>25/05/2024</v>
      </c>
      <c r="V732" s="43">
        <f t="shared" si="184"/>
        <v>45437</v>
      </c>
      <c r="W732" s="44">
        <f t="array" ref="W732">_xlfn.IFS(TRIM(C732)="","",TRIM(V732)="","",TRUE,V732-C732)</f>
        <v>4</v>
      </c>
      <c r="X732" s="37">
        <f t="shared" si="185"/>
        <v>0</v>
      </c>
      <c r="Y732" s="46" t="s">
        <v>219</v>
      </c>
      <c r="Z732" s="37" t="str">
        <f t="shared" si="186"/>
        <v>delivered</v>
      </c>
      <c r="AA732" s="37" t="str">
        <f t="shared" si="187"/>
        <v>On Time</v>
      </c>
      <c r="AB732" s="37" t="str">
        <f t="shared" si="190"/>
        <v>0</v>
      </c>
      <c r="AC732" s="37">
        <f t="shared" si="191"/>
        <v>0</v>
      </c>
      <c r="AD732" s="45">
        <f t="shared" si="189"/>
        <v>0.516801853997683</v>
      </c>
      <c r="AE732" s="46">
        <v>5</v>
      </c>
      <c r="AF732" s="46" t="s">
        <v>152</v>
      </c>
      <c r="AG732" s="37" t="str">
        <f t="shared" si="188"/>
        <v>no</v>
      </c>
      <c r="AH732" s="37" t="str">
        <f t="array" ref="AH732">_xlfn.IFS(LOWER(AG732)="n","no",LOWER(AG732)="y","yes",TRUE,LOWER(AG732))</f>
        <v>no</v>
      </c>
      <c r="AI732" s="46" t="s">
        <v>4692</v>
      </c>
    </row>
    <row r="733" spans="1:35">
      <c r="A733" s="37" t="s">
        <v>2743</v>
      </c>
      <c r="B733" s="38" t="s">
        <v>4820</v>
      </c>
      <c r="C733" s="39">
        <f t="shared" si="176"/>
        <v>45334</v>
      </c>
      <c r="D733" s="40" t="s">
        <v>300</v>
      </c>
      <c r="E733" s="37" t="str" cm="1">
        <f t="array" ref="E733">_xlfn.IFS(D733="delhi","north",D733="mumbai","west",D733="bengaluru","south",D733="chennai","south",D733="kolkata","east",TRUE,"west")</f>
        <v>west</v>
      </c>
      <c r="F733" s="37" t="s">
        <v>194</v>
      </c>
      <c r="G733" s="37" t="str">
        <f t="shared" si="177"/>
        <v>xpressbees</v>
      </c>
      <c r="H733" s="37" t="s">
        <v>325</v>
      </c>
      <c r="I733" s="37" t="str">
        <f t="shared" si="178"/>
        <v>air</v>
      </c>
      <c r="J733" s="37" t="s">
        <v>425</v>
      </c>
      <c r="K733" s="37" t="str">
        <f t="shared" si="179"/>
        <v>automotiveparts</v>
      </c>
      <c r="L733" s="37" t="s">
        <v>257</v>
      </c>
      <c r="M733" s="37" t="str">
        <f t="shared" si="180"/>
        <v>west</v>
      </c>
      <c r="N733" s="37" t="s">
        <v>206</v>
      </c>
      <c r="O733" s="41" t="str">
        <f t="shared" si="181"/>
        <v>Yes</v>
      </c>
      <c r="P733" s="41">
        <v>26.4</v>
      </c>
      <c r="Q733" s="50">
        <v>1378</v>
      </c>
      <c r="R733" s="42">
        <f t="shared" si="182"/>
        <v>52.1969696969697</v>
      </c>
      <c r="S733" s="37">
        <v>4</v>
      </c>
      <c r="T733" s="37" t="s">
        <v>2747</v>
      </c>
      <c r="U733" s="43" t="str">
        <f t="shared" si="183"/>
        <v>16-feb-2024</v>
      </c>
      <c r="V733" s="43">
        <f t="shared" si="184"/>
        <v>45338</v>
      </c>
      <c r="W733" s="44">
        <f t="array" ref="W733">_xlfn.IFS(TRIM(C733)="","",TRIM(V733)="","",TRUE,V733-C733)</f>
        <v>4</v>
      </c>
      <c r="X733" s="37">
        <f t="shared" si="185"/>
        <v>0</v>
      </c>
      <c r="Y733" s="37" t="s">
        <v>163</v>
      </c>
      <c r="Z733" s="37" t="str">
        <f t="shared" si="186"/>
        <v>delivered</v>
      </c>
      <c r="AA733" s="37" t="str">
        <f t="shared" si="187"/>
        <v>On Time</v>
      </c>
      <c r="AB733" s="37" t="str">
        <f t="shared" si="190"/>
        <v>0</v>
      </c>
      <c r="AC733" s="37">
        <f t="shared" si="191"/>
        <v>0</v>
      </c>
      <c r="AD733" s="45">
        <f t="shared" si="189"/>
        <v>0.517401392111369</v>
      </c>
      <c r="AE733" s="37">
        <v>4</v>
      </c>
      <c r="AF733" s="37" t="s">
        <v>286</v>
      </c>
      <c r="AG733" s="37" t="str">
        <f t="shared" si="188"/>
        <v>yes</v>
      </c>
      <c r="AH733" s="37" t="str">
        <f t="array" ref="AH733">_xlfn.IFS(LOWER(AG733)="n","no",LOWER(AG733)="y","yes",TRUE,LOWER(AG733))</f>
        <v>yes</v>
      </c>
      <c r="AI733" s="37" t="s">
        <v>4692</v>
      </c>
    </row>
    <row r="734" spans="1:35">
      <c r="A734" s="46" t="s">
        <v>2748</v>
      </c>
      <c r="B734" s="47">
        <v>45342</v>
      </c>
      <c r="C734" s="39">
        <f t="shared" si="176"/>
        <v>45342</v>
      </c>
      <c r="D734" s="48" t="s">
        <v>340</v>
      </c>
      <c r="E734" s="37" t="str" cm="1">
        <f t="array" ref="E734">_xlfn.IFS(D734="delhi","north",D734="mumbai","west",D734="bengaluru","south",D734="chennai","south",D734="kolkata","east",TRUE,"west")</f>
        <v>north</v>
      </c>
      <c r="F734" s="46" t="s">
        <v>312</v>
      </c>
      <c r="G734" s="37" t="str">
        <f t="shared" si="177"/>
        <v>bluedart</v>
      </c>
      <c r="H734" s="46" t="s">
        <v>195</v>
      </c>
      <c r="I734" s="37" t="str">
        <f t="shared" si="178"/>
        <v>road</v>
      </c>
      <c r="J734" s="46" t="s">
        <v>843</v>
      </c>
      <c r="K734" s="37" t="str">
        <f t="shared" si="179"/>
        <v>automotiveparts</v>
      </c>
      <c r="L734" s="46" t="s">
        <v>112</v>
      </c>
      <c r="M734" s="37" t="str">
        <f t="shared" si="180"/>
        <v>north</v>
      </c>
      <c r="N734" s="46" t="s">
        <v>32</v>
      </c>
      <c r="O734" s="41" t="str">
        <f t="shared" si="181"/>
        <v>Yes</v>
      </c>
      <c r="P734" s="49">
        <v>14.7</v>
      </c>
      <c r="Q734" s="49">
        <v>227</v>
      </c>
      <c r="R734" s="42">
        <f t="shared" si="182"/>
        <v>15.4421768707483</v>
      </c>
      <c r="S734" s="46">
        <v>6</v>
      </c>
      <c r="T734" s="46" t="s">
        <v>2749</v>
      </c>
      <c r="U734" s="43" t="str">
        <f t="shared" si="183"/>
        <v>27/02/2024</v>
      </c>
      <c r="V734" s="43">
        <f t="shared" si="184"/>
        <v>45349</v>
      </c>
      <c r="W734" s="44">
        <f t="array" ref="W734">_xlfn.IFS(TRIM(C734)="","",TRIM(V734)="","",TRUE,V734-C734)</f>
        <v>7</v>
      </c>
      <c r="X734" s="37">
        <f t="shared" si="185"/>
        <v>1</v>
      </c>
      <c r="Y734" s="46" t="s">
        <v>72</v>
      </c>
      <c r="Z734" s="37" t="str">
        <f t="shared" si="186"/>
        <v>delayed</v>
      </c>
      <c r="AA734" s="37" t="str">
        <f t="shared" si="187"/>
        <v>Late</v>
      </c>
      <c r="AB734" s="37" t="str">
        <f t="shared" si="190"/>
        <v>1</v>
      </c>
      <c r="AC734" s="37">
        <f t="shared" si="191"/>
        <v>1</v>
      </c>
      <c r="AD734" s="45">
        <f t="shared" si="189"/>
        <v>0.518002322880372</v>
      </c>
      <c r="AE734" s="46">
        <v>2</v>
      </c>
      <c r="AF734" s="46" t="s">
        <v>286</v>
      </c>
      <c r="AG734" s="37" t="str">
        <f t="shared" si="188"/>
        <v>yes</v>
      </c>
      <c r="AH734" s="37" t="str">
        <f t="array" ref="AH734">_xlfn.IFS(LOWER(AG734)="n","no",LOWER(AG734)="y","yes",TRUE,LOWER(AG734))</f>
        <v>yes</v>
      </c>
      <c r="AI734" s="46" t="s">
        <v>4692</v>
      </c>
    </row>
    <row r="735" spans="1:35">
      <c r="A735" s="37" t="s">
        <v>2750</v>
      </c>
      <c r="B735" s="38">
        <v>45373</v>
      </c>
      <c r="C735" s="39">
        <f t="shared" si="176"/>
        <v>45373</v>
      </c>
      <c r="D735" s="40" t="s">
        <v>243</v>
      </c>
      <c r="E735" s="37" t="str" cm="1">
        <f t="array" ref="E735">_xlfn.IFS(D735="delhi","north",D735="mumbai","west",D735="bengaluru","south",D735="chennai","south",D735="kolkata","east",TRUE,"west")</f>
        <v>west</v>
      </c>
      <c r="F735" s="37" t="s">
        <v>156</v>
      </c>
      <c r="G735" s="37" t="str">
        <f t="shared" si="177"/>
        <v>xpressbees</v>
      </c>
      <c r="H735" s="37" t="s">
        <v>244</v>
      </c>
      <c r="I735" s="37" t="str">
        <f t="shared" si="178"/>
        <v>air</v>
      </c>
      <c r="J735" s="37" t="s">
        <v>111</v>
      </c>
      <c r="K735" s="37" t="str">
        <f t="shared" si="179"/>
        <v>grocery&amp;fmcg</v>
      </c>
      <c r="L735" s="37" t="s">
        <v>125</v>
      </c>
      <c r="M735" s="37" t="str">
        <f t="shared" si="180"/>
        <v>east</v>
      </c>
      <c r="N735" s="37" t="s">
        <v>396</v>
      </c>
      <c r="O735" s="41" t="str">
        <f t="shared" si="181"/>
        <v>Yes</v>
      </c>
      <c r="P735" s="41" t="s">
        <v>493</v>
      </c>
      <c r="Q735" s="41" t="s">
        <v>2751</v>
      </c>
      <c r="R735" s="42">
        <f t="shared" si="182"/>
        <v>73.6</v>
      </c>
      <c r="S735" s="37">
        <v>4</v>
      </c>
      <c r="T735" s="37" t="s">
        <v>1261</v>
      </c>
      <c r="U735" s="43" t="str">
        <f t="shared" si="183"/>
        <v>25/03/2024</v>
      </c>
      <c r="V735" s="43">
        <f t="shared" si="184"/>
        <v>45376</v>
      </c>
      <c r="W735" s="44">
        <f t="array" ref="W735">_xlfn.IFS(TRIM(C735)="","",TRIM(V735)="","",TRUE,V735-C735)</f>
        <v>3</v>
      </c>
      <c r="X735" s="37">
        <f t="shared" si="185"/>
        <v>-1</v>
      </c>
      <c r="Y735" s="37" t="s">
        <v>163</v>
      </c>
      <c r="Z735" s="37" t="str">
        <f t="shared" si="186"/>
        <v>delivered</v>
      </c>
      <c r="AA735" s="37" t="str">
        <f t="shared" si="187"/>
        <v>On Time</v>
      </c>
      <c r="AB735" s="37" t="str">
        <f t="shared" si="190"/>
        <v>0</v>
      </c>
      <c r="AC735" s="37">
        <f t="shared" si="191"/>
        <v>0</v>
      </c>
      <c r="AD735" s="45">
        <f t="shared" si="189"/>
        <v>0.517441860465116</v>
      </c>
      <c r="AE735" s="37">
        <v>5</v>
      </c>
      <c r="AF735" s="37" t="s">
        <v>106</v>
      </c>
      <c r="AG735" s="37" t="str">
        <f t="shared" si="188"/>
        <v>yes</v>
      </c>
      <c r="AH735" s="37" t="str">
        <f t="array" ref="AH735">_xlfn.IFS(LOWER(AG735)="n","no",LOWER(AG735)="y","yes",TRUE,LOWER(AG735))</f>
        <v>yes</v>
      </c>
      <c r="AI735" s="37" t="s">
        <v>4692</v>
      </c>
    </row>
    <row r="736" spans="1:35">
      <c r="A736" s="46" t="s">
        <v>2752</v>
      </c>
      <c r="B736" s="47">
        <v>45343</v>
      </c>
      <c r="C736" s="39">
        <f t="shared" si="176"/>
        <v>45343</v>
      </c>
      <c r="D736" s="48" t="s">
        <v>212</v>
      </c>
      <c r="E736" s="37" t="str" cm="1">
        <f t="array" ref="E736">_xlfn.IFS(D736="delhi","north",D736="mumbai","west",D736="bengaluru","south",D736="chennai","south",D736="kolkata","east",TRUE,"west")</f>
        <v>west</v>
      </c>
      <c r="F736" s="46" t="s">
        <v>223</v>
      </c>
      <c r="G736" s="37" t="str">
        <f t="shared" si="177"/>
        <v>xpressbees</v>
      </c>
      <c r="H736" s="46" t="s">
        <v>157</v>
      </c>
      <c r="I736" s="37" t="str">
        <f t="shared" si="178"/>
        <v>surface</v>
      </c>
      <c r="J736" s="46" t="s">
        <v>47</v>
      </c>
      <c r="K736" s="37" t="str">
        <f t="shared" si="179"/>
        <v>electronics</v>
      </c>
      <c r="L736" s="46" t="s">
        <v>101</v>
      </c>
      <c r="M736" s="37" t="str">
        <f t="shared" si="180"/>
        <v>west</v>
      </c>
      <c r="N736" s="46" t="s">
        <v>187</v>
      </c>
      <c r="O736" s="41" t="str">
        <f t="shared" si="181"/>
        <v>Yes</v>
      </c>
      <c r="P736" s="49">
        <v>14.2</v>
      </c>
      <c r="Q736" s="49" t="s">
        <v>1888</v>
      </c>
      <c r="R736" s="42">
        <f t="shared" si="182"/>
        <v>23.8732394366197</v>
      </c>
      <c r="S736" s="46">
        <v>4</v>
      </c>
      <c r="T736" s="46" t="s">
        <v>324</v>
      </c>
      <c r="U736" s="43" t="str">
        <f t="shared" si="183"/>
        <v>26/02/2024</v>
      </c>
      <c r="V736" s="43">
        <f t="shared" si="184"/>
        <v>45348</v>
      </c>
      <c r="W736" s="44">
        <f t="array" ref="W736">_xlfn.IFS(TRIM(C736)="","",TRIM(V736)="","",TRUE,V736-C736)</f>
        <v>5</v>
      </c>
      <c r="X736" s="37">
        <f t="shared" si="185"/>
        <v>1</v>
      </c>
      <c r="Y736" s="46" t="s">
        <v>172</v>
      </c>
      <c r="Z736" s="37" t="str">
        <f t="shared" si="186"/>
        <v>delayed</v>
      </c>
      <c r="AA736" s="37" t="str">
        <f t="shared" si="187"/>
        <v>Late</v>
      </c>
      <c r="AB736" s="37" t="str">
        <f t="shared" si="190"/>
        <v>1</v>
      </c>
      <c r="AC736" s="37">
        <f t="shared" si="191"/>
        <v>1</v>
      </c>
      <c r="AD736" s="45">
        <f t="shared" si="189"/>
        <v>0.518044237485448</v>
      </c>
      <c r="AE736" s="46">
        <v>2</v>
      </c>
      <c r="AF736" s="46" t="s">
        <v>79</v>
      </c>
      <c r="AG736" s="37" t="str">
        <f t="shared" si="188"/>
        <v>yes</v>
      </c>
      <c r="AH736" s="37" t="str">
        <f t="array" ref="AH736">_xlfn.IFS(LOWER(AG736)="n","no",LOWER(AG736)="y","yes",TRUE,LOWER(AG736))</f>
        <v>yes</v>
      </c>
      <c r="AI736" s="46" t="s">
        <v>4692</v>
      </c>
    </row>
    <row r="737" spans="1:35">
      <c r="A737" s="37" t="s">
        <v>2754</v>
      </c>
      <c r="B737" s="38">
        <v>45352</v>
      </c>
      <c r="C737" s="39">
        <f t="shared" si="176"/>
        <v>45352</v>
      </c>
      <c r="D737" s="40" t="s">
        <v>222</v>
      </c>
      <c r="E737" s="37" t="str" cm="1">
        <f t="array" ref="E737">_xlfn.IFS(D737="delhi","north",D737="mumbai","west",D737="bengaluru","south",D737="chennai","south",D737="kolkata","east",TRUE,"west")</f>
        <v>west</v>
      </c>
      <c r="F737" s="37" t="s">
        <v>367</v>
      </c>
      <c r="G737" s="37" t="str">
        <f t="shared" si="177"/>
        <v>dtdc</v>
      </c>
      <c r="H737" s="37" t="s">
        <v>110</v>
      </c>
      <c r="I737" s="37" t="str">
        <f t="shared" si="178"/>
        <v>surface</v>
      </c>
      <c r="J737" s="37" t="s">
        <v>313</v>
      </c>
      <c r="K737" s="37" t="str">
        <f t="shared" si="179"/>
        <v>automotiveparts</v>
      </c>
      <c r="L737" s="37" t="s">
        <v>334</v>
      </c>
      <c r="M737" s="37" t="str">
        <f t="shared" si="180"/>
        <v>north</v>
      </c>
      <c r="N737" s="37" t="s">
        <v>354</v>
      </c>
      <c r="O737" s="41" t="str">
        <f t="shared" si="181"/>
        <v>Yes</v>
      </c>
      <c r="P737" s="41">
        <v>19.2</v>
      </c>
      <c r="Q737" s="41" t="s">
        <v>2756</v>
      </c>
      <c r="R737" s="42">
        <f t="shared" si="182"/>
        <v>30.0520833333333</v>
      </c>
      <c r="S737" s="37">
        <v>6</v>
      </c>
      <c r="T737" s="37" t="s">
        <v>995</v>
      </c>
      <c r="U737" s="43" t="str">
        <f t="shared" si="183"/>
        <v>07/03/2024</v>
      </c>
      <c r="V737" s="43">
        <f t="shared" si="184"/>
        <v>45358</v>
      </c>
      <c r="W737" s="44">
        <f t="array" ref="W737">_xlfn.IFS(TRIM(C737)="","",TRIM(V737)="","",TRUE,V737-C737)</f>
        <v>6</v>
      </c>
      <c r="X737" s="37">
        <f t="shared" si="185"/>
        <v>0</v>
      </c>
      <c r="Y737" s="37" t="s">
        <v>117</v>
      </c>
      <c r="Z737" s="37" t="str">
        <f t="shared" si="186"/>
        <v>delivered</v>
      </c>
      <c r="AA737" s="37" t="str">
        <f t="shared" si="187"/>
        <v>On Time</v>
      </c>
      <c r="AB737" s="37" t="str">
        <f t="shared" si="190"/>
        <v>0</v>
      </c>
      <c r="AC737" s="37">
        <f t="shared" si="191"/>
        <v>0</v>
      </c>
      <c r="AD737" s="45">
        <f t="shared" si="189"/>
        <v>0.517482517482518</v>
      </c>
      <c r="AE737" s="37">
        <v>4</v>
      </c>
      <c r="AF737" s="37" t="s">
        <v>106</v>
      </c>
      <c r="AG737" s="37" t="str">
        <f t="shared" si="188"/>
        <v>yes</v>
      </c>
      <c r="AH737" s="37" t="str">
        <f t="array" ref="AH737">_xlfn.IFS(LOWER(AG737)="n","no",LOWER(AG737)="y","yes",TRUE,LOWER(AG737))</f>
        <v>yes</v>
      </c>
      <c r="AI737" s="37" t="s">
        <v>4692</v>
      </c>
    </row>
    <row r="738" spans="1:35">
      <c r="A738" s="46" t="s">
        <v>2757</v>
      </c>
      <c r="B738" s="47">
        <v>45361</v>
      </c>
      <c r="C738" s="39">
        <f t="shared" si="176"/>
        <v>45361</v>
      </c>
      <c r="D738" s="48" t="s">
        <v>340</v>
      </c>
      <c r="E738" s="37" t="str" cm="1">
        <f t="array" ref="E738">_xlfn.IFS(D738="delhi","north",D738="mumbai","west",D738="bengaluru","south",D738="chennai","south",D738="kolkata","east",TRUE,"west")</f>
        <v>north</v>
      </c>
      <c r="F738" s="46" t="s">
        <v>37</v>
      </c>
      <c r="G738" s="37" t="str">
        <f t="shared" si="177"/>
        <v>bluedart</v>
      </c>
      <c r="H738" s="46" t="s">
        <v>123</v>
      </c>
      <c r="I738" s="37" t="str">
        <f t="shared" si="178"/>
        <v>air</v>
      </c>
      <c r="J738" s="46" t="s">
        <v>277</v>
      </c>
      <c r="K738" s="37" t="str">
        <f t="shared" si="179"/>
        <v>apparel</v>
      </c>
      <c r="L738" s="46" t="s">
        <v>89</v>
      </c>
      <c r="M738" s="37" t="str">
        <f t="shared" si="180"/>
        <v>west</v>
      </c>
      <c r="N738" s="46" t="s">
        <v>88</v>
      </c>
      <c r="O738" s="41" t="str">
        <f t="shared" si="181"/>
        <v>Yes</v>
      </c>
      <c r="P738" s="49">
        <v>7.6</v>
      </c>
      <c r="Q738" s="49">
        <v>514</v>
      </c>
      <c r="R738" s="42">
        <f t="shared" si="182"/>
        <v>67.6315789473684</v>
      </c>
      <c r="S738" s="46">
        <v>4</v>
      </c>
      <c r="T738" s="46" t="s">
        <v>390</v>
      </c>
      <c r="U738" s="43" t="str">
        <f t="shared" si="183"/>
        <v>2024-03-13</v>
      </c>
      <c r="V738" s="43">
        <f t="shared" si="184"/>
        <v>45364</v>
      </c>
      <c r="W738" s="44">
        <f t="array" ref="W738">_xlfn.IFS(TRIM(C738)="","",TRIM(V738)="","",TRUE,V738-C738)</f>
        <v>3</v>
      </c>
      <c r="X738" s="37">
        <f t="shared" si="185"/>
        <v>-1</v>
      </c>
      <c r="Y738" s="46" t="s">
        <v>219</v>
      </c>
      <c r="Z738" s="37" t="str">
        <f t="shared" si="186"/>
        <v>delivered</v>
      </c>
      <c r="AA738" s="37" t="str">
        <f t="shared" si="187"/>
        <v>On Time</v>
      </c>
      <c r="AB738" s="37" t="str">
        <f t="shared" si="190"/>
        <v>0</v>
      </c>
      <c r="AC738" s="37">
        <f t="shared" si="191"/>
        <v>0</v>
      </c>
      <c r="AD738" s="45">
        <f t="shared" si="189"/>
        <v>0.518086347724621</v>
      </c>
      <c r="AE738" s="46">
        <v>5</v>
      </c>
      <c r="AF738" s="46" t="s">
        <v>152</v>
      </c>
      <c r="AG738" s="37" t="str">
        <f t="shared" si="188"/>
        <v>no</v>
      </c>
      <c r="AH738" s="37" t="str">
        <f t="array" ref="AH738">_xlfn.IFS(LOWER(AG738)="n","no",LOWER(AG738)="y","yes",TRUE,LOWER(AG738))</f>
        <v>no</v>
      </c>
      <c r="AI738" s="46" t="s">
        <v>4692</v>
      </c>
    </row>
    <row r="739" spans="1:35">
      <c r="A739" s="37" t="s">
        <v>2759</v>
      </c>
      <c r="B739" s="38">
        <v>45386</v>
      </c>
      <c r="C739" s="39">
        <f t="shared" si="176"/>
        <v>45386</v>
      </c>
      <c r="D739" s="40" t="s">
        <v>366</v>
      </c>
      <c r="E739" s="37" t="str" cm="1">
        <f t="array" ref="E739">_xlfn.IFS(D739="delhi","north",D739="mumbai","west",D739="bengaluru","south",D739="chennai","south",D739="kolkata","east",TRUE,"west")</f>
        <v>east</v>
      </c>
      <c r="F739" s="37" t="s">
        <v>136</v>
      </c>
      <c r="G739" s="37" t="str">
        <f t="shared" si="177"/>
        <v>bluedart</v>
      </c>
      <c r="H739" s="37" t="s">
        <v>110</v>
      </c>
      <c r="I739" s="37" t="str">
        <f t="shared" si="178"/>
        <v>surface</v>
      </c>
      <c r="J739" s="37" t="s">
        <v>47</v>
      </c>
      <c r="K739" s="37" t="str">
        <f t="shared" si="179"/>
        <v>electronics</v>
      </c>
      <c r="L739" s="37" t="s">
        <v>89</v>
      </c>
      <c r="M739" s="37" t="str">
        <f t="shared" si="180"/>
        <v>west</v>
      </c>
      <c r="N739" s="37" t="s">
        <v>206</v>
      </c>
      <c r="O739" s="41" t="str">
        <f t="shared" si="181"/>
        <v>Yes</v>
      </c>
      <c r="P739" s="41">
        <v>14</v>
      </c>
      <c r="Q739" s="41">
        <v>430</v>
      </c>
      <c r="R739" s="42">
        <f t="shared" si="182"/>
        <v>30.7142857142857</v>
      </c>
      <c r="S739" s="37">
        <v>6</v>
      </c>
      <c r="T739" s="37" t="s">
        <v>1739</v>
      </c>
      <c r="U739" s="43" t="str">
        <f t="shared" si="183"/>
        <v>2024-04-10</v>
      </c>
      <c r="V739" s="43">
        <f t="shared" si="184"/>
        <v>45392</v>
      </c>
      <c r="W739" s="44">
        <f t="array" ref="W739">_xlfn.IFS(TRIM(C739)="","",TRIM(V739)="","",TRUE,V739-C739)</f>
        <v>6</v>
      </c>
      <c r="X739" s="37">
        <f t="shared" si="185"/>
        <v>0</v>
      </c>
      <c r="Y739" s="37" t="s">
        <v>117</v>
      </c>
      <c r="Z739" s="37" t="str">
        <f t="shared" si="186"/>
        <v>delivered</v>
      </c>
      <c r="AA739" s="37" t="str">
        <f t="shared" si="187"/>
        <v>On Time</v>
      </c>
      <c r="AB739" s="37" t="str">
        <f t="shared" si="190"/>
        <v>0</v>
      </c>
      <c r="AC739" s="37">
        <f t="shared" si="191"/>
        <v>0</v>
      </c>
      <c r="AD739" s="45">
        <f t="shared" si="189"/>
        <v>0.518691588785047</v>
      </c>
      <c r="AE739" s="37">
        <v>4</v>
      </c>
      <c r="AF739" s="37" t="s">
        <v>131</v>
      </c>
      <c r="AG739" s="37" t="str">
        <f t="shared" si="188"/>
        <v>n</v>
      </c>
      <c r="AH739" s="37" t="str">
        <f t="array" ref="AH739">_xlfn.IFS(LOWER(AG739)="n","no",LOWER(AG739)="y","yes",TRUE,LOWER(AG739))</f>
        <v>no</v>
      </c>
      <c r="AI739" s="37" t="s">
        <v>4692</v>
      </c>
    </row>
    <row r="740" spans="1:35">
      <c r="A740" s="46" t="s">
        <v>2762</v>
      </c>
      <c r="B740" s="47">
        <v>45384</v>
      </c>
      <c r="C740" s="39">
        <f t="shared" si="176"/>
        <v>45384</v>
      </c>
      <c r="D740" s="48" t="s">
        <v>222</v>
      </c>
      <c r="E740" s="37" t="str" cm="1">
        <f t="array" ref="E740">_xlfn.IFS(D740="delhi","north",D740="mumbai","west",D740="bengaluru","south",D740="chennai","south",D740="kolkata","east",TRUE,"west")</f>
        <v>west</v>
      </c>
      <c r="F740" s="46" t="s">
        <v>204</v>
      </c>
      <c r="G740" s="37" t="str">
        <f t="shared" si="177"/>
        <v>delhivery</v>
      </c>
      <c r="H740" s="46" t="s">
        <v>147</v>
      </c>
      <c r="I740" s="37" t="str">
        <f t="shared" si="178"/>
        <v>road</v>
      </c>
      <c r="J740" s="46" t="s">
        <v>353</v>
      </c>
      <c r="K740" s="37" t="str">
        <f t="shared" si="179"/>
        <v>automotiveparts</v>
      </c>
      <c r="L740" s="46" t="s">
        <v>101</v>
      </c>
      <c r="M740" s="37" t="str">
        <f t="shared" si="180"/>
        <v>west</v>
      </c>
      <c r="N740" s="46" t="s">
        <v>187</v>
      </c>
      <c r="O740" s="41" t="str">
        <f t="shared" si="181"/>
        <v>Yes</v>
      </c>
      <c r="P740" s="49">
        <v>36.9</v>
      </c>
      <c r="Q740" s="49" t="s">
        <v>2764</v>
      </c>
      <c r="R740" s="42">
        <f t="shared" si="182"/>
        <v>14.0921409214092</v>
      </c>
      <c r="S740" s="46">
        <v>6</v>
      </c>
      <c r="T740" s="46" t="s">
        <v>1786</v>
      </c>
      <c r="U740" s="43" t="str">
        <f t="shared" si="183"/>
        <v>2024-04-07</v>
      </c>
      <c r="V740" s="43">
        <f t="shared" si="184"/>
        <v>45389</v>
      </c>
      <c r="W740" s="44">
        <f t="array" ref="W740">_xlfn.IFS(TRIM(C740)="","",TRIM(V740)="","",TRUE,V740-C740)</f>
        <v>5</v>
      </c>
      <c r="X740" s="37">
        <f t="shared" si="185"/>
        <v>-1</v>
      </c>
      <c r="Y740" s="46" t="s">
        <v>117</v>
      </c>
      <c r="Z740" s="37" t="str">
        <f t="shared" si="186"/>
        <v>delivered</v>
      </c>
      <c r="AA740" s="37" t="str">
        <f t="shared" si="187"/>
        <v>On Time</v>
      </c>
      <c r="AB740" s="37" t="str">
        <f t="shared" si="190"/>
        <v>0</v>
      </c>
      <c r="AC740" s="37">
        <f t="shared" si="191"/>
        <v>0</v>
      </c>
      <c r="AD740" s="45">
        <f t="shared" si="189"/>
        <v>0.519298245614035</v>
      </c>
      <c r="AE740" s="46">
        <v>4</v>
      </c>
      <c r="AF740" s="46" t="s">
        <v>131</v>
      </c>
      <c r="AG740" s="37" t="str">
        <f t="shared" si="188"/>
        <v>n</v>
      </c>
      <c r="AH740" s="37" t="str">
        <f t="array" ref="AH740">_xlfn.IFS(LOWER(AG740)="n","no",LOWER(AG740)="y","yes",TRUE,LOWER(AG740))</f>
        <v>no</v>
      </c>
      <c r="AI740" s="46" t="s">
        <v>4692</v>
      </c>
    </row>
    <row r="741" spans="1:35">
      <c r="A741" s="37" t="s">
        <v>2765</v>
      </c>
      <c r="B741" s="38">
        <v>45402</v>
      </c>
      <c r="C741" s="39">
        <f t="shared" si="176"/>
        <v>45402</v>
      </c>
      <c r="D741" s="40" t="s">
        <v>4694</v>
      </c>
      <c r="E741" s="37" t="str" cm="1">
        <f t="array" ref="E741">_xlfn.IFS(D741="delhi","north",D741="mumbai","west",D741="bengaluru","south",D741="chennai","south",D741="kolkata","east",TRUE,"west")</f>
        <v>west</v>
      </c>
      <c r="F741" s="37" t="s">
        <v>367</v>
      </c>
      <c r="G741" s="37" t="str">
        <f t="shared" si="177"/>
        <v>dtdc</v>
      </c>
      <c r="H741" s="37" t="s">
        <v>137</v>
      </c>
      <c r="I741" s="37" t="str">
        <f t="shared" si="178"/>
        <v>road</v>
      </c>
      <c r="J741" s="37" t="s">
        <v>111</v>
      </c>
      <c r="K741" s="37" t="str">
        <f t="shared" si="179"/>
        <v>grocery&amp;fmcg</v>
      </c>
      <c r="L741" s="37" t="s">
        <v>334</v>
      </c>
      <c r="M741" s="37" t="str">
        <f t="shared" si="180"/>
        <v>north</v>
      </c>
      <c r="N741" s="37" t="s">
        <v>215</v>
      </c>
      <c r="O741" s="41" t="str">
        <f t="shared" si="181"/>
        <v>Yes</v>
      </c>
      <c r="P741" s="41"/>
      <c r="Q741" s="41">
        <v>423</v>
      </c>
      <c r="R741" s="42" t="str">
        <f t="shared" si="182"/>
        <v/>
      </c>
      <c r="S741" s="37">
        <v>8</v>
      </c>
      <c r="T741" s="37" t="s">
        <v>2767</v>
      </c>
      <c r="U741" s="43" t="str">
        <f t="shared" si="183"/>
        <v>28/04/2024</v>
      </c>
      <c r="V741" s="43">
        <f t="shared" si="184"/>
        <v>45410</v>
      </c>
      <c r="W741" s="44">
        <f t="array" ref="W741">_xlfn.IFS(TRIM(C741)="","",TRIM(V741)="","",TRUE,V741-C741)</f>
        <v>8</v>
      </c>
      <c r="X741" s="37">
        <f t="shared" si="185"/>
        <v>0</v>
      </c>
      <c r="Y741" s="37" t="s">
        <v>117</v>
      </c>
      <c r="Z741" s="37" t="str">
        <f t="shared" si="186"/>
        <v>delivered</v>
      </c>
      <c r="AA741" s="37" t="str">
        <f t="shared" si="187"/>
        <v>On Time</v>
      </c>
      <c r="AB741" s="37" t="str">
        <f t="shared" si="190"/>
        <v>0</v>
      </c>
      <c r="AC741" s="37">
        <f t="shared" si="191"/>
        <v>0</v>
      </c>
      <c r="AD741" s="45">
        <f t="shared" si="189"/>
        <v>0.519906323185012</v>
      </c>
      <c r="AE741" s="37">
        <v>5</v>
      </c>
      <c r="AF741" s="37" t="s">
        <v>181</v>
      </c>
      <c r="AG741" s="37" t="str">
        <f t="shared" si="188"/>
        <v>y</v>
      </c>
      <c r="AH741" s="37" t="str">
        <f t="array" ref="AH741">_xlfn.IFS(LOWER(AG741)="n","no",LOWER(AG741)="y","yes",TRUE,LOWER(AG741))</f>
        <v>yes</v>
      </c>
      <c r="AI741" s="37" t="s">
        <v>4692</v>
      </c>
    </row>
    <row r="742" spans="1:35">
      <c r="A742" s="46" t="s">
        <v>2768</v>
      </c>
      <c r="B742" s="47" t="s">
        <v>4762</v>
      </c>
      <c r="C742" s="39">
        <f t="shared" si="176"/>
        <v>45421</v>
      </c>
      <c r="D742" s="48" t="s">
        <v>424</v>
      </c>
      <c r="E742" s="37" t="str" cm="1">
        <f t="array" ref="E742">_xlfn.IFS(D742="delhi","north",D742="mumbai","west",D742="bengaluru","south",D742="chennai","south",D742="kolkata","east",TRUE,"west")</f>
        <v>south</v>
      </c>
      <c r="F742" s="46" t="s">
        <v>367</v>
      </c>
      <c r="G742" s="37" t="str">
        <f t="shared" si="177"/>
        <v>dtdc</v>
      </c>
      <c r="H742" s="46" t="s">
        <v>325</v>
      </c>
      <c r="I742" s="37" t="str">
        <f t="shared" si="178"/>
        <v>air</v>
      </c>
      <c r="J742" s="46" t="s">
        <v>205</v>
      </c>
      <c r="K742" s="37" t="str">
        <f t="shared" si="179"/>
        <v>furniture</v>
      </c>
      <c r="L742" s="46" t="s">
        <v>302</v>
      </c>
      <c r="M742" s="37" t="str">
        <f t="shared" si="180"/>
        <v>east</v>
      </c>
      <c r="N742" s="46" t="s">
        <v>126</v>
      </c>
      <c r="O742" s="41" t="str">
        <f t="shared" si="181"/>
        <v>Yes</v>
      </c>
      <c r="P742" s="49" t="s">
        <v>2769</v>
      </c>
      <c r="Q742" s="49" t="s">
        <v>2770</v>
      </c>
      <c r="R742" s="42">
        <f t="shared" si="182"/>
        <v>47.3214285714286</v>
      </c>
      <c r="S742" s="46">
        <v>4</v>
      </c>
      <c r="T742" s="46" t="s">
        <v>877</v>
      </c>
      <c r="U742" s="43" t="str">
        <f t="shared" si="183"/>
        <v>12-may-2024</v>
      </c>
      <c r="V742" s="43">
        <f t="shared" si="184"/>
        <v>45424</v>
      </c>
      <c r="W742" s="44">
        <f t="array" ref="W742">_xlfn.IFS(TRIM(C742)="","",TRIM(V742)="","",TRUE,V742-C742)</f>
        <v>3</v>
      </c>
      <c r="X742" s="37">
        <f t="shared" si="185"/>
        <v>-1</v>
      </c>
      <c r="Y742" s="46" t="s">
        <v>105</v>
      </c>
      <c r="Z742" s="37" t="str">
        <f t="shared" si="186"/>
        <v>delivered</v>
      </c>
      <c r="AA742" s="37" t="str">
        <f t="shared" si="187"/>
        <v>On Time</v>
      </c>
      <c r="AB742" s="37" t="str">
        <f t="shared" si="190"/>
        <v>0</v>
      </c>
      <c r="AC742" s="37">
        <f t="shared" si="191"/>
        <v>0</v>
      </c>
      <c r="AD742" s="45">
        <f t="shared" si="189"/>
        <v>0.520515826494724</v>
      </c>
      <c r="AE742" s="46">
        <v>5</v>
      </c>
      <c r="AF742" s="46" t="s">
        <v>286</v>
      </c>
      <c r="AG742" s="37" t="str">
        <f t="shared" si="188"/>
        <v>yes</v>
      </c>
      <c r="AH742" s="37" t="str">
        <f t="array" ref="AH742">_xlfn.IFS(LOWER(AG742)="n","no",LOWER(AG742)="y","yes",TRUE,LOWER(AG742))</f>
        <v>yes</v>
      </c>
      <c r="AI742" s="46" t="s">
        <v>4692</v>
      </c>
    </row>
    <row r="743" spans="1:35">
      <c r="A743" s="37" t="s">
        <v>2771</v>
      </c>
      <c r="B743" s="38">
        <v>45332</v>
      </c>
      <c r="C743" s="39">
        <f t="shared" si="176"/>
        <v>45332</v>
      </c>
      <c r="D743" s="40" t="s">
        <v>633</v>
      </c>
      <c r="E743" s="37" t="str" cm="1">
        <f t="array" ref="E743">_xlfn.IFS(D743="delhi","north",D743="mumbai","west",D743="bengaluru","south",D743="chennai","south",D743="kolkata","east",TRUE,"west")</f>
        <v>south</v>
      </c>
      <c r="F743" s="37" t="s">
        <v>194</v>
      </c>
      <c r="G743" s="37" t="str">
        <f t="shared" si="177"/>
        <v>xpressbees</v>
      </c>
      <c r="H743" s="37" t="s">
        <v>137</v>
      </c>
      <c r="I743" s="37" t="str">
        <f t="shared" si="178"/>
        <v>road</v>
      </c>
      <c r="J743" s="37" t="s">
        <v>1112</v>
      </c>
      <c r="K743" s="37" t="str">
        <f t="shared" si="179"/>
        <v>automotiveparts</v>
      </c>
      <c r="L743" s="37" t="s">
        <v>380</v>
      </c>
      <c r="M743" s="37" t="str">
        <f t="shared" si="180"/>
        <v>east</v>
      </c>
      <c r="N743" s="37" t="s">
        <v>396</v>
      </c>
      <c r="O743" s="41" t="str">
        <f t="shared" si="181"/>
        <v>Yes</v>
      </c>
      <c r="P743" s="41">
        <v>27.7</v>
      </c>
      <c r="Q743" s="41">
        <v>574</v>
      </c>
      <c r="R743" s="42">
        <f t="shared" si="182"/>
        <v>20.7220216606498</v>
      </c>
      <c r="S743" s="37">
        <v>8</v>
      </c>
      <c r="T743" s="37" t="s">
        <v>2773</v>
      </c>
      <c r="U743" s="43" t="str">
        <f t="shared" si="183"/>
        <v>18-feb-2024</v>
      </c>
      <c r="V743" s="43">
        <f t="shared" si="184"/>
        <v>45340</v>
      </c>
      <c r="W743" s="44">
        <f t="array" ref="W743">_xlfn.IFS(TRIM(C743)="","",TRIM(V743)="","",TRUE,V743-C743)</f>
        <v>8</v>
      </c>
      <c r="X743" s="37">
        <f t="shared" si="185"/>
        <v>0</v>
      </c>
      <c r="Y743" s="37" t="s">
        <v>117</v>
      </c>
      <c r="Z743" s="37" t="str">
        <f t="shared" si="186"/>
        <v>delivered</v>
      </c>
      <c r="AA743" s="37" t="str">
        <f t="shared" si="187"/>
        <v>On Time</v>
      </c>
      <c r="AB743" s="37" t="str">
        <f t="shared" si="190"/>
        <v>0</v>
      </c>
      <c r="AC743" s="37">
        <f t="shared" si="191"/>
        <v>0</v>
      </c>
      <c r="AD743" s="45">
        <f t="shared" si="189"/>
        <v>0.52112676056338</v>
      </c>
      <c r="AE743" s="37">
        <v>5</v>
      </c>
      <c r="AF743" s="37" t="s">
        <v>191</v>
      </c>
      <c r="AG743" s="37" t="str">
        <f t="shared" si="188"/>
        <v>no</v>
      </c>
      <c r="AH743" s="37" t="str">
        <f t="array" ref="AH743">_xlfn.IFS(LOWER(AG743)="n","no",LOWER(AG743)="y","yes",TRUE,LOWER(AG743))</f>
        <v>no</v>
      </c>
      <c r="AI743" s="37" t="s">
        <v>4692</v>
      </c>
    </row>
    <row r="744" spans="1:35">
      <c r="A744" s="46" t="s">
        <v>2774</v>
      </c>
      <c r="B744" s="47">
        <v>45344</v>
      </c>
      <c r="C744" s="39">
        <f t="shared" si="176"/>
        <v>45344</v>
      </c>
      <c r="D744" s="48" t="s">
        <v>366</v>
      </c>
      <c r="E744" s="37" t="str" cm="1">
        <f t="array" ref="E744">_xlfn.IFS(D744="delhi","north",D744="mumbai","west",D744="bengaluru","south",D744="chennai","south",D744="kolkata","east",TRUE,"west")</f>
        <v>east</v>
      </c>
      <c r="F744" s="46" t="s">
        <v>223</v>
      </c>
      <c r="G744" s="37" t="str">
        <f t="shared" si="177"/>
        <v>xpressbees</v>
      </c>
      <c r="H744" s="46" t="s">
        <v>147</v>
      </c>
      <c r="I744" s="37" t="str">
        <f t="shared" si="178"/>
        <v>road</v>
      </c>
      <c r="J744" s="46" t="s">
        <v>1701</v>
      </c>
      <c r="K744" s="37" t="str">
        <f t="shared" si="179"/>
        <v>grocery&amp;fmcg</v>
      </c>
      <c r="L744" s="46" t="s">
        <v>125</v>
      </c>
      <c r="M744" s="37" t="str">
        <f t="shared" si="180"/>
        <v>east</v>
      </c>
      <c r="N744" s="46" t="s">
        <v>126</v>
      </c>
      <c r="O744" s="41" t="str">
        <f t="shared" si="181"/>
        <v>Yes</v>
      </c>
      <c r="P744" s="49">
        <v>18.8</v>
      </c>
      <c r="Q744" s="49">
        <v>249</v>
      </c>
      <c r="R744" s="42">
        <f t="shared" si="182"/>
        <v>13.2446808510638</v>
      </c>
      <c r="S744" s="46">
        <v>6</v>
      </c>
      <c r="T744" s="46" t="s">
        <v>2246</v>
      </c>
      <c r="U744" s="43" t="str">
        <f t="shared" si="183"/>
        <v>27-feb-2024</v>
      </c>
      <c r="V744" s="43">
        <f t="shared" si="184"/>
        <v>45349</v>
      </c>
      <c r="W744" s="44">
        <f t="array" ref="W744">_xlfn.IFS(TRIM(C744)="","",TRIM(V744)="","",TRUE,V744-C744)</f>
        <v>5</v>
      </c>
      <c r="X744" s="37">
        <f t="shared" si="185"/>
        <v>-1</v>
      </c>
      <c r="Y744" s="46" t="s">
        <v>163</v>
      </c>
      <c r="Z744" s="37" t="str">
        <f t="shared" si="186"/>
        <v>delivered</v>
      </c>
      <c r="AA744" s="37" t="str">
        <f t="shared" si="187"/>
        <v>On Time</v>
      </c>
      <c r="AB744" s="37" t="str">
        <f t="shared" si="190"/>
        <v>0</v>
      </c>
      <c r="AC744" s="37">
        <f t="shared" si="191"/>
        <v>0</v>
      </c>
      <c r="AD744" s="45">
        <f t="shared" si="189"/>
        <v>0.521739130434783</v>
      </c>
      <c r="AE744" s="46">
        <v>5</v>
      </c>
      <c r="AF744" s="46" t="s">
        <v>106</v>
      </c>
      <c r="AG744" s="37" t="str">
        <f t="shared" si="188"/>
        <v>yes</v>
      </c>
      <c r="AH744" s="37" t="str">
        <f t="array" ref="AH744">_xlfn.IFS(LOWER(AG744)="n","no",LOWER(AG744)="y","yes",TRUE,LOWER(AG744))</f>
        <v>yes</v>
      </c>
      <c r="AI744" s="46" t="s">
        <v>4692</v>
      </c>
    </row>
    <row r="745" spans="1:35">
      <c r="A745" s="37" t="s">
        <v>2776</v>
      </c>
      <c r="B745" s="38">
        <v>45439</v>
      </c>
      <c r="C745" s="39">
        <f t="shared" si="176"/>
        <v>45439</v>
      </c>
      <c r="D745" s="40" t="s">
        <v>212</v>
      </c>
      <c r="E745" s="37" t="str" cm="1">
        <f t="array" ref="E745">_xlfn.IFS(D745="delhi","north",D745="mumbai","west",D745="bengaluru","south",D745="chennai","south",D745="kolkata","east",TRUE,"west")</f>
        <v>west</v>
      </c>
      <c r="F745" s="37" t="s">
        <v>122</v>
      </c>
      <c r="G745" s="37" t="str">
        <f t="shared" si="177"/>
        <v>delhivery</v>
      </c>
      <c r="H745" s="37" t="s">
        <v>157</v>
      </c>
      <c r="I745" s="37" t="str">
        <f t="shared" si="178"/>
        <v>surface</v>
      </c>
      <c r="J745" s="37" t="s">
        <v>277</v>
      </c>
      <c r="K745" s="37" t="str">
        <f t="shared" si="179"/>
        <v>apparel</v>
      </c>
      <c r="L745" s="37" t="s">
        <v>101</v>
      </c>
      <c r="M745" s="37" t="str">
        <f t="shared" si="180"/>
        <v>west</v>
      </c>
      <c r="N745" s="37" t="s">
        <v>278</v>
      </c>
      <c r="O745" s="41" t="str">
        <f t="shared" si="181"/>
        <v>Yes</v>
      </c>
      <c r="P745" s="41">
        <v>6.7</v>
      </c>
      <c r="Q745" s="41">
        <v>187</v>
      </c>
      <c r="R745" s="42">
        <f t="shared" si="182"/>
        <v>27.910447761194</v>
      </c>
      <c r="S745" s="37">
        <v>4</v>
      </c>
      <c r="T745" s="37" t="s">
        <v>2110</v>
      </c>
      <c r="U745" s="43" t="str">
        <f t="shared" si="183"/>
        <v>31-may-2024</v>
      </c>
      <c r="V745" s="43">
        <f t="shared" si="184"/>
        <v>45443</v>
      </c>
      <c r="W745" s="44">
        <f t="array" ref="W745">_xlfn.IFS(TRIM(C745)="","",TRIM(V745)="","",TRUE,V745-C745)</f>
        <v>4</v>
      </c>
      <c r="X745" s="37">
        <f t="shared" si="185"/>
        <v>0</v>
      </c>
      <c r="Y745" s="37" t="s">
        <v>817</v>
      </c>
      <c r="Z745" s="37" t="str">
        <f t="shared" si="186"/>
        <v>returned</v>
      </c>
      <c r="AA745" s="37" t="str">
        <f t="shared" si="187"/>
        <v>On Time</v>
      </c>
      <c r="AB745" s="37" t="str">
        <f t="shared" si="190"/>
        <v>0</v>
      </c>
      <c r="AC745" s="37">
        <f t="shared" si="191"/>
        <v>0</v>
      </c>
      <c r="AD745" s="45">
        <f t="shared" si="189"/>
        <v>0.522352941176471</v>
      </c>
      <c r="AE745" s="37"/>
      <c r="AF745" s="37" t="s">
        <v>191</v>
      </c>
      <c r="AG745" s="37" t="str">
        <f t="shared" si="188"/>
        <v>no</v>
      </c>
      <c r="AH745" s="37" t="str">
        <f t="array" ref="AH745">_xlfn.IFS(LOWER(AG745)="n","no",LOWER(AG745)="y","yes",TRUE,LOWER(AG745))</f>
        <v>no</v>
      </c>
      <c r="AI745" s="37" t="s">
        <v>1478</v>
      </c>
    </row>
    <row r="746" spans="1:35">
      <c r="A746" s="46" t="s">
        <v>2779</v>
      </c>
      <c r="B746" s="47" t="s">
        <v>4754</v>
      </c>
      <c r="C746" s="39">
        <f t="shared" si="176"/>
        <v>45316</v>
      </c>
      <c r="D746" s="48" t="s">
        <v>222</v>
      </c>
      <c r="E746" s="37" t="str" cm="1">
        <f t="array" ref="E746">_xlfn.IFS(D746="delhi","north",D746="mumbai","west",D746="bengaluru","south",D746="chennai","south",D746="kolkata","east",TRUE,"west")</f>
        <v>west</v>
      </c>
      <c r="F746" s="46" t="s">
        <v>122</v>
      </c>
      <c r="G746" s="37" t="str">
        <f t="shared" si="177"/>
        <v>delhivery</v>
      </c>
      <c r="H746" s="46" t="s">
        <v>42</v>
      </c>
      <c r="I746" s="37" t="str">
        <f t="shared" si="178"/>
        <v>surface</v>
      </c>
      <c r="J746" s="46" t="s">
        <v>138</v>
      </c>
      <c r="K746" s="37" t="str">
        <f t="shared" si="179"/>
        <v>apparel</v>
      </c>
      <c r="L746" s="46" t="s">
        <v>101</v>
      </c>
      <c r="M746" s="37" t="str">
        <f t="shared" si="180"/>
        <v>west</v>
      </c>
      <c r="N746" s="46" t="s">
        <v>88</v>
      </c>
      <c r="O746" s="41" t="str">
        <f t="shared" si="181"/>
        <v>Yes</v>
      </c>
      <c r="P746" s="49">
        <v>2.5</v>
      </c>
      <c r="Q746" s="49">
        <v>88</v>
      </c>
      <c r="R746" s="42">
        <f t="shared" si="182"/>
        <v>35.2</v>
      </c>
      <c r="S746" s="46">
        <v>4</v>
      </c>
      <c r="T746" s="46" t="s">
        <v>679</v>
      </c>
      <c r="U746" s="43" t="str">
        <f t="shared" si="183"/>
        <v>29/01/2024</v>
      </c>
      <c r="V746" s="43">
        <f t="shared" si="184"/>
        <v>45320</v>
      </c>
      <c r="W746" s="44">
        <f t="array" ref="W746">_xlfn.IFS(TRIM(C746)="","",TRIM(V746)="","",TRUE,V746-C746)</f>
        <v>4</v>
      </c>
      <c r="X746" s="37">
        <f t="shared" si="185"/>
        <v>0</v>
      </c>
      <c r="Y746" s="46" t="s">
        <v>219</v>
      </c>
      <c r="Z746" s="37" t="str">
        <f t="shared" si="186"/>
        <v>delivered</v>
      </c>
      <c r="AA746" s="37" t="str">
        <f t="shared" si="187"/>
        <v>On Time</v>
      </c>
      <c r="AB746" s="37" t="str">
        <f t="shared" si="190"/>
        <v>0</v>
      </c>
      <c r="AC746" s="37">
        <f t="shared" si="191"/>
        <v>0</v>
      </c>
      <c r="AD746" s="45">
        <f t="shared" si="189"/>
        <v>0.522968197879859</v>
      </c>
      <c r="AE746" s="46">
        <v>5</v>
      </c>
      <c r="AF746" s="46" t="s">
        <v>152</v>
      </c>
      <c r="AG746" s="37" t="str">
        <f t="shared" si="188"/>
        <v>no</v>
      </c>
      <c r="AH746" s="37" t="str">
        <f t="array" ref="AH746">_xlfn.IFS(LOWER(AG746)="n","no",LOWER(AG746)="y","yes",TRUE,LOWER(AG746))</f>
        <v>no</v>
      </c>
      <c r="AI746" s="46" t="s">
        <v>4692</v>
      </c>
    </row>
    <row r="747" spans="1:35">
      <c r="A747" s="37" t="s">
        <v>2781</v>
      </c>
      <c r="B747" s="38">
        <v>45329</v>
      </c>
      <c r="C747" s="39">
        <f t="shared" si="176"/>
        <v>45329</v>
      </c>
      <c r="D747" s="40" t="s">
        <v>4704</v>
      </c>
      <c r="E747" s="37" t="str" cm="1">
        <f t="array" ref="E747">_xlfn.IFS(D747="delhi","north",D747="mumbai","west",D747="bengaluru","south",D747="chennai","south",D747="kolkata","east",TRUE,"west")</f>
        <v>west</v>
      </c>
      <c r="F747" s="37" t="s">
        <v>136</v>
      </c>
      <c r="G747" s="37" t="str">
        <f t="shared" si="177"/>
        <v>bluedart</v>
      </c>
      <c r="H747" s="37" t="s">
        <v>157</v>
      </c>
      <c r="I747" s="37" t="str">
        <f t="shared" si="178"/>
        <v>surface</v>
      </c>
      <c r="J747" s="37" t="s">
        <v>301</v>
      </c>
      <c r="K747" s="37" t="str">
        <f t="shared" si="179"/>
        <v>furniture</v>
      </c>
      <c r="L747" s="37" t="s">
        <v>112</v>
      </c>
      <c r="M747" s="37" t="str">
        <f t="shared" si="180"/>
        <v>north</v>
      </c>
      <c r="N747" s="37" t="s">
        <v>354</v>
      </c>
      <c r="O747" s="41" t="str">
        <f t="shared" si="181"/>
        <v>Yes</v>
      </c>
      <c r="P747" s="41">
        <v>66.2</v>
      </c>
      <c r="Q747" s="50">
        <v>1642</v>
      </c>
      <c r="R747" s="42">
        <f t="shared" si="182"/>
        <v>24.8036253776435</v>
      </c>
      <c r="S747" s="37">
        <v>6</v>
      </c>
      <c r="T747" s="37" t="s">
        <v>722</v>
      </c>
      <c r="U747" s="43" t="str">
        <f t="shared" si="183"/>
        <v>12/02/2024</v>
      </c>
      <c r="V747" s="43">
        <f t="shared" si="184"/>
        <v>45334</v>
      </c>
      <c r="W747" s="44">
        <f t="array" ref="W747">_xlfn.IFS(TRIM(C747)="","",TRIM(V747)="","",TRUE,V747-C747)</f>
        <v>5</v>
      </c>
      <c r="X747" s="37">
        <f t="shared" si="185"/>
        <v>-1</v>
      </c>
      <c r="Y747" s="37" t="s">
        <v>105</v>
      </c>
      <c r="Z747" s="37" t="str">
        <f t="shared" si="186"/>
        <v>delivered</v>
      </c>
      <c r="AA747" s="37" t="str">
        <f t="shared" si="187"/>
        <v>On Time</v>
      </c>
      <c r="AB747" s="37" t="str">
        <f t="shared" si="190"/>
        <v>0</v>
      </c>
      <c r="AC747" s="37">
        <f t="shared" si="191"/>
        <v>0</v>
      </c>
      <c r="AD747" s="45">
        <f t="shared" si="189"/>
        <v>0.523584905660377</v>
      </c>
      <c r="AE747" s="37">
        <v>4</v>
      </c>
      <c r="AF747" s="37" t="s">
        <v>181</v>
      </c>
      <c r="AG747" s="37" t="str">
        <f t="shared" si="188"/>
        <v>y</v>
      </c>
      <c r="AH747" s="37" t="str">
        <f t="array" ref="AH747">_xlfn.IFS(LOWER(AG747)="n","no",LOWER(AG747)="y","yes",TRUE,LOWER(AG747))</f>
        <v>yes</v>
      </c>
      <c r="AI747" s="37" t="s">
        <v>4692</v>
      </c>
    </row>
    <row r="748" spans="1:35">
      <c r="A748" s="46" t="s">
        <v>2784</v>
      </c>
      <c r="B748" s="47" t="s">
        <v>4821</v>
      </c>
      <c r="C748" s="39">
        <f t="shared" si="176"/>
        <v>45419</v>
      </c>
      <c r="D748" s="48" t="s">
        <v>424</v>
      </c>
      <c r="E748" s="37" t="str" cm="1">
        <f t="array" ref="E748">_xlfn.IFS(D748="delhi","north",D748="mumbai","west",D748="bengaluru","south",D748="chennai","south",D748="kolkata","east",TRUE,"west")</f>
        <v>south</v>
      </c>
      <c r="F748" s="46" t="s">
        <v>194</v>
      </c>
      <c r="G748" s="37" t="str">
        <f t="shared" si="177"/>
        <v>xpressbees</v>
      </c>
      <c r="H748" s="46" t="s">
        <v>345</v>
      </c>
      <c r="I748" s="37" t="str">
        <f t="shared" si="178"/>
        <v>surface</v>
      </c>
      <c r="J748" s="46" t="s">
        <v>277</v>
      </c>
      <c r="K748" s="37" t="str">
        <f t="shared" si="179"/>
        <v>apparel</v>
      </c>
      <c r="L748" s="46" t="s">
        <v>51</v>
      </c>
      <c r="M748" s="37" t="str">
        <f t="shared" si="180"/>
        <v>south</v>
      </c>
      <c r="N748" s="46" t="s">
        <v>54</v>
      </c>
      <c r="O748" s="41" t="str">
        <f t="shared" si="181"/>
        <v>Yes</v>
      </c>
      <c r="P748" s="49">
        <v>6.1</v>
      </c>
      <c r="Q748" s="49" t="s">
        <v>2785</v>
      </c>
      <c r="R748" s="42">
        <f t="shared" si="182"/>
        <v>24.5901639344262</v>
      </c>
      <c r="S748" s="46">
        <v>4</v>
      </c>
      <c r="T748" s="46" t="s">
        <v>1901</v>
      </c>
      <c r="U748" s="43" t="str">
        <f t="shared" si="183"/>
        <v>11-may-2024</v>
      </c>
      <c r="V748" s="43">
        <f t="shared" si="184"/>
        <v>45423</v>
      </c>
      <c r="W748" s="44">
        <f t="array" ref="W748">_xlfn.IFS(TRIM(C748)="","",TRIM(V748)="","",TRUE,V748-C748)</f>
        <v>4</v>
      </c>
      <c r="X748" s="37">
        <f t="shared" si="185"/>
        <v>0</v>
      </c>
      <c r="Y748" s="46" t="s">
        <v>163</v>
      </c>
      <c r="Z748" s="37" t="str">
        <f t="shared" si="186"/>
        <v>delivered</v>
      </c>
      <c r="AA748" s="37" t="str">
        <f t="shared" si="187"/>
        <v>On Time</v>
      </c>
      <c r="AB748" s="37" t="str">
        <f t="shared" si="190"/>
        <v>0</v>
      </c>
      <c r="AC748" s="37">
        <f t="shared" si="191"/>
        <v>0</v>
      </c>
      <c r="AD748" s="45">
        <f t="shared" si="189"/>
        <v>0.524203069657615</v>
      </c>
      <c r="AE748" s="46">
        <v>5</v>
      </c>
      <c r="AF748" s="46" t="s">
        <v>191</v>
      </c>
      <c r="AG748" s="37" t="str">
        <f t="shared" si="188"/>
        <v>no</v>
      </c>
      <c r="AH748" s="37" t="str">
        <f t="array" ref="AH748">_xlfn.IFS(LOWER(AG748)="n","no",LOWER(AG748)="y","yes",TRUE,LOWER(AG748))</f>
        <v>no</v>
      </c>
      <c r="AI748" s="46" t="s">
        <v>4692</v>
      </c>
    </row>
    <row r="749" spans="1:35">
      <c r="A749" s="37" t="s">
        <v>2786</v>
      </c>
      <c r="B749" s="38">
        <v>45378</v>
      </c>
      <c r="C749" s="39">
        <f t="shared" si="176"/>
        <v>45378</v>
      </c>
      <c r="D749" s="40" t="s">
        <v>633</v>
      </c>
      <c r="E749" s="37" t="str" cm="1">
        <f t="array" ref="E749">_xlfn.IFS(D749="delhi","north",D749="mumbai","west",D749="bengaluru","south",D749="chennai","south",D749="kolkata","east",TRUE,"west")</f>
        <v>south</v>
      </c>
      <c r="F749" s="37" t="s">
        <v>146</v>
      </c>
      <c r="G749" s="37" t="str">
        <f t="shared" si="177"/>
        <v>ecomexpress</v>
      </c>
      <c r="H749" s="37" t="s">
        <v>137</v>
      </c>
      <c r="I749" s="37" t="str">
        <f t="shared" si="178"/>
        <v>road</v>
      </c>
      <c r="J749" s="37" t="s">
        <v>612</v>
      </c>
      <c r="K749" s="37" t="str">
        <f t="shared" si="179"/>
        <v>grocery&amp;fmcg</v>
      </c>
      <c r="L749" s="37" t="s">
        <v>87</v>
      </c>
      <c r="M749" s="37" t="str">
        <f t="shared" si="180"/>
        <v>north</v>
      </c>
      <c r="N749" s="37" t="s">
        <v>354</v>
      </c>
      <c r="O749" s="41" t="str">
        <f t="shared" si="181"/>
        <v>Yes</v>
      </c>
      <c r="P749" s="41">
        <v>15.9</v>
      </c>
      <c r="Q749" s="41">
        <v>415</v>
      </c>
      <c r="R749" s="42">
        <f t="shared" si="182"/>
        <v>26.1006289308176</v>
      </c>
      <c r="S749" s="37">
        <v>8</v>
      </c>
      <c r="T749" s="37" t="s">
        <v>1592</v>
      </c>
      <c r="U749" s="43" t="str">
        <f t="shared" si="183"/>
        <v>03/04/2024</v>
      </c>
      <c r="V749" s="43">
        <f t="shared" si="184"/>
        <v>45385</v>
      </c>
      <c r="W749" s="44">
        <f t="array" ref="W749">_xlfn.IFS(TRIM(C749)="","",TRIM(V749)="","",TRUE,V749-C749)</f>
        <v>7</v>
      </c>
      <c r="X749" s="37">
        <f t="shared" si="185"/>
        <v>-1</v>
      </c>
      <c r="Y749" s="37" t="s">
        <v>105</v>
      </c>
      <c r="Z749" s="37" t="str">
        <f t="shared" si="186"/>
        <v>delivered</v>
      </c>
      <c r="AA749" s="37" t="str">
        <f t="shared" si="187"/>
        <v>On Time</v>
      </c>
      <c r="AB749" s="37" t="str">
        <f t="shared" si="190"/>
        <v>0</v>
      </c>
      <c r="AC749" s="37">
        <f t="shared" si="191"/>
        <v>0</v>
      </c>
      <c r="AD749" s="45">
        <f t="shared" si="189"/>
        <v>0.524822695035461</v>
      </c>
      <c r="AE749" s="37">
        <v>5</v>
      </c>
      <c r="AF749" s="37" t="s">
        <v>152</v>
      </c>
      <c r="AG749" s="37" t="str">
        <f t="shared" si="188"/>
        <v>no</v>
      </c>
      <c r="AH749" s="37" t="str">
        <f t="array" ref="AH749">_xlfn.IFS(LOWER(AG749)="n","no",LOWER(AG749)="y","yes",TRUE,LOWER(AG749))</f>
        <v>no</v>
      </c>
      <c r="AI749" s="37" t="s">
        <v>4692</v>
      </c>
    </row>
    <row r="750" spans="1:35">
      <c r="A750" s="46" t="s">
        <v>2788</v>
      </c>
      <c r="B750" s="47">
        <v>45446</v>
      </c>
      <c r="C750" s="39">
        <f t="shared" si="176"/>
        <v>45446</v>
      </c>
      <c r="D750" s="48" t="s">
        <v>366</v>
      </c>
      <c r="E750" s="37" t="str" cm="1">
        <f t="array" ref="E750">_xlfn.IFS(D750="delhi","north",D750="mumbai","west",D750="bengaluru","south",D750="chennai","south",D750="kolkata","east",TRUE,"west")</f>
        <v>east</v>
      </c>
      <c r="F750" s="46" t="s">
        <v>230</v>
      </c>
      <c r="G750" s="37" t="str">
        <f t="shared" si="177"/>
        <v>dtdc</v>
      </c>
      <c r="H750" s="46" t="s">
        <v>345</v>
      </c>
      <c r="I750" s="37" t="str">
        <f t="shared" si="178"/>
        <v>surface</v>
      </c>
      <c r="J750" s="46" t="s">
        <v>263</v>
      </c>
      <c r="K750" s="37" t="str">
        <f t="shared" si="179"/>
        <v>apparel</v>
      </c>
      <c r="L750" s="46" t="s">
        <v>159</v>
      </c>
      <c r="M750" s="37" t="str">
        <f t="shared" si="180"/>
        <v>south</v>
      </c>
      <c r="N750" s="46" t="s">
        <v>90</v>
      </c>
      <c r="O750" s="41" t="str">
        <f t="shared" si="181"/>
        <v>Yes</v>
      </c>
      <c r="P750" s="49">
        <v>2.8</v>
      </c>
      <c r="Q750" s="49">
        <v>222</v>
      </c>
      <c r="R750" s="42">
        <f t="shared" si="182"/>
        <v>79.2857142857143</v>
      </c>
      <c r="S750" s="46">
        <v>6</v>
      </c>
      <c r="T750" s="46" t="s">
        <v>1814</v>
      </c>
      <c r="U750" s="43" t="str">
        <f t="shared" si="183"/>
        <v>09-jun-2024</v>
      </c>
      <c r="V750" s="43">
        <f t="shared" si="184"/>
        <v>45452</v>
      </c>
      <c r="W750" s="44">
        <f t="array" ref="W750">_xlfn.IFS(TRIM(C750)="","",TRIM(V750)="","",TRUE,V750-C750)</f>
        <v>6</v>
      </c>
      <c r="X750" s="37">
        <f t="shared" si="185"/>
        <v>0</v>
      </c>
      <c r="Y750" s="46" t="s">
        <v>105</v>
      </c>
      <c r="Z750" s="37" t="str">
        <f t="shared" si="186"/>
        <v>delivered</v>
      </c>
      <c r="AA750" s="37" t="str">
        <f t="shared" si="187"/>
        <v>On Time</v>
      </c>
      <c r="AB750" s="37" t="str">
        <f t="shared" si="190"/>
        <v>0</v>
      </c>
      <c r="AC750" s="37">
        <f t="shared" si="191"/>
        <v>0</v>
      </c>
      <c r="AD750" s="45">
        <f t="shared" si="189"/>
        <v>0.525443786982248</v>
      </c>
      <c r="AE750" s="46">
        <v>5</v>
      </c>
      <c r="AF750" s="46" t="s">
        <v>152</v>
      </c>
      <c r="AG750" s="37" t="str">
        <f t="shared" si="188"/>
        <v>no</v>
      </c>
      <c r="AH750" s="37" t="str">
        <f t="array" ref="AH750">_xlfn.IFS(LOWER(AG750)="n","no",LOWER(AG750)="y","yes",TRUE,LOWER(AG750))</f>
        <v>no</v>
      </c>
      <c r="AI750" s="46" t="s">
        <v>4692</v>
      </c>
    </row>
    <row r="751" spans="1:35">
      <c r="A751" s="37" t="s">
        <v>2789</v>
      </c>
      <c r="B751" s="38">
        <v>45371</v>
      </c>
      <c r="C751" s="39">
        <f t="shared" si="176"/>
        <v>45371</v>
      </c>
      <c r="D751" s="40" t="s">
        <v>633</v>
      </c>
      <c r="E751" s="37" t="str" cm="1">
        <f t="array" ref="E751">_xlfn.IFS(D751="delhi","north",D751="mumbai","west",D751="bengaluru","south",D751="chennai","south",D751="kolkata","east",TRUE,"west")</f>
        <v>south</v>
      </c>
      <c r="F751" s="37" t="s">
        <v>213</v>
      </c>
      <c r="G751" s="37" t="str">
        <f t="shared" si="177"/>
        <v>dtdc</v>
      </c>
      <c r="H751" s="37" t="s">
        <v>99</v>
      </c>
      <c r="I751" s="37" t="str">
        <f t="shared" si="178"/>
        <v>air</v>
      </c>
      <c r="J751" s="37" t="s">
        <v>277</v>
      </c>
      <c r="K751" s="37" t="str">
        <f t="shared" si="179"/>
        <v>apparel</v>
      </c>
      <c r="L751" s="37" t="s">
        <v>125</v>
      </c>
      <c r="M751" s="37" t="str">
        <f t="shared" si="180"/>
        <v>east</v>
      </c>
      <c r="N751" s="37" t="s">
        <v>91</v>
      </c>
      <c r="O751" s="41" t="str">
        <f t="shared" si="181"/>
        <v>Yes</v>
      </c>
      <c r="P751" s="41" t="s">
        <v>2790</v>
      </c>
      <c r="Q751" s="41">
        <v>391</v>
      </c>
      <c r="R751" s="42">
        <f t="shared" si="182"/>
        <v>85</v>
      </c>
      <c r="S751" s="37">
        <v>4</v>
      </c>
      <c r="T751" s="37" t="s">
        <v>171</v>
      </c>
      <c r="U751" s="43" t="str">
        <f t="shared" si="183"/>
        <v>23-mar-2024</v>
      </c>
      <c r="V751" s="43">
        <f t="shared" si="184"/>
        <v>45374</v>
      </c>
      <c r="W751" s="44">
        <f t="array" ref="W751">_xlfn.IFS(TRIM(C751)="","",TRIM(V751)="","",TRUE,V751-C751)</f>
        <v>3</v>
      </c>
      <c r="X751" s="37">
        <f t="shared" si="185"/>
        <v>-1</v>
      </c>
      <c r="Y751" s="37" t="s">
        <v>219</v>
      </c>
      <c r="Z751" s="37" t="str">
        <f t="shared" si="186"/>
        <v>delivered</v>
      </c>
      <c r="AA751" s="37" t="str">
        <f t="shared" si="187"/>
        <v>On Time</v>
      </c>
      <c r="AB751" s="37" t="str">
        <f t="shared" si="190"/>
        <v>0</v>
      </c>
      <c r="AC751" s="37">
        <f t="shared" si="191"/>
        <v>0</v>
      </c>
      <c r="AD751" s="45">
        <f t="shared" si="189"/>
        <v>0.5260663507109</v>
      </c>
      <c r="AE751" s="37">
        <v>5</v>
      </c>
      <c r="AF751" s="37" t="s">
        <v>286</v>
      </c>
      <c r="AG751" s="37" t="str">
        <f t="shared" si="188"/>
        <v>yes</v>
      </c>
      <c r="AH751" s="37" t="str">
        <f t="array" ref="AH751">_xlfn.IFS(LOWER(AG751)="n","no",LOWER(AG751)="y","yes",TRUE,LOWER(AG751))</f>
        <v>yes</v>
      </c>
      <c r="AI751" s="37" t="s">
        <v>4692</v>
      </c>
    </row>
    <row r="752" spans="1:35">
      <c r="A752" s="46" t="s">
        <v>2792</v>
      </c>
      <c r="B752" s="47">
        <v>45316</v>
      </c>
      <c r="C752" s="39">
        <f t="shared" si="176"/>
        <v>45316</v>
      </c>
      <c r="D752" s="48" t="s">
        <v>121</v>
      </c>
      <c r="E752" s="37" t="str" cm="1">
        <f t="array" ref="E752">_xlfn.IFS(D752="delhi","north",D752="mumbai","west",D752="bengaluru","south",D752="chennai","south",D752="kolkata","east",TRUE,"west")</f>
        <v>west</v>
      </c>
      <c r="F752" s="46" t="s">
        <v>230</v>
      </c>
      <c r="G752" s="37" t="str">
        <f t="shared" si="177"/>
        <v>dtdc</v>
      </c>
      <c r="H752" s="46" t="s">
        <v>440</v>
      </c>
      <c r="I752" s="37" t="str">
        <f t="shared" si="178"/>
        <v>road</v>
      </c>
      <c r="J752" s="46" t="s">
        <v>368</v>
      </c>
      <c r="K752" s="37" t="str">
        <f t="shared" si="179"/>
        <v>furniture</v>
      </c>
      <c r="L752" s="46" t="s">
        <v>302</v>
      </c>
      <c r="M752" s="37" t="str">
        <f t="shared" si="180"/>
        <v>east</v>
      </c>
      <c r="N752" s="46" t="s">
        <v>396</v>
      </c>
      <c r="O752" s="41" t="str">
        <f t="shared" si="181"/>
        <v>Yes</v>
      </c>
      <c r="P752" s="49">
        <v>16.9</v>
      </c>
      <c r="Q752" s="49">
        <v>363</v>
      </c>
      <c r="R752" s="42">
        <f t="shared" si="182"/>
        <v>21.4792899408284</v>
      </c>
      <c r="S752" s="46">
        <v>8</v>
      </c>
      <c r="T752" s="46" t="s">
        <v>816</v>
      </c>
      <c r="U752" s="43" t="str">
        <f t="shared" si="183"/>
        <v>10/02/2024</v>
      </c>
      <c r="V752" s="43">
        <f t="shared" si="184"/>
        <v>45332</v>
      </c>
      <c r="W752" s="44">
        <f t="array" ref="W752">_xlfn.IFS(TRIM(C752)="","",TRIM(V752)="","",TRUE,V752-C752)</f>
        <v>16</v>
      </c>
      <c r="X752" s="37">
        <f t="shared" si="185"/>
        <v>8</v>
      </c>
      <c r="Y752" s="46" t="s">
        <v>172</v>
      </c>
      <c r="Z752" s="37" t="str">
        <f t="shared" si="186"/>
        <v>delayed</v>
      </c>
      <c r="AA752" s="37" t="str">
        <f t="shared" si="187"/>
        <v>Late</v>
      </c>
      <c r="AB752" s="37" t="str">
        <f t="shared" si="190"/>
        <v>1</v>
      </c>
      <c r="AC752" s="37">
        <f t="shared" si="191"/>
        <v>1</v>
      </c>
      <c r="AD752" s="45">
        <f t="shared" si="189"/>
        <v>0.526690391459075</v>
      </c>
      <c r="AE752" s="46">
        <v>4</v>
      </c>
      <c r="AF752" s="46" t="s">
        <v>152</v>
      </c>
      <c r="AG752" s="37" t="str">
        <f t="shared" si="188"/>
        <v>no</v>
      </c>
      <c r="AH752" s="37" t="str">
        <f t="array" ref="AH752">_xlfn.IFS(LOWER(AG752)="n","no",LOWER(AG752)="y","yes",TRUE,LOWER(AG752))</f>
        <v>no</v>
      </c>
      <c r="AI752" s="46" t="s">
        <v>4692</v>
      </c>
    </row>
    <row r="753" spans="1:35">
      <c r="A753" s="37" t="s">
        <v>2795</v>
      </c>
      <c r="B753" s="38" t="s">
        <v>4822</v>
      </c>
      <c r="C753" s="39">
        <f t="shared" si="176"/>
        <v>45469</v>
      </c>
      <c r="D753" s="40" t="s">
        <v>4705</v>
      </c>
      <c r="E753" s="37" t="str" cm="1">
        <f t="array" ref="E753">_xlfn.IFS(D753="delhi","north",D753="mumbai","west",D753="bengaluru","south",D753="chennai","south",D753="kolkata","east",TRUE,"west")</f>
        <v>west</v>
      </c>
      <c r="F753" s="37" t="s">
        <v>146</v>
      </c>
      <c r="G753" s="37" t="str">
        <f t="shared" si="177"/>
        <v>ecomexpress</v>
      </c>
      <c r="H753" s="37" t="s">
        <v>123</v>
      </c>
      <c r="I753" s="37" t="str">
        <f t="shared" si="178"/>
        <v>air</v>
      </c>
      <c r="J753" s="37" t="s">
        <v>368</v>
      </c>
      <c r="K753" s="37" t="str">
        <f t="shared" si="179"/>
        <v>furniture</v>
      </c>
      <c r="L753" s="37" t="s">
        <v>302</v>
      </c>
      <c r="M753" s="37" t="str">
        <f t="shared" si="180"/>
        <v>east</v>
      </c>
      <c r="N753" s="37" t="s">
        <v>91</v>
      </c>
      <c r="O753" s="41" t="str">
        <f t="shared" si="181"/>
        <v>Yes</v>
      </c>
      <c r="P753" s="41" t="s">
        <v>2796</v>
      </c>
      <c r="Q753" s="50">
        <v>2134</v>
      </c>
      <c r="R753" s="42">
        <f t="shared" si="182"/>
        <v>48.2805429864253</v>
      </c>
      <c r="S753" s="37">
        <v>4</v>
      </c>
      <c r="T753" s="37" t="s">
        <v>1092</v>
      </c>
      <c r="U753" s="43" t="str">
        <f t="shared" si="183"/>
        <v>29-jun-2024</v>
      </c>
      <c r="V753" s="43">
        <f t="shared" si="184"/>
        <v>45472</v>
      </c>
      <c r="W753" s="44">
        <f t="array" ref="W753">_xlfn.IFS(TRIM(C753)="","",TRIM(V753)="","",TRUE,V753-C753)</f>
        <v>3</v>
      </c>
      <c r="X753" s="37">
        <f t="shared" si="185"/>
        <v>-1</v>
      </c>
      <c r="Y753" s="37" t="s">
        <v>163</v>
      </c>
      <c r="Z753" s="37" t="str">
        <f t="shared" si="186"/>
        <v>delivered</v>
      </c>
      <c r="AA753" s="37" t="str">
        <f t="shared" si="187"/>
        <v>On Time</v>
      </c>
      <c r="AB753" s="37" t="str">
        <f t="shared" si="190"/>
        <v>0</v>
      </c>
      <c r="AC753" s="37">
        <f t="shared" si="191"/>
        <v>0</v>
      </c>
      <c r="AD753" s="45">
        <f t="shared" si="189"/>
        <v>0.526128266033254</v>
      </c>
      <c r="AE753" s="37">
        <v>3</v>
      </c>
      <c r="AF753" s="37" t="s">
        <v>152</v>
      </c>
      <c r="AG753" s="37" t="str">
        <f t="shared" si="188"/>
        <v>no</v>
      </c>
      <c r="AH753" s="37" t="str">
        <f t="array" ref="AH753">_xlfn.IFS(LOWER(AG753)="n","no",LOWER(AG753)="y","yes",TRUE,LOWER(AG753))</f>
        <v>no</v>
      </c>
      <c r="AI753" s="37" t="s">
        <v>4692</v>
      </c>
    </row>
    <row r="754" spans="1:35">
      <c r="A754" s="46" t="s">
        <v>2798</v>
      </c>
      <c r="B754" s="47">
        <v>45342</v>
      </c>
      <c r="C754" s="39">
        <f t="shared" si="176"/>
        <v>45342</v>
      </c>
      <c r="D754" s="48" t="s">
        <v>366</v>
      </c>
      <c r="E754" s="37" t="str" cm="1">
        <f t="array" ref="E754">_xlfn.IFS(D754="delhi","north",D754="mumbai","west",D754="bengaluru","south",D754="chennai","south",D754="kolkata","east",TRUE,"west")</f>
        <v>east</v>
      </c>
      <c r="F754" s="46" t="s">
        <v>223</v>
      </c>
      <c r="G754" s="37" t="str">
        <f t="shared" si="177"/>
        <v>xpressbees</v>
      </c>
      <c r="H754" s="46" t="s">
        <v>157</v>
      </c>
      <c r="I754" s="37" t="str">
        <f t="shared" si="178"/>
        <v>surface</v>
      </c>
      <c r="J754" s="46" t="s">
        <v>319</v>
      </c>
      <c r="K754" s="37" t="str">
        <f t="shared" si="179"/>
        <v>electronics</v>
      </c>
      <c r="L754" s="46" t="s">
        <v>89</v>
      </c>
      <c r="M754" s="37" t="str">
        <f t="shared" si="180"/>
        <v>west</v>
      </c>
      <c r="N754" s="46" t="s">
        <v>206</v>
      </c>
      <c r="O754" s="41" t="str">
        <f t="shared" si="181"/>
        <v>Yes</v>
      </c>
      <c r="P754" s="49">
        <v>9.3</v>
      </c>
      <c r="Q754" s="49">
        <v>360</v>
      </c>
      <c r="R754" s="42">
        <f t="shared" si="182"/>
        <v>38.7096774193548</v>
      </c>
      <c r="S754" s="46">
        <v>6</v>
      </c>
      <c r="T754" s="46" t="s">
        <v>2246</v>
      </c>
      <c r="U754" s="43" t="str">
        <f t="shared" si="183"/>
        <v>27-feb-2024</v>
      </c>
      <c r="V754" s="43">
        <f t="shared" si="184"/>
        <v>45349</v>
      </c>
      <c r="W754" s="44">
        <f t="array" ref="W754">_xlfn.IFS(TRIM(C754)="","",TRIM(V754)="","",TRUE,V754-C754)</f>
        <v>7</v>
      </c>
      <c r="X754" s="37">
        <f t="shared" si="185"/>
        <v>1</v>
      </c>
      <c r="Y754" s="46" t="s">
        <v>143</v>
      </c>
      <c r="Z754" s="37" t="str">
        <f t="shared" si="186"/>
        <v>delayed</v>
      </c>
      <c r="AA754" s="37" t="str">
        <f t="shared" si="187"/>
        <v>Late</v>
      </c>
      <c r="AB754" s="37" t="str">
        <f t="shared" si="190"/>
        <v>1</v>
      </c>
      <c r="AC754" s="37">
        <f t="shared" si="191"/>
        <v>1</v>
      </c>
      <c r="AD754" s="45">
        <f t="shared" si="189"/>
        <v>0.526753864447087</v>
      </c>
      <c r="AE754" s="46">
        <v>4</v>
      </c>
      <c r="AF754" s="46" t="s">
        <v>152</v>
      </c>
      <c r="AG754" s="37" t="str">
        <f t="shared" si="188"/>
        <v>no</v>
      </c>
      <c r="AH754" s="37" t="str">
        <f t="array" ref="AH754">_xlfn.IFS(LOWER(AG754)="n","no",LOWER(AG754)="y","yes",TRUE,LOWER(AG754))</f>
        <v>no</v>
      </c>
      <c r="AI754" s="46" t="s">
        <v>4692</v>
      </c>
    </row>
    <row r="755" spans="1:35">
      <c r="A755" s="37" t="s">
        <v>2801</v>
      </c>
      <c r="B755" s="38">
        <v>45374</v>
      </c>
      <c r="C755" s="39">
        <f t="shared" si="176"/>
        <v>45374</v>
      </c>
      <c r="D755" s="40" t="s">
        <v>4695</v>
      </c>
      <c r="E755" s="37" t="str" cm="1">
        <f t="array" ref="E755">_xlfn.IFS(D755="delhi","north",D755="mumbai","west",D755="bengaluru","south",D755="chennai","south",D755="kolkata","east",TRUE,"west")</f>
        <v>west</v>
      </c>
      <c r="F755" s="37" t="s">
        <v>37</v>
      </c>
      <c r="G755" s="37" t="str">
        <f t="shared" si="177"/>
        <v>bluedart</v>
      </c>
      <c r="H755" s="37" t="s">
        <v>195</v>
      </c>
      <c r="I755" s="37" t="str">
        <f t="shared" si="178"/>
        <v>road</v>
      </c>
      <c r="J755" s="37" t="s">
        <v>612</v>
      </c>
      <c r="K755" s="37" t="str">
        <f t="shared" si="179"/>
        <v>grocery&amp;fmcg</v>
      </c>
      <c r="L755" s="37" t="s">
        <v>112</v>
      </c>
      <c r="M755" s="37" t="str">
        <f t="shared" si="180"/>
        <v>north</v>
      </c>
      <c r="N755" s="37" t="s">
        <v>354</v>
      </c>
      <c r="O755" s="41" t="str">
        <f t="shared" si="181"/>
        <v>Yes</v>
      </c>
      <c r="P755" s="41">
        <v>19.6</v>
      </c>
      <c r="Q755" s="41" t="s">
        <v>2803</v>
      </c>
      <c r="R755" s="42">
        <f t="shared" si="182"/>
        <v>20.2551020408163</v>
      </c>
      <c r="S755" s="37">
        <v>8</v>
      </c>
      <c r="T755" s="37" t="s">
        <v>2804</v>
      </c>
      <c r="U755" s="43" t="str">
        <f t="shared" si="183"/>
        <v>31-mar-2024</v>
      </c>
      <c r="V755" s="43">
        <f t="shared" si="184"/>
        <v>45382</v>
      </c>
      <c r="W755" s="44">
        <f t="array" ref="W755">_xlfn.IFS(TRIM(C755)="","",TRIM(V755)="","",TRUE,V755-C755)</f>
        <v>8</v>
      </c>
      <c r="X755" s="37">
        <f t="shared" si="185"/>
        <v>0</v>
      </c>
      <c r="Y755" s="37" t="s">
        <v>105</v>
      </c>
      <c r="Z755" s="37" t="str">
        <f t="shared" si="186"/>
        <v>delivered</v>
      </c>
      <c r="AA755" s="37" t="str">
        <f t="shared" si="187"/>
        <v>On Time</v>
      </c>
      <c r="AB755" s="37" t="str">
        <f t="shared" si="190"/>
        <v>0</v>
      </c>
      <c r="AC755" s="37">
        <f t="shared" si="191"/>
        <v>0</v>
      </c>
      <c r="AD755" s="45">
        <f t="shared" si="189"/>
        <v>0.526190476190476</v>
      </c>
      <c r="AE755" s="37">
        <v>5</v>
      </c>
      <c r="AF755" s="37" t="s">
        <v>286</v>
      </c>
      <c r="AG755" s="37" t="str">
        <f t="shared" si="188"/>
        <v>yes</v>
      </c>
      <c r="AH755" s="37" t="str">
        <f t="array" ref="AH755">_xlfn.IFS(LOWER(AG755)="n","no",LOWER(AG755)="y","yes",TRUE,LOWER(AG755))</f>
        <v>yes</v>
      </c>
      <c r="AI755" s="37" t="s">
        <v>4692</v>
      </c>
    </row>
    <row r="756" spans="1:35">
      <c r="A756" s="46" t="s">
        <v>2805</v>
      </c>
      <c r="B756" s="47">
        <v>45438</v>
      </c>
      <c r="C756" s="39">
        <f t="shared" si="176"/>
        <v>45438</v>
      </c>
      <c r="D756" s="48" t="s">
        <v>366</v>
      </c>
      <c r="E756" s="37" t="str" cm="1">
        <f t="array" ref="E756">_xlfn.IFS(D756="delhi","north",D756="mumbai","west",D756="bengaluru","south",D756="chennai","south",D756="kolkata","east",TRUE,"west")</f>
        <v>east</v>
      </c>
      <c r="F756" s="46" t="s">
        <v>146</v>
      </c>
      <c r="G756" s="37" t="str">
        <f t="shared" si="177"/>
        <v>ecomexpress</v>
      </c>
      <c r="H756" s="46" t="s">
        <v>224</v>
      </c>
      <c r="I756" s="37" t="str">
        <f t="shared" si="178"/>
        <v>air</v>
      </c>
      <c r="J756" s="46" t="s">
        <v>111</v>
      </c>
      <c r="K756" s="37" t="str">
        <f t="shared" si="179"/>
        <v>grocery&amp;fmcg</v>
      </c>
      <c r="L756" s="46" t="s">
        <v>334</v>
      </c>
      <c r="M756" s="37" t="str">
        <f t="shared" si="180"/>
        <v>north</v>
      </c>
      <c r="N756" s="46" t="s">
        <v>354</v>
      </c>
      <c r="O756" s="41" t="str">
        <f t="shared" si="181"/>
        <v>Yes</v>
      </c>
      <c r="P756" s="49">
        <v>6.3</v>
      </c>
      <c r="Q756" s="49">
        <v>478</v>
      </c>
      <c r="R756" s="42">
        <f t="shared" si="182"/>
        <v>75.8730158730159</v>
      </c>
      <c r="S756" s="46">
        <v>4</v>
      </c>
      <c r="T756" s="46" t="s">
        <v>2806</v>
      </c>
      <c r="U756" s="43" t="str">
        <f t="shared" si="183"/>
        <v>07/06/2024</v>
      </c>
      <c r="V756" s="43">
        <f t="shared" si="184"/>
        <v>45450</v>
      </c>
      <c r="W756" s="44">
        <f t="array" ref="W756">_xlfn.IFS(TRIM(C756)="","",TRIM(V756)="","",TRUE,V756-C756)</f>
        <v>12</v>
      </c>
      <c r="X756" s="37">
        <f t="shared" si="185"/>
        <v>8</v>
      </c>
      <c r="Y756" s="46" t="s">
        <v>172</v>
      </c>
      <c r="Z756" s="37" t="str">
        <f t="shared" si="186"/>
        <v>delayed</v>
      </c>
      <c r="AA756" s="37" t="str">
        <f t="shared" si="187"/>
        <v>Late</v>
      </c>
      <c r="AB756" s="37" t="str">
        <f t="shared" si="190"/>
        <v>1</v>
      </c>
      <c r="AC756" s="37">
        <f t="shared" si="191"/>
        <v>1</v>
      </c>
      <c r="AD756" s="45">
        <f t="shared" si="189"/>
        <v>0.526817640047676</v>
      </c>
      <c r="AE756" s="46">
        <v>4</v>
      </c>
      <c r="AF756" s="46" t="s">
        <v>79</v>
      </c>
      <c r="AG756" s="37" t="str">
        <f t="shared" si="188"/>
        <v>yes</v>
      </c>
      <c r="AH756" s="37" t="str">
        <f t="array" ref="AH756">_xlfn.IFS(LOWER(AG756)="n","no",LOWER(AG756)="y","yes",TRUE,LOWER(AG756))</f>
        <v>yes</v>
      </c>
      <c r="AI756" s="46" t="s">
        <v>4692</v>
      </c>
    </row>
    <row r="757" spans="1:35">
      <c r="A757" s="37" t="s">
        <v>2807</v>
      </c>
      <c r="B757" s="38" t="s">
        <v>4823</v>
      </c>
      <c r="C757" s="39">
        <f t="shared" si="176"/>
        <v>45370</v>
      </c>
      <c r="D757" s="40" t="s">
        <v>109</v>
      </c>
      <c r="E757" s="37" t="str" cm="1">
        <f t="array" ref="E757">_xlfn.IFS(D757="delhi","north",D757="mumbai","west",D757="bengaluru","south",D757="chennai","south",D757="kolkata","east",TRUE,"west")</f>
        <v>west</v>
      </c>
      <c r="F757" s="37" t="s">
        <v>136</v>
      </c>
      <c r="G757" s="37" t="str">
        <f t="shared" si="177"/>
        <v>bluedart</v>
      </c>
      <c r="H757" s="37" t="s">
        <v>176</v>
      </c>
      <c r="I757" s="37" t="str">
        <f t="shared" si="178"/>
        <v>road</v>
      </c>
      <c r="J757" s="37" t="s">
        <v>47</v>
      </c>
      <c r="K757" s="37" t="str">
        <f t="shared" si="179"/>
        <v>electronics</v>
      </c>
      <c r="L757" s="37" t="s">
        <v>264</v>
      </c>
      <c r="M757" s="37" t="str">
        <f t="shared" si="180"/>
        <v>west</v>
      </c>
      <c r="N757" s="37" t="s">
        <v>88</v>
      </c>
      <c r="O757" s="41" t="str">
        <f t="shared" si="181"/>
        <v>Yes</v>
      </c>
      <c r="P757" s="41">
        <v>9.2</v>
      </c>
      <c r="Q757" s="41">
        <v>177</v>
      </c>
      <c r="R757" s="42">
        <f t="shared" si="182"/>
        <v>19.2391304347826</v>
      </c>
      <c r="S757" s="37">
        <v>6</v>
      </c>
      <c r="T757" s="37" t="s">
        <v>154</v>
      </c>
      <c r="U757" s="43" t="str">
        <f t="shared" si="183"/>
        <v>24/03/2024</v>
      </c>
      <c r="V757" s="43">
        <f t="shared" si="184"/>
        <v>45375</v>
      </c>
      <c r="W757" s="44">
        <f t="array" ref="W757">_xlfn.IFS(TRIM(C757)="","",TRIM(V757)="","",TRUE,V757-C757)</f>
        <v>5</v>
      </c>
      <c r="X757" s="37">
        <f t="shared" si="185"/>
        <v>-1</v>
      </c>
      <c r="Y757" s="37" t="s">
        <v>105</v>
      </c>
      <c r="Z757" s="37" t="str">
        <f t="shared" si="186"/>
        <v>delivered</v>
      </c>
      <c r="AA757" s="37" t="str">
        <f t="shared" si="187"/>
        <v>On Time</v>
      </c>
      <c r="AB757" s="37" t="str">
        <f t="shared" si="190"/>
        <v>0</v>
      </c>
      <c r="AC757" s="37">
        <f t="shared" si="191"/>
        <v>0</v>
      </c>
      <c r="AD757" s="45">
        <f t="shared" si="189"/>
        <v>0.526252983293556</v>
      </c>
      <c r="AE757" s="37">
        <v>4</v>
      </c>
      <c r="AF757" s="37" t="s">
        <v>131</v>
      </c>
      <c r="AG757" s="37" t="str">
        <f t="shared" si="188"/>
        <v>n</v>
      </c>
      <c r="AH757" s="37" t="str">
        <f t="array" ref="AH757">_xlfn.IFS(LOWER(AG757)="n","no",LOWER(AG757)="y","yes",TRUE,LOWER(AG757))</f>
        <v>no</v>
      </c>
      <c r="AI757" s="37" t="s">
        <v>4692</v>
      </c>
    </row>
    <row r="758" spans="1:35">
      <c r="A758" s="46" t="s">
        <v>2809</v>
      </c>
      <c r="B758" s="47">
        <v>45333</v>
      </c>
      <c r="C758" s="39">
        <f t="shared" si="176"/>
        <v>45333</v>
      </c>
      <c r="D758" s="48" t="s">
        <v>366</v>
      </c>
      <c r="E758" s="37" t="str" cm="1">
        <f t="array" ref="E758">_xlfn.IFS(D758="delhi","north",D758="mumbai","west",D758="bengaluru","south",D758="chennai","south",D758="kolkata","east",TRUE,"west")</f>
        <v>east</v>
      </c>
      <c r="F758" s="46" t="s">
        <v>37</v>
      </c>
      <c r="G758" s="37" t="str">
        <f t="shared" si="177"/>
        <v>bluedart</v>
      </c>
      <c r="H758" s="46" t="s">
        <v>137</v>
      </c>
      <c r="I758" s="37" t="str">
        <f t="shared" si="178"/>
        <v>road</v>
      </c>
      <c r="J758" s="46" t="s">
        <v>271</v>
      </c>
      <c r="K758" s="37" t="str">
        <f t="shared" si="179"/>
        <v>electronics</v>
      </c>
      <c r="L758" s="46" t="s">
        <v>264</v>
      </c>
      <c r="M758" s="37" t="str">
        <f t="shared" si="180"/>
        <v>west</v>
      </c>
      <c r="N758" s="46" t="s">
        <v>88</v>
      </c>
      <c r="O758" s="41" t="str">
        <f t="shared" si="181"/>
        <v>Yes</v>
      </c>
      <c r="P758" s="49">
        <v>10.6</v>
      </c>
      <c r="Q758" s="49">
        <v>297</v>
      </c>
      <c r="R758" s="42">
        <f t="shared" si="182"/>
        <v>28.0188679245283</v>
      </c>
      <c r="S758" s="46">
        <v>8</v>
      </c>
      <c r="T758" s="46" t="s">
        <v>1614</v>
      </c>
      <c r="U758" s="43" t="str">
        <f t="shared" si="183"/>
        <v>20/02/2024</v>
      </c>
      <c r="V758" s="43">
        <f t="shared" si="184"/>
        <v>45342</v>
      </c>
      <c r="W758" s="44">
        <f t="array" ref="W758">_xlfn.IFS(TRIM(C758)="","",TRIM(V758)="","",TRUE,V758-C758)</f>
        <v>9</v>
      </c>
      <c r="X758" s="37">
        <f t="shared" si="185"/>
        <v>1</v>
      </c>
      <c r="Y758" s="46" t="s">
        <v>72</v>
      </c>
      <c r="Z758" s="37" t="str">
        <f t="shared" si="186"/>
        <v>delayed</v>
      </c>
      <c r="AA758" s="37" t="str">
        <f t="shared" si="187"/>
        <v>Late</v>
      </c>
      <c r="AB758" s="37" t="str">
        <f t="shared" si="190"/>
        <v>1</v>
      </c>
      <c r="AC758" s="37">
        <f t="shared" si="191"/>
        <v>1</v>
      </c>
      <c r="AD758" s="45">
        <f t="shared" si="189"/>
        <v>0.526881720430108</v>
      </c>
      <c r="AE758" s="46">
        <v>3</v>
      </c>
      <c r="AF758" s="46" t="s">
        <v>286</v>
      </c>
      <c r="AG758" s="37" t="str">
        <f t="shared" si="188"/>
        <v>yes</v>
      </c>
      <c r="AH758" s="37" t="str">
        <f t="array" ref="AH758">_xlfn.IFS(LOWER(AG758)="n","no",LOWER(AG758)="y","yes",TRUE,LOWER(AG758))</f>
        <v>yes</v>
      </c>
      <c r="AI758" s="46" t="s">
        <v>4692</v>
      </c>
    </row>
    <row r="759" spans="1:35">
      <c r="A759" s="37" t="s">
        <v>2812</v>
      </c>
      <c r="B759" s="38">
        <v>45462</v>
      </c>
      <c r="C759" s="39">
        <f t="shared" si="176"/>
        <v>45462</v>
      </c>
      <c r="D759" s="40" t="s">
        <v>424</v>
      </c>
      <c r="E759" s="37" t="str" cm="1">
        <f t="array" ref="E759">_xlfn.IFS(D759="delhi","north",D759="mumbai","west",D759="bengaluru","south",D759="chennai","south",D759="kolkata","east",TRUE,"west")</f>
        <v>south</v>
      </c>
      <c r="F759" s="37" t="s">
        <v>184</v>
      </c>
      <c r="G759" s="37" t="str">
        <f t="shared" si="177"/>
        <v>ecomexpress</v>
      </c>
      <c r="H759" s="37" t="s">
        <v>185</v>
      </c>
      <c r="I759" s="37" t="str">
        <f t="shared" si="178"/>
        <v>surface</v>
      </c>
      <c r="J759" s="37" t="s">
        <v>237</v>
      </c>
      <c r="K759" s="37" t="str">
        <f t="shared" si="179"/>
        <v>automotiveparts</v>
      </c>
      <c r="L759" s="37" t="s">
        <v>380</v>
      </c>
      <c r="M759" s="37" t="str">
        <f t="shared" si="180"/>
        <v>east</v>
      </c>
      <c r="N759" s="37" t="s">
        <v>396</v>
      </c>
      <c r="O759" s="41" t="str">
        <f t="shared" si="181"/>
        <v>Yes</v>
      </c>
      <c r="P759" s="41">
        <v>7.3</v>
      </c>
      <c r="Q759" s="41">
        <v>305</v>
      </c>
      <c r="R759" s="42">
        <f t="shared" si="182"/>
        <v>41.7808219178082</v>
      </c>
      <c r="S759" s="37">
        <v>6</v>
      </c>
      <c r="T759" s="37" t="s">
        <v>1509</v>
      </c>
      <c r="U759" s="43" t="str">
        <f t="shared" si="183"/>
        <v>2024-06-30</v>
      </c>
      <c r="V759" s="43">
        <f t="shared" si="184"/>
        <v>45473</v>
      </c>
      <c r="W759" s="44">
        <f t="array" ref="W759">_xlfn.IFS(TRIM(C759)="","",TRIM(V759)="","",TRUE,V759-C759)</f>
        <v>11</v>
      </c>
      <c r="X759" s="37">
        <f t="shared" si="185"/>
        <v>5</v>
      </c>
      <c r="Y759" s="37" t="s">
        <v>143</v>
      </c>
      <c r="Z759" s="37" t="str">
        <f t="shared" si="186"/>
        <v>delayed</v>
      </c>
      <c r="AA759" s="37" t="str">
        <f t="shared" si="187"/>
        <v>Late</v>
      </c>
      <c r="AB759" s="37" t="str">
        <f t="shared" si="190"/>
        <v>1</v>
      </c>
      <c r="AC759" s="37">
        <f t="shared" si="191"/>
        <v>1</v>
      </c>
      <c r="AD759" s="45">
        <f t="shared" si="189"/>
        <v>0.526315789473684</v>
      </c>
      <c r="AE759" s="37">
        <v>2</v>
      </c>
      <c r="AF759" s="37" t="s">
        <v>286</v>
      </c>
      <c r="AG759" s="37" t="str">
        <f t="shared" si="188"/>
        <v>yes</v>
      </c>
      <c r="AH759" s="37" t="str">
        <f t="array" ref="AH759">_xlfn.IFS(LOWER(AG759)="n","no",LOWER(AG759)="y","yes",TRUE,LOWER(AG759))</f>
        <v>yes</v>
      </c>
      <c r="AI759" s="37" t="s">
        <v>4692</v>
      </c>
    </row>
    <row r="760" spans="1:35">
      <c r="A760" s="46" t="s">
        <v>2815</v>
      </c>
      <c r="B760" s="47">
        <v>45332</v>
      </c>
      <c r="C760" s="39">
        <f t="shared" si="176"/>
        <v>45332</v>
      </c>
      <c r="D760" s="48" t="s">
        <v>212</v>
      </c>
      <c r="E760" s="37" t="str" cm="1">
        <f t="array" ref="E760">_xlfn.IFS(D760="delhi","north",D760="mumbai","west",D760="bengaluru","south",D760="chennai","south",D760="kolkata","east",TRUE,"west")</f>
        <v>west</v>
      </c>
      <c r="F760" s="46" t="s">
        <v>223</v>
      </c>
      <c r="G760" s="37" t="str">
        <f t="shared" si="177"/>
        <v>xpressbees</v>
      </c>
      <c r="H760" s="46" t="s">
        <v>176</v>
      </c>
      <c r="I760" s="37" t="str">
        <f t="shared" si="178"/>
        <v>road</v>
      </c>
      <c r="J760" s="46" t="s">
        <v>612</v>
      </c>
      <c r="K760" s="37" t="str">
        <f t="shared" si="179"/>
        <v>grocery&amp;fmcg</v>
      </c>
      <c r="L760" s="46" t="s">
        <v>89</v>
      </c>
      <c r="M760" s="37" t="str">
        <f t="shared" si="180"/>
        <v>west</v>
      </c>
      <c r="N760" s="46" t="s">
        <v>278</v>
      </c>
      <c r="O760" s="41" t="str">
        <f t="shared" si="181"/>
        <v>Yes</v>
      </c>
      <c r="P760" s="49">
        <v>4.2</v>
      </c>
      <c r="Q760" s="49" t="s">
        <v>2816</v>
      </c>
      <c r="R760" s="42">
        <f t="shared" si="182"/>
        <v>22.6190476190476</v>
      </c>
      <c r="S760" s="46">
        <v>6</v>
      </c>
      <c r="T760" s="46" t="s">
        <v>2817</v>
      </c>
      <c r="U760" s="43" t="str">
        <f t="shared" si="183"/>
        <v>2024-02-15</v>
      </c>
      <c r="V760" s="43">
        <f t="shared" si="184"/>
        <v>45337</v>
      </c>
      <c r="W760" s="44">
        <f t="array" ref="W760">_xlfn.IFS(TRIM(C760)="","",TRIM(V760)="","",TRUE,V760-C760)</f>
        <v>5</v>
      </c>
      <c r="X760" s="37">
        <f t="shared" si="185"/>
        <v>-1</v>
      </c>
      <c r="Y760" s="46" t="s">
        <v>117</v>
      </c>
      <c r="Z760" s="37" t="str">
        <f t="shared" si="186"/>
        <v>delivered</v>
      </c>
      <c r="AA760" s="37" t="str">
        <f t="shared" si="187"/>
        <v>On Time</v>
      </c>
      <c r="AB760" s="37" t="str">
        <f t="shared" si="190"/>
        <v>0</v>
      </c>
      <c r="AC760" s="37">
        <f t="shared" si="191"/>
        <v>0</v>
      </c>
      <c r="AD760" s="45">
        <f t="shared" si="189"/>
        <v>0.525748502994012</v>
      </c>
      <c r="AE760" s="46">
        <v>4</v>
      </c>
      <c r="AF760" s="46" t="s">
        <v>118</v>
      </c>
      <c r="AG760" s="37" t="str">
        <f t="shared" si="188"/>
        <v>no</v>
      </c>
      <c r="AH760" s="37" t="str">
        <f t="array" ref="AH760">_xlfn.IFS(LOWER(AG760)="n","no",LOWER(AG760)="y","yes",TRUE,LOWER(AG760))</f>
        <v>no</v>
      </c>
      <c r="AI760" s="46" t="s">
        <v>4692</v>
      </c>
    </row>
    <row r="761" spans="1:35">
      <c r="A761" s="37" t="s">
        <v>2818</v>
      </c>
      <c r="B761" s="38">
        <v>45424</v>
      </c>
      <c r="C761" s="39">
        <f t="shared" si="176"/>
        <v>45424</v>
      </c>
      <c r="D761" s="40" t="s">
        <v>366</v>
      </c>
      <c r="E761" s="37" t="str" cm="1">
        <f t="array" ref="E761">_xlfn.IFS(D761="delhi","north",D761="mumbai","west",D761="bengaluru","south",D761="chennai","south",D761="kolkata","east",TRUE,"west")</f>
        <v>east</v>
      </c>
      <c r="F761" s="37" t="s">
        <v>136</v>
      </c>
      <c r="G761" s="37" t="str">
        <f t="shared" si="177"/>
        <v>bluedart</v>
      </c>
      <c r="H761" s="37" t="s">
        <v>176</v>
      </c>
      <c r="I761" s="37" t="str">
        <f t="shared" si="178"/>
        <v>road</v>
      </c>
      <c r="J761" s="37" t="s">
        <v>205</v>
      </c>
      <c r="K761" s="37" t="str">
        <f t="shared" si="179"/>
        <v>furniture</v>
      </c>
      <c r="L761" s="37" t="s">
        <v>197</v>
      </c>
      <c r="M761" s="37" t="str">
        <f t="shared" si="180"/>
        <v>south</v>
      </c>
      <c r="N761" s="37" t="s">
        <v>54</v>
      </c>
      <c r="O761" s="41" t="str">
        <f t="shared" si="181"/>
        <v>Yes</v>
      </c>
      <c r="P761" s="41">
        <v>53</v>
      </c>
      <c r="Q761" s="41" t="s">
        <v>2820</v>
      </c>
      <c r="R761" s="42">
        <f t="shared" si="182"/>
        <v>16.622641509434</v>
      </c>
      <c r="S761" s="37">
        <v>8</v>
      </c>
      <c r="T761" s="37" t="s">
        <v>379</v>
      </c>
      <c r="U761" s="43" t="str">
        <f t="shared" si="183"/>
        <v>21/05/2024</v>
      </c>
      <c r="V761" s="43">
        <f t="shared" si="184"/>
        <v>45433</v>
      </c>
      <c r="W761" s="44">
        <f t="array" ref="W761">_xlfn.IFS(TRIM(C761)="","",TRIM(V761)="","",TRUE,V761-C761)</f>
        <v>9</v>
      </c>
      <c r="X761" s="37">
        <f t="shared" si="185"/>
        <v>1</v>
      </c>
      <c r="Y761" s="37" t="s">
        <v>172</v>
      </c>
      <c r="Z761" s="37" t="str">
        <f t="shared" si="186"/>
        <v>delayed</v>
      </c>
      <c r="AA761" s="37" t="str">
        <f t="shared" si="187"/>
        <v>Late</v>
      </c>
      <c r="AB761" s="37" t="str">
        <f t="shared" si="190"/>
        <v>1</v>
      </c>
      <c r="AC761" s="37">
        <f t="shared" si="191"/>
        <v>1</v>
      </c>
      <c r="AD761" s="45">
        <f t="shared" si="189"/>
        <v>0.526378896882494</v>
      </c>
      <c r="AE761" s="37">
        <v>1</v>
      </c>
      <c r="AF761" s="37" t="s">
        <v>286</v>
      </c>
      <c r="AG761" s="37" t="str">
        <f t="shared" si="188"/>
        <v>yes</v>
      </c>
      <c r="AH761" s="37" t="str">
        <f t="array" ref="AH761">_xlfn.IFS(LOWER(AG761)="n","no",LOWER(AG761)="y","yes",TRUE,LOWER(AG761))</f>
        <v>yes</v>
      </c>
      <c r="AI761" s="37" t="s">
        <v>4692</v>
      </c>
    </row>
    <row r="762" spans="1:35">
      <c r="A762" s="46" t="s">
        <v>2821</v>
      </c>
      <c r="B762" s="47">
        <v>45350</v>
      </c>
      <c r="C762" s="39">
        <f t="shared" si="176"/>
        <v>45350</v>
      </c>
      <c r="D762" s="48" t="s">
        <v>366</v>
      </c>
      <c r="E762" s="37" t="str" cm="1">
        <f t="array" ref="E762">_xlfn.IFS(D762="delhi","north",D762="mumbai","west",D762="bengaluru","south",D762="chennai","south",D762="kolkata","east",TRUE,"west")</f>
        <v>east</v>
      </c>
      <c r="F762" s="46" t="s">
        <v>204</v>
      </c>
      <c r="G762" s="37" t="str">
        <f t="shared" si="177"/>
        <v>delhivery</v>
      </c>
      <c r="H762" s="46" t="s">
        <v>176</v>
      </c>
      <c r="I762" s="37" t="str">
        <f t="shared" si="178"/>
        <v>road</v>
      </c>
      <c r="J762" s="46" t="s">
        <v>277</v>
      </c>
      <c r="K762" s="37" t="str">
        <f t="shared" si="179"/>
        <v>apparel</v>
      </c>
      <c r="L762" s="46" t="s">
        <v>470</v>
      </c>
      <c r="M762" s="37" t="str">
        <f t="shared" si="180"/>
        <v>east</v>
      </c>
      <c r="N762" s="46" t="s">
        <v>126</v>
      </c>
      <c r="O762" s="41" t="str">
        <f t="shared" si="181"/>
        <v>Yes</v>
      </c>
      <c r="P762" s="49">
        <v>2.2</v>
      </c>
      <c r="Q762" s="49">
        <v>80</v>
      </c>
      <c r="R762" s="42">
        <f t="shared" si="182"/>
        <v>36.3636363636364</v>
      </c>
      <c r="S762" s="46">
        <v>6</v>
      </c>
      <c r="T762" s="46" t="s">
        <v>902</v>
      </c>
      <c r="U762" s="43" t="str">
        <f t="shared" si="183"/>
        <v>2024-03-04</v>
      </c>
      <c r="V762" s="43">
        <f t="shared" si="184"/>
        <v>45355</v>
      </c>
      <c r="W762" s="44">
        <f t="array" ref="W762">_xlfn.IFS(TRIM(C762)="","",TRIM(V762)="","",TRUE,V762-C762)</f>
        <v>5</v>
      </c>
      <c r="X762" s="37">
        <f t="shared" si="185"/>
        <v>-1</v>
      </c>
      <c r="Y762" s="46" t="s">
        <v>130</v>
      </c>
      <c r="Z762" s="37" t="str">
        <f t="shared" si="186"/>
        <v>damaged</v>
      </c>
      <c r="AA762" s="37" t="str">
        <f t="shared" si="187"/>
        <v>On Time</v>
      </c>
      <c r="AB762" s="37" t="str">
        <f t="shared" si="190"/>
        <v>0</v>
      </c>
      <c r="AC762" s="37">
        <f t="shared" si="191"/>
        <v>0</v>
      </c>
      <c r="AD762" s="45">
        <f t="shared" si="189"/>
        <v>0.525810324129652</v>
      </c>
      <c r="AE762" s="46"/>
      <c r="AF762" s="46" t="s">
        <v>118</v>
      </c>
      <c r="AG762" s="37" t="str">
        <f t="shared" si="188"/>
        <v>no</v>
      </c>
      <c r="AH762" s="37" t="str">
        <f t="array" ref="AH762">_xlfn.IFS(LOWER(AG762)="n","no",LOWER(AG762)="y","yes",TRUE,LOWER(AG762))</f>
        <v>no</v>
      </c>
      <c r="AI762" s="46" t="s">
        <v>759</v>
      </c>
    </row>
    <row r="763" spans="1:35">
      <c r="A763" s="37" t="s">
        <v>2823</v>
      </c>
      <c r="B763" s="38">
        <v>45464</v>
      </c>
      <c r="C763" s="39">
        <f t="shared" si="176"/>
        <v>45464</v>
      </c>
      <c r="D763" s="40" t="s">
        <v>109</v>
      </c>
      <c r="E763" s="37" t="str" cm="1">
        <f t="array" ref="E763">_xlfn.IFS(D763="delhi","north",D763="mumbai","west",D763="bengaluru","south",D763="chennai","south",D763="kolkata","east",TRUE,"west")</f>
        <v>west</v>
      </c>
      <c r="F763" s="37" t="s">
        <v>136</v>
      </c>
      <c r="G763" s="37" t="str">
        <f t="shared" si="177"/>
        <v>bluedart</v>
      </c>
      <c r="H763" s="37" t="s">
        <v>224</v>
      </c>
      <c r="I763" s="37" t="str">
        <f t="shared" si="178"/>
        <v>air</v>
      </c>
      <c r="J763" s="37" t="s">
        <v>205</v>
      </c>
      <c r="K763" s="37" t="str">
        <f t="shared" si="179"/>
        <v>furniture</v>
      </c>
      <c r="L763" s="37" t="s">
        <v>470</v>
      </c>
      <c r="M763" s="37" t="str">
        <f t="shared" si="180"/>
        <v>east</v>
      </c>
      <c r="N763" s="37" t="s">
        <v>396</v>
      </c>
      <c r="O763" s="41" t="str">
        <f t="shared" si="181"/>
        <v>Yes</v>
      </c>
      <c r="P763" s="41">
        <v>65.7</v>
      </c>
      <c r="Q763" s="41">
        <v>3113</v>
      </c>
      <c r="R763" s="42">
        <f t="shared" si="182"/>
        <v>47.3820395738204</v>
      </c>
      <c r="S763" s="37">
        <v>4</v>
      </c>
      <c r="T763" s="37" t="s">
        <v>989</v>
      </c>
      <c r="U763" s="43" t="str">
        <f t="shared" si="183"/>
        <v>25/06/2024</v>
      </c>
      <c r="V763" s="43">
        <f t="shared" si="184"/>
        <v>45468</v>
      </c>
      <c r="W763" s="44">
        <f t="array" ref="W763">_xlfn.IFS(TRIM(C763)="","",TRIM(V763)="","",TRUE,V763-C763)</f>
        <v>4</v>
      </c>
      <c r="X763" s="37">
        <f t="shared" si="185"/>
        <v>0</v>
      </c>
      <c r="Y763" s="37" t="s">
        <v>117</v>
      </c>
      <c r="Z763" s="37" t="str">
        <f t="shared" si="186"/>
        <v>delivered</v>
      </c>
      <c r="AA763" s="37" t="str">
        <f t="shared" si="187"/>
        <v>On Time</v>
      </c>
      <c r="AB763" s="37" t="str">
        <f t="shared" si="190"/>
        <v>0</v>
      </c>
      <c r="AC763" s="37">
        <f t="shared" si="191"/>
        <v>0</v>
      </c>
      <c r="AD763" s="45">
        <f t="shared" si="189"/>
        <v>0.526442307692308</v>
      </c>
      <c r="AE763" s="37">
        <v>4</v>
      </c>
      <c r="AF763" s="37" t="s">
        <v>131</v>
      </c>
      <c r="AG763" s="37" t="str">
        <f t="shared" si="188"/>
        <v>n</v>
      </c>
      <c r="AH763" s="37" t="str">
        <f t="array" ref="AH763">_xlfn.IFS(LOWER(AG763)="n","no",LOWER(AG763)="y","yes",TRUE,LOWER(AG763))</f>
        <v>no</v>
      </c>
      <c r="AI763" s="37" t="s">
        <v>4692</v>
      </c>
    </row>
    <row r="764" spans="1:35">
      <c r="A764" s="46" t="s">
        <v>2826</v>
      </c>
      <c r="B764" s="47">
        <v>45302</v>
      </c>
      <c r="C764" s="39">
        <f t="shared" si="176"/>
        <v>45302</v>
      </c>
      <c r="D764" s="48" t="s">
        <v>424</v>
      </c>
      <c r="E764" s="37" t="str" cm="1">
        <f t="array" ref="E764">_xlfn.IFS(D764="delhi","north",D764="mumbai","west",D764="bengaluru","south",D764="chennai","south",D764="kolkata","east",TRUE,"west")</f>
        <v>south</v>
      </c>
      <c r="F764" s="46" t="s">
        <v>270</v>
      </c>
      <c r="G764" s="37" t="str">
        <f t="shared" si="177"/>
        <v>ecomexpress</v>
      </c>
      <c r="H764" s="46" t="s">
        <v>157</v>
      </c>
      <c r="I764" s="37" t="str">
        <f t="shared" si="178"/>
        <v>surface</v>
      </c>
      <c r="J764" s="46" t="s">
        <v>301</v>
      </c>
      <c r="K764" s="37" t="str">
        <f t="shared" si="179"/>
        <v>furniture</v>
      </c>
      <c r="L764" s="46" t="s">
        <v>264</v>
      </c>
      <c r="M764" s="37" t="str">
        <f t="shared" si="180"/>
        <v>west</v>
      </c>
      <c r="N764" s="46" t="s">
        <v>206</v>
      </c>
      <c r="O764" s="41" t="str">
        <f t="shared" si="181"/>
        <v>Yes</v>
      </c>
      <c r="P764" s="49">
        <v>65.2</v>
      </c>
      <c r="Q764" s="49" t="s">
        <v>2828</v>
      </c>
      <c r="R764" s="42">
        <f t="shared" si="182"/>
        <v>24.601226993865</v>
      </c>
      <c r="S764" s="46">
        <v>6</v>
      </c>
      <c r="T764" s="46" t="s">
        <v>1017</v>
      </c>
      <c r="U764" s="43" t="str">
        <f t="shared" si="183"/>
        <v>17-jan-2024</v>
      </c>
      <c r="V764" s="43">
        <f t="shared" si="184"/>
        <v>45308</v>
      </c>
      <c r="W764" s="44">
        <f t="array" ref="W764">_xlfn.IFS(TRIM(C764)="","",TRIM(V764)="","",TRUE,V764-C764)</f>
        <v>6</v>
      </c>
      <c r="X764" s="37">
        <f t="shared" si="185"/>
        <v>0</v>
      </c>
      <c r="Y764" s="46" t="s">
        <v>163</v>
      </c>
      <c r="Z764" s="37" t="str">
        <f t="shared" si="186"/>
        <v>delivered</v>
      </c>
      <c r="AA764" s="37" t="str">
        <f t="shared" si="187"/>
        <v>On Time</v>
      </c>
      <c r="AB764" s="37" t="str">
        <f t="shared" si="190"/>
        <v>0</v>
      </c>
      <c r="AC764" s="37">
        <f t="shared" si="191"/>
        <v>0</v>
      </c>
      <c r="AD764" s="45">
        <f t="shared" si="189"/>
        <v>0.527075812274368</v>
      </c>
      <c r="AE764" s="46">
        <v>3</v>
      </c>
      <c r="AF764" s="46" t="s">
        <v>286</v>
      </c>
      <c r="AG764" s="37" t="str">
        <f t="shared" si="188"/>
        <v>yes</v>
      </c>
      <c r="AH764" s="37" t="str">
        <f t="array" ref="AH764">_xlfn.IFS(LOWER(AG764)="n","no",LOWER(AG764)="y","yes",TRUE,LOWER(AG764))</f>
        <v>yes</v>
      </c>
      <c r="AI764" s="46" t="s">
        <v>4692</v>
      </c>
    </row>
    <row r="765" spans="1:35">
      <c r="A765" s="37" t="s">
        <v>2829</v>
      </c>
      <c r="B765" s="38">
        <v>45389</v>
      </c>
      <c r="C765" s="39">
        <f t="shared" si="176"/>
        <v>45389</v>
      </c>
      <c r="D765" s="40" t="s">
        <v>4694</v>
      </c>
      <c r="E765" s="37" t="str" cm="1">
        <f t="array" ref="E765">_xlfn.IFS(D765="delhi","north",D765="mumbai","west",D765="bengaluru","south",D765="chennai","south",D765="kolkata","east",TRUE,"west")</f>
        <v>west</v>
      </c>
      <c r="F765" s="37" t="s">
        <v>175</v>
      </c>
      <c r="G765" s="37" t="str">
        <f t="shared" si="177"/>
        <v>ecomexpress</v>
      </c>
      <c r="H765" s="37" t="s">
        <v>147</v>
      </c>
      <c r="I765" s="37" t="str">
        <f t="shared" si="178"/>
        <v>road</v>
      </c>
      <c r="J765" s="37" t="s">
        <v>271</v>
      </c>
      <c r="K765" s="37" t="str">
        <f t="shared" si="179"/>
        <v>electronics</v>
      </c>
      <c r="L765" s="37" t="s">
        <v>264</v>
      </c>
      <c r="M765" s="37" t="str">
        <f t="shared" si="180"/>
        <v>west</v>
      </c>
      <c r="N765" s="37" t="s">
        <v>187</v>
      </c>
      <c r="O765" s="41" t="str">
        <f t="shared" si="181"/>
        <v>Yes</v>
      </c>
      <c r="P765" s="41">
        <v>3.9</v>
      </c>
      <c r="Q765" s="41">
        <v>264</v>
      </c>
      <c r="R765" s="42">
        <f t="shared" si="182"/>
        <v>67.6923076923077</v>
      </c>
      <c r="S765" s="37">
        <v>8</v>
      </c>
      <c r="T765" s="37" t="s">
        <v>2830</v>
      </c>
      <c r="U765" s="43" t="str">
        <f t="shared" si="183"/>
        <v>14/04/2024</v>
      </c>
      <c r="V765" s="43">
        <f t="shared" si="184"/>
        <v>45396</v>
      </c>
      <c r="W765" s="44">
        <f t="array" ref="W765">_xlfn.IFS(TRIM(C765)="","",TRIM(V765)="","",TRUE,V765-C765)</f>
        <v>7</v>
      </c>
      <c r="X765" s="37">
        <f t="shared" si="185"/>
        <v>-1</v>
      </c>
      <c r="Y765" s="37" t="s">
        <v>105</v>
      </c>
      <c r="Z765" s="37" t="str">
        <f t="shared" si="186"/>
        <v>delivered</v>
      </c>
      <c r="AA765" s="37" t="str">
        <f t="shared" si="187"/>
        <v>On Time</v>
      </c>
      <c r="AB765" s="37" t="str">
        <f t="shared" si="190"/>
        <v>0</v>
      </c>
      <c r="AC765" s="37">
        <f t="shared" si="191"/>
        <v>0</v>
      </c>
      <c r="AD765" s="45">
        <f t="shared" si="189"/>
        <v>0.527710843373494</v>
      </c>
      <c r="AE765" s="37">
        <v>4</v>
      </c>
      <c r="AF765" s="37" t="s">
        <v>286</v>
      </c>
      <c r="AG765" s="37" t="str">
        <f t="shared" si="188"/>
        <v>yes</v>
      </c>
      <c r="AH765" s="37" t="str">
        <f t="array" ref="AH765">_xlfn.IFS(LOWER(AG765)="n","no",LOWER(AG765)="y","yes",TRUE,LOWER(AG765))</f>
        <v>yes</v>
      </c>
      <c r="AI765" s="37" t="s">
        <v>4692</v>
      </c>
    </row>
    <row r="766" spans="1:35">
      <c r="A766" s="46" t="s">
        <v>2831</v>
      </c>
      <c r="B766" s="47" t="s">
        <v>4739</v>
      </c>
      <c r="C766" s="39">
        <f t="shared" si="176"/>
        <v>45318</v>
      </c>
      <c r="D766" s="48" t="s">
        <v>243</v>
      </c>
      <c r="E766" s="37" t="str" cm="1">
        <f t="array" ref="E766">_xlfn.IFS(D766="delhi","north",D766="mumbai","west",D766="bengaluru","south",D766="chennai","south",D766="kolkata","east",TRUE,"west")</f>
        <v>west</v>
      </c>
      <c r="F766" s="46" t="s">
        <v>37</v>
      </c>
      <c r="G766" s="37" t="str">
        <f t="shared" si="177"/>
        <v>bluedart</v>
      </c>
      <c r="H766" s="46" t="s">
        <v>244</v>
      </c>
      <c r="I766" s="37" t="str">
        <f t="shared" si="178"/>
        <v>air</v>
      </c>
      <c r="J766" s="46" t="s">
        <v>196</v>
      </c>
      <c r="K766" s="37" t="str">
        <f t="shared" si="179"/>
        <v>apparel</v>
      </c>
      <c r="L766" s="46" t="s">
        <v>302</v>
      </c>
      <c r="M766" s="37" t="str">
        <f t="shared" si="180"/>
        <v>east</v>
      </c>
      <c r="N766" s="46" t="s">
        <v>91</v>
      </c>
      <c r="O766" s="41" t="str">
        <f t="shared" si="181"/>
        <v>Yes</v>
      </c>
      <c r="P766" s="49">
        <v>6.1</v>
      </c>
      <c r="Q766" s="49">
        <v>461</v>
      </c>
      <c r="R766" s="42">
        <f t="shared" si="182"/>
        <v>75.5737704918033</v>
      </c>
      <c r="S766" s="46">
        <v>4</v>
      </c>
      <c r="T766" s="46" t="s">
        <v>1642</v>
      </c>
      <c r="U766" s="43" t="str">
        <f t="shared" si="183"/>
        <v>2024-01-31</v>
      </c>
      <c r="V766" s="43">
        <f t="shared" si="184"/>
        <v>45322</v>
      </c>
      <c r="W766" s="44">
        <f t="array" ref="W766">_xlfn.IFS(TRIM(C766)="","",TRIM(V766)="","",TRUE,V766-C766)</f>
        <v>4</v>
      </c>
      <c r="X766" s="37">
        <f t="shared" si="185"/>
        <v>0</v>
      </c>
      <c r="Y766" s="46" t="s">
        <v>163</v>
      </c>
      <c r="Z766" s="37" t="str">
        <f t="shared" si="186"/>
        <v>delivered</v>
      </c>
      <c r="AA766" s="37" t="str">
        <f t="shared" si="187"/>
        <v>On Time</v>
      </c>
      <c r="AB766" s="37" t="str">
        <f t="shared" si="190"/>
        <v>0</v>
      </c>
      <c r="AC766" s="37">
        <f t="shared" si="191"/>
        <v>0</v>
      </c>
      <c r="AD766" s="45">
        <f t="shared" si="189"/>
        <v>0.528347406513872</v>
      </c>
      <c r="AE766" s="46">
        <v>4</v>
      </c>
      <c r="AF766" s="46" t="s">
        <v>181</v>
      </c>
      <c r="AG766" s="37" t="str">
        <f t="shared" si="188"/>
        <v>y</v>
      </c>
      <c r="AH766" s="37" t="str">
        <f t="array" ref="AH766">_xlfn.IFS(LOWER(AG766)="n","no",LOWER(AG766)="y","yes",TRUE,LOWER(AG766))</f>
        <v>yes</v>
      </c>
      <c r="AI766" s="46" t="s">
        <v>4692</v>
      </c>
    </row>
    <row r="767" spans="1:35">
      <c r="A767" s="37" t="s">
        <v>2834</v>
      </c>
      <c r="B767" s="38">
        <v>45434</v>
      </c>
      <c r="C767" s="39">
        <f t="shared" si="176"/>
        <v>45434</v>
      </c>
      <c r="D767" s="40" t="s">
        <v>633</v>
      </c>
      <c r="E767" s="37" t="str" cm="1">
        <f t="array" ref="E767">_xlfn.IFS(D767="delhi","north",D767="mumbai","west",D767="bengaluru","south",D767="chennai","south",D767="kolkata","east",TRUE,"west")</f>
        <v>south</v>
      </c>
      <c r="F767" s="37" t="s">
        <v>156</v>
      </c>
      <c r="G767" s="37" t="str">
        <f t="shared" si="177"/>
        <v>xpressbees</v>
      </c>
      <c r="H767" s="37" t="s">
        <v>244</v>
      </c>
      <c r="I767" s="37" t="str">
        <f t="shared" si="178"/>
        <v>air</v>
      </c>
      <c r="J767" s="37" t="s">
        <v>111</v>
      </c>
      <c r="K767" s="37" t="str">
        <f t="shared" si="179"/>
        <v>grocery&amp;fmcg</v>
      </c>
      <c r="L767" s="37" t="s">
        <v>92</v>
      </c>
      <c r="M767" s="37" t="str">
        <f t="shared" si="180"/>
        <v>east</v>
      </c>
      <c r="N767" s="37" t="s">
        <v>294</v>
      </c>
      <c r="O767" s="41" t="str">
        <f t="shared" si="181"/>
        <v>Yes</v>
      </c>
      <c r="P767" s="41">
        <v>15.1</v>
      </c>
      <c r="Q767" s="41">
        <v>808</v>
      </c>
      <c r="R767" s="42">
        <f t="shared" si="182"/>
        <v>53.5099337748344</v>
      </c>
      <c r="S767" s="37">
        <v>4</v>
      </c>
      <c r="T767" s="37" t="s">
        <v>796</v>
      </c>
      <c r="U767" s="43" t="str">
        <f t="shared" si="183"/>
        <v>2024-05-26</v>
      </c>
      <c r="V767" s="43">
        <f t="shared" si="184"/>
        <v>45438</v>
      </c>
      <c r="W767" s="44">
        <f t="array" ref="W767">_xlfn.IFS(TRIM(C767)="","",TRIM(V767)="","",TRUE,V767-C767)</f>
        <v>4</v>
      </c>
      <c r="X767" s="37">
        <f t="shared" si="185"/>
        <v>0</v>
      </c>
      <c r="Y767" s="37" t="s">
        <v>105</v>
      </c>
      <c r="Z767" s="37" t="str">
        <f t="shared" si="186"/>
        <v>delivered</v>
      </c>
      <c r="AA767" s="37" t="str">
        <f t="shared" si="187"/>
        <v>On Time</v>
      </c>
      <c r="AB767" s="37" t="str">
        <f t="shared" si="190"/>
        <v>0</v>
      </c>
      <c r="AC767" s="37">
        <f t="shared" si="191"/>
        <v>0</v>
      </c>
      <c r="AD767" s="45">
        <f t="shared" si="189"/>
        <v>0.528985507246377</v>
      </c>
      <c r="AE767" s="37">
        <v>4</v>
      </c>
      <c r="AF767" s="37" t="s">
        <v>106</v>
      </c>
      <c r="AG767" s="37" t="str">
        <f t="shared" si="188"/>
        <v>yes</v>
      </c>
      <c r="AH767" s="37" t="str">
        <f t="array" ref="AH767">_xlfn.IFS(LOWER(AG767)="n","no",LOWER(AG767)="y","yes",TRUE,LOWER(AG767))</f>
        <v>yes</v>
      </c>
      <c r="AI767" s="37" t="s">
        <v>4692</v>
      </c>
    </row>
    <row r="768" spans="1:35">
      <c r="A768" s="46" t="s">
        <v>2837</v>
      </c>
      <c r="B768" s="47" t="s">
        <v>4812</v>
      </c>
      <c r="C768" s="39">
        <f t="shared" si="176"/>
        <v>45338</v>
      </c>
      <c r="D768" s="48" t="s">
        <v>243</v>
      </c>
      <c r="E768" s="37" t="str" cm="1">
        <f t="array" ref="E768">_xlfn.IFS(D768="delhi","north",D768="mumbai","west",D768="bengaluru","south",D768="chennai","south",D768="kolkata","east",TRUE,"west")</f>
        <v>west</v>
      </c>
      <c r="F768" s="46" t="s">
        <v>312</v>
      </c>
      <c r="G768" s="37" t="str">
        <f t="shared" si="177"/>
        <v>bluedart</v>
      </c>
      <c r="H768" s="46" t="s">
        <v>440</v>
      </c>
      <c r="I768" s="37" t="str">
        <f t="shared" si="178"/>
        <v>road</v>
      </c>
      <c r="J768" s="46" t="s">
        <v>167</v>
      </c>
      <c r="K768" s="37" t="str">
        <f t="shared" si="179"/>
        <v>pharma</v>
      </c>
      <c r="L768" s="46" t="s">
        <v>401</v>
      </c>
      <c r="M768" s="37" t="str">
        <f t="shared" si="180"/>
        <v>south</v>
      </c>
      <c r="N768" s="46" t="s">
        <v>54</v>
      </c>
      <c r="O768" s="41" t="str">
        <f t="shared" si="181"/>
        <v>Yes</v>
      </c>
      <c r="P768" s="49">
        <v>2.7</v>
      </c>
      <c r="Q768" s="49">
        <v>80</v>
      </c>
      <c r="R768" s="42">
        <f t="shared" si="182"/>
        <v>29.6296296296296</v>
      </c>
      <c r="S768" s="46">
        <v>6</v>
      </c>
      <c r="T768" s="46" t="s">
        <v>947</v>
      </c>
      <c r="U768" s="43" t="str">
        <f t="shared" si="183"/>
        <v>2024-02-23</v>
      </c>
      <c r="V768" s="43">
        <f t="shared" si="184"/>
        <v>45345</v>
      </c>
      <c r="W768" s="44">
        <f t="array" ref="W768">_xlfn.IFS(TRIM(C768)="","",TRIM(V768)="","",TRUE,V768-C768)</f>
        <v>7</v>
      </c>
      <c r="X768" s="37">
        <f t="shared" si="185"/>
        <v>1</v>
      </c>
      <c r="Y768" s="46" t="s">
        <v>72</v>
      </c>
      <c r="Z768" s="37" t="str">
        <f t="shared" si="186"/>
        <v>delayed</v>
      </c>
      <c r="AA768" s="37" t="str">
        <f t="shared" si="187"/>
        <v>Late</v>
      </c>
      <c r="AB768" s="37" t="str">
        <f t="shared" si="190"/>
        <v>1</v>
      </c>
      <c r="AC768" s="37">
        <f t="shared" si="191"/>
        <v>1</v>
      </c>
      <c r="AD768" s="45">
        <f t="shared" si="189"/>
        <v>0.52962515114873</v>
      </c>
      <c r="AE768" s="46">
        <v>1</v>
      </c>
      <c r="AF768" s="46" t="s">
        <v>152</v>
      </c>
      <c r="AG768" s="37" t="str">
        <f t="shared" si="188"/>
        <v>no</v>
      </c>
      <c r="AH768" s="37" t="str">
        <f t="array" ref="AH768">_xlfn.IFS(LOWER(AG768)="n","no",LOWER(AG768)="y","yes",TRUE,LOWER(AG768))</f>
        <v>no</v>
      </c>
      <c r="AI768" s="46" t="s">
        <v>4692</v>
      </c>
    </row>
    <row r="769" spans="1:35">
      <c r="A769" s="37" t="s">
        <v>2838</v>
      </c>
      <c r="B769" s="38" t="s">
        <v>4768</v>
      </c>
      <c r="C769" s="39">
        <f t="shared" si="176"/>
        <v>45294</v>
      </c>
      <c r="D769" s="40" t="s">
        <v>424</v>
      </c>
      <c r="E769" s="37" t="str" cm="1">
        <f t="array" ref="E769">_xlfn.IFS(D769="delhi","north",D769="mumbai","west",D769="bengaluru","south",D769="chennai","south",D769="kolkata","east",TRUE,"west")</f>
        <v>south</v>
      </c>
      <c r="F769" s="37" t="s">
        <v>136</v>
      </c>
      <c r="G769" s="37" t="str">
        <f t="shared" si="177"/>
        <v>bluedart</v>
      </c>
      <c r="H769" s="37" t="s">
        <v>147</v>
      </c>
      <c r="I769" s="37" t="str">
        <f t="shared" si="178"/>
        <v>road</v>
      </c>
      <c r="J769" s="37" t="s">
        <v>353</v>
      </c>
      <c r="K769" s="37" t="str">
        <f t="shared" si="179"/>
        <v>automotiveparts</v>
      </c>
      <c r="L769" s="37" t="s">
        <v>125</v>
      </c>
      <c r="M769" s="37" t="str">
        <f t="shared" si="180"/>
        <v>east</v>
      </c>
      <c r="N769" s="37" t="s">
        <v>294</v>
      </c>
      <c r="O769" s="41" t="str">
        <f t="shared" si="181"/>
        <v>Yes</v>
      </c>
      <c r="P769" s="41" t="s">
        <v>2603</v>
      </c>
      <c r="Q769" s="41" t="s">
        <v>2839</v>
      </c>
      <c r="R769" s="42">
        <f t="shared" si="182"/>
        <v>38.9156626506024</v>
      </c>
      <c r="S769" s="37">
        <v>8</v>
      </c>
      <c r="T769" s="37" t="s">
        <v>2840</v>
      </c>
      <c r="U769" s="43" t="str">
        <f t="shared" si="183"/>
        <v>12-jan-2024</v>
      </c>
      <c r="V769" s="43">
        <f t="shared" si="184"/>
        <v>45303</v>
      </c>
      <c r="W769" s="44">
        <f t="array" ref="W769">_xlfn.IFS(TRIM(C769)="","",TRIM(V769)="","",TRUE,V769-C769)</f>
        <v>9</v>
      </c>
      <c r="X769" s="37">
        <f t="shared" si="185"/>
        <v>1</v>
      </c>
      <c r="Y769" s="37" t="s">
        <v>130</v>
      </c>
      <c r="Z769" s="37" t="str">
        <f t="shared" si="186"/>
        <v>damaged</v>
      </c>
      <c r="AA769" s="37" t="str">
        <f t="shared" si="187"/>
        <v>Late</v>
      </c>
      <c r="AB769" s="37" t="str">
        <f t="shared" si="190"/>
        <v>1</v>
      </c>
      <c r="AC769" s="37">
        <f t="shared" si="191"/>
        <v>1</v>
      </c>
      <c r="AD769" s="45">
        <f t="shared" si="189"/>
        <v>0.529055690072639</v>
      </c>
      <c r="AE769" s="37"/>
      <c r="AF769" s="37" t="s">
        <v>118</v>
      </c>
      <c r="AG769" s="37" t="str">
        <f t="shared" si="188"/>
        <v>no</v>
      </c>
      <c r="AH769" s="37" t="str">
        <f t="array" ref="AH769">_xlfn.IFS(LOWER(AG769)="n","no",LOWER(AG769)="y","yes",TRUE,LOWER(AG769))</f>
        <v>no</v>
      </c>
      <c r="AI769" s="37" t="s">
        <v>759</v>
      </c>
    </row>
    <row r="770" spans="1:35">
      <c r="A770" s="46" t="s">
        <v>2841</v>
      </c>
      <c r="B770" s="47" t="s">
        <v>4824</v>
      </c>
      <c r="C770" s="39">
        <f t="shared" ref="C770:C833" si="192">IF(ISNUMBER(B770),B770,DATE(RIGHT(TRIM(B770),4),MID(TRIM(B770),4,2),LEFT(TRIM(B770),2)))</f>
        <v>45307</v>
      </c>
      <c r="D770" s="48" t="s">
        <v>4694</v>
      </c>
      <c r="E770" s="37" t="str" cm="1">
        <f t="array" ref="E770">_xlfn.IFS(D770="delhi","north",D770="mumbai","west",D770="bengaluru","south",D770="chennai","south",D770="kolkata","east",TRUE,"west")</f>
        <v>west</v>
      </c>
      <c r="F770" s="46" t="s">
        <v>223</v>
      </c>
      <c r="G770" s="37" t="str">
        <f t="shared" ref="G770:G833" si="193">SUBSTITUTE(LOWER(F770)," ","")</f>
        <v>xpressbees</v>
      </c>
      <c r="H770" s="46" t="s">
        <v>325</v>
      </c>
      <c r="I770" s="37" t="str">
        <f t="shared" ref="I770:I833" si="194">SUBSTITUTE(LOWER(H770)," ","")</f>
        <v>air</v>
      </c>
      <c r="J770" s="46" t="s">
        <v>47</v>
      </c>
      <c r="K770" s="37" t="str">
        <f t="shared" ref="K770:K833" si="195">SUBSTITUTE(LOWER(J770)," ","")</f>
        <v>electronics</v>
      </c>
      <c r="L770" s="46" t="s">
        <v>380</v>
      </c>
      <c r="M770" s="37" t="str">
        <f t="shared" ref="M770:M833" si="196">SUBSTITUTE(LOWER(L770)," ","")</f>
        <v>east</v>
      </c>
      <c r="N770" s="46" t="s">
        <v>126</v>
      </c>
      <c r="O770" s="41" t="str">
        <f t="shared" ref="O770:O833" si="197">IF(OR(D770="",M770=""),"",IF(D770=M770,"No","Yes"))</f>
        <v>Yes</v>
      </c>
      <c r="P770" s="49">
        <v>12.2</v>
      </c>
      <c r="Q770" s="49" t="s">
        <v>2844</v>
      </c>
      <c r="R770" s="42">
        <f t="shared" ref="R770:R833" si="198">IF(OR(Q770="",P770="",P770=0),"",Q770/P770)</f>
        <v>61.8852459016394</v>
      </c>
      <c r="S770" s="46">
        <v>4</v>
      </c>
      <c r="T770" s="46" t="s">
        <v>506</v>
      </c>
      <c r="U770" s="43" t="str">
        <f t="shared" ref="U770:U833" si="199">SUBSTITUTE(LOWER(T770)," ","")</f>
        <v>19-jan-2024</v>
      </c>
      <c r="V770" s="43">
        <f t="shared" ref="V770:V833" si="200">DATEVALUE(TEXT(U770,"yyyy-mm-dd"))</f>
        <v>45310</v>
      </c>
      <c r="W770" s="44">
        <f t="array" ref="W770">_xlfn.IFS(TRIM(C770)="","",TRIM(V770)="","",TRUE,V770-C770)</f>
        <v>3</v>
      </c>
      <c r="X770" s="37">
        <f t="shared" ref="X770:X833" si="201">IF(OR(W770="",S770=""),"",W770-S770)</f>
        <v>-1</v>
      </c>
      <c r="Y770" s="46" t="s">
        <v>219</v>
      </c>
      <c r="Z770" s="37" t="str">
        <f t="shared" ref="Z770:Z833" si="202">SUBSTITUTE(LOWER(Y770)," ","")</f>
        <v>delivered</v>
      </c>
      <c r="AA770" s="37" t="str">
        <f t="shared" ref="AA770:AA833" si="203">IF(Z770="In-Transit","N/A",IF(X770="","",IF(X770&gt;0,"Late","On Time")))</f>
        <v>On Time</v>
      </c>
      <c r="AB770" s="37" t="str">
        <f t="shared" si="190"/>
        <v>0</v>
      </c>
      <c r="AC770" s="37">
        <f t="shared" si="191"/>
        <v>0</v>
      </c>
      <c r="AD770" s="45">
        <f t="shared" si="189"/>
        <v>0.528484848484848</v>
      </c>
      <c r="AE770" s="46">
        <v>5</v>
      </c>
      <c r="AF770" s="46" t="s">
        <v>152</v>
      </c>
      <c r="AG770" s="37" t="str">
        <f t="shared" ref="AG770:AG833" si="204">SUBSTITUTE(LOWER(AF770)," ","")</f>
        <v>no</v>
      </c>
      <c r="AH770" s="37" t="str">
        <f t="array" ref="AH770">_xlfn.IFS(LOWER(AG770)="n","no",LOWER(AG770)="y","yes",TRUE,LOWER(AG770))</f>
        <v>no</v>
      </c>
      <c r="AI770" s="46" t="s">
        <v>4692</v>
      </c>
    </row>
    <row r="771" spans="1:35">
      <c r="A771" s="37" t="s">
        <v>2845</v>
      </c>
      <c r="B771" s="38">
        <v>45407</v>
      </c>
      <c r="C771" s="39">
        <f t="shared" si="192"/>
        <v>45407</v>
      </c>
      <c r="D771" s="40" t="s">
        <v>4704</v>
      </c>
      <c r="E771" s="37" t="str" cm="1">
        <f t="array" ref="E771">_xlfn.IFS(D771="delhi","north",D771="mumbai","west",D771="bengaluru","south",D771="chennai","south",D771="kolkata","east",TRUE,"west")</f>
        <v>west</v>
      </c>
      <c r="F771" s="37" t="s">
        <v>175</v>
      </c>
      <c r="G771" s="37" t="str">
        <f t="shared" si="193"/>
        <v>ecomexpress</v>
      </c>
      <c r="H771" s="37" t="s">
        <v>345</v>
      </c>
      <c r="I771" s="37" t="str">
        <f t="shared" si="194"/>
        <v>surface</v>
      </c>
      <c r="J771" s="37" t="s">
        <v>664</v>
      </c>
      <c r="K771" s="37" t="str">
        <f t="shared" si="195"/>
        <v>grocery&amp;fmcg</v>
      </c>
      <c r="L771" s="37" t="s">
        <v>302</v>
      </c>
      <c r="M771" s="37" t="str">
        <f t="shared" si="196"/>
        <v>east</v>
      </c>
      <c r="N771" s="37" t="s">
        <v>396</v>
      </c>
      <c r="O771" s="41" t="str">
        <f t="shared" si="197"/>
        <v>Yes</v>
      </c>
      <c r="P771" s="41">
        <v>11.9</v>
      </c>
      <c r="Q771" s="41" t="s">
        <v>2846</v>
      </c>
      <c r="R771" s="42">
        <f t="shared" si="198"/>
        <v>25.546218487395</v>
      </c>
      <c r="S771" s="37">
        <v>4</v>
      </c>
      <c r="T771" s="37" t="s">
        <v>1142</v>
      </c>
      <c r="U771" s="43" t="str">
        <f t="shared" si="199"/>
        <v>28/04/2024</v>
      </c>
      <c r="V771" s="43">
        <f t="shared" si="200"/>
        <v>45410</v>
      </c>
      <c r="W771" s="44">
        <f t="array" ref="W771">_xlfn.IFS(TRIM(C771)="","",TRIM(V771)="","",TRUE,V771-C771)</f>
        <v>3</v>
      </c>
      <c r="X771" s="37">
        <f t="shared" si="201"/>
        <v>-1</v>
      </c>
      <c r="Y771" s="37" t="s">
        <v>163</v>
      </c>
      <c r="Z771" s="37" t="str">
        <f t="shared" si="202"/>
        <v>delivered</v>
      </c>
      <c r="AA771" s="37" t="str">
        <f t="shared" si="203"/>
        <v>On Time</v>
      </c>
      <c r="AB771" s="37" t="str">
        <f t="shared" si="190"/>
        <v>0</v>
      </c>
      <c r="AC771" s="37">
        <f t="shared" si="191"/>
        <v>0</v>
      </c>
      <c r="AD771" s="45">
        <f t="shared" ref="AD771:AD834" si="205">COUNTIF(AC771:AC2370,1)/COUNT(AC771:AC2370)</f>
        <v>0.529126213592233</v>
      </c>
      <c r="AE771" s="37">
        <v>3</v>
      </c>
      <c r="AF771" s="37" t="s">
        <v>191</v>
      </c>
      <c r="AG771" s="37" t="str">
        <f t="shared" si="204"/>
        <v>no</v>
      </c>
      <c r="AH771" s="37" t="str">
        <f t="array" ref="AH771">_xlfn.IFS(LOWER(AG771)="n","no",LOWER(AG771)="y","yes",TRUE,LOWER(AG771))</f>
        <v>no</v>
      </c>
      <c r="AI771" s="37" t="s">
        <v>4692</v>
      </c>
    </row>
    <row r="772" spans="1:35">
      <c r="A772" s="46" t="s">
        <v>2847</v>
      </c>
      <c r="B772" s="47" t="s">
        <v>4825</v>
      </c>
      <c r="C772" s="39">
        <f t="shared" si="192"/>
        <v>45413</v>
      </c>
      <c r="D772" s="48" t="s">
        <v>366</v>
      </c>
      <c r="E772" s="37" t="str" cm="1">
        <f t="array" ref="E772">_xlfn.IFS(D772="delhi","north",D772="mumbai","west",D772="bengaluru","south",D772="chennai","south",D772="kolkata","east",TRUE,"west")</f>
        <v>east</v>
      </c>
      <c r="F772" s="46" t="s">
        <v>352</v>
      </c>
      <c r="G772" s="37" t="str">
        <f t="shared" si="193"/>
        <v>delhivery</v>
      </c>
      <c r="H772" s="46" t="s">
        <v>195</v>
      </c>
      <c r="I772" s="37" t="str">
        <f t="shared" si="194"/>
        <v>road</v>
      </c>
      <c r="J772" s="46" t="s">
        <v>430</v>
      </c>
      <c r="K772" s="37" t="str">
        <f t="shared" si="195"/>
        <v>pharma</v>
      </c>
      <c r="L772" s="46" t="s">
        <v>51</v>
      </c>
      <c r="M772" s="37" t="str">
        <f t="shared" si="196"/>
        <v>south</v>
      </c>
      <c r="N772" s="46" t="s">
        <v>54</v>
      </c>
      <c r="O772" s="41" t="str">
        <f t="shared" si="197"/>
        <v>Yes</v>
      </c>
      <c r="P772" s="49">
        <v>1.6</v>
      </c>
      <c r="Q772" s="49">
        <v>185</v>
      </c>
      <c r="R772" s="42">
        <f t="shared" si="198"/>
        <v>115.625</v>
      </c>
      <c r="S772" s="46">
        <v>8</v>
      </c>
      <c r="T772" s="46" t="s">
        <v>406</v>
      </c>
      <c r="U772" s="43" t="str">
        <f t="shared" si="199"/>
        <v>2024-05-10</v>
      </c>
      <c r="V772" s="43">
        <f t="shared" si="200"/>
        <v>45422</v>
      </c>
      <c r="W772" s="44">
        <f t="array" ref="W772">_xlfn.IFS(TRIM(C772)="","",TRIM(V772)="","",TRUE,V772-C772)</f>
        <v>9</v>
      </c>
      <c r="X772" s="37">
        <f t="shared" si="201"/>
        <v>1</v>
      </c>
      <c r="Y772" s="46" t="s">
        <v>143</v>
      </c>
      <c r="Z772" s="37" t="str">
        <f t="shared" si="202"/>
        <v>delayed</v>
      </c>
      <c r="AA772" s="37" t="str">
        <f t="shared" si="203"/>
        <v>Late</v>
      </c>
      <c r="AB772" s="37" t="str">
        <f t="shared" si="190"/>
        <v>1</v>
      </c>
      <c r="AC772" s="37">
        <f t="shared" si="191"/>
        <v>1</v>
      </c>
      <c r="AD772" s="45">
        <f t="shared" si="205"/>
        <v>0.529769137302552</v>
      </c>
      <c r="AE772" s="46">
        <v>3</v>
      </c>
      <c r="AF772" s="46" t="s">
        <v>152</v>
      </c>
      <c r="AG772" s="37" t="str">
        <f t="shared" si="204"/>
        <v>no</v>
      </c>
      <c r="AH772" s="37" t="str">
        <f t="array" ref="AH772">_xlfn.IFS(LOWER(AG772)="n","no",LOWER(AG772)="y","yes",TRUE,LOWER(AG772))</f>
        <v>no</v>
      </c>
      <c r="AI772" s="46" t="s">
        <v>4692</v>
      </c>
    </row>
    <row r="773" spans="1:35">
      <c r="A773" s="37" t="s">
        <v>2851</v>
      </c>
      <c r="B773" s="38" t="s">
        <v>4723</v>
      </c>
      <c r="C773" s="39">
        <f t="shared" si="192"/>
        <v>45409</v>
      </c>
      <c r="D773" s="40" t="s">
        <v>424</v>
      </c>
      <c r="E773" s="37" t="str" cm="1">
        <f t="array" ref="E773">_xlfn.IFS(D773="delhi","north",D773="mumbai","west",D773="bengaluru","south",D773="chennai","south",D773="kolkata","east",TRUE,"west")</f>
        <v>south</v>
      </c>
      <c r="F773" s="37" t="s">
        <v>352</v>
      </c>
      <c r="G773" s="37" t="str">
        <f t="shared" si="193"/>
        <v>delhivery</v>
      </c>
      <c r="H773" s="37" t="s">
        <v>345</v>
      </c>
      <c r="I773" s="37" t="str">
        <f t="shared" si="194"/>
        <v>surface</v>
      </c>
      <c r="J773" s="37" t="s">
        <v>158</v>
      </c>
      <c r="K773" s="37" t="str">
        <f t="shared" si="195"/>
        <v>pharma</v>
      </c>
      <c r="L773" s="37" t="s">
        <v>334</v>
      </c>
      <c r="M773" s="37" t="str">
        <f t="shared" si="196"/>
        <v>north</v>
      </c>
      <c r="N773" s="37" t="s">
        <v>32</v>
      </c>
      <c r="O773" s="41" t="str">
        <f t="shared" si="197"/>
        <v>Yes</v>
      </c>
      <c r="P773" s="41" t="s">
        <v>1090</v>
      </c>
      <c r="Q773" s="41" t="s">
        <v>2037</v>
      </c>
      <c r="R773" s="42">
        <f t="shared" si="198"/>
        <v>66.7441860465116</v>
      </c>
      <c r="S773" s="37">
        <v>6</v>
      </c>
      <c r="T773" s="37" t="s">
        <v>2852</v>
      </c>
      <c r="U773" s="43" t="str">
        <f t="shared" si="199"/>
        <v>2024-05-02</v>
      </c>
      <c r="V773" s="43">
        <f t="shared" si="200"/>
        <v>45414</v>
      </c>
      <c r="W773" s="44">
        <f t="array" ref="W773">_xlfn.IFS(TRIM(C773)="","",TRIM(V773)="","",TRUE,V773-C773)</f>
        <v>5</v>
      </c>
      <c r="X773" s="37">
        <f t="shared" si="201"/>
        <v>-1</v>
      </c>
      <c r="Y773" s="37" t="s">
        <v>163</v>
      </c>
      <c r="Z773" s="37" t="str">
        <f t="shared" si="202"/>
        <v>delivered</v>
      </c>
      <c r="AA773" s="37" t="str">
        <f t="shared" si="203"/>
        <v>On Time</v>
      </c>
      <c r="AB773" s="37" t="str">
        <f t="shared" si="190"/>
        <v>0</v>
      </c>
      <c r="AC773" s="37">
        <f t="shared" si="191"/>
        <v>0</v>
      </c>
      <c r="AD773" s="45">
        <f t="shared" si="205"/>
        <v>0.529197080291971</v>
      </c>
      <c r="AE773" s="37">
        <v>4</v>
      </c>
      <c r="AF773" s="37" t="s">
        <v>191</v>
      </c>
      <c r="AG773" s="37" t="str">
        <f t="shared" si="204"/>
        <v>no</v>
      </c>
      <c r="AH773" s="37" t="str">
        <f t="array" ref="AH773">_xlfn.IFS(LOWER(AG773)="n","no",LOWER(AG773)="y","yes",TRUE,LOWER(AG773))</f>
        <v>no</v>
      </c>
      <c r="AI773" s="37" t="s">
        <v>4692</v>
      </c>
    </row>
    <row r="774" spans="1:35">
      <c r="A774" s="46" t="s">
        <v>2853</v>
      </c>
      <c r="B774" s="47">
        <v>45413</v>
      </c>
      <c r="C774" s="39">
        <f t="shared" si="192"/>
        <v>45413</v>
      </c>
      <c r="D774" s="48" t="s">
        <v>4704</v>
      </c>
      <c r="E774" s="37" t="str" cm="1">
        <f t="array" ref="E774">_xlfn.IFS(D774="delhi","north",D774="mumbai","west",D774="bengaluru","south",D774="chennai","south",D774="kolkata","east",TRUE,"west")</f>
        <v>west</v>
      </c>
      <c r="F774" s="46" t="s">
        <v>98</v>
      </c>
      <c r="G774" s="37" t="str">
        <f t="shared" si="193"/>
        <v>dtdc</v>
      </c>
      <c r="H774" s="46" t="s">
        <v>176</v>
      </c>
      <c r="I774" s="37" t="str">
        <f t="shared" si="194"/>
        <v>road</v>
      </c>
      <c r="J774" s="46" t="s">
        <v>582</v>
      </c>
      <c r="K774" s="37" t="str">
        <f t="shared" si="195"/>
        <v>grocery&amp;fmcg</v>
      </c>
      <c r="L774" s="46" t="s">
        <v>197</v>
      </c>
      <c r="M774" s="37" t="str">
        <f t="shared" si="196"/>
        <v>south</v>
      </c>
      <c r="N774" s="46" t="s">
        <v>93</v>
      </c>
      <c r="O774" s="41" t="str">
        <f t="shared" si="197"/>
        <v>Yes</v>
      </c>
      <c r="P774" s="49" t="s">
        <v>2854</v>
      </c>
      <c r="Q774" s="49">
        <v>369</v>
      </c>
      <c r="R774" s="42">
        <f t="shared" si="198"/>
        <v>27.1323529411765</v>
      </c>
      <c r="S774" s="46">
        <v>8</v>
      </c>
      <c r="T774" s="46" t="s">
        <v>922</v>
      </c>
      <c r="U774" s="43" t="str">
        <f t="shared" si="199"/>
        <v>10/05/2024</v>
      </c>
      <c r="V774" s="43">
        <f t="shared" si="200"/>
        <v>45422</v>
      </c>
      <c r="W774" s="44">
        <f t="array" ref="W774">_xlfn.IFS(TRIM(C774)="","",TRIM(V774)="","",TRUE,V774-C774)</f>
        <v>9</v>
      </c>
      <c r="X774" s="37">
        <f t="shared" si="201"/>
        <v>1</v>
      </c>
      <c r="Y774" s="46" t="s">
        <v>200</v>
      </c>
      <c r="Z774" s="37" t="str">
        <f t="shared" si="202"/>
        <v>delayed</v>
      </c>
      <c r="AA774" s="37" t="str">
        <f t="shared" si="203"/>
        <v>Late</v>
      </c>
      <c r="AB774" s="37" t="str">
        <f t="shared" ref="AB774:AB837" si="206">IF(Z774="In-Transit","N/A",IF(X774="","",IF(X774&gt;0,"1","0")))</f>
        <v>1</v>
      </c>
      <c r="AC774" s="37">
        <f t="shared" si="191"/>
        <v>1</v>
      </c>
      <c r="AD774" s="45">
        <f t="shared" si="205"/>
        <v>0.529841656516443</v>
      </c>
      <c r="AE774" s="46">
        <v>3</v>
      </c>
      <c r="AF774" s="46" t="s">
        <v>181</v>
      </c>
      <c r="AG774" s="37" t="str">
        <f t="shared" si="204"/>
        <v>y</v>
      </c>
      <c r="AH774" s="37" t="str">
        <f t="array" ref="AH774">_xlfn.IFS(LOWER(AG774)="n","no",LOWER(AG774)="y","yes",TRUE,LOWER(AG774))</f>
        <v>yes</v>
      </c>
      <c r="AI774" s="46" t="s">
        <v>4692</v>
      </c>
    </row>
    <row r="775" spans="1:35">
      <c r="A775" s="37" t="s">
        <v>2855</v>
      </c>
      <c r="B775" s="38">
        <v>45415</v>
      </c>
      <c r="C775" s="39">
        <f t="shared" si="192"/>
        <v>45415</v>
      </c>
      <c r="D775" s="40" t="s">
        <v>4705</v>
      </c>
      <c r="E775" s="37" t="str" cm="1">
        <f t="array" ref="E775">_xlfn.IFS(D775="delhi","north",D775="mumbai","west",D775="bengaluru","south",D775="chennai","south",D775="kolkata","east",TRUE,"west")</f>
        <v>west</v>
      </c>
      <c r="F775" s="37" t="s">
        <v>230</v>
      </c>
      <c r="G775" s="37" t="str">
        <f t="shared" si="193"/>
        <v>dtdc</v>
      </c>
      <c r="H775" s="37" t="s">
        <v>176</v>
      </c>
      <c r="I775" s="37" t="str">
        <f t="shared" si="194"/>
        <v>road</v>
      </c>
      <c r="J775" s="37" t="s">
        <v>205</v>
      </c>
      <c r="K775" s="37" t="str">
        <f t="shared" si="195"/>
        <v>furniture</v>
      </c>
      <c r="L775" s="37" t="s">
        <v>112</v>
      </c>
      <c r="M775" s="37" t="str">
        <f t="shared" si="196"/>
        <v>north</v>
      </c>
      <c r="N775" s="37" t="s">
        <v>113</v>
      </c>
      <c r="O775" s="41" t="str">
        <f t="shared" si="197"/>
        <v>Yes</v>
      </c>
      <c r="P775" s="41">
        <v>27.1</v>
      </c>
      <c r="Q775" s="41">
        <v>438</v>
      </c>
      <c r="R775" s="42">
        <f t="shared" si="198"/>
        <v>16.1623616236162</v>
      </c>
      <c r="S775" s="37">
        <v>6</v>
      </c>
      <c r="T775" s="37" t="s">
        <v>1434</v>
      </c>
      <c r="U775" s="43" t="str">
        <f t="shared" si="199"/>
        <v>15-may-2024</v>
      </c>
      <c r="V775" s="43">
        <f t="shared" si="200"/>
        <v>45427</v>
      </c>
      <c r="W775" s="44">
        <f t="array" ref="W775">_xlfn.IFS(TRIM(C775)="","",TRIM(V775)="","",TRUE,V775-C775)</f>
        <v>12</v>
      </c>
      <c r="X775" s="37">
        <f t="shared" si="201"/>
        <v>6</v>
      </c>
      <c r="Y775" s="37" t="s">
        <v>200</v>
      </c>
      <c r="Z775" s="37" t="str">
        <f t="shared" si="202"/>
        <v>delayed</v>
      </c>
      <c r="AA775" s="37" t="str">
        <f t="shared" si="203"/>
        <v>Late</v>
      </c>
      <c r="AB775" s="37" t="str">
        <f t="shared" si="206"/>
        <v>1</v>
      </c>
      <c r="AC775" s="37">
        <f t="shared" ref="AC775:AC838" si="207">IF(TRIM(AB775&amp;"")="","",VALUE(TRIM(AB775&amp;"")))</f>
        <v>1</v>
      </c>
      <c r="AD775" s="45">
        <f t="shared" si="205"/>
        <v>0.529268292682927</v>
      </c>
      <c r="AE775" s="37">
        <v>3</v>
      </c>
      <c r="AF775" s="37" t="s">
        <v>152</v>
      </c>
      <c r="AG775" s="37" t="str">
        <f t="shared" si="204"/>
        <v>no</v>
      </c>
      <c r="AH775" s="37" t="str">
        <f t="array" ref="AH775">_xlfn.IFS(LOWER(AG775)="n","no",LOWER(AG775)="y","yes",TRUE,LOWER(AG775))</f>
        <v>no</v>
      </c>
      <c r="AI775" s="37" t="s">
        <v>4692</v>
      </c>
    </row>
    <row r="776" spans="1:35">
      <c r="A776" s="46" t="s">
        <v>2858</v>
      </c>
      <c r="B776" s="47" t="s">
        <v>4826</v>
      </c>
      <c r="C776" s="39">
        <f t="shared" si="192"/>
        <v>45385</v>
      </c>
      <c r="D776" s="48" t="s">
        <v>633</v>
      </c>
      <c r="E776" s="37" t="str" cm="1">
        <f t="array" ref="E776">_xlfn.IFS(D776="delhi","north",D776="mumbai","west",D776="bengaluru","south",D776="chennai","south",D776="kolkata","east",TRUE,"west")</f>
        <v>south</v>
      </c>
      <c r="F776" s="46" t="s">
        <v>156</v>
      </c>
      <c r="G776" s="37" t="str">
        <f t="shared" si="193"/>
        <v>xpressbees</v>
      </c>
      <c r="H776" s="46" t="s">
        <v>42</v>
      </c>
      <c r="I776" s="37" t="str">
        <f t="shared" si="194"/>
        <v>surface</v>
      </c>
      <c r="J776" s="46" t="s">
        <v>592</v>
      </c>
      <c r="K776" s="37" t="str">
        <f t="shared" si="195"/>
        <v>grocery&amp;fmcg</v>
      </c>
      <c r="L776" s="46" t="s">
        <v>470</v>
      </c>
      <c r="M776" s="37" t="str">
        <f t="shared" si="196"/>
        <v>east</v>
      </c>
      <c r="N776" s="46" t="s">
        <v>126</v>
      </c>
      <c r="O776" s="41" t="str">
        <f t="shared" si="197"/>
        <v>Yes</v>
      </c>
      <c r="P776" s="49" t="s">
        <v>2859</v>
      </c>
      <c r="Q776" s="49">
        <v>526</v>
      </c>
      <c r="R776" s="42">
        <f t="shared" si="198"/>
        <v>34.3790849673203</v>
      </c>
      <c r="S776" s="46">
        <v>6</v>
      </c>
      <c r="T776" s="46" t="s">
        <v>547</v>
      </c>
      <c r="U776" s="43" t="str">
        <f t="shared" si="199"/>
        <v>10/04/2024</v>
      </c>
      <c r="V776" s="43">
        <f t="shared" si="200"/>
        <v>45392</v>
      </c>
      <c r="W776" s="44">
        <f t="array" ref="W776">_xlfn.IFS(TRIM(C776)="","",TRIM(V776)="","",TRUE,V776-C776)</f>
        <v>7</v>
      </c>
      <c r="X776" s="37">
        <f t="shared" si="201"/>
        <v>1</v>
      </c>
      <c r="Y776" s="46" t="s">
        <v>172</v>
      </c>
      <c r="Z776" s="37" t="str">
        <f t="shared" si="202"/>
        <v>delayed</v>
      </c>
      <c r="AA776" s="37" t="str">
        <f t="shared" si="203"/>
        <v>Late</v>
      </c>
      <c r="AB776" s="37" t="str">
        <f t="shared" si="206"/>
        <v>1</v>
      </c>
      <c r="AC776" s="37">
        <f t="shared" si="207"/>
        <v>1</v>
      </c>
      <c r="AD776" s="45">
        <f t="shared" si="205"/>
        <v>0.528693528693529</v>
      </c>
      <c r="AE776" s="46">
        <v>3</v>
      </c>
      <c r="AF776" s="46" t="s">
        <v>181</v>
      </c>
      <c r="AG776" s="37" t="str">
        <f t="shared" si="204"/>
        <v>y</v>
      </c>
      <c r="AH776" s="37" t="str">
        <f t="array" ref="AH776">_xlfn.IFS(LOWER(AG776)="n","no",LOWER(AG776)="y","yes",TRUE,LOWER(AG776))</f>
        <v>yes</v>
      </c>
      <c r="AI776" s="46" t="s">
        <v>4692</v>
      </c>
    </row>
    <row r="777" spans="1:35">
      <c r="A777" s="37" t="s">
        <v>2861</v>
      </c>
      <c r="B777" s="38" t="s">
        <v>4770</v>
      </c>
      <c r="C777" s="39">
        <f t="shared" si="192"/>
        <v>45426</v>
      </c>
      <c r="D777" s="40" t="s">
        <v>212</v>
      </c>
      <c r="E777" s="37" t="str" cm="1">
        <f t="array" ref="E777">_xlfn.IFS(D777="delhi","north",D777="mumbai","west",D777="bengaluru","south",D777="chennai","south",D777="kolkata","east",TRUE,"west")</f>
        <v>west</v>
      </c>
      <c r="F777" s="37" t="s">
        <v>333</v>
      </c>
      <c r="G777" s="37" t="str">
        <f t="shared" si="193"/>
        <v>delhivery</v>
      </c>
      <c r="H777" s="37" t="s">
        <v>224</v>
      </c>
      <c r="I777" s="37" t="str">
        <f t="shared" si="194"/>
        <v>air</v>
      </c>
      <c r="J777" s="37" t="s">
        <v>271</v>
      </c>
      <c r="K777" s="37" t="str">
        <f t="shared" si="195"/>
        <v>electronics</v>
      </c>
      <c r="L777" s="37" t="s">
        <v>302</v>
      </c>
      <c r="M777" s="37" t="str">
        <f t="shared" si="196"/>
        <v>east</v>
      </c>
      <c r="N777" s="37" t="s">
        <v>126</v>
      </c>
      <c r="O777" s="41" t="str">
        <f t="shared" si="197"/>
        <v>Yes</v>
      </c>
      <c r="P777" s="41">
        <v>10.9</v>
      </c>
      <c r="Q777" s="41">
        <v>700</v>
      </c>
      <c r="R777" s="42">
        <f t="shared" si="198"/>
        <v>64.2201834862385</v>
      </c>
      <c r="S777" s="37">
        <v>4</v>
      </c>
      <c r="T777" s="37" t="s">
        <v>2087</v>
      </c>
      <c r="U777" s="43" t="str">
        <f t="shared" si="199"/>
        <v>2024-05-23</v>
      </c>
      <c r="V777" s="43">
        <f t="shared" si="200"/>
        <v>45435</v>
      </c>
      <c r="W777" s="44">
        <f t="array" ref="W777">_xlfn.IFS(TRIM(C777)="","",TRIM(V777)="","",TRUE,V777-C777)</f>
        <v>9</v>
      </c>
      <c r="X777" s="37">
        <f t="shared" si="201"/>
        <v>5</v>
      </c>
      <c r="Y777" s="37" t="s">
        <v>143</v>
      </c>
      <c r="Z777" s="37" t="str">
        <f t="shared" si="202"/>
        <v>delayed</v>
      </c>
      <c r="AA777" s="37" t="str">
        <f t="shared" si="203"/>
        <v>Late</v>
      </c>
      <c r="AB777" s="37" t="str">
        <f t="shared" si="206"/>
        <v>1</v>
      </c>
      <c r="AC777" s="37">
        <f t="shared" si="207"/>
        <v>1</v>
      </c>
      <c r="AD777" s="45">
        <f t="shared" si="205"/>
        <v>0.528117359413203</v>
      </c>
      <c r="AE777" s="37">
        <v>2</v>
      </c>
      <c r="AF777" s="37" t="s">
        <v>286</v>
      </c>
      <c r="AG777" s="37" t="str">
        <f t="shared" si="204"/>
        <v>yes</v>
      </c>
      <c r="AH777" s="37" t="str">
        <f t="array" ref="AH777">_xlfn.IFS(LOWER(AG777)="n","no",LOWER(AG777)="y","yes",TRUE,LOWER(AG777))</f>
        <v>yes</v>
      </c>
      <c r="AI777" s="37" t="s">
        <v>4692</v>
      </c>
    </row>
    <row r="778" spans="1:35">
      <c r="A778" s="46" t="s">
        <v>2864</v>
      </c>
      <c r="B778" s="47" t="s">
        <v>4721</v>
      </c>
      <c r="C778" s="39">
        <f t="shared" si="192"/>
        <v>45444</v>
      </c>
      <c r="D778" s="48" t="s">
        <v>340</v>
      </c>
      <c r="E778" s="37" t="str" cm="1">
        <f t="array" ref="E778">_xlfn.IFS(D778="delhi","north",D778="mumbai","west",D778="bengaluru","south",D778="chennai","south",D778="kolkata","east",TRUE,"west")</f>
        <v>north</v>
      </c>
      <c r="F778" s="46" t="s">
        <v>175</v>
      </c>
      <c r="G778" s="37" t="str">
        <f t="shared" si="193"/>
        <v>ecomexpress</v>
      </c>
      <c r="H778" s="46" t="s">
        <v>195</v>
      </c>
      <c r="I778" s="37" t="str">
        <f t="shared" si="194"/>
        <v>road</v>
      </c>
      <c r="J778" s="46" t="s">
        <v>385</v>
      </c>
      <c r="K778" s="37" t="str">
        <f t="shared" si="195"/>
        <v>furniture</v>
      </c>
      <c r="L778" s="46" t="s">
        <v>197</v>
      </c>
      <c r="M778" s="37" t="str">
        <f t="shared" si="196"/>
        <v>south</v>
      </c>
      <c r="N778" s="46" t="s">
        <v>327</v>
      </c>
      <c r="O778" s="41" t="str">
        <f t="shared" si="197"/>
        <v>Yes</v>
      </c>
      <c r="P778" s="49" t="s">
        <v>2865</v>
      </c>
      <c r="Q778" s="49" t="s">
        <v>2866</v>
      </c>
      <c r="R778" s="42">
        <f t="shared" si="198"/>
        <v>15.7386363636364</v>
      </c>
      <c r="S778" s="46">
        <v>8</v>
      </c>
      <c r="T778" s="46" t="s">
        <v>429</v>
      </c>
      <c r="U778" s="43" t="str">
        <f t="shared" si="199"/>
        <v>2024-06-10</v>
      </c>
      <c r="V778" s="43">
        <f t="shared" si="200"/>
        <v>45453</v>
      </c>
      <c r="W778" s="44">
        <f t="array" ref="W778">_xlfn.IFS(TRIM(C778)="","",TRIM(V778)="","",TRUE,V778-C778)</f>
        <v>9</v>
      </c>
      <c r="X778" s="37">
        <f t="shared" si="201"/>
        <v>1</v>
      </c>
      <c r="Y778" s="46" t="s">
        <v>172</v>
      </c>
      <c r="Z778" s="37" t="str">
        <f t="shared" si="202"/>
        <v>delayed</v>
      </c>
      <c r="AA778" s="37" t="str">
        <f t="shared" si="203"/>
        <v>Late</v>
      </c>
      <c r="AB778" s="37" t="str">
        <f t="shared" si="206"/>
        <v>1</v>
      </c>
      <c r="AC778" s="37">
        <f t="shared" si="207"/>
        <v>1</v>
      </c>
      <c r="AD778" s="45">
        <f t="shared" si="205"/>
        <v>0.527539779681763</v>
      </c>
      <c r="AE778" s="46">
        <v>2</v>
      </c>
      <c r="AF778" s="46" t="s">
        <v>191</v>
      </c>
      <c r="AG778" s="37" t="str">
        <f t="shared" si="204"/>
        <v>no</v>
      </c>
      <c r="AH778" s="37" t="str">
        <f t="array" ref="AH778">_xlfn.IFS(LOWER(AG778)="n","no",LOWER(AG778)="y","yes",TRUE,LOWER(AG778))</f>
        <v>no</v>
      </c>
      <c r="AI778" s="46" t="s">
        <v>4692</v>
      </c>
    </row>
    <row r="779" spans="1:35">
      <c r="A779" s="37" t="s">
        <v>2867</v>
      </c>
      <c r="B779" s="38">
        <v>45312</v>
      </c>
      <c r="C779" s="39">
        <f t="shared" si="192"/>
        <v>45312</v>
      </c>
      <c r="D779" s="40" t="s">
        <v>4699</v>
      </c>
      <c r="E779" s="37" t="str" cm="1">
        <f t="array" ref="E779">_xlfn.IFS(D779="delhi","north",D779="mumbai","west",D779="bengaluru","south",D779="chennai","south",D779="kolkata","east",TRUE,"west")</f>
        <v>west</v>
      </c>
      <c r="F779" s="37" t="s">
        <v>37</v>
      </c>
      <c r="G779" s="37" t="str">
        <f t="shared" si="193"/>
        <v>bluedart</v>
      </c>
      <c r="H779" s="37" t="s">
        <v>137</v>
      </c>
      <c r="I779" s="37" t="str">
        <f t="shared" si="194"/>
        <v>road</v>
      </c>
      <c r="J779" s="37" t="s">
        <v>498</v>
      </c>
      <c r="K779" s="37" t="str">
        <f t="shared" si="195"/>
        <v>apparel</v>
      </c>
      <c r="L779" s="37" t="s">
        <v>89</v>
      </c>
      <c r="M779" s="37" t="str">
        <f t="shared" si="196"/>
        <v>west</v>
      </c>
      <c r="N779" s="37" t="s">
        <v>187</v>
      </c>
      <c r="O779" s="41" t="str">
        <f t="shared" si="197"/>
        <v>Yes</v>
      </c>
      <c r="P779" s="41">
        <v>2.2</v>
      </c>
      <c r="Q779" s="41" t="s">
        <v>432</v>
      </c>
      <c r="R779" s="42">
        <f t="shared" si="198"/>
        <v>36.3636363636364</v>
      </c>
      <c r="S779" s="37">
        <v>6</v>
      </c>
      <c r="T779" s="37" t="s">
        <v>1960</v>
      </c>
      <c r="U779" s="43" t="str">
        <f t="shared" si="199"/>
        <v>26-jan-2024</v>
      </c>
      <c r="V779" s="43">
        <f t="shared" si="200"/>
        <v>45317</v>
      </c>
      <c r="W779" s="44">
        <f t="array" ref="W779">_xlfn.IFS(TRIM(C779)="","",TRIM(V779)="","",TRUE,V779-C779)</f>
        <v>5</v>
      </c>
      <c r="X779" s="37">
        <f t="shared" si="201"/>
        <v>-1</v>
      </c>
      <c r="Y779" s="37" t="s">
        <v>219</v>
      </c>
      <c r="Z779" s="37" t="str">
        <f t="shared" si="202"/>
        <v>delivered</v>
      </c>
      <c r="AA779" s="37" t="str">
        <f t="shared" si="203"/>
        <v>On Time</v>
      </c>
      <c r="AB779" s="37" t="str">
        <f t="shared" si="206"/>
        <v>0</v>
      </c>
      <c r="AC779" s="37">
        <f t="shared" si="207"/>
        <v>0</v>
      </c>
      <c r="AD779" s="45">
        <f t="shared" si="205"/>
        <v>0.526960784313726</v>
      </c>
      <c r="AE779" s="37">
        <v>4</v>
      </c>
      <c r="AF779" s="37" t="s">
        <v>79</v>
      </c>
      <c r="AG779" s="37" t="str">
        <f t="shared" si="204"/>
        <v>yes</v>
      </c>
      <c r="AH779" s="37" t="str">
        <f t="array" ref="AH779">_xlfn.IFS(LOWER(AG779)="n","no",LOWER(AG779)="y","yes",TRUE,LOWER(AG779))</f>
        <v>yes</v>
      </c>
      <c r="AI779" s="37" t="s">
        <v>4692</v>
      </c>
    </row>
    <row r="780" spans="1:35">
      <c r="A780" s="46" t="s">
        <v>2868</v>
      </c>
      <c r="B780" s="47" t="s">
        <v>4711</v>
      </c>
      <c r="C780" s="39">
        <f t="shared" si="192"/>
        <v>45431</v>
      </c>
      <c r="D780" s="48" t="s">
        <v>340</v>
      </c>
      <c r="E780" s="37" t="str" cm="1">
        <f t="array" ref="E780">_xlfn.IFS(D780="delhi","north",D780="mumbai","west",D780="bengaluru","south",D780="chennai","south",D780="kolkata","east",TRUE,"west")</f>
        <v>north</v>
      </c>
      <c r="F780" s="46" t="s">
        <v>919</v>
      </c>
      <c r="G780" s="37" t="str">
        <f t="shared" si="193"/>
        <v>xpressbees</v>
      </c>
      <c r="H780" s="46" t="s">
        <v>137</v>
      </c>
      <c r="I780" s="37" t="str">
        <f t="shared" si="194"/>
        <v>road</v>
      </c>
      <c r="J780" s="46" t="s">
        <v>301</v>
      </c>
      <c r="K780" s="37" t="str">
        <f t="shared" si="195"/>
        <v>furniture</v>
      </c>
      <c r="L780" s="46" t="s">
        <v>401</v>
      </c>
      <c r="M780" s="37" t="str">
        <f t="shared" si="196"/>
        <v>south</v>
      </c>
      <c r="N780" s="46" t="s">
        <v>90</v>
      </c>
      <c r="O780" s="41" t="str">
        <f t="shared" si="197"/>
        <v>Yes</v>
      </c>
      <c r="P780" s="49">
        <v>46.7</v>
      </c>
      <c r="Q780" s="49">
        <v>806</v>
      </c>
      <c r="R780" s="42">
        <f t="shared" si="198"/>
        <v>17.2591006423983</v>
      </c>
      <c r="S780" s="46">
        <v>8</v>
      </c>
      <c r="T780" s="46" t="s">
        <v>1015</v>
      </c>
      <c r="U780" s="43" t="str">
        <f t="shared" si="199"/>
        <v>28/05/2024</v>
      </c>
      <c r="V780" s="43">
        <f t="shared" si="200"/>
        <v>45440</v>
      </c>
      <c r="W780" s="44">
        <f t="array" ref="W780">_xlfn.IFS(TRIM(C780)="","",TRIM(V780)="","",TRUE,V780-C780)</f>
        <v>9</v>
      </c>
      <c r="X780" s="37">
        <f t="shared" si="201"/>
        <v>1</v>
      </c>
      <c r="Y780" s="46" t="s">
        <v>200</v>
      </c>
      <c r="Z780" s="37" t="str">
        <f t="shared" si="202"/>
        <v>delayed</v>
      </c>
      <c r="AA780" s="37" t="str">
        <f t="shared" si="203"/>
        <v>Late</v>
      </c>
      <c r="AB780" s="37" t="str">
        <f t="shared" si="206"/>
        <v>1</v>
      </c>
      <c r="AC780" s="37">
        <f t="shared" si="207"/>
        <v>1</v>
      </c>
      <c r="AD780" s="45">
        <f t="shared" si="205"/>
        <v>0.52760736196319</v>
      </c>
      <c r="AE780" s="46">
        <v>2</v>
      </c>
      <c r="AF780" s="46" t="s">
        <v>131</v>
      </c>
      <c r="AG780" s="37" t="str">
        <f t="shared" si="204"/>
        <v>n</v>
      </c>
      <c r="AH780" s="37" t="str">
        <f t="array" ref="AH780">_xlfn.IFS(LOWER(AG780)="n","no",LOWER(AG780)="y","yes",TRUE,LOWER(AG780))</f>
        <v>no</v>
      </c>
      <c r="AI780" s="46" t="s">
        <v>4692</v>
      </c>
    </row>
    <row r="781" spans="1:35">
      <c r="A781" s="37" t="s">
        <v>2871</v>
      </c>
      <c r="B781" s="38">
        <v>45307</v>
      </c>
      <c r="C781" s="39">
        <f t="shared" si="192"/>
        <v>45307</v>
      </c>
      <c r="D781" s="40" t="s">
        <v>366</v>
      </c>
      <c r="E781" s="37" t="str" cm="1">
        <f t="array" ref="E781">_xlfn.IFS(D781="delhi","north",D781="mumbai","west",D781="bengaluru","south",D781="chennai","south",D781="kolkata","east",TRUE,"west")</f>
        <v>east</v>
      </c>
      <c r="F781" s="37" t="s">
        <v>156</v>
      </c>
      <c r="G781" s="37" t="str">
        <f t="shared" si="193"/>
        <v>xpressbees</v>
      </c>
      <c r="H781" s="37" t="s">
        <v>157</v>
      </c>
      <c r="I781" s="37" t="str">
        <f t="shared" si="194"/>
        <v>surface</v>
      </c>
      <c r="J781" s="37" t="s">
        <v>177</v>
      </c>
      <c r="K781" s="37" t="str">
        <f t="shared" si="195"/>
        <v>pharma</v>
      </c>
      <c r="L781" s="37" t="s">
        <v>470</v>
      </c>
      <c r="M781" s="37" t="str">
        <f t="shared" si="196"/>
        <v>east</v>
      </c>
      <c r="N781" s="37" t="s">
        <v>396</v>
      </c>
      <c r="O781" s="41" t="str">
        <f t="shared" si="197"/>
        <v>Yes</v>
      </c>
      <c r="P781" s="41">
        <v>2.8</v>
      </c>
      <c r="Q781" s="41">
        <v>100</v>
      </c>
      <c r="R781" s="42">
        <f t="shared" si="198"/>
        <v>35.7142857142857</v>
      </c>
      <c r="S781" s="37">
        <v>4</v>
      </c>
      <c r="T781" s="37" t="s">
        <v>2221</v>
      </c>
      <c r="U781" s="43" t="str">
        <f t="shared" si="199"/>
        <v>20/01/2024</v>
      </c>
      <c r="V781" s="43">
        <f t="shared" si="200"/>
        <v>45311</v>
      </c>
      <c r="W781" s="44">
        <f t="array" ref="W781">_xlfn.IFS(TRIM(C781)="","",TRIM(V781)="","",TRUE,V781-C781)</f>
        <v>4</v>
      </c>
      <c r="X781" s="37">
        <f t="shared" si="201"/>
        <v>0</v>
      </c>
      <c r="Y781" s="37" t="s">
        <v>105</v>
      </c>
      <c r="Z781" s="37" t="str">
        <f t="shared" si="202"/>
        <v>delivered</v>
      </c>
      <c r="AA781" s="37" t="str">
        <f t="shared" si="203"/>
        <v>On Time</v>
      </c>
      <c r="AB781" s="37" t="str">
        <f t="shared" si="206"/>
        <v>0</v>
      </c>
      <c r="AC781" s="37">
        <f t="shared" si="207"/>
        <v>0</v>
      </c>
      <c r="AD781" s="45">
        <f t="shared" si="205"/>
        <v>0.527027027027027</v>
      </c>
      <c r="AE781" s="37">
        <v>5</v>
      </c>
      <c r="AF781" s="37" t="s">
        <v>118</v>
      </c>
      <c r="AG781" s="37" t="str">
        <f t="shared" si="204"/>
        <v>no</v>
      </c>
      <c r="AH781" s="37" t="str">
        <f t="array" ref="AH781">_xlfn.IFS(LOWER(AG781)="n","no",LOWER(AG781)="y","yes",TRUE,LOWER(AG781))</f>
        <v>no</v>
      </c>
      <c r="AI781" s="37" t="s">
        <v>4692</v>
      </c>
    </row>
    <row r="782" spans="1:35">
      <c r="A782" s="46" t="s">
        <v>2873</v>
      </c>
      <c r="B782" s="47" t="s">
        <v>4786</v>
      </c>
      <c r="C782" s="39">
        <f t="shared" si="192"/>
        <v>45403</v>
      </c>
      <c r="D782" s="48" t="s">
        <v>366</v>
      </c>
      <c r="E782" s="37" t="str" cm="1">
        <f t="array" ref="E782">_xlfn.IFS(D782="delhi","north",D782="mumbai","west",D782="bengaluru","south",D782="chennai","south",D782="kolkata","east",TRUE,"west")</f>
        <v>east</v>
      </c>
      <c r="F782" s="46" t="s">
        <v>270</v>
      </c>
      <c r="G782" s="37" t="str">
        <f t="shared" si="193"/>
        <v>ecomexpress</v>
      </c>
      <c r="H782" s="46" t="s">
        <v>147</v>
      </c>
      <c r="I782" s="37" t="str">
        <f t="shared" si="194"/>
        <v>road</v>
      </c>
      <c r="J782" s="46" t="s">
        <v>138</v>
      </c>
      <c r="K782" s="37" t="str">
        <f t="shared" si="195"/>
        <v>apparel</v>
      </c>
      <c r="L782" s="46" t="s">
        <v>51</v>
      </c>
      <c r="M782" s="37" t="str">
        <f t="shared" si="196"/>
        <v>south</v>
      </c>
      <c r="N782" s="46" t="s">
        <v>90</v>
      </c>
      <c r="O782" s="41" t="str">
        <f t="shared" si="197"/>
        <v>Yes</v>
      </c>
      <c r="P782" s="49">
        <v>1.9</v>
      </c>
      <c r="Q782" s="49">
        <v>217</v>
      </c>
      <c r="R782" s="42">
        <f t="shared" si="198"/>
        <v>114.210526315789</v>
      </c>
      <c r="S782" s="46">
        <v>8</v>
      </c>
      <c r="T782" s="46" t="s">
        <v>2156</v>
      </c>
      <c r="U782" s="43" t="str">
        <f t="shared" si="199"/>
        <v>04/05/2024</v>
      </c>
      <c r="V782" s="43">
        <f t="shared" si="200"/>
        <v>45416</v>
      </c>
      <c r="W782" s="44">
        <f t="array" ref="W782">_xlfn.IFS(TRIM(C782)="","",TRIM(V782)="","",TRUE,V782-C782)</f>
        <v>13</v>
      </c>
      <c r="X782" s="37">
        <f t="shared" si="201"/>
        <v>5</v>
      </c>
      <c r="Y782" s="46" t="s">
        <v>624</v>
      </c>
      <c r="Z782" s="37" t="str">
        <f t="shared" si="202"/>
        <v>returned</v>
      </c>
      <c r="AA782" s="37" t="str">
        <f t="shared" si="203"/>
        <v>Late</v>
      </c>
      <c r="AB782" s="37" t="str">
        <f t="shared" si="206"/>
        <v>1</v>
      </c>
      <c r="AC782" s="37">
        <f t="shared" si="207"/>
        <v>1</v>
      </c>
      <c r="AD782" s="45">
        <f t="shared" si="205"/>
        <v>0.527675276752767</v>
      </c>
      <c r="AE782" s="46"/>
      <c r="AF782" s="46" t="s">
        <v>191</v>
      </c>
      <c r="AG782" s="37" t="str">
        <f t="shared" si="204"/>
        <v>no</v>
      </c>
      <c r="AH782" s="37" t="str">
        <f t="array" ref="AH782">_xlfn.IFS(LOWER(AG782)="n","no",LOWER(AG782)="y","yes",TRUE,LOWER(AG782))</f>
        <v>no</v>
      </c>
      <c r="AI782" s="46" t="s">
        <v>818</v>
      </c>
    </row>
    <row r="783" spans="1:35">
      <c r="A783" s="37" t="s">
        <v>2875</v>
      </c>
      <c r="B783" s="38">
        <v>45352</v>
      </c>
      <c r="C783" s="39">
        <f t="shared" si="192"/>
        <v>45352</v>
      </c>
      <c r="D783" s="40" t="s">
        <v>243</v>
      </c>
      <c r="E783" s="37" t="str" cm="1">
        <f t="array" ref="E783">_xlfn.IFS(D783="delhi","north",D783="mumbai","west",D783="bengaluru","south",D783="chennai","south",D783="kolkata","east",TRUE,"west")</f>
        <v>west</v>
      </c>
      <c r="F783" s="37" t="s">
        <v>213</v>
      </c>
      <c r="G783" s="37" t="str">
        <f t="shared" si="193"/>
        <v>dtdc</v>
      </c>
      <c r="H783" s="37" t="s">
        <v>147</v>
      </c>
      <c r="I783" s="37" t="str">
        <f t="shared" si="194"/>
        <v>road</v>
      </c>
      <c r="J783" s="37" t="s">
        <v>664</v>
      </c>
      <c r="K783" s="37" t="str">
        <f t="shared" si="195"/>
        <v>grocery&amp;fmcg</v>
      </c>
      <c r="L783" s="37" t="s">
        <v>346</v>
      </c>
      <c r="M783" s="37" t="str">
        <f t="shared" si="196"/>
        <v>north</v>
      </c>
      <c r="N783" s="37" t="s">
        <v>113</v>
      </c>
      <c r="O783" s="41" t="str">
        <f t="shared" si="197"/>
        <v>Yes</v>
      </c>
      <c r="P783" s="41">
        <v>15.6</v>
      </c>
      <c r="Q783" s="41">
        <v>419</v>
      </c>
      <c r="R783" s="42">
        <f t="shared" si="198"/>
        <v>26.8589743589744</v>
      </c>
      <c r="S783" s="37">
        <v>8</v>
      </c>
      <c r="T783" s="37" t="s">
        <v>1294</v>
      </c>
      <c r="U783" s="43" t="str">
        <f t="shared" si="199"/>
        <v>09/03/2024</v>
      </c>
      <c r="V783" s="43">
        <f t="shared" si="200"/>
        <v>45360</v>
      </c>
      <c r="W783" s="44">
        <f t="array" ref="W783">_xlfn.IFS(TRIM(C783)="","",TRIM(V783)="","",TRUE,V783-C783)</f>
        <v>8</v>
      </c>
      <c r="X783" s="37">
        <f t="shared" si="201"/>
        <v>0</v>
      </c>
      <c r="Y783" s="37" t="s">
        <v>117</v>
      </c>
      <c r="Z783" s="37" t="str">
        <f t="shared" si="202"/>
        <v>delivered</v>
      </c>
      <c r="AA783" s="37" t="str">
        <f t="shared" si="203"/>
        <v>On Time</v>
      </c>
      <c r="AB783" s="37" t="str">
        <f t="shared" si="206"/>
        <v>0</v>
      </c>
      <c r="AC783" s="37">
        <f t="shared" si="207"/>
        <v>0</v>
      </c>
      <c r="AD783" s="45">
        <f t="shared" si="205"/>
        <v>0.527093596059113</v>
      </c>
      <c r="AE783" s="37">
        <v>3</v>
      </c>
      <c r="AF783" s="37" t="s">
        <v>191</v>
      </c>
      <c r="AG783" s="37" t="str">
        <f t="shared" si="204"/>
        <v>no</v>
      </c>
      <c r="AH783" s="37" t="str">
        <f t="array" ref="AH783">_xlfn.IFS(LOWER(AG783)="n","no",LOWER(AG783)="y","yes",TRUE,LOWER(AG783))</f>
        <v>no</v>
      </c>
      <c r="AI783" s="37" t="s">
        <v>4692</v>
      </c>
    </row>
    <row r="784" spans="1:35">
      <c r="A784" s="46" t="s">
        <v>2878</v>
      </c>
      <c r="B784" s="47" t="s">
        <v>4827</v>
      </c>
      <c r="C784" s="39">
        <f t="shared" si="192"/>
        <v>45435</v>
      </c>
      <c r="D784" s="48" t="s">
        <v>340</v>
      </c>
      <c r="E784" s="37" t="str" cm="1">
        <f t="array" ref="E784">_xlfn.IFS(D784="delhi","north",D784="mumbai","west",D784="bengaluru","south",D784="chennai","south",D784="kolkata","east",TRUE,"west")</f>
        <v>north</v>
      </c>
      <c r="F784" s="46" t="s">
        <v>156</v>
      </c>
      <c r="G784" s="37" t="str">
        <f t="shared" si="193"/>
        <v>xpressbees</v>
      </c>
      <c r="H784" s="46" t="s">
        <v>42</v>
      </c>
      <c r="I784" s="37" t="str">
        <f t="shared" si="194"/>
        <v>surface</v>
      </c>
      <c r="J784" s="46" t="s">
        <v>186</v>
      </c>
      <c r="K784" s="37" t="str">
        <f t="shared" si="195"/>
        <v>automotiveparts</v>
      </c>
      <c r="L784" s="46" t="s">
        <v>334</v>
      </c>
      <c r="M784" s="37" t="str">
        <f t="shared" si="196"/>
        <v>north</v>
      </c>
      <c r="N784" s="46" t="s">
        <v>32</v>
      </c>
      <c r="O784" s="41" t="str">
        <f t="shared" si="197"/>
        <v>Yes</v>
      </c>
      <c r="P784" s="49">
        <v>39.1</v>
      </c>
      <c r="Q784" s="49">
        <v>887</v>
      </c>
      <c r="R784" s="42">
        <f t="shared" si="198"/>
        <v>22.6854219948849</v>
      </c>
      <c r="S784" s="46">
        <v>4</v>
      </c>
      <c r="T784" s="46" t="s">
        <v>1828</v>
      </c>
      <c r="U784" s="43" t="str">
        <f t="shared" si="199"/>
        <v>28-may-2024</v>
      </c>
      <c r="V784" s="43">
        <f t="shared" si="200"/>
        <v>45440</v>
      </c>
      <c r="W784" s="44">
        <f t="array" ref="W784">_xlfn.IFS(TRIM(C784)="","",TRIM(V784)="","",TRUE,V784-C784)</f>
        <v>5</v>
      </c>
      <c r="X784" s="37">
        <f t="shared" si="201"/>
        <v>1</v>
      </c>
      <c r="Y784" s="46" t="s">
        <v>172</v>
      </c>
      <c r="Z784" s="37" t="str">
        <f t="shared" si="202"/>
        <v>delayed</v>
      </c>
      <c r="AA784" s="37" t="str">
        <f t="shared" si="203"/>
        <v>Late</v>
      </c>
      <c r="AB784" s="37" t="str">
        <f t="shared" si="206"/>
        <v>1</v>
      </c>
      <c r="AC784" s="37">
        <f t="shared" si="207"/>
        <v>1</v>
      </c>
      <c r="AD784" s="45">
        <f t="shared" si="205"/>
        <v>0.527743526510481</v>
      </c>
      <c r="AE784" s="46">
        <v>2</v>
      </c>
      <c r="AF784" s="46" t="s">
        <v>286</v>
      </c>
      <c r="AG784" s="37" t="str">
        <f t="shared" si="204"/>
        <v>yes</v>
      </c>
      <c r="AH784" s="37" t="str">
        <f t="array" ref="AH784">_xlfn.IFS(LOWER(AG784)="n","no",LOWER(AG784)="y","yes",TRUE,LOWER(AG784))</f>
        <v>yes</v>
      </c>
      <c r="AI784" s="46" t="s">
        <v>4692</v>
      </c>
    </row>
    <row r="785" spans="1:35">
      <c r="A785" s="37" t="s">
        <v>2882</v>
      </c>
      <c r="B785" s="38">
        <v>45399</v>
      </c>
      <c r="C785" s="39">
        <f t="shared" si="192"/>
        <v>45399</v>
      </c>
      <c r="D785" s="40" t="s">
        <v>340</v>
      </c>
      <c r="E785" s="37" t="str" cm="1">
        <f t="array" ref="E785">_xlfn.IFS(D785="delhi","north",D785="mumbai","west",D785="bengaluru","south",D785="chennai","south",D785="kolkata","east",TRUE,"west")</f>
        <v>north</v>
      </c>
      <c r="F785" s="37" t="s">
        <v>223</v>
      </c>
      <c r="G785" s="37" t="str">
        <f t="shared" si="193"/>
        <v>xpressbees</v>
      </c>
      <c r="H785" s="37" t="s">
        <v>325</v>
      </c>
      <c r="I785" s="37" t="str">
        <f t="shared" si="194"/>
        <v>air</v>
      </c>
      <c r="J785" s="37" t="s">
        <v>425</v>
      </c>
      <c r="K785" s="37" t="str">
        <f t="shared" si="195"/>
        <v>automotiveparts</v>
      </c>
      <c r="L785" s="37" t="s">
        <v>112</v>
      </c>
      <c r="M785" s="37" t="str">
        <f t="shared" si="196"/>
        <v>north</v>
      </c>
      <c r="N785" s="37" t="s">
        <v>215</v>
      </c>
      <c r="O785" s="41" t="str">
        <f t="shared" si="197"/>
        <v>Yes</v>
      </c>
      <c r="P785" s="41">
        <v>6.7</v>
      </c>
      <c r="Q785" s="41" t="s">
        <v>2885</v>
      </c>
      <c r="R785" s="42">
        <f t="shared" si="198"/>
        <v>50.7462686567164</v>
      </c>
      <c r="S785" s="37">
        <v>2</v>
      </c>
      <c r="T785" s="37" t="s">
        <v>891</v>
      </c>
      <c r="U785" s="43" t="str">
        <f t="shared" si="199"/>
        <v>20/04/2024</v>
      </c>
      <c r="V785" s="43">
        <f t="shared" si="200"/>
        <v>45402</v>
      </c>
      <c r="W785" s="44">
        <f t="array" ref="W785">_xlfn.IFS(TRIM(C785)="","",TRIM(V785)="","",TRUE,V785-C785)</f>
        <v>3</v>
      </c>
      <c r="X785" s="37">
        <f t="shared" si="201"/>
        <v>1</v>
      </c>
      <c r="Y785" s="37" t="s">
        <v>143</v>
      </c>
      <c r="Z785" s="37" t="str">
        <f t="shared" si="202"/>
        <v>delayed</v>
      </c>
      <c r="AA785" s="37" t="str">
        <f t="shared" si="203"/>
        <v>Late</v>
      </c>
      <c r="AB785" s="37" t="str">
        <f t="shared" si="206"/>
        <v>1</v>
      </c>
      <c r="AC785" s="37">
        <f t="shared" si="207"/>
        <v>1</v>
      </c>
      <c r="AD785" s="45">
        <f t="shared" si="205"/>
        <v>0.52716049382716</v>
      </c>
      <c r="AE785" s="37">
        <v>3</v>
      </c>
      <c r="AF785" s="37" t="s">
        <v>118</v>
      </c>
      <c r="AG785" s="37" t="str">
        <f t="shared" si="204"/>
        <v>no</v>
      </c>
      <c r="AH785" s="37" t="str">
        <f t="array" ref="AH785">_xlfn.IFS(LOWER(AG785)="n","no",LOWER(AG785)="y","yes",TRUE,LOWER(AG785))</f>
        <v>no</v>
      </c>
      <c r="AI785" s="37" t="s">
        <v>4692</v>
      </c>
    </row>
    <row r="786" spans="1:35">
      <c r="A786" s="46" t="s">
        <v>2886</v>
      </c>
      <c r="B786" s="47" t="s">
        <v>4711</v>
      </c>
      <c r="C786" s="39">
        <f t="shared" si="192"/>
        <v>45431</v>
      </c>
      <c r="D786" s="48" t="s">
        <v>222</v>
      </c>
      <c r="E786" s="37" t="str" cm="1">
        <f t="array" ref="E786">_xlfn.IFS(D786="delhi","north",D786="mumbai","west",D786="bengaluru","south",D786="chennai","south",D786="kolkata","east",TRUE,"west")</f>
        <v>west</v>
      </c>
      <c r="F786" s="46" t="s">
        <v>367</v>
      </c>
      <c r="G786" s="37" t="str">
        <f t="shared" si="193"/>
        <v>dtdc</v>
      </c>
      <c r="H786" s="46" t="s">
        <v>440</v>
      </c>
      <c r="I786" s="37" t="str">
        <f t="shared" si="194"/>
        <v>road</v>
      </c>
      <c r="J786" s="46" t="s">
        <v>1112</v>
      </c>
      <c r="K786" s="37" t="str">
        <f t="shared" si="195"/>
        <v>automotiveparts</v>
      </c>
      <c r="L786" s="46" t="s">
        <v>112</v>
      </c>
      <c r="M786" s="37" t="str">
        <f t="shared" si="196"/>
        <v>north</v>
      </c>
      <c r="N786" s="46" t="s">
        <v>32</v>
      </c>
      <c r="O786" s="41" t="str">
        <f t="shared" si="197"/>
        <v>Yes</v>
      </c>
      <c r="P786" s="49">
        <v>39.5</v>
      </c>
      <c r="Q786" s="49" t="s">
        <v>2887</v>
      </c>
      <c r="R786" s="42">
        <f t="shared" si="198"/>
        <v>17.3164556962025</v>
      </c>
      <c r="S786" s="46">
        <v>8</v>
      </c>
      <c r="T786" s="46" t="s">
        <v>229</v>
      </c>
      <c r="U786" s="43" t="str">
        <f t="shared" si="199"/>
        <v>05/06/2024</v>
      </c>
      <c r="V786" s="43">
        <f t="shared" si="200"/>
        <v>45448</v>
      </c>
      <c r="W786" s="44">
        <f t="array" ref="W786">_xlfn.IFS(TRIM(C786)="","",TRIM(V786)="","",TRUE,V786-C786)</f>
        <v>17</v>
      </c>
      <c r="X786" s="37">
        <f t="shared" si="201"/>
        <v>9</v>
      </c>
      <c r="Y786" s="46" t="s">
        <v>143</v>
      </c>
      <c r="Z786" s="37" t="str">
        <f t="shared" si="202"/>
        <v>delayed</v>
      </c>
      <c r="AA786" s="37" t="str">
        <f t="shared" si="203"/>
        <v>Late</v>
      </c>
      <c r="AB786" s="37" t="str">
        <f t="shared" si="206"/>
        <v>1</v>
      </c>
      <c r="AC786" s="37">
        <f t="shared" si="207"/>
        <v>1</v>
      </c>
      <c r="AD786" s="45">
        <f t="shared" si="205"/>
        <v>0.526576019777503</v>
      </c>
      <c r="AE786" s="46">
        <v>3</v>
      </c>
      <c r="AF786" s="46" t="s">
        <v>131</v>
      </c>
      <c r="AG786" s="37" t="str">
        <f t="shared" si="204"/>
        <v>n</v>
      </c>
      <c r="AH786" s="37" t="str">
        <f t="array" ref="AH786">_xlfn.IFS(LOWER(AG786)="n","no",LOWER(AG786)="y","yes",TRUE,LOWER(AG786))</f>
        <v>no</v>
      </c>
      <c r="AI786" s="46" t="s">
        <v>4692</v>
      </c>
    </row>
    <row r="787" spans="1:35">
      <c r="A787" s="37" t="s">
        <v>2888</v>
      </c>
      <c r="B787" s="38">
        <v>45405</v>
      </c>
      <c r="C787" s="39">
        <f t="shared" si="192"/>
        <v>45405</v>
      </c>
      <c r="D787" s="40" t="s">
        <v>212</v>
      </c>
      <c r="E787" s="37" t="str" cm="1">
        <f t="array" ref="E787">_xlfn.IFS(D787="delhi","north",D787="mumbai","west",D787="bengaluru","south",D787="chennai","south",D787="kolkata","east",TRUE,"west")</f>
        <v>west</v>
      </c>
      <c r="F787" s="37" t="s">
        <v>544</v>
      </c>
      <c r="G787" s="37" t="str">
        <f t="shared" si="193"/>
        <v>bluedart</v>
      </c>
      <c r="H787" s="37" t="s">
        <v>147</v>
      </c>
      <c r="I787" s="37" t="str">
        <f t="shared" si="194"/>
        <v>road</v>
      </c>
      <c r="J787" s="37" t="s">
        <v>368</v>
      </c>
      <c r="K787" s="37" t="str">
        <f t="shared" si="195"/>
        <v>furniture</v>
      </c>
      <c r="L787" s="37" t="s">
        <v>92</v>
      </c>
      <c r="M787" s="37" t="str">
        <f t="shared" si="196"/>
        <v>east</v>
      </c>
      <c r="N787" s="37" t="s">
        <v>91</v>
      </c>
      <c r="O787" s="41" t="str">
        <f t="shared" si="197"/>
        <v>Yes</v>
      </c>
      <c r="P787" s="41">
        <v>61.3</v>
      </c>
      <c r="Q787" s="50">
        <v>1062</v>
      </c>
      <c r="R787" s="42">
        <f t="shared" si="198"/>
        <v>17.3246329526917</v>
      </c>
      <c r="S787" s="37">
        <v>8</v>
      </c>
      <c r="T787" s="37" t="s">
        <v>1945</v>
      </c>
      <c r="U787" s="43" t="str">
        <f t="shared" si="199"/>
        <v>30-apr-2024</v>
      </c>
      <c r="V787" s="43">
        <f t="shared" si="200"/>
        <v>45412</v>
      </c>
      <c r="W787" s="44">
        <f t="array" ref="W787">_xlfn.IFS(TRIM(C787)="","",TRIM(V787)="","",TRUE,V787-C787)</f>
        <v>7</v>
      </c>
      <c r="X787" s="37">
        <f t="shared" si="201"/>
        <v>-1</v>
      </c>
      <c r="Y787" s="37" t="s">
        <v>163</v>
      </c>
      <c r="Z787" s="37" t="str">
        <f t="shared" si="202"/>
        <v>delivered</v>
      </c>
      <c r="AA787" s="37" t="str">
        <f t="shared" si="203"/>
        <v>On Time</v>
      </c>
      <c r="AB787" s="37" t="str">
        <f t="shared" si="206"/>
        <v>0</v>
      </c>
      <c r="AC787" s="37">
        <f t="shared" si="207"/>
        <v>0</v>
      </c>
      <c r="AD787" s="45">
        <f t="shared" si="205"/>
        <v>0.525990099009901</v>
      </c>
      <c r="AE787" s="37">
        <v>5</v>
      </c>
      <c r="AF787" s="37" t="s">
        <v>181</v>
      </c>
      <c r="AG787" s="37" t="str">
        <f t="shared" si="204"/>
        <v>y</v>
      </c>
      <c r="AH787" s="37" t="str">
        <f t="array" ref="AH787">_xlfn.IFS(LOWER(AG787)="n","no",LOWER(AG787)="y","yes",TRUE,LOWER(AG787))</f>
        <v>yes</v>
      </c>
      <c r="AI787" s="37" t="s">
        <v>4692</v>
      </c>
    </row>
    <row r="788" spans="1:35">
      <c r="A788" s="46" t="s">
        <v>2891</v>
      </c>
      <c r="B788" s="47" t="s">
        <v>4734</v>
      </c>
      <c r="C788" s="39">
        <f t="shared" si="192"/>
        <v>45454</v>
      </c>
      <c r="D788" s="48" t="s">
        <v>4695</v>
      </c>
      <c r="E788" s="37" t="str" cm="1">
        <f t="array" ref="E788">_xlfn.IFS(D788="delhi","north",D788="mumbai","west",D788="bengaluru","south",D788="chennai","south",D788="kolkata","east",TRUE,"west")</f>
        <v>west</v>
      </c>
      <c r="F788" s="46" t="s">
        <v>230</v>
      </c>
      <c r="G788" s="37" t="str">
        <f t="shared" si="193"/>
        <v>dtdc</v>
      </c>
      <c r="H788" s="46" t="s">
        <v>185</v>
      </c>
      <c r="I788" s="37" t="str">
        <f t="shared" si="194"/>
        <v>surface</v>
      </c>
      <c r="J788" s="46" t="s">
        <v>326</v>
      </c>
      <c r="K788" s="37" t="str">
        <f t="shared" si="195"/>
        <v>apparel</v>
      </c>
      <c r="L788" s="46" t="s">
        <v>112</v>
      </c>
      <c r="M788" s="37" t="str">
        <f t="shared" si="196"/>
        <v>north</v>
      </c>
      <c r="N788" s="46" t="s">
        <v>354</v>
      </c>
      <c r="O788" s="41" t="str">
        <f t="shared" si="197"/>
        <v>Yes</v>
      </c>
      <c r="P788" s="49">
        <v>2.5</v>
      </c>
      <c r="Q788" s="49" t="s">
        <v>2892</v>
      </c>
      <c r="R788" s="42">
        <f t="shared" si="198"/>
        <v>79.6</v>
      </c>
      <c r="S788" s="46">
        <v>6</v>
      </c>
      <c r="T788" s="46" t="s">
        <v>571</v>
      </c>
      <c r="U788" s="43" t="str">
        <f t="shared" si="199"/>
        <v>17-jun-2024</v>
      </c>
      <c r="V788" s="43">
        <f t="shared" si="200"/>
        <v>45460</v>
      </c>
      <c r="W788" s="44">
        <f t="array" ref="W788">_xlfn.IFS(TRIM(C788)="","",TRIM(V788)="","",TRUE,V788-C788)</f>
        <v>6</v>
      </c>
      <c r="X788" s="37">
        <f t="shared" si="201"/>
        <v>0</v>
      </c>
      <c r="Y788" s="46" t="s">
        <v>219</v>
      </c>
      <c r="Z788" s="37" t="str">
        <f t="shared" si="202"/>
        <v>delivered</v>
      </c>
      <c r="AA788" s="37" t="str">
        <f t="shared" si="203"/>
        <v>On Time</v>
      </c>
      <c r="AB788" s="37" t="str">
        <f t="shared" si="206"/>
        <v>0</v>
      </c>
      <c r="AC788" s="37">
        <f t="shared" si="207"/>
        <v>0</v>
      </c>
      <c r="AD788" s="45">
        <f t="shared" si="205"/>
        <v>0.526641883519207</v>
      </c>
      <c r="AE788" s="46">
        <v>5</v>
      </c>
      <c r="AF788" s="46" t="s">
        <v>79</v>
      </c>
      <c r="AG788" s="37" t="str">
        <f t="shared" si="204"/>
        <v>yes</v>
      </c>
      <c r="AH788" s="37" t="str">
        <f t="array" ref="AH788">_xlfn.IFS(LOWER(AG788)="n","no",LOWER(AG788)="y","yes",TRUE,LOWER(AG788))</f>
        <v>yes</v>
      </c>
      <c r="AI788" s="46" t="s">
        <v>4692</v>
      </c>
    </row>
    <row r="789" spans="1:35">
      <c r="A789" s="37" t="s">
        <v>2893</v>
      </c>
      <c r="B789" s="38">
        <v>45450</v>
      </c>
      <c r="C789" s="39">
        <f t="shared" si="192"/>
        <v>45450</v>
      </c>
      <c r="D789" s="40" t="s">
        <v>366</v>
      </c>
      <c r="E789" s="37" t="str" cm="1">
        <f t="array" ref="E789">_xlfn.IFS(D789="delhi","north",D789="mumbai","west",D789="bengaluru","south",D789="chennai","south",D789="kolkata","east",TRUE,"west")</f>
        <v>east</v>
      </c>
      <c r="F789" s="37" t="s">
        <v>213</v>
      </c>
      <c r="G789" s="37" t="str">
        <f t="shared" si="193"/>
        <v>dtdc</v>
      </c>
      <c r="H789" s="37" t="s">
        <v>195</v>
      </c>
      <c r="I789" s="37" t="str">
        <f t="shared" si="194"/>
        <v>road</v>
      </c>
      <c r="J789" s="37" t="s">
        <v>148</v>
      </c>
      <c r="K789" s="37" t="str">
        <f t="shared" si="195"/>
        <v>electronics</v>
      </c>
      <c r="L789" s="37" t="s">
        <v>380</v>
      </c>
      <c r="M789" s="37" t="str">
        <f t="shared" si="196"/>
        <v>east</v>
      </c>
      <c r="N789" s="37" t="s">
        <v>396</v>
      </c>
      <c r="O789" s="41" t="str">
        <f t="shared" si="197"/>
        <v>Yes</v>
      </c>
      <c r="P789" s="41">
        <v>14.7</v>
      </c>
      <c r="Q789" s="41">
        <v>239</v>
      </c>
      <c r="R789" s="42">
        <f t="shared" si="198"/>
        <v>16.2585034013605</v>
      </c>
      <c r="S789" s="37">
        <v>6</v>
      </c>
      <c r="T789" s="37" t="s">
        <v>2147</v>
      </c>
      <c r="U789" s="43" t="str">
        <f t="shared" si="199"/>
        <v>14/06/2024</v>
      </c>
      <c r="V789" s="43">
        <f t="shared" si="200"/>
        <v>45457</v>
      </c>
      <c r="W789" s="44">
        <f t="array" ref="W789">_xlfn.IFS(TRIM(C789)="","",TRIM(V789)="","",TRUE,V789-C789)</f>
        <v>7</v>
      </c>
      <c r="X789" s="37">
        <f t="shared" si="201"/>
        <v>1</v>
      </c>
      <c r="Y789" s="37" t="s">
        <v>143</v>
      </c>
      <c r="Z789" s="37" t="str">
        <f t="shared" si="202"/>
        <v>delayed</v>
      </c>
      <c r="AA789" s="37" t="str">
        <f t="shared" si="203"/>
        <v>Late</v>
      </c>
      <c r="AB789" s="37" t="str">
        <f t="shared" si="206"/>
        <v>1</v>
      </c>
      <c r="AC789" s="37">
        <f t="shared" si="207"/>
        <v>1</v>
      </c>
      <c r="AD789" s="45">
        <f t="shared" si="205"/>
        <v>0.527295285359802</v>
      </c>
      <c r="AE789" s="37">
        <v>4</v>
      </c>
      <c r="AF789" s="37" t="s">
        <v>79</v>
      </c>
      <c r="AG789" s="37" t="str">
        <f t="shared" si="204"/>
        <v>yes</v>
      </c>
      <c r="AH789" s="37" t="str">
        <f t="array" ref="AH789">_xlfn.IFS(LOWER(AG789)="n","no",LOWER(AG789)="y","yes",TRUE,LOWER(AG789))</f>
        <v>yes</v>
      </c>
      <c r="AI789" s="37" t="s">
        <v>4692</v>
      </c>
    </row>
    <row r="790" spans="1:35">
      <c r="A790" s="46" t="s">
        <v>2895</v>
      </c>
      <c r="B790" s="47">
        <v>45354</v>
      </c>
      <c r="C790" s="39">
        <f t="shared" si="192"/>
        <v>45354</v>
      </c>
      <c r="D790" s="48" t="s">
        <v>212</v>
      </c>
      <c r="E790" s="37" t="str" cm="1">
        <f t="array" ref="E790">_xlfn.IFS(D790="delhi","north",D790="mumbai","west",D790="bengaluru","south",D790="chennai","south",D790="kolkata","east",TRUE,"west")</f>
        <v>west</v>
      </c>
      <c r="F790" s="46" t="s">
        <v>146</v>
      </c>
      <c r="G790" s="37" t="str">
        <f t="shared" si="193"/>
        <v>ecomexpress</v>
      </c>
      <c r="H790" s="46" t="s">
        <v>137</v>
      </c>
      <c r="I790" s="37" t="str">
        <f t="shared" si="194"/>
        <v>road</v>
      </c>
      <c r="J790" s="46" t="s">
        <v>533</v>
      </c>
      <c r="K790" s="37" t="str">
        <f t="shared" si="195"/>
        <v>pharma</v>
      </c>
      <c r="L790" s="46" t="s">
        <v>302</v>
      </c>
      <c r="M790" s="37" t="str">
        <f t="shared" si="196"/>
        <v>east</v>
      </c>
      <c r="N790" s="46" t="s">
        <v>126</v>
      </c>
      <c r="O790" s="41" t="str">
        <f t="shared" si="197"/>
        <v>Yes</v>
      </c>
      <c r="P790" s="49">
        <v>0.9</v>
      </c>
      <c r="Q790" s="49" t="s">
        <v>2896</v>
      </c>
      <c r="R790" s="42">
        <f t="shared" si="198"/>
        <v>218.888888888889</v>
      </c>
      <c r="S790" s="46">
        <v>8</v>
      </c>
      <c r="T790" s="46" t="s">
        <v>2354</v>
      </c>
      <c r="U790" s="43" t="str">
        <f t="shared" si="199"/>
        <v>11-mar-2024</v>
      </c>
      <c r="V790" s="43">
        <f t="shared" si="200"/>
        <v>45362</v>
      </c>
      <c r="W790" s="44">
        <f t="array" ref="W790">_xlfn.IFS(TRIM(C790)="","",TRIM(V790)="","",TRUE,V790-C790)</f>
        <v>8</v>
      </c>
      <c r="X790" s="37">
        <f t="shared" si="201"/>
        <v>0</v>
      </c>
      <c r="Y790" s="46" t="s">
        <v>105</v>
      </c>
      <c r="Z790" s="37" t="str">
        <f t="shared" si="202"/>
        <v>delivered</v>
      </c>
      <c r="AA790" s="37" t="str">
        <f t="shared" si="203"/>
        <v>On Time</v>
      </c>
      <c r="AB790" s="37" t="str">
        <f t="shared" si="206"/>
        <v>0</v>
      </c>
      <c r="AC790" s="37">
        <f t="shared" si="207"/>
        <v>0</v>
      </c>
      <c r="AD790" s="45">
        <f t="shared" si="205"/>
        <v>0.526708074534161</v>
      </c>
      <c r="AE790" s="46">
        <v>5</v>
      </c>
      <c r="AF790" s="46" t="s">
        <v>191</v>
      </c>
      <c r="AG790" s="37" t="str">
        <f t="shared" si="204"/>
        <v>no</v>
      </c>
      <c r="AH790" s="37" t="str">
        <f t="array" ref="AH790">_xlfn.IFS(LOWER(AG790)="n","no",LOWER(AG790)="y","yes",TRUE,LOWER(AG790))</f>
        <v>no</v>
      </c>
      <c r="AI790" s="46" t="s">
        <v>4692</v>
      </c>
    </row>
    <row r="791" spans="1:35">
      <c r="A791" s="37" t="s">
        <v>2897</v>
      </c>
      <c r="B791" s="38" t="s">
        <v>4733</v>
      </c>
      <c r="C791" s="39">
        <f t="shared" si="192"/>
        <v>45356</v>
      </c>
      <c r="D791" s="40" t="s">
        <v>424</v>
      </c>
      <c r="E791" s="37" t="str" cm="1">
        <f t="array" ref="E791">_xlfn.IFS(D791="delhi","north",D791="mumbai","west",D791="bengaluru","south",D791="chennai","south",D791="kolkata","east",TRUE,"west")</f>
        <v>south</v>
      </c>
      <c r="F791" s="37" t="s">
        <v>213</v>
      </c>
      <c r="G791" s="37" t="str">
        <f t="shared" si="193"/>
        <v>dtdc</v>
      </c>
      <c r="H791" s="37" t="s">
        <v>440</v>
      </c>
      <c r="I791" s="37" t="str">
        <f t="shared" si="194"/>
        <v>road</v>
      </c>
      <c r="J791" s="37" t="s">
        <v>313</v>
      </c>
      <c r="K791" s="37" t="str">
        <f t="shared" si="195"/>
        <v>automotiveparts</v>
      </c>
      <c r="L791" s="37" t="s">
        <v>264</v>
      </c>
      <c r="M791" s="37" t="str">
        <f t="shared" si="196"/>
        <v>west</v>
      </c>
      <c r="N791" s="37" t="s">
        <v>88</v>
      </c>
      <c r="O791" s="41" t="str">
        <f t="shared" si="197"/>
        <v>Yes</v>
      </c>
      <c r="P791" s="41">
        <v>20.7</v>
      </c>
      <c r="Q791" s="41">
        <v>418</v>
      </c>
      <c r="R791" s="42">
        <f t="shared" si="198"/>
        <v>20.1932367149758</v>
      </c>
      <c r="S791" s="37">
        <v>8</v>
      </c>
      <c r="T791" s="37" t="s">
        <v>1564</v>
      </c>
      <c r="U791" s="43" t="str">
        <f t="shared" si="199"/>
        <v>12-mar-2024</v>
      </c>
      <c r="V791" s="43">
        <f t="shared" si="200"/>
        <v>45363</v>
      </c>
      <c r="W791" s="44">
        <f t="array" ref="W791">_xlfn.IFS(TRIM(C791)="","",TRIM(V791)="","",TRUE,V791-C791)</f>
        <v>7</v>
      </c>
      <c r="X791" s="37">
        <f t="shared" si="201"/>
        <v>-1</v>
      </c>
      <c r="Y791" s="37" t="s">
        <v>105</v>
      </c>
      <c r="Z791" s="37" t="str">
        <f t="shared" si="202"/>
        <v>delivered</v>
      </c>
      <c r="AA791" s="37" t="str">
        <f t="shared" si="203"/>
        <v>On Time</v>
      </c>
      <c r="AB791" s="37" t="str">
        <f t="shared" si="206"/>
        <v>0</v>
      </c>
      <c r="AC791" s="37">
        <f t="shared" si="207"/>
        <v>0</v>
      </c>
      <c r="AD791" s="45">
        <f t="shared" si="205"/>
        <v>0.527363184079602</v>
      </c>
      <c r="AE791" s="37">
        <v>5</v>
      </c>
      <c r="AF791" s="37" t="s">
        <v>118</v>
      </c>
      <c r="AG791" s="37" t="str">
        <f t="shared" si="204"/>
        <v>no</v>
      </c>
      <c r="AH791" s="37" t="str">
        <f t="array" ref="AH791">_xlfn.IFS(LOWER(AG791)="n","no",LOWER(AG791)="y","yes",TRUE,LOWER(AG791))</f>
        <v>no</v>
      </c>
      <c r="AI791" s="37" t="s">
        <v>4692</v>
      </c>
    </row>
    <row r="792" spans="1:35">
      <c r="A792" s="46" t="s">
        <v>2899</v>
      </c>
      <c r="B792" s="47">
        <v>45294</v>
      </c>
      <c r="C792" s="39">
        <f t="shared" si="192"/>
        <v>45294</v>
      </c>
      <c r="D792" s="48" t="s">
        <v>166</v>
      </c>
      <c r="E792" s="37" t="str" cm="1">
        <f t="array" ref="E792">_xlfn.IFS(D792="delhi","north",D792="mumbai","west",D792="bengaluru","south",D792="chennai","south",D792="kolkata","east",TRUE,"west")</f>
        <v>west</v>
      </c>
      <c r="F792" s="46" t="s">
        <v>156</v>
      </c>
      <c r="G792" s="37" t="str">
        <f t="shared" si="193"/>
        <v>xpressbees</v>
      </c>
      <c r="H792" s="46" t="s">
        <v>325</v>
      </c>
      <c r="I792" s="37" t="str">
        <f t="shared" si="194"/>
        <v>air</v>
      </c>
      <c r="J792" s="46" t="s">
        <v>205</v>
      </c>
      <c r="K792" s="37" t="str">
        <f t="shared" si="195"/>
        <v>furniture</v>
      </c>
      <c r="L792" s="46" t="s">
        <v>197</v>
      </c>
      <c r="M792" s="37" t="str">
        <f t="shared" si="196"/>
        <v>south</v>
      </c>
      <c r="N792" s="46" t="s">
        <v>327</v>
      </c>
      <c r="O792" s="41" t="str">
        <f t="shared" si="197"/>
        <v>Yes</v>
      </c>
      <c r="P792" s="49">
        <v>25.7</v>
      </c>
      <c r="Q792" s="49" t="s">
        <v>2900</v>
      </c>
      <c r="R792" s="42">
        <f t="shared" si="198"/>
        <v>49.8832684824903</v>
      </c>
      <c r="S792" s="46">
        <v>4</v>
      </c>
      <c r="T792" s="46" t="s">
        <v>1475</v>
      </c>
      <c r="U792" s="43" t="str">
        <f t="shared" si="199"/>
        <v>08/01/2024</v>
      </c>
      <c r="V792" s="43">
        <f t="shared" si="200"/>
        <v>45299</v>
      </c>
      <c r="W792" s="44">
        <f t="array" ref="W792">_xlfn.IFS(TRIM(C792)="","",TRIM(V792)="","",TRUE,V792-C792)</f>
        <v>5</v>
      </c>
      <c r="X792" s="37">
        <f t="shared" si="201"/>
        <v>1</v>
      </c>
      <c r="Y792" s="46" t="s">
        <v>2041</v>
      </c>
      <c r="Z792" s="37" t="str">
        <f t="shared" si="202"/>
        <v>returned</v>
      </c>
      <c r="AA792" s="37" t="str">
        <f t="shared" si="203"/>
        <v>Late</v>
      </c>
      <c r="AB792" s="37" t="str">
        <f t="shared" si="206"/>
        <v>1</v>
      </c>
      <c r="AC792" s="37">
        <f t="shared" si="207"/>
        <v>1</v>
      </c>
      <c r="AD792" s="45">
        <f t="shared" si="205"/>
        <v>0.528019925280199</v>
      </c>
      <c r="AE792" s="46"/>
      <c r="AF792" s="46" t="s">
        <v>152</v>
      </c>
      <c r="AG792" s="37" t="str">
        <f t="shared" si="204"/>
        <v>no</v>
      </c>
      <c r="AH792" s="37" t="str">
        <f t="array" ref="AH792">_xlfn.IFS(LOWER(AG792)="n","no",LOWER(AG792)="y","yes",TRUE,LOWER(AG792))</f>
        <v>no</v>
      </c>
      <c r="AI792" s="46" t="s">
        <v>818</v>
      </c>
    </row>
    <row r="793" spans="1:35">
      <c r="A793" s="37" t="s">
        <v>2901</v>
      </c>
      <c r="B793" s="38">
        <v>45431</v>
      </c>
      <c r="C793" s="39">
        <f t="shared" si="192"/>
        <v>45431</v>
      </c>
      <c r="D793" s="40" t="s">
        <v>109</v>
      </c>
      <c r="E793" s="37" t="str" cm="1">
        <f t="array" ref="E793">_xlfn.IFS(D793="delhi","north",D793="mumbai","west",D793="bengaluru","south",D793="chennai","south",D793="kolkata","east",TRUE,"west")</f>
        <v>west</v>
      </c>
      <c r="F793" s="37" t="s">
        <v>312</v>
      </c>
      <c r="G793" s="37" t="str">
        <f t="shared" si="193"/>
        <v>bluedart</v>
      </c>
      <c r="H793" s="37" t="s">
        <v>99</v>
      </c>
      <c r="I793" s="37" t="str">
        <f t="shared" si="194"/>
        <v>air</v>
      </c>
      <c r="J793" s="37" t="s">
        <v>425</v>
      </c>
      <c r="K793" s="37" t="str">
        <f t="shared" si="195"/>
        <v>automotiveparts</v>
      </c>
      <c r="L793" s="37" t="s">
        <v>418</v>
      </c>
      <c r="M793" s="37" t="str">
        <f t="shared" si="196"/>
        <v>south</v>
      </c>
      <c r="N793" s="37" t="s">
        <v>327</v>
      </c>
      <c r="O793" s="41" t="str">
        <f t="shared" si="197"/>
        <v>Yes</v>
      </c>
      <c r="P793" s="41" t="s">
        <v>2903</v>
      </c>
      <c r="Q793" s="41" t="s">
        <v>2904</v>
      </c>
      <c r="R793" s="42">
        <f t="shared" si="198"/>
        <v>56.3924050632911</v>
      </c>
      <c r="S793" s="37">
        <v>4</v>
      </c>
      <c r="T793" s="37" t="s">
        <v>2905</v>
      </c>
      <c r="U793" s="43" t="str">
        <f t="shared" si="199"/>
        <v>2024-05-24</v>
      </c>
      <c r="V793" s="43">
        <f t="shared" si="200"/>
        <v>45436</v>
      </c>
      <c r="W793" s="44">
        <f t="array" ref="W793">_xlfn.IFS(TRIM(C793)="","",TRIM(V793)="","",TRUE,V793-C793)</f>
        <v>5</v>
      </c>
      <c r="X793" s="37">
        <f t="shared" si="201"/>
        <v>1</v>
      </c>
      <c r="Y793" s="37" t="s">
        <v>624</v>
      </c>
      <c r="Z793" s="37" t="str">
        <f t="shared" si="202"/>
        <v>returned</v>
      </c>
      <c r="AA793" s="37" t="str">
        <f t="shared" si="203"/>
        <v>Late</v>
      </c>
      <c r="AB793" s="37" t="str">
        <f t="shared" si="206"/>
        <v>1</v>
      </c>
      <c r="AC793" s="37">
        <f t="shared" si="207"/>
        <v>1</v>
      </c>
      <c r="AD793" s="45">
        <f t="shared" si="205"/>
        <v>0.527431421446384</v>
      </c>
      <c r="AE793" s="37"/>
      <c r="AF793" s="37" t="s">
        <v>152</v>
      </c>
      <c r="AG793" s="37" t="str">
        <f t="shared" si="204"/>
        <v>no</v>
      </c>
      <c r="AH793" s="37" t="str">
        <f t="array" ref="AH793">_xlfn.IFS(LOWER(AG793)="n","no",LOWER(AG793)="y","yes",TRUE,LOWER(AG793))</f>
        <v>no</v>
      </c>
      <c r="AI793" s="37" t="s">
        <v>625</v>
      </c>
    </row>
    <row r="794" spans="1:35">
      <c r="A794" s="46" t="s">
        <v>2906</v>
      </c>
      <c r="B794" s="47">
        <v>45432</v>
      </c>
      <c r="C794" s="39">
        <f t="shared" si="192"/>
        <v>45432</v>
      </c>
      <c r="D794" s="48" t="s">
        <v>212</v>
      </c>
      <c r="E794" s="37" t="str" cm="1">
        <f t="array" ref="E794">_xlfn.IFS(D794="delhi","north",D794="mumbai","west",D794="bengaluru","south",D794="chennai","south",D794="kolkata","east",TRUE,"west")</f>
        <v>west</v>
      </c>
      <c r="F794" s="46" t="s">
        <v>270</v>
      </c>
      <c r="G794" s="37" t="str">
        <f t="shared" si="193"/>
        <v>ecomexpress</v>
      </c>
      <c r="H794" s="46" t="s">
        <v>42</v>
      </c>
      <c r="I794" s="37" t="str">
        <f t="shared" si="194"/>
        <v>surface</v>
      </c>
      <c r="J794" s="46" t="s">
        <v>360</v>
      </c>
      <c r="K794" s="37" t="str">
        <f t="shared" si="195"/>
        <v>furniture</v>
      </c>
      <c r="L794" s="46" t="s">
        <v>346</v>
      </c>
      <c r="M794" s="37" t="str">
        <f t="shared" si="196"/>
        <v>north</v>
      </c>
      <c r="N794" s="46" t="s">
        <v>32</v>
      </c>
      <c r="O794" s="41" t="str">
        <f t="shared" si="197"/>
        <v>Yes</v>
      </c>
      <c r="P794" s="49">
        <v>45.6</v>
      </c>
      <c r="Q794" s="49" t="s">
        <v>2908</v>
      </c>
      <c r="R794" s="42">
        <f t="shared" si="198"/>
        <v>24.7587719298246</v>
      </c>
      <c r="S794" s="46">
        <v>6</v>
      </c>
      <c r="T794" s="46" t="s">
        <v>1397</v>
      </c>
      <c r="U794" s="43" t="str">
        <f t="shared" si="199"/>
        <v>2024-05-25</v>
      </c>
      <c r="V794" s="43">
        <f t="shared" si="200"/>
        <v>45437</v>
      </c>
      <c r="W794" s="44">
        <f t="array" ref="W794">_xlfn.IFS(TRIM(C794)="","",TRIM(V794)="","",TRUE,V794-C794)</f>
        <v>5</v>
      </c>
      <c r="X794" s="37">
        <f t="shared" si="201"/>
        <v>-1</v>
      </c>
      <c r="Y794" s="46" t="s">
        <v>163</v>
      </c>
      <c r="Z794" s="37" t="str">
        <f t="shared" si="202"/>
        <v>delivered</v>
      </c>
      <c r="AA794" s="37" t="str">
        <f t="shared" si="203"/>
        <v>On Time</v>
      </c>
      <c r="AB794" s="37" t="str">
        <f t="shared" si="206"/>
        <v>0</v>
      </c>
      <c r="AC794" s="37">
        <f t="shared" si="207"/>
        <v>0</v>
      </c>
      <c r="AD794" s="45">
        <f t="shared" si="205"/>
        <v>0.526841448189763</v>
      </c>
      <c r="AE794" s="46">
        <v>3</v>
      </c>
      <c r="AF794" s="46" t="s">
        <v>106</v>
      </c>
      <c r="AG794" s="37" t="str">
        <f t="shared" si="204"/>
        <v>yes</v>
      </c>
      <c r="AH794" s="37" t="str">
        <f t="array" ref="AH794">_xlfn.IFS(LOWER(AG794)="n","no",LOWER(AG794)="y","yes",TRUE,LOWER(AG794))</f>
        <v>yes</v>
      </c>
      <c r="AI794" s="46" t="s">
        <v>4692</v>
      </c>
    </row>
    <row r="795" spans="1:35">
      <c r="A795" s="37" t="s">
        <v>2909</v>
      </c>
      <c r="B795" s="38">
        <v>45343</v>
      </c>
      <c r="C795" s="39">
        <f t="shared" si="192"/>
        <v>45343</v>
      </c>
      <c r="D795" s="40" t="s">
        <v>340</v>
      </c>
      <c r="E795" s="37" t="str" cm="1">
        <f t="array" ref="E795">_xlfn.IFS(D795="delhi","north",D795="mumbai","west",D795="bengaluru","south",D795="chennai","south",D795="kolkata","east",TRUE,"west")</f>
        <v>north</v>
      </c>
      <c r="F795" s="37" t="s">
        <v>194</v>
      </c>
      <c r="G795" s="37" t="str">
        <f t="shared" si="193"/>
        <v>xpressbees</v>
      </c>
      <c r="H795" s="37" t="s">
        <v>325</v>
      </c>
      <c r="I795" s="37" t="str">
        <f t="shared" si="194"/>
        <v>air</v>
      </c>
      <c r="J795" s="37" t="s">
        <v>158</v>
      </c>
      <c r="K795" s="37" t="str">
        <f t="shared" si="195"/>
        <v>pharma</v>
      </c>
      <c r="L795" s="37" t="s">
        <v>197</v>
      </c>
      <c r="M795" s="37" t="str">
        <f t="shared" si="196"/>
        <v>south</v>
      </c>
      <c r="N795" s="37" t="s">
        <v>93</v>
      </c>
      <c r="O795" s="41" t="str">
        <f t="shared" si="197"/>
        <v>Yes</v>
      </c>
      <c r="P795" s="41">
        <v>4.9</v>
      </c>
      <c r="Q795" s="41">
        <v>369</v>
      </c>
      <c r="R795" s="42">
        <f t="shared" si="198"/>
        <v>75.3061224489796</v>
      </c>
      <c r="S795" s="37">
        <v>4</v>
      </c>
      <c r="T795" s="37" t="s">
        <v>324</v>
      </c>
      <c r="U795" s="43" t="str">
        <f t="shared" si="199"/>
        <v>26/02/2024</v>
      </c>
      <c r="V795" s="43">
        <f t="shared" si="200"/>
        <v>45348</v>
      </c>
      <c r="W795" s="44">
        <f t="array" ref="W795">_xlfn.IFS(TRIM(C795)="","",TRIM(V795)="","",TRUE,V795-C795)</f>
        <v>5</v>
      </c>
      <c r="X795" s="37">
        <f t="shared" si="201"/>
        <v>1</v>
      </c>
      <c r="Y795" s="37" t="s">
        <v>172</v>
      </c>
      <c r="Z795" s="37" t="str">
        <f t="shared" si="202"/>
        <v>delayed</v>
      </c>
      <c r="AA795" s="37" t="str">
        <f t="shared" si="203"/>
        <v>Late</v>
      </c>
      <c r="AB795" s="37" t="str">
        <f t="shared" si="206"/>
        <v>1</v>
      </c>
      <c r="AC795" s="37">
        <f t="shared" si="207"/>
        <v>1</v>
      </c>
      <c r="AD795" s="45">
        <f t="shared" si="205"/>
        <v>0.5275</v>
      </c>
      <c r="AE795" s="37">
        <v>3</v>
      </c>
      <c r="AF795" s="37" t="s">
        <v>131</v>
      </c>
      <c r="AG795" s="37" t="str">
        <f t="shared" si="204"/>
        <v>n</v>
      </c>
      <c r="AH795" s="37" t="str">
        <f t="array" ref="AH795">_xlfn.IFS(LOWER(AG795)="n","no",LOWER(AG795)="y","yes",TRUE,LOWER(AG795))</f>
        <v>no</v>
      </c>
      <c r="AI795" s="37" t="s">
        <v>4692</v>
      </c>
    </row>
    <row r="796" spans="1:35">
      <c r="A796" s="46" t="s">
        <v>2910</v>
      </c>
      <c r="B796" s="47">
        <v>45336</v>
      </c>
      <c r="C796" s="39">
        <f t="shared" si="192"/>
        <v>45336</v>
      </c>
      <c r="D796" s="48" t="s">
        <v>300</v>
      </c>
      <c r="E796" s="37" t="str" cm="1">
        <f t="array" ref="E796">_xlfn.IFS(D796="delhi","north",D796="mumbai","west",D796="bengaluru","south",D796="chennai","south",D796="kolkata","east",TRUE,"west")</f>
        <v>west</v>
      </c>
      <c r="F796" s="46" t="s">
        <v>919</v>
      </c>
      <c r="G796" s="37" t="str">
        <f t="shared" si="193"/>
        <v>xpressbees</v>
      </c>
      <c r="H796" s="46" t="s">
        <v>176</v>
      </c>
      <c r="I796" s="37" t="str">
        <f t="shared" si="194"/>
        <v>road</v>
      </c>
      <c r="J796" s="46" t="s">
        <v>301</v>
      </c>
      <c r="K796" s="37" t="str">
        <f t="shared" si="195"/>
        <v>furniture</v>
      </c>
      <c r="L796" s="46" t="s">
        <v>302</v>
      </c>
      <c r="M796" s="37" t="str">
        <f t="shared" si="196"/>
        <v>east</v>
      </c>
      <c r="N796" s="46" t="s">
        <v>126</v>
      </c>
      <c r="O796" s="41" t="str">
        <f t="shared" si="197"/>
        <v>Yes</v>
      </c>
      <c r="P796" s="49">
        <v>52.9</v>
      </c>
      <c r="Q796" s="49" t="s">
        <v>2913</v>
      </c>
      <c r="R796" s="42">
        <f t="shared" si="198"/>
        <v>17.882797731569</v>
      </c>
      <c r="S796" s="46">
        <v>8</v>
      </c>
      <c r="T796" s="46" t="s">
        <v>2531</v>
      </c>
      <c r="U796" s="43" t="str">
        <f t="shared" si="199"/>
        <v>23-feb-2024</v>
      </c>
      <c r="V796" s="43">
        <f t="shared" si="200"/>
        <v>45345</v>
      </c>
      <c r="W796" s="44">
        <f t="array" ref="W796">_xlfn.IFS(TRIM(C796)="","",TRIM(V796)="","",TRUE,V796-C796)</f>
        <v>9</v>
      </c>
      <c r="X796" s="37">
        <f t="shared" si="201"/>
        <v>1</v>
      </c>
      <c r="Y796" s="46" t="s">
        <v>200</v>
      </c>
      <c r="Z796" s="37" t="str">
        <f t="shared" si="202"/>
        <v>delayed</v>
      </c>
      <c r="AA796" s="37" t="str">
        <f t="shared" si="203"/>
        <v>Late</v>
      </c>
      <c r="AB796" s="37" t="str">
        <f t="shared" si="206"/>
        <v>1</v>
      </c>
      <c r="AC796" s="37">
        <f t="shared" si="207"/>
        <v>1</v>
      </c>
      <c r="AD796" s="45">
        <f t="shared" si="205"/>
        <v>0.526908635794743</v>
      </c>
      <c r="AE796" s="46">
        <v>3</v>
      </c>
      <c r="AF796" s="46" t="s">
        <v>131</v>
      </c>
      <c r="AG796" s="37" t="str">
        <f t="shared" si="204"/>
        <v>n</v>
      </c>
      <c r="AH796" s="37" t="str">
        <f t="array" ref="AH796">_xlfn.IFS(LOWER(AG796)="n","no",LOWER(AG796)="y","yes",TRUE,LOWER(AG796))</f>
        <v>no</v>
      </c>
      <c r="AI796" s="46" t="s">
        <v>4692</v>
      </c>
    </row>
    <row r="797" spans="1:35">
      <c r="A797" s="37" t="s">
        <v>2914</v>
      </c>
      <c r="B797" s="38" t="s">
        <v>4755</v>
      </c>
      <c r="C797" s="39">
        <f t="shared" si="192"/>
        <v>45440</v>
      </c>
      <c r="D797" s="40" t="s">
        <v>633</v>
      </c>
      <c r="E797" s="37" t="str" cm="1">
        <f t="array" ref="E797">_xlfn.IFS(D797="delhi","north",D797="mumbai","west",D797="bengaluru","south",D797="chennai","south",D797="kolkata","east",TRUE,"west")</f>
        <v>south</v>
      </c>
      <c r="F797" s="37" t="s">
        <v>230</v>
      </c>
      <c r="G797" s="37" t="str">
        <f t="shared" si="193"/>
        <v>dtdc</v>
      </c>
      <c r="H797" s="37" t="s">
        <v>42</v>
      </c>
      <c r="I797" s="37" t="str">
        <f t="shared" si="194"/>
        <v>surface</v>
      </c>
      <c r="J797" s="37" t="s">
        <v>205</v>
      </c>
      <c r="K797" s="37" t="str">
        <f t="shared" si="195"/>
        <v>furniture</v>
      </c>
      <c r="L797" s="37" t="s">
        <v>159</v>
      </c>
      <c r="M797" s="37" t="str">
        <f t="shared" si="196"/>
        <v>south</v>
      </c>
      <c r="N797" s="37" t="s">
        <v>93</v>
      </c>
      <c r="O797" s="41" t="str">
        <f t="shared" si="197"/>
        <v>Yes</v>
      </c>
      <c r="P797" s="41">
        <v>41.5</v>
      </c>
      <c r="Q797" s="41">
        <v>967</v>
      </c>
      <c r="R797" s="42">
        <f t="shared" si="198"/>
        <v>23.3012048192771</v>
      </c>
      <c r="S797" s="37">
        <v>4</v>
      </c>
      <c r="T797" s="37" t="s">
        <v>256</v>
      </c>
      <c r="U797" s="43" t="str">
        <f t="shared" si="199"/>
        <v>2024-06-04</v>
      </c>
      <c r="V797" s="43">
        <f t="shared" si="200"/>
        <v>45447</v>
      </c>
      <c r="W797" s="44">
        <f t="array" ref="W797">_xlfn.IFS(TRIM(C797)="","",TRIM(V797)="","",TRUE,V797-C797)</f>
        <v>7</v>
      </c>
      <c r="X797" s="37">
        <f t="shared" si="201"/>
        <v>3</v>
      </c>
      <c r="Y797" s="37" t="s">
        <v>72</v>
      </c>
      <c r="Z797" s="37" t="str">
        <f t="shared" si="202"/>
        <v>delayed</v>
      </c>
      <c r="AA797" s="37" t="str">
        <f t="shared" si="203"/>
        <v>Late</v>
      </c>
      <c r="AB797" s="37" t="str">
        <f t="shared" si="206"/>
        <v>1</v>
      </c>
      <c r="AC797" s="37">
        <f t="shared" si="207"/>
        <v>1</v>
      </c>
      <c r="AD797" s="45">
        <f t="shared" si="205"/>
        <v>0.526315789473684</v>
      </c>
      <c r="AE797" s="37">
        <v>5</v>
      </c>
      <c r="AF797" s="37" t="s">
        <v>131</v>
      </c>
      <c r="AG797" s="37" t="str">
        <f t="shared" si="204"/>
        <v>n</v>
      </c>
      <c r="AH797" s="37" t="str">
        <f t="array" ref="AH797">_xlfn.IFS(LOWER(AG797)="n","no",LOWER(AG797)="y","yes",TRUE,LOWER(AG797))</f>
        <v>no</v>
      </c>
      <c r="AI797" s="37" t="s">
        <v>4692</v>
      </c>
    </row>
    <row r="798" spans="1:35">
      <c r="A798" s="46" t="s">
        <v>2917</v>
      </c>
      <c r="B798" s="47">
        <v>45335</v>
      </c>
      <c r="C798" s="39">
        <f t="shared" si="192"/>
        <v>45335</v>
      </c>
      <c r="D798" s="48" t="s">
        <v>4699</v>
      </c>
      <c r="E798" s="37" t="str" cm="1">
        <f t="array" ref="E798">_xlfn.IFS(D798="delhi","north",D798="mumbai","west",D798="bengaluru","south",D798="chennai","south",D798="kolkata","east",TRUE,"west")</f>
        <v>west</v>
      </c>
      <c r="F798" s="46" t="s">
        <v>213</v>
      </c>
      <c r="G798" s="37" t="str">
        <f t="shared" si="193"/>
        <v>dtdc</v>
      </c>
      <c r="H798" s="46" t="s">
        <v>176</v>
      </c>
      <c r="I798" s="37" t="str">
        <f t="shared" si="194"/>
        <v>road</v>
      </c>
      <c r="J798" s="46" t="s">
        <v>148</v>
      </c>
      <c r="K798" s="37" t="str">
        <f t="shared" si="195"/>
        <v>electronics</v>
      </c>
      <c r="L798" s="46" t="s">
        <v>197</v>
      </c>
      <c r="M798" s="37" t="str">
        <f t="shared" si="196"/>
        <v>south</v>
      </c>
      <c r="N798" s="46" t="s">
        <v>327</v>
      </c>
      <c r="O798" s="41" t="str">
        <f t="shared" si="197"/>
        <v>Yes</v>
      </c>
      <c r="P798" s="49" t="s">
        <v>583</v>
      </c>
      <c r="Q798" s="49" t="s">
        <v>850</v>
      </c>
      <c r="R798" s="42">
        <f t="shared" si="198"/>
        <v>36.1764705882353</v>
      </c>
      <c r="S798" s="46">
        <v>8</v>
      </c>
      <c r="T798" s="46" t="s">
        <v>2918</v>
      </c>
      <c r="U798" s="43" t="str">
        <f t="shared" si="199"/>
        <v>22/02/2024</v>
      </c>
      <c r="V798" s="43">
        <f t="shared" si="200"/>
        <v>45344</v>
      </c>
      <c r="W798" s="44">
        <f t="array" ref="W798">_xlfn.IFS(TRIM(C798)="","",TRIM(V798)="","",TRUE,V798-C798)</f>
        <v>9</v>
      </c>
      <c r="X798" s="37">
        <f t="shared" si="201"/>
        <v>1</v>
      </c>
      <c r="Y798" s="46" t="s">
        <v>200</v>
      </c>
      <c r="Z798" s="37" t="str">
        <f t="shared" si="202"/>
        <v>delayed</v>
      </c>
      <c r="AA798" s="37" t="str">
        <f t="shared" si="203"/>
        <v>Late</v>
      </c>
      <c r="AB798" s="37" t="str">
        <f t="shared" si="206"/>
        <v>1</v>
      </c>
      <c r="AC798" s="37">
        <f t="shared" si="207"/>
        <v>1</v>
      </c>
      <c r="AD798" s="45">
        <f t="shared" si="205"/>
        <v>0.525721455457967</v>
      </c>
      <c r="AE798" s="46">
        <v>1</v>
      </c>
      <c r="AF798" s="46" t="s">
        <v>191</v>
      </c>
      <c r="AG798" s="37" t="str">
        <f t="shared" si="204"/>
        <v>no</v>
      </c>
      <c r="AH798" s="37" t="str">
        <f t="array" ref="AH798">_xlfn.IFS(LOWER(AG798)="n","no",LOWER(AG798)="y","yes",TRUE,LOWER(AG798))</f>
        <v>no</v>
      </c>
      <c r="AI798" s="46" t="s">
        <v>4692</v>
      </c>
    </row>
    <row r="799" spans="1:35">
      <c r="A799" s="37" t="s">
        <v>2919</v>
      </c>
      <c r="B799" s="38" t="s">
        <v>4828</v>
      </c>
      <c r="C799" s="39">
        <f t="shared" si="192"/>
        <v>45343</v>
      </c>
      <c r="D799" s="40" t="s">
        <v>424</v>
      </c>
      <c r="E799" s="37" t="str" cm="1">
        <f t="array" ref="E799">_xlfn.IFS(D799="delhi","north",D799="mumbai","west",D799="bengaluru","south",D799="chennai","south",D799="kolkata","east",TRUE,"west")</f>
        <v>south</v>
      </c>
      <c r="F799" s="37" t="s">
        <v>270</v>
      </c>
      <c r="G799" s="37" t="str">
        <f t="shared" si="193"/>
        <v>ecomexpress</v>
      </c>
      <c r="H799" s="37" t="s">
        <v>440</v>
      </c>
      <c r="I799" s="37" t="str">
        <f t="shared" si="194"/>
        <v>road</v>
      </c>
      <c r="J799" s="37" t="s">
        <v>186</v>
      </c>
      <c r="K799" s="37" t="str">
        <f t="shared" si="195"/>
        <v>automotiveparts</v>
      </c>
      <c r="L799" s="37" t="s">
        <v>139</v>
      </c>
      <c r="M799" s="37" t="str">
        <f t="shared" si="196"/>
        <v>north</v>
      </c>
      <c r="N799" s="37" t="s">
        <v>113</v>
      </c>
      <c r="O799" s="41" t="str">
        <f t="shared" si="197"/>
        <v>Yes</v>
      </c>
      <c r="P799" s="41">
        <v>20</v>
      </c>
      <c r="Q799" s="41">
        <v>459</v>
      </c>
      <c r="R799" s="42">
        <f t="shared" si="198"/>
        <v>22.95</v>
      </c>
      <c r="S799" s="37">
        <v>8</v>
      </c>
      <c r="T799" s="37" t="s">
        <v>2923</v>
      </c>
      <c r="U799" s="43" t="str">
        <f t="shared" si="199"/>
        <v>2024-02-29</v>
      </c>
      <c r="V799" s="43">
        <f t="shared" si="200"/>
        <v>45351</v>
      </c>
      <c r="W799" s="44">
        <f t="array" ref="W799">_xlfn.IFS(TRIM(C799)="","",TRIM(V799)="","",TRUE,V799-C799)</f>
        <v>8</v>
      </c>
      <c r="X799" s="37">
        <f t="shared" si="201"/>
        <v>0</v>
      </c>
      <c r="Y799" s="37" t="s">
        <v>117</v>
      </c>
      <c r="Z799" s="37" t="str">
        <f t="shared" si="202"/>
        <v>delivered</v>
      </c>
      <c r="AA799" s="37" t="str">
        <f t="shared" si="203"/>
        <v>On Time</v>
      </c>
      <c r="AB799" s="37" t="str">
        <f t="shared" si="206"/>
        <v>0</v>
      </c>
      <c r="AC799" s="37">
        <f t="shared" si="207"/>
        <v>0</v>
      </c>
      <c r="AD799" s="45">
        <f t="shared" si="205"/>
        <v>0.525125628140704</v>
      </c>
      <c r="AE799" s="37">
        <v>5</v>
      </c>
      <c r="AF799" s="37" t="s">
        <v>79</v>
      </c>
      <c r="AG799" s="37" t="str">
        <f t="shared" si="204"/>
        <v>yes</v>
      </c>
      <c r="AH799" s="37" t="str">
        <f t="array" ref="AH799">_xlfn.IFS(LOWER(AG799)="n","no",LOWER(AG799)="y","yes",TRUE,LOWER(AG799))</f>
        <v>yes</v>
      </c>
      <c r="AI799" s="37" t="s">
        <v>4692</v>
      </c>
    </row>
    <row r="800" spans="1:35">
      <c r="A800" s="46" t="s">
        <v>2924</v>
      </c>
      <c r="B800" s="47">
        <v>45453</v>
      </c>
      <c r="C800" s="39">
        <f t="shared" si="192"/>
        <v>45453</v>
      </c>
      <c r="D800" s="48" t="s">
        <v>366</v>
      </c>
      <c r="E800" s="37" t="str" cm="1">
        <f t="array" ref="E800">_xlfn.IFS(D800="delhi","north",D800="mumbai","west",D800="bengaluru","south",D800="chennai","south",D800="kolkata","east",TRUE,"west")</f>
        <v>east</v>
      </c>
      <c r="F800" s="46" t="s">
        <v>194</v>
      </c>
      <c r="G800" s="37" t="str">
        <f t="shared" si="193"/>
        <v>xpressbees</v>
      </c>
      <c r="H800" s="46" t="s">
        <v>440</v>
      </c>
      <c r="I800" s="37" t="str">
        <f t="shared" si="194"/>
        <v>road</v>
      </c>
      <c r="J800" s="46" t="s">
        <v>430</v>
      </c>
      <c r="K800" s="37" t="str">
        <f t="shared" si="195"/>
        <v>pharma</v>
      </c>
      <c r="L800" s="46" t="s">
        <v>112</v>
      </c>
      <c r="M800" s="37" t="str">
        <f t="shared" si="196"/>
        <v>north</v>
      </c>
      <c r="N800" s="46" t="s">
        <v>113</v>
      </c>
      <c r="O800" s="41" t="str">
        <f t="shared" si="197"/>
        <v>Yes</v>
      </c>
      <c r="P800" s="49" t="s">
        <v>700</v>
      </c>
      <c r="Q800" s="49" t="s">
        <v>2925</v>
      </c>
      <c r="R800" s="42">
        <f t="shared" si="198"/>
        <v>191.428571428571</v>
      </c>
      <c r="S800" s="46">
        <v>8</v>
      </c>
      <c r="T800" s="46" t="s">
        <v>855</v>
      </c>
      <c r="U800" s="43" t="str">
        <f t="shared" si="199"/>
        <v>19/06/2024</v>
      </c>
      <c r="V800" s="43">
        <f t="shared" si="200"/>
        <v>45462</v>
      </c>
      <c r="W800" s="44">
        <f t="array" ref="W800">_xlfn.IFS(TRIM(C800)="","",TRIM(V800)="","",TRUE,V800-C800)</f>
        <v>9</v>
      </c>
      <c r="X800" s="37">
        <f t="shared" si="201"/>
        <v>1</v>
      </c>
      <c r="Y800" s="46" t="s">
        <v>72</v>
      </c>
      <c r="Z800" s="37" t="str">
        <f t="shared" si="202"/>
        <v>delayed</v>
      </c>
      <c r="AA800" s="37" t="str">
        <f t="shared" si="203"/>
        <v>Late</v>
      </c>
      <c r="AB800" s="37" t="str">
        <f t="shared" si="206"/>
        <v>1</v>
      </c>
      <c r="AC800" s="37">
        <f t="shared" si="207"/>
        <v>1</v>
      </c>
      <c r="AD800" s="45">
        <f t="shared" si="205"/>
        <v>0.525786163522013</v>
      </c>
      <c r="AE800" s="46">
        <v>3</v>
      </c>
      <c r="AF800" s="46" t="s">
        <v>131</v>
      </c>
      <c r="AG800" s="37" t="str">
        <f t="shared" si="204"/>
        <v>n</v>
      </c>
      <c r="AH800" s="37" t="str">
        <f t="array" ref="AH800">_xlfn.IFS(LOWER(AG800)="n","no",LOWER(AG800)="y","yes",TRUE,LOWER(AG800))</f>
        <v>no</v>
      </c>
      <c r="AI800" s="46" t="s">
        <v>4692</v>
      </c>
    </row>
    <row r="801" spans="1:35">
      <c r="A801" s="37" t="s">
        <v>2926</v>
      </c>
      <c r="B801" s="38">
        <v>45324</v>
      </c>
      <c r="C801" s="39">
        <f t="shared" si="192"/>
        <v>45324</v>
      </c>
      <c r="D801" s="40" t="s">
        <v>135</v>
      </c>
      <c r="E801" s="37" t="str" cm="1">
        <f t="array" ref="E801">_xlfn.IFS(D801="delhi","north",D801="mumbai","west",D801="bengaluru","south",D801="chennai","south",D801="kolkata","east",TRUE,"west")</f>
        <v>west</v>
      </c>
      <c r="F801" s="37" t="s">
        <v>223</v>
      </c>
      <c r="G801" s="37" t="str">
        <f t="shared" si="193"/>
        <v>xpressbees</v>
      </c>
      <c r="H801" s="37" t="s">
        <v>157</v>
      </c>
      <c r="I801" s="37" t="str">
        <f t="shared" si="194"/>
        <v>surface</v>
      </c>
      <c r="J801" s="37" t="s">
        <v>368</v>
      </c>
      <c r="K801" s="37" t="str">
        <f t="shared" si="195"/>
        <v>furniture</v>
      </c>
      <c r="L801" s="37" t="s">
        <v>139</v>
      </c>
      <c r="M801" s="37" t="str">
        <f t="shared" si="196"/>
        <v>north</v>
      </c>
      <c r="N801" s="37" t="s">
        <v>354</v>
      </c>
      <c r="O801" s="41" t="str">
        <f t="shared" si="197"/>
        <v>Yes</v>
      </c>
      <c r="P801" s="41">
        <v>38.6</v>
      </c>
      <c r="Q801" s="41" t="s">
        <v>2928</v>
      </c>
      <c r="R801" s="42">
        <f t="shared" si="198"/>
        <v>26.7616580310881</v>
      </c>
      <c r="S801" s="37">
        <v>6</v>
      </c>
      <c r="T801" s="37" t="s">
        <v>2675</v>
      </c>
      <c r="U801" s="43" t="str">
        <f t="shared" si="199"/>
        <v>2024-02-09</v>
      </c>
      <c r="V801" s="43">
        <f t="shared" si="200"/>
        <v>45331</v>
      </c>
      <c r="W801" s="44">
        <f t="array" ref="W801">_xlfn.IFS(TRIM(C801)="","",TRIM(V801)="","",TRUE,V801-C801)</f>
        <v>7</v>
      </c>
      <c r="X801" s="37">
        <f t="shared" si="201"/>
        <v>1</v>
      </c>
      <c r="Y801" s="37" t="s">
        <v>72</v>
      </c>
      <c r="Z801" s="37" t="str">
        <f t="shared" si="202"/>
        <v>delayed</v>
      </c>
      <c r="AA801" s="37" t="str">
        <f t="shared" si="203"/>
        <v>Late</v>
      </c>
      <c r="AB801" s="37" t="str">
        <f t="shared" si="206"/>
        <v>1</v>
      </c>
      <c r="AC801" s="37">
        <f t="shared" si="207"/>
        <v>1</v>
      </c>
      <c r="AD801" s="45">
        <f t="shared" si="205"/>
        <v>0.525188916876574</v>
      </c>
      <c r="AE801" s="37">
        <v>3</v>
      </c>
      <c r="AF801" s="37" t="s">
        <v>118</v>
      </c>
      <c r="AG801" s="37" t="str">
        <f t="shared" si="204"/>
        <v>no</v>
      </c>
      <c r="AH801" s="37" t="str">
        <f t="array" ref="AH801">_xlfn.IFS(LOWER(AG801)="n","no",LOWER(AG801)="y","yes",TRUE,LOWER(AG801))</f>
        <v>no</v>
      </c>
      <c r="AI801" s="37" t="s">
        <v>4692</v>
      </c>
    </row>
    <row r="802" spans="1:35">
      <c r="A802" s="46" t="s">
        <v>2929</v>
      </c>
      <c r="B802" s="47" t="s">
        <v>4759</v>
      </c>
      <c r="C802" s="39">
        <f t="shared" si="192"/>
        <v>45458</v>
      </c>
      <c r="D802" s="48" t="s">
        <v>366</v>
      </c>
      <c r="E802" s="37" t="str" cm="1">
        <f t="array" ref="E802">_xlfn.IFS(D802="delhi","north",D802="mumbai","west",D802="bengaluru","south",D802="chennai","south",D802="kolkata","east",TRUE,"west")</f>
        <v>east</v>
      </c>
      <c r="F802" s="46" t="s">
        <v>230</v>
      </c>
      <c r="G802" s="37" t="str">
        <f t="shared" si="193"/>
        <v>dtdc</v>
      </c>
      <c r="H802" s="46" t="s">
        <v>185</v>
      </c>
      <c r="I802" s="37" t="str">
        <f t="shared" si="194"/>
        <v>surface</v>
      </c>
      <c r="J802" s="46" t="s">
        <v>138</v>
      </c>
      <c r="K802" s="37" t="str">
        <f t="shared" si="195"/>
        <v>apparel</v>
      </c>
      <c r="L802" s="46" t="s">
        <v>418</v>
      </c>
      <c r="M802" s="37" t="str">
        <f t="shared" si="196"/>
        <v>south</v>
      </c>
      <c r="N802" s="46" t="s">
        <v>93</v>
      </c>
      <c r="O802" s="41" t="str">
        <f t="shared" si="197"/>
        <v>Yes</v>
      </c>
      <c r="P802" s="49">
        <v>4</v>
      </c>
      <c r="Q802" s="49">
        <v>236</v>
      </c>
      <c r="R802" s="42">
        <f t="shared" si="198"/>
        <v>59</v>
      </c>
      <c r="S802" s="46">
        <v>6</v>
      </c>
      <c r="T802" s="46" t="s">
        <v>1501</v>
      </c>
      <c r="U802" s="43" t="str">
        <f t="shared" si="199"/>
        <v>2024-06-21</v>
      </c>
      <c r="V802" s="43">
        <f t="shared" si="200"/>
        <v>45464</v>
      </c>
      <c r="W802" s="44">
        <f t="array" ref="W802">_xlfn.IFS(TRIM(C802)="","",TRIM(V802)="","",TRUE,V802-C802)</f>
        <v>6</v>
      </c>
      <c r="X802" s="37">
        <f t="shared" si="201"/>
        <v>0</v>
      </c>
      <c r="Y802" s="46" t="s">
        <v>105</v>
      </c>
      <c r="Z802" s="37" t="str">
        <f t="shared" si="202"/>
        <v>delivered</v>
      </c>
      <c r="AA802" s="37" t="str">
        <f t="shared" si="203"/>
        <v>On Time</v>
      </c>
      <c r="AB802" s="37" t="str">
        <f t="shared" si="206"/>
        <v>0</v>
      </c>
      <c r="AC802" s="37">
        <f t="shared" si="207"/>
        <v>0</v>
      </c>
      <c r="AD802" s="45">
        <f t="shared" si="205"/>
        <v>0.524590163934426</v>
      </c>
      <c r="AE802" s="46">
        <v>4</v>
      </c>
      <c r="AF802" s="46" t="s">
        <v>131</v>
      </c>
      <c r="AG802" s="37" t="str">
        <f t="shared" si="204"/>
        <v>n</v>
      </c>
      <c r="AH802" s="37" t="str">
        <f t="array" ref="AH802">_xlfn.IFS(LOWER(AG802)="n","no",LOWER(AG802)="y","yes",TRUE,LOWER(AG802))</f>
        <v>no</v>
      </c>
      <c r="AI802" s="46" t="s">
        <v>4692</v>
      </c>
    </row>
    <row r="803" spans="1:35">
      <c r="A803" s="37" t="s">
        <v>2930</v>
      </c>
      <c r="B803" s="38">
        <v>45416</v>
      </c>
      <c r="C803" s="39">
        <f t="shared" si="192"/>
        <v>45416</v>
      </c>
      <c r="D803" s="40" t="s">
        <v>222</v>
      </c>
      <c r="E803" s="37" t="str" cm="1">
        <f t="array" ref="E803">_xlfn.IFS(D803="delhi","north",D803="mumbai","west",D803="bengaluru","south",D803="chennai","south",D803="kolkata","east",TRUE,"west")</f>
        <v>west</v>
      </c>
      <c r="F803" s="37" t="s">
        <v>194</v>
      </c>
      <c r="G803" s="37" t="str">
        <f t="shared" si="193"/>
        <v>xpressbees</v>
      </c>
      <c r="H803" s="37" t="s">
        <v>176</v>
      </c>
      <c r="I803" s="37" t="str">
        <f t="shared" si="194"/>
        <v>road</v>
      </c>
      <c r="J803" s="37" t="s">
        <v>158</v>
      </c>
      <c r="K803" s="37" t="str">
        <f t="shared" si="195"/>
        <v>pharma</v>
      </c>
      <c r="L803" s="37" t="s">
        <v>125</v>
      </c>
      <c r="M803" s="37" t="str">
        <f t="shared" si="196"/>
        <v>east</v>
      </c>
      <c r="N803" s="37" t="s">
        <v>396</v>
      </c>
      <c r="O803" s="41" t="str">
        <f t="shared" si="197"/>
        <v>Yes</v>
      </c>
      <c r="P803" s="41">
        <v>2.2</v>
      </c>
      <c r="Q803" s="41" t="s">
        <v>2931</v>
      </c>
      <c r="R803" s="42">
        <f t="shared" si="198"/>
        <v>94.0909090909091</v>
      </c>
      <c r="S803" s="37">
        <v>8</v>
      </c>
      <c r="T803" s="37" t="s">
        <v>2462</v>
      </c>
      <c r="U803" s="43" t="str">
        <f t="shared" si="199"/>
        <v>12/05/2024</v>
      </c>
      <c r="V803" s="43">
        <f t="shared" si="200"/>
        <v>45424</v>
      </c>
      <c r="W803" s="44">
        <f t="array" ref="W803">_xlfn.IFS(TRIM(C803)="","",TRIM(V803)="","",TRUE,V803-C803)</f>
        <v>8</v>
      </c>
      <c r="X803" s="37">
        <f t="shared" si="201"/>
        <v>0</v>
      </c>
      <c r="Y803" s="37" t="s">
        <v>105</v>
      </c>
      <c r="Z803" s="37" t="str">
        <f t="shared" si="202"/>
        <v>delivered</v>
      </c>
      <c r="AA803" s="37" t="str">
        <f t="shared" si="203"/>
        <v>On Time</v>
      </c>
      <c r="AB803" s="37" t="str">
        <f t="shared" si="206"/>
        <v>0</v>
      </c>
      <c r="AC803" s="37">
        <f t="shared" si="207"/>
        <v>0</v>
      </c>
      <c r="AD803" s="45">
        <f t="shared" si="205"/>
        <v>0.525252525252525</v>
      </c>
      <c r="AE803" s="37">
        <v>5</v>
      </c>
      <c r="AF803" s="37" t="s">
        <v>152</v>
      </c>
      <c r="AG803" s="37" t="str">
        <f t="shared" si="204"/>
        <v>no</v>
      </c>
      <c r="AH803" s="37" t="str">
        <f t="array" ref="AH803">_xlfn.IFS(LOWER(AG803)="n","no",LOWER(AG803)="y","yes",TRUE,LOWER(AG803))</f>
        <v>no</v>
      </c>
      <c r="AI803" s="37" t="s">
        <v>4692</v>
      </c>
    </row>
    <row r="804" spans="1:35">
      <c r="A804" s="46" t="s">
        <v>2932</v>
      </c>
      <c r="B804" s="47">
        <v>45406</v>
      </c>
      <c r="C804" s="39">
        <f t="shared" si="192"/>
        <v>45406</v>
      </c>
      <c r="D804" s="48" t="s">
        <v>109</v>
      </c>
      <c r="E804" s="37" t="str" cm="1">
        <f t="array" ref="E804">_xlfn.IFS(D804="delhi","north",D804="mumbai","west",D804="bengaluru","south",D804="chennai","south",D804="kolkata","east",TRUE,"west")</f>
        <v>west</v>
      </c>
      <c r="F804" s="46" t="s">
        <v>333</v>
      </c>
      <c r="G804" s="37" t="str">
        <f t="shared" si="193"/>
        <v>delhivery</v>
      </c>
      <c r="H804" s="46" t="s">
        <v>195</v>
      </c>
      <c r="I804" s="37" t="str">
        <f t="shared" si="194"/>
        <v>road</v>
      </c>
      <c r="J804" s="46" t="s">
        <v>582</v>
      </c>
      <c r="K804" s="37" t="str">
        <f t="shared" si="195"/>
        <v>grocery&amp;fmcg</v>
      </c>
      <c r="L804" s="46" t="s">
        <v>168</v>
      </c>
      <c r="M804" s="37" t="str">
        <f t="shared" si="196"/>
        <v>west</v>
      </c>
      <c r="N804" s="46" t="s">
        <v>88</v>
      </c>
      <c r="O804" s="41" t="str">
        <f t="shared" si="197"/>
        <v>Yes</v>
      </c>
      <c r="P804" s="49">
        <v>5.2</v>
      </c>
      <c r="Q804" s="49">
        <v>80</v>
      </c>
      <c r="R804" s="42">
        <f t="shared" si="198"/>
        <v>15.3846153846154</v>
      </c>
      <c r="S804" s="46">
        <v>6</v>
      </c>
      <c r="T804" s="46" t="s">
        <v>526</v>
      </c>
      <c r="U804" s="43" t="str">
        <f t="shared" si="199"/>
        <v>29/04/2024</v>
      </c>
      <c r="V804" s="43">
        <f t="shared" si="200"/>
        <v>45411</v>
      </c>
      <c r="W804" s="44">
        <f t="array" ref="W804">_xlfn.IFS(TRIM(C804)="","",TRIM(V804)="","",TRUE,V804-C804)</f>
        <v>5</v>
      </c>
      <c r="X804" s="37">
        <f t="shared" si="201"/>
        <v>-1</v>
      </c>
      <c r="Y804" s="46" t="s">
        <v>163</v>
      </c>
      <c r="Z804" s="37" t="str">
        <f t="shared" si="202"/>
        <v>delivered</v>
      </c>
      <c r="AA804" s="37" t="str">
        <f t="shared" si="203"/>
        <v>On Time</v>
      </c>
      <c r="AB804" s="37" t="str">
        <f t="shared" si="206"/>
        <v>0</v>
      </c>
      <c r="AC804" s="37">
        <f t="shared" si="207"/>
        <v>0</v>
      </c>
      <c r="AD804" s="45">
        <f t="shared" si="205"/>
        <v>0.525916561314791</v>
      </c>
      <c r="AE804" s="46">
        <v>3</v>
      </c>
      <c r="AF804" s="46" t="s">
        <v>106</v>
      </c>
      <c r="AG804" s="37" t="str">
        <f t="shared" si="204"/>
        <v>yes</v>
      </c>
      <c r="AH804" s="37" t="str">
        <f t="array" ref="AH804">_xlfn.IFS(LOWER(AG804)="n","no",LOWER(AG804)="y","yes",TRUE,LOWER(AG804))</f>
        <v>yes</v>
      </c>
      <c r="AI804" s="46" t="s">
        <v>4692</v>
      </c>
    </row>
    <row r="805" spans="1:35">
      <c r="A805" s="37" t="s">
        <v>2934</v>
      </c>
      <c r="B805" s="38">
        <v>45306</v>
      </c>
      <c r="C805" s="39">
        <f t="shared" si="192"/>
        <v>45306</v>
      </c>
      <c r="D805" s="40" t="s">
        <v>121</v>
      </c>
      <c r="E805" s="37" t="str" cm="1">
        <f t="array" ref="E805">_xlfn.IFS(D805="delhi","north",D805="mumbai","west",D805="bengaluru","south",D805="chennai","south",D805="kolkata","east",TRUE,"west")</f>
        <v>west</v>
      </c>
      <c r="F805" s="37" t="s">
        <v>146</v>
      </c>
      <c r="G805" s="37" t="str">
        <f t="shared" si="193"/>
        <v>ecomexpress</v>
      </c>
      <c r="H805" s="37" t="s">
        <v>325</v>
      </c>
      <c r="I805" s="37" t="str">
        <f t="shared" si="194"/>
        <v>air</v>
      </c>
      <c r="J805" s="37" t="s">
        <v>177</v>
      </c>
      <c r="K805" s="37" t="str">
        <f t="shared" si="195"/>
        <v>pharma</v>
      </c>
      <c r="L805" s="37" t="s">
        <v>418</v>
      </c>
      <c r="M805" s="37" t="str">
        <f t="shared" si="196"/>
        <v>south</v>
      </c>
      <c r="N805" s="37" t="s">
        <v>93</v>
      </c>
      <c r="O805" s="41" t="str">
        <f t="shared" si="197"/>
        <v>Yes</v>
      </c>
      <c r="P805" s="41">
        <v>3.7</v>
      </c>
      <c r="Q805" s="41" t="s">
        <v>2935</v>
      </c>
      <c r="R805" s="42">
        <f t="shared" si="198"/>
        <v>94.054054054054</v>
      </c>
      <c r="S805" s="37">
        <v>4</v>
      </c>
      <c r="T805" s="37" t="s">
        <v>556</v>
      </c>
      <c r="U805" s="43" t="str">
        <f t="shared" si="199"/>
        <v>20-jan-2024</v>
      </c>
      <c r="V805" s="43">
        <f t="shared" si="200"/>
        <v>45311</v>
      </c>
      <c r="W805" s="44">
        <f t="array" ref="W805">_xlfn.IFS(TRIM(C805)="","",TRIM(V805)="","",TRUE,V805-C805)</f>
        <v>5</v>
      </c>
      <c r="X805" s="37">
        <f t="shared" si="201"/>
        <v>1</v>
      </c>
      <c r="Y805" s="37" t="s">
        <v>172</v>
      </c>
      <c r="Z805" s="37" t="str">
        <f t="shared" si="202"/>
        <v>delayed</v>
      </c>
      <c r="AA805" s="37" t="str">
        <f t="shared" si="203"/>
        <v>Late</v>
      </c>
      <c r="AB805" s="37" t="str">
        <f t="shared" si="206"/>
        <v>1</v>
      </c>
      <c r="AC805" s="37">
        <f t="shared" si="207"/>
        <v>1</v>
      </c>
      <c r="AD805" s="45">
        <f t="shared" si="205"/>
        <v>0.526582278481013</v>
      </c>
      <c r="AE805" s="37">
        <v>1</v>
      </c>
      <c r="AF805" s="37" t="s">
        <v>106</v>
      </c>
      <c r="AG805" s="37" t="str">
        <f t="shared" si="204"/>
        <v>yes</v>
      </c>
      <c r="AH805" s="37" t="str">
        <f t="array" ref="AH805">_xlfn.IFS(LOWER(AG805)="n","no",LOWER(AG805)="y","yes",TRUE,LOWER(AG805))</f>
        <v>yes</v>
      </c>
      <c r="AI805" s="37" t="s">
        <v>4692</v>
      </c>
    </row>
    <row r="806" spans="1:35">
      <c r="A806" s="46" t="s">
        <v>2936</v>
      </c>
      <c r="B806" s="47" t="s">
        <v>4829</v>
      </c>
      <c r="C806" s="39">
        <f t="shared" si="192"/>
        <v>45305</v>
      </c>
      <c r="D806" s="48" t="s">
        <v>4704</v>
      </c>
      <c r="E806" s="37" t="str" cm="1">
        <f t="array" ref="E806">_xlfn.IFS(D806="delhi","north",D806="mumbai","west",D806="bengaluru","south",D806="chennai","south",D806="kolkata","east",TRUE,"west")</f>
        <v>west</v>
      </c>
      <c r="F806" s="46" t="s">
        <v>146</v>
      </c>
      <c r="G806" s="37" t="str">
        <f t="shared" si="193"/>
        <v>ecomexpress</v>
      </c>
      <c r="H806" s="46" t="s">
        <v>440</v>
      </c>
      <c r="I806" s="37" t="str">
        <f t="shared" si="194"/>
        <v>road</v>
      </c>
      <c r="J806" s="46" t="s">
        <v>498</v>
      </c>
      <c r="K806" s="37" t="str">
        <f t="shared" si="195"/>
        <v>apparel</v>
      </c>
      <c r="L806" s="46" t="s">
        <v>125</v>
      </c>
      <c r="M806" s="37" t="str">
        <f t="shared" si="196"/>
        <v>east</v>
      </c>
      <c r="N806" s="46" t="s">
        <v>126</v>
      </c>
      <c r="O806" s="41" t="str">
        <f t="shared" si="197"/>
        <v>Yes</v>
      </c>
      <c r="P806" s="49">
        <v>5.5</v>
      </c>
      <c r="Q806" s="49" t="s">
        <v>432</v>
      </c>
      <c r="R806" s="42">
        <f t="shared" si="198"/>
        <v>14.5454545454545</v>
      </c>
      <c r="S806" s="46">
        <v>6</v>
      </c>
      <c r="T806" s="46" t="s">
        <v>991</v>
      </c>
      <c r="U806" s="43" t="str">
        <f t="shared" si="199"/>
        <v>20/01/2024</v>
      </c>
      <c r="V806" s="43">
        <f t="shared" si="200"/>
        <v>45311</v>
      </c>
      <c r="W806" s="44">
        <f t="array" ref="W806">_xlfn.IFS(TRIM(C806)="","",TRIM(V806)="","",TRUE,V806-C806)</f>
        <v>6</v>
      </c>
      <c r="X806" s="37">
        <f t="shared" si="201"/>
        <v>0</v>
      </c>
      <c r="Y806" s="46" t="s">
        <v>163</v>
      </c>
      <c r="Z806" s="37" t="str">
        <f t="shared" si="202"/>
        <v>delivered</v>
      </c>
      <c r="AA806" s="37" t="str">
        <f t="shared" si="203"/>
        <v>On Time</v>
      </c>
      <c r="AB806" s="37" t="str">
        <f t="shared" si="206"/>
        <v>0</v>
      </c>
      <c r="AC806" s="37">
        <f t="shared" si="207"/>
        <v>0</v>
      </c>
      <c r="AD806" s="45">
        <f t="shared" si="205"/>
        <v>0.525982256020279</v>
      </c>
      <c r="AE806" s="46">
        <v>5</v>
      </c>
      <c r="AF806" s="46" t="s">
        <v>131</v>
      </c>
      <c r="AG806" s="37" t="str">
        <f t="shared" si="204"/>
        <v>n</v>
      </c>
      <c r="AH806" s="37" t="str">
        <f t="array" ref="AH806">_xlfn.IFS(LOWER(AG806)="n","no",LOWER(AG806)="y","yes",TRUE,LOWER(AG806))</f>
        <v>no</v>
      </c>
      <c r="AI806" s="46" t="s">
        <v>4692</v>
      </c>
    </row>
    <row r="807" spans="1:35">
      <c r="A807" s="37" t="s">
        <v>2937</v>
      </c>
      <c r="B807" s="38">
        <v>45306</v>
      </c>
      <c r="C807" s="39">
        <f t="shared" si="192"/>
        <v>45306</v>
      </c>
      <c r="D807" s="40" t="s">
        <v>135</v>
      </c>
      <c r="E807" s="37" t="str" cm="1">
        <f t="array" ref="E807">_xlfn.IFS(D807="delhi","north",D807="mumbai","west",D807="bengaluru","south",D807="chennai","south",D807="kolkata","east",TRUE,"west")</f>
        <v>west</v>
      </c>
      <c r="F807" s="37" t="s">
        <v>367</v>
      </c>
      <c r="G807" s="37" t="str">
        <f t="shared" si="193"/>
        <v>dtdc</v>
      </c>
      <c r="H807" s="37" t="s">
        <v>195</v>
      </c>
      <c r="I807" s="37" t="str">
        <f t="shared" si="194"/>
        <v>road</v>
      </c>
      <c r="J807" s="37" t="s">
        <v>326</v>
      </c>
      <c r="K807" s="37" t="str">
        <f t="shared" si="195"/>
        <v>apparel</v>
      </c>
      <c r="L807" s="37" t="s">
        <v>380</v>
      </c>
      <c r="M807" s="37" t="str">
        <f t="shared" si="196"/>
        <v>east</v>
      </c>
      <c r="N807" s="37" t="s">
        <v>396</v>
      </c>
      <c r="O807" s="41" t="str">
        <f t="shared" si="197"/>
        <v>Yes</v>
      </c>
      <c r="P807" s="41">
        <v>4.4</v>
      </c>
      <c r="Q807" s="41">
        <v>258</v>
      </c>
      <c r="R807" s="42">
        <f t="shared" si="198"/>
        <v>58.6363636363636</v>
      </c>
      <c r="S807" s="37">
        <v>8</v>
      </c>
      <c r="T807" s="37" t="s">
        <v>104</v>
      </c>
      <c r="U807" s="43" t="str">
        <f t="shared" si="199"/>
        <v>25/01/2024</v>
      </c>
      <c r="V807" s="43">
        <f t="shared" si="200"/>
        <v>45316</v>
      </c>
      <c r="W807" s="44">
        <f t="array" ref="W807">_xlfn.IFS(TRIM(C807)="","",TRIM(V807)="","",TRUE,V807-C807)</f>
        <v>10</v>
      </c>
      <c r="X807" s="37">
        <f t="shared" si="201"/>
        <v>2</v>
      </c>
      <c r="Y807" s="37" t="s">
        <v>200</v>
      </c>
      <c r="Z807" s="37" t="str">
        <f t="shared" si="202"/>
        <v>delayed</v>
      </c>
      <c r="AA807" s="37" t="str">
        <f t="shared" si="203"/>
        <v>Late</v>
      </c>
      <c r="AB807" s="37" t="str">
        <f t="shared" si="206"/>
        <v>1</v>
      </c>
      <c r="AC807" s="37">
        <f t="shared" si="207"/>
        <v>1</v>
      </c>
      <c r="AD807" s="45">
        <f t="shared" si="205"/>
        <v>0.526649746192893</v>
      </c>
      <c r="AE807" s="37">
        <v>5</v>
      </c>
      <c r="AF807" s="37" t="s">
        <v>106</v>
      </c>
      <c r="AG807" s="37" t="str">
        <f t="shared" si="204"/>
        <v>yes</v>
      </c>
      <c r="AH807" s="37" t="str">
        <f t="array" ref="AH807">_xlfn.IFS(LOWER(AG807)="n","no",LOWER(AG807)="y","yes",TRUE,LOWER(AG807))</f>
        <v>yes</v>
      </c>
      <c r="AI807" s="37" t="s">
        <v>4692</v>
      </c>
    </row>
    <row r="808" spans="1:35">
      <c r="A808" s="46" t="s">
        <v>2939</v>
      </c>
      <c r="B808" s="47">
        <v>45329</v>
      </c>
      <c r="C808" s="39">
        <f t="shared" si="192"/>
        <v>45329</v>
      </c>
      <c r="D808" s="48" t="s">
        <v>4694</v>
      </c>
      <c r="E808" s="37" t="str" cm="1">
        <f t="array" ref="E808">_xlfn.IFS(D808="delhi","north",D808="mumbai","west",D808="bengaluru","south",D808="chennai","south",D808="kolkata","east",TRUE,"west")</f>
        <v>west</v>
      </c>
      <c r="F808" s="46" t="s">
        <v>352</v>
      </c>
      <c r="G808" s="37" t="str">
        <f t="shared" si="193"/>
        <v>delhivery</v>
      </c>
      <c r="H808" s="46" t="s">
        <v>99</v>
      </c>
      <c r="I808" s="37" t="str">
        <f t="shared" si="194"/>
        <v>air</v>
      </c>
      <c r="J808" s="46" t="s">
        <v>368</v>
      </c>
      <c r="K808" s="37" t="str">
        <f t="shared" si="195"/>
        <v>furniture</v>
      </c>
      <c r="L808" s="46" t="s">
        <v>139</v>
      </c>
      <c r="M808" s="37" t="str">
        <f t="shared" si="196"/>
        <v>north</v>
      </c>
      <c r="N808" s="46" t="s">
        <v>32</v>
      </c>
      <c r="O808" s="41" t="str">
        <f t="shared" si="197"/>
        <v>Yes</v>
      </c>
      <c r="P808" s="49">
        <v>73.1</v>
      </c>
      <c r="Q808" s="49" t="s">
        <v>2941</v>
      </c>
      <c r="R808" s="42">
        <f t="shared" si="198"/>
        <v>47.3050615595075</v>
      </c>
      <c r="S808" s="46">
        <v>4</v>
      </c>
      <c r="T808" s="46" t="s">
        <v>1353</v>
      </c>
      <c r="U808" s="43" t="str">
        <f t="shared" si="199"/>
        <v>2024-02-17</v>
      </c>
      <c r="V808" s="43">
        <f t="shared" si="200"/>
        <v>45339</v>
      </c>
      <c r="W808" s="44">
        <f t="array" ref="W808">_xlfn.IFS(TRIM(C808)="","",TRIM(V808)="","",TRUE,V808-C808)</f>
        <v>10</v>
      </c>
      <c r="X808" s="37">
        <f t="shared" si="201"/>
        <v>6</v>
      </c>
      <c r="Y808" s="46" t="s">
        <v>200</v>
      </c>
      <c r="Z808" s="37" t="str">
        <f t="shared" si="202"/>
        <v>delayed</v>
      </c>
      <c r="AA808" s="37" t="str">
        <f t="shared" si="203"/>
        <v>Late</v>
      </c>
      <c r="AB808" s="37" t="str">
        <f t="shared" si="206"/>
        <v>1</v>
      </c>
      <c r="AC808" s="37">
        <f t="shared" si="207"/>
        <v>1</v>
      </c>
      <c r="AD808" s="45">
        <f t="shared" si="205"/>
        <v>0.526048284625159</v>
      </c>
      <c r="AE808" s="46">
        <v>3</v>
      </c>
      <c r="AF808" s="46" t="s">
        <v>152</v>
      </c>
      <c r="AG808" s="37" t="str">
        <f t="shared" si="204"/>
        <v>no</v>
      </c>
      <c r="AH808" s="37" t="str">
        <f t="array" ref="AH808">_xlfn.IFS(LOWER(AG808)="n","no",LOWER(AG808)="y","yes",TRUE,LOWER(AG808))</f>
        <v>no</v>
      </c>
      <c r="AI808" s="46" t="s">
        <v>4692</v>
      </c>
    </row>
    <row r="809" spans="1:35">
      <c r="A809" s="37" t="s">
        <v>2942</v>
      </c>
      <c r="B809" s="38" t="s">
        <v>4794</v>
      </c>
      <c r="C809" s="39">
        <f t="shared" si="192"/>
        <v>45297</v>
      </c>
      <c r="D809" s="40" t="s">
        <v>4694</v>
      </c>
      <c r="E809" s="37" t="str" cm="1">
        <f t="array" ref="E809">_xlfn.IFS(D809="delhi","north",D809="mumbai","west",D809="bengaluru","south",D809="chennai","south",D809="kolkata","east",TRUE,"west")</f>
        <v>west</v>
      </c>
      <c r="F809" s="37" t="s">
        <v>37</v>
      </c>
      <c r="G809" s="37" t="str">
        <f t="shared" si="193"/>
        <v>bluedart</v>
      </c>
      <c r="H809" s="37" t="s">
        <v>123</v>
      </c>
      <c r="I809" s="37" t="str">
        <f t="shared" si="194"/>
        <v>air</v>
      </c>
      <c r="J809" s="37" t="s">
        <v>205</v>
      </c>
      <c r="K809" s="37" t="str">
        <f t="shared" si="195"/>
        <v>furniture</v>
      </c>
      <c r="L809" s="37" t="s">
        <v>418</v>
      </c>
      <c r="M809" s="37" t="str">
        <f t="shared" si="196"/>
        <v>south</v>
      </c>
      <c r="N809" s="37" t="s">
        <v>54</v>
      </c>
      <c r="O809" s="41" t="str">
        <f t="shared" si="197"/>
        <v>Yes</v>
      </c>
      <c r="P809" s="41">
        <v>26.7</v>
      </c>
      <c r="Q809" s="50">
        <v>1214</v>
      </c>
      <c r="R809" s="42">
        <f t="shared" si="198"/>
        <v>45.4681647940075</v>
      </c>
      <c r="S809" s="37">
        <v>2</v>
      </c>
      <c r="T809" s="37" t="s">
        <v>2225</v>
      </c>
      <c r="U809" s="43" t="str">
        <f t="shared" si="199"/>
        <v>09/01/2024</v>
      </c>
      <c r="V809" s="43">
        <f t="shared" si="200"/>
        <v>45300</v>
      </c>
      <c r="W809" s="44">
        <f t="array" ref="W809">_xlfn.IFS(TRIM(C809)="","",TRIM(V809)="","",TRUE,V809-C809)</f>
        <v>3</v>
      </c>
      <c r="X809" s="37">
        <f t="shared" si="201"/>
        <v>1</v>
      </c>
      <c r="Y809" s="37" t="s">
        <v>200</v>
      </c>
      <c r="Z809" s="37" t="str">
        <f t="shared" si="202"/>
        <v>delayed</v>
      </c>
      <c r="AA809" s="37" t="str">
        <f t="shared" si="203"/>
        <v>Late</v>
      </c>
      <c r="AB809" s="37" t="str">
        <f t="shared" si="206"/>
        <v>1</v>
      </c>
      <c r="AC809" s="37">
        <f t="shared" si="207"/>
        <v>1</v>
      </c>
      <c r="AD809" s="45">
        <f t="shared" si="205"/>
        <v>0.525445292620865</v>
      </c>
      <c r="AE809" s="37">
        <v>2</v>
      </c>
      <c r="AF809" s="37" t="s">
        <v>118</v>
      </c>
      <c r="AG809" s="37" t="str">
        <f t="shared" si="204"/>
        <v>no</v>
      </c>
      <c r="AH809" s="37" t="str">
        <f t="array" ref="AH809">_xlfn.IFS(LOWER(AG809)="n","no",LOWER(AG809)="y","yes",TRUE,LOWER(AG809))</f>
        <v>no</v>
      </c>
      <c r="AI809" s="37" t="s">
        <v>4692</v>
      </c>
    </row>
    <row r="810" spans="1:35">
      <c r="A810" s="46" t="s">
        <v>2945</v>
      </c>
      <c r="B810" s="47">
        <v>45325</v>
      </c>
      <c r="C810" s="39">
        <f t="shared" si="192"/>
        <v>45325</v>
      </c>
      <c r="D810" s="48" t="s">
        <v>4704</v>
      </c>
      <c r="E810" s="37" t="str" cm="1">
        <f t="array" ref="E810">_xlfn.IFS(D810="delhi","north",D810="mumbai","west",D810="bengaluru","south",D810="chennai","south",D810="kolkata","east",TRUE,"west")</f>
        <v>west</v>
      </c>
      <c r="F810" s="46" t="s">
        <v>98</v>
      </c>
      <c r="G810" s="37" t="str">
        <f t="shared" si="193"/>
        <v>dtdc</v>
      </c>
      <c r="H810" s="46" t="s">
        <v>325</v>
      </c>
      <c r="I810" s="37" t="str">
        <f t="shared" si="194"/>
        <v>air</v>
      </c>
      <c r="J810" s="46" t="s">
        <v>186</v>
      </c>
      <c r="K810" s="37" t="str">
        <f t="shared" si="195"/>
        <v>automotiveparts</v>
      </c>
      <c r="L810" s="46" t="s">
        <v>51</v>
      </c>
      <c r="M810" s="37" t="str">
        <f t="shared" si="196"/>
        <v>south</v>
      </c>
      <c r="N810" s="46" t="s">
        <v>93</v>
      </c>
      <c r="O810" s="41" t="str">
        <f t="shared" si="197"/>
        <v>Yes</v>
      </c>
      <c r="P810" s="49" t="s">
        <v>2946</v>
      </c>
      <c r="Q810" s="49">
        <v>894</v>
      </c>
      <c r="R810" s="42">
        <f t="shared" si="198"/>
        <v>54.5121951219512</v>
      </c>
      <c r="S810" s="46">
        <v>4</v>
      </c>
      <c r="T810" s="46" t="s">
        <v>227</v>
      </c>
      <c r="U810" s="43" t="str">
        <f t="shared" si="199"/>
        <v>06-feb-2024</v>
      </c>
      <c r="V810" s="43">
        <f t="shared" si="200"/>
        <v>45328</v>
      </c>
      <c r="W810" s="44">
        <f t="array" ref="W810">_xlfn.IFS(TRIM(C810)="","",TRIM(V810)="","",TRUE,V810-C810)</f>
        <v>3</v>
      </c>
      <c r="X810" s="37">
        <f t="shared" si="201"/>
        <v>-1</v>
      </c>
      <c r="Y810" s="46" t="s">
        <v>163</v>
      </c>
      <c r="Z810" s="37" t="str">
        <f t="shared" si="202"/>
        <v>delivered</v>
      </c>
      <c r="AA810" s="37" t="str">
        <f t="shared" si="203"/>
        <v>On Time</v>
      </c>
      <c r="AB810" s="37" t="str">
        <f t="shared" si="206"/>
        <v>0</v>
      </c>
      <c r="AC810" s="37">
        <f t="shared" si="207"/>
        <v>0</v>
      </c>
      <c r="AD810" s="45">
        <f t="shared" si="205"/>
        <v>0.52484076433121</v>
      </c>
      <c r="AE810" s="46">
        <v>4</v>
      </c>
      <c r="AF810" s="46" t="s">
        <v>152</v>
      </c>
      <c r="AG810" s="37" t="str">
        <f t="shared" si="204"/>
        <v>no</v>
      </c>
      <c r="AH810" s="37" t="str">
        <f t="array" ref="AH810">_xlfn.IFS(LOWER(AG810)="n","no",LOWER(AG810)="y","yes",TRUE,LOWER(AG810))</f>
        <v>no</v>
      </c>
      <c r="AI810" s="46" t="s">
        <v>4692</v>
      </c>
    </row>
    <row r="811" spans="1:35">
      <c r="A811" s="37" t="s">
        <v>2948</v>
      </c>
      <c r="B811" s="38">
        <v>45334</v>
      </c>
      <c r="C811" s="39">
        <f t="shared" si="192"/>
        <v>45334</v>
      </c>
      <c r="D811" s="40" t="s">
        <v>109</v>
      </c>
      <c r="E811" s="37" t="str" cm="1">
        <f t="array" ref="E811">_xlfn.IFS(D811="delhi","north",D811="mumbai","west",D811="bengaluru","south",D811="chennai","south",D811="kolkata","east",TRUE,"west")</f>
        <v>west</v>
      </c>
      <c r="F811" s="37" t="s">
        <v>122</v>
      </c>
      <c r="G811" s="37" t="str">
        <f t="shared" si="193"/>
        <v>delhivery</v>
      </c>
      <c r="H811" s="37" t="s">
        <v>185</v>
      </c>
      <c r="I811" s="37" t="str">
        <f t="shared" si="194"/>
        <v>surface</v>
      </c>
      <c r="J811" s="37" t="s">
        <v>271</v>
      </c>
      <c r="K811" s="37" t="str">
        <f t="shared" si="195"/>
        <v>electronics</v>
      </c>
      <c r="L811" s="37" t="s">
        <v>112</v>
      </c>
      <c r="M811" s="37" t="str">
        <f t="shared" si="196"/>
        <v>north</v>
      </c>
      <c r="N811" s="37" t="s">
        <v>215</v>
      </c>
      <c r="O811" s="41" t="str">
        <f t="shared" si="197"/>
        <v>Yes</v>
      </c>
      <c r="P811" s="41" t="s">
        <v>446</v>
      </c>
      <c r="Q811" s="41">
        <v>184</v>
      </c>
      <c r="R811" s="42">
        <f t="shared" si="198"/>
        <v>122.666666666667</v>
      </c>
      <c r="S811" s="37">
        <v>6</v>
      </c>
      <c r="T811" s="37" t="s">
        <v>1353</v>
      </c>
      <c r="U811" s="43" t="str">
        <f t="shared" si="199"/>
        <v>2024-02-17</v>
      </c>
      <c r="V811" s="43">
        <f t="shared" si="200"/>
        <v>45339</v>
      </c>
      <c r="W811" s="44">
        <f t="array" ref="W811">_xlfn.IFS(TRIM(C811)="","",TRIM(V811)="","",TRUE,V811-C811)</f>
        <v>5</v>
      </c>
      <c r="X811" s="37">
        <f t="shared" si="201"/>
        <v>-1</v>
      </c>
      <c r="Y811" s="37" t="s">
        <v>105</v>
      </c>
      <c r="Z811" s="37" t="str">
        <f t="shared" si="202"/>
        <v>delivered</v>
      </c>
      <c r="AA811" s="37" t="str">
        <f t="shared" si="203"/>
        <v>On Time</v>
      </c>
      <c r="AB811" s="37" t="str">
        <f t="shared" si="206"/>
        <v>0</v>
      </c>
      <c r="AC811" s="37">
        <f t="shared" si="207"/>
        <v>0</v>
      </c>
      <c r="AD811" s="45">
        <f t="shared" si="205"/>
        <v>0.525510204081633</v>
      </c>
      <c r="AE811" s="37">
        <v>4</v>
      </c>
      <c r="AF811" s="37" t="s">
        <v>191</v>
      </c>
      <c r="AG811" s="37" t="str">
        <f t="shared" si="204"/>
        <v>no</v>
      </c>
      <c r="AH811" s="37" t="str">
        <f t="array" ref="AH811">_xlfn.IFS(LOWER(AG811)="n","no",LOWER(AG811)="y","yes",TRUE,LOWER(AG811))</f>
        <v>no</v>
      </c>
      <c r="AI811" s="37" t="s">
        <v>4692</v>
      </c>
    </row>
    <row r="812" spans="1:35">
      <c r="A812" s="46" t="s">
        <v>2950</v>
      </c>
      <c r="B812" s="47">
        <v>45400</v>
      </c>
      <c r="C812" s="39">
        <f t="shared" si="192"/>
        <v>45400</v>
      </c>
      <c r="D812" s="48" t="s">
        <v>633</v>
      </c>
      <c r="E812" s="37" t="str" cm="1">
        <f t="array" ref="E812">_xlfn.IFS(D812="delhi","north",D812="mumbai","west",D812="bengaluru","south",D812="chennai","south",D812="kolkata","east",TRUE,"west")</f>
        <v>south</v>
      </c>
      <c r="F812" s="46" t="s">
        <v>204</v>
      </c>
      <c r="G812" s="37" t="str">
        <f t="shared" si="193"/>
        <v>delhivery</v>
      </c>
      <c r="H812" s="46" t="s">
        <v>440</v>
      </c>
      <c r="I812" s="37" t="str">
        <f t="shared" si="194"/>
        <v>road</v>
      </c>
      <c r="J812" s="46" t="s">
        <v>138</v>
      </c>
      <c r="K812" s="37" t="str">
        <f t="shared" si="195"/>
        <v>apparel</v>
      </c>
      <c r="L812" s="46" t="s">
        <v>257</v>
      </c>
      <c r="M812" s="37" t="str">
        <f t="shared" si="196"/>
        <v>west</v>
      </c>
      <c r="N812" s="46" t="s">
        <v>206</v>
      </c>
      <c r="O812" s="41" t="str">
        <f t="shared" si="197"/>
        <v>Yes</v>
      </c>
      <c r="P812" s="49" t="s">
        <v>2327</v>
      </c>
      <c r="Q812" s="49">
        <v>192</v>
      </c>
      <c r="R812" s="42">
        <f t="shared" si="198"/>
        <v>213.333333333333</v>
      </c>
      <c r="S812" s="46">
        <v>8</v>
      </c>
      <c r="T812" s="46" t="s">
        <v>928</v>
      </c>
      <c r="U812" s="43" t="str">
        <f t="shared" si="199"/>
        <v>27-apr-2024</v>
      </c>
      <c r="V812" s="43">
        <f t="shared" si="200"/>
        <v>45409</v>
      </c>
      <c r="W812" s="44">
        <f t="array" ref="W812">_xlfn.IFS(TRIM(C812)="","",TRIM(V812)="","",TRUE,V812-C812)</f>
        <v>9</v>
      </c>
      <c r="X812" s="37">
        <f t="shared" si="201"/>
        <v>1</v>
      </c>
      <c r="Y812" s="46" t="s">
        <v>72</v>
      </c>
      <c r="Z812" s="37" t="str">
        <f t="shared" si="202"/>
        <v>delayed</v>
      </c>
      <c r="AA812" s="37" t="str">
        <f t="shared" si="203"/>
        <v>Late</v>
      </c>
      <c r="AB812" s="37" t="str">
        <f t="shared" si="206"/>
        <v>1</v>
      </c>
      <c r="AC812" s="37">
        <f t="shared" si="207"/>
        <v>1</v>
      </c>
      <c r="AD812" s="45">
        <f t="shared" si="205"/>
        <v>0.526181353767561</v>
      </c>
      <c r="AE812" s="46">
        <v>1</v>
      </c>
      <c r="AF812" s="46" t="s">
        <v>286</v>
      </c>
      <c r="AG812" s="37" t="str">
        <f t="shared" si="204"/>
        <v>yes</v>
      </c>
      <c r="AH812" s="37" t="str">
        <f t="array" ref="AH812">_xlfn.IFS(LOWER(AG812)="n","no",LOWER(AG812)="y","yes",TRUE,LOWER(AG812))</f>
        <v>yes</v>
      </c>
      <c r="AI812" s="46" t="s">
        <v>4692</v>
      </c>
    </row>
    <row r="813" spans="1:35">
      <c r="A813" s="37" t="s">
        <v>2952</v>
      </c>
      <c r="B813" s="38">
        <v>45439</v>
      </c>
      <c r="C813" s="39">
        <f t="shared" si="192"/>
        <v>45439</v>
      </c>
      <c r="D813" s="40" t="s">
        <v>4712</v>
      </c>
      <c r="E813" s="37" t="str" cm="1">
        <f t="array" ref="E813">_xlfn.IFS(D813="delhi","north",D813="mumbai","west",D813="bengaluru","south",D813="chennai","south",D813="kolkata","east",TRUE,"west")</f>
        <v>west</v>
      </c>
      <c r="F813" s="37" t="s">
        <v>184</v>
      </c>
      <c r="G813" s="37" t="str">
        <f t="shared" si="193"/>
        <v>ecomexpress</v>
      </c>
      <c r="H813" s="37" t="s">
        <v>224</v>
      </c>
      <c r="I813" s="37" t="str">
        <f t="shared" si="194"/>
        <v>air</v>
      </c>
      <c r="J813" s="37" t="s">
        <v>664</v>
      </c>
      <c r="K813" s="37" t="str">
        <f t="shared" si="195"/>
        <v>grocery&amp;fmcg</v>
      </c>
      <c r="L813" s="37" t="s">
        <v>101</v>
      </c>
      <c r="M813" s="37" t="str">
        <f t="shared" si="196"/>
        <v>west</v>
      </c>
      <c r="N813" s="37" t="s">
        <v>206</v>
      </c>
      <c r="O813" s="41" t="str">
        <f t="shared" si="197"/>
        <v>Yes</v>
      </c>
      <c r="P813" s="41">
        <v>16.9</v>
      </c>
      <c r="Q813" s="41">
        <v>903</v>
      </c>
      <c r="R813" s="42">
        <f t="shared" si="198"/>
        <v>53.4319526627219</v>
      </c>
      <c r="S813" s="37">
        <v>4</v>
      </c>
      <c r="T813" s="37" t="s">
        <v>1236</v>
      </c>
      <c r="U813" s="43" t="str">
        <f t="shared" si="199"/>
        <v>30-may-2024</v>
      </c>
      <c r="V813" s="43">
        <f t="shared" si="200"/>
        <v>45442</v>
      </c>
      <c r="W813" s="44">
        <f t="array" ref="W813">_xlfn.IFS(TRIM(C813)="","",TRIM(V813)="","",TRUE,V813-C813)</f>
        <v>3</v>
      </c>
      <c r="X813" s="37">
        <f t="shared" si="201"/>
        <v>-1</v>
      </c>
      <c r="Y813" s="37" t="s">
        <v>1513</v>
      </c>
      <c r="Z813" s="37" t="str">
        <f t="shared" si="202"/>
        <v>damaged</v>
      </c>
      <c r="AA813" s="37" t="str">
        <f t="shared" si="203"/>
        <v>On Time</v>
      </c>
      <c r="AB813" s="37" t="str">
        <f t="shared" si="206"/>
        <v>0</v>
      </c>
      <c r="AC813" s="37">
        <f t="shared" si="207"/>
        <v>0</v>
      </c>
      <c r="AD813" s="45">
        <f t="shared" si="205"/>
        <v>0.525575447570332</v>
      </c>
      <c r="AE813" s="37"/>
      <c r="AF813" s="37" t="s">
        <v>131</v>
      </c>
      <c r="AG813" s="37" t="str">
        <f t="shared" si="204"/>
        <v>n</v>
      </c>
      <c r="AH813" s="37" t="str">
        <f t="array" ref="AH813">_xlfn.IFS(LOWER(AG813)="n","no",LOWER(AG813)="y","yes",TRUE,LOWER(AG813))</f>
        <v>no</v>
      </c>
      <c r="AI813" s="37" t="s">
        <v>132</v>
      </c>
    </row>
    <row r="814" spans="1:35">
      <c r="A814" s="46" t="s">
        <v>2955</v>
      </c>
      <c r="B814" s="47">
        <v>45358</v>
      </c>
      <c r="C814" s="39">
        <f t="shared" si="192"/>
        <v>45358</v>
      </c>
      <c r="D814" s="48" t="s">
        <v>633</v>
      </c>
      <c r="E814" s="37" t="str" cm="1">
        <f t="array" ref="E814">_xlfn.IFS(D814="delhi","north",D814="mumbai","west",D814="bengaluru","south",D814="chennai","south",D814="kolkata","east",TRUE,"west")</f>
        <v>south</v>
      </c>
      <c r="F814" s="46" t="s">
        <v>230</v>
      </c>
      <c r="G814" s="37" t="str">
        <f t="shared" si="193"/>
        <v>dtdc</v>
      </c>
      <c r="H814" s="46" t="s">
        <v>99</v>
      </c>
      <c r="I814" s="37" t="str">
        <f t="shared" si="194"/>
        <v>air</v>
      </c>
      <c r="J814" s="46" t="s">
        <v>452</v>
      </c>
      <c r="K814" s="37" t="str">
        <f t="shared" si="195"/>
        <v>apparel</v>
      </c>
      <c r="L814" s="46" t="s">
        <v>470</v>
      </c>
      <c r="M814" s="37" t="str">
        <f t="shared" si="196"/>
        <v>east</v>
      </c>
      <c r="N814" s="46" t="s">
        <v>294</v>
      </c>
      <c r="O814" s="41" t="str">
        <f t="shared" si="197"/>
        <v>Yes</v>
      </c>
      <c r="P814" s="49" t="s">
        <v>2544</v>
      </c>
      <c r="Q814" s="49" t="s">
        <v>2956</v>
      </c>
      <c r="R814" s="42">
        <f t="shared" si="198"/>
        <v>73.3846153846154</v>
      </c>
      <c r="S814" s="46">
        <v>4</v>
      </c>
      <c r="T814" s="46" t="s">
        <v>1377</v>
      </c>
      <c r="U814" s="43" t="str">
        <f t="shared" si="199"/>
        <v>12/03/2024</v>
      </c>
      <c r="V814" s="43">
        <f t="shared" si="200"/>
        <v>45363</v>
      </c>
      <c r="W814" s="44">
        <f t="array" ref="W814">_xlfn.IFS(TRIM(C814)="","",TRIM(V814)="","",TRUE,V814-C814)</f>
        <v>5</v>
      </c>
      <c r="X814" s="37">
        <f t="shared" si="201"/>
        <v>1</v>
      </c>
      <c r="Y814" s="46" t="s">
        <v>143</v>
      </c>
      <c r="Z814" s="37" t="str">
        <f t="shared" si="202"/>
        <v>delayed</v>
      </c>
      <c r="AA814" s="37" t="str">
        <f t="shared" si="203"/>
        <v>Late</v>
      </c>
      <c r="AB814" s="37" t="str">
        <f t="shared" si="206"/>
        <v>1</v>
      </c>
      <c r="AC814" s="37">
        <f t="shared" si="207"/>
        <v>1</v>
      </c>
      <c r="AD814" s="45">
        <f t="shared" si="205"/>
        <v>0.526248399487836</v>
      </c>
      <c r="AE814" s="46">
        <v>3</v>
      </c>
      <c r="AF814" s="46" t="s">
        <v>152</v>
      </c>
      <c r="AG814" s="37" t="str">
        <f t="shared" si="204"/>
        <v>no</v>
      </c>
      <c r="AH814" s="37" t="str">
        <f t="array" ref="AH814">_xlfn.IFS(LOWER(AG814)="n","no",LOWER(AG814)="y","yes",TRUE,LOWER(AG814))</f>
        <v>no</v>
      </c>
      <c r="AI814" s="46" t="s">
        <v>4692</v>
      </c>
    </row>
    <row r="815" spans="1:35">
      <c r="A815" s="37" t="s">
        <v>2957</v>
      </c>
      <c r="B815" s="38">
        <v>45348</v>
      </c>
      <c r="C815" s="39">
        <f t="shared" si="192"/>
        <v>45348</v>
      </c>
      <c r="D815" s="40" t="s">
        <v>212</v>
      </c>
      <c r="E815" s="37" t="str" cm="1">
        <f t="array" ref="E815">_xlfn.IFS(D815="delhi","north",D815="mumbai","west",D815="bengaluru","south",D815="chennai","south",D815="kolkata","east",TRUE,"west")</f>
        <v>west</v>
      </c>
      <c r="F815" s="37" t="s">
        <v>98</v>
      </c>
      <c r="G815" s="37" t="str">
        <f t="shared" si="193"/>
        <v>dtdc</v>
      </c>
      <c r="H815" s="37" t="s">
        <v>325</v>
      </c>
      <c r="I815" s="37" t="str">
        <f t="shared" si="194"/>
        <v>air</v>
      </c>
      <c r="J815" s="37" t="s">
        <v>186</v>
      </c>
      <c r="K815" s="37" t="str">
        <f t="shared" si="195"/>
        <v>automotiveparts</v>
      </c>
      <c r="L815" s="37" t="s">
        <v>139</v>
      </c>
      <c r="M815" s="37" t="str">
        <f t="shared" si="196"/>
        <v>north</v>
      </c>
      <c r="N815" s="37" t="s">
        <v>32</v>
      </c>
      <c r="O815" s="41" t="str">
        <f t="shared" si="197"/>
        <v>Yes</v>
      </c>
      <c r="P815" s="41">
        <v>14.1</v>
      </c>
      <c r="Q815" s="41">
        <v>824</v>
      </c>
      <c r="R815" s="42">
        <f t="shared" si="198"/>
        <v>58.4397163120567</v>
      </c>
      <c r="S815" s="37">
        <v>4</v>
      </c>
      <c r="T815" s="37" t="s">
        <v>1010</v>
      </c>
      <c r="U815" s="43" t="str">
        <f t="shared" si="199"/>
        <v>02-mar-2024</v>
      </c>
      <c r="V815" s="43">
        <f t="shared" si="200"/>
        <v>45353</v>
      </c>
      <c r="W815" s="44">
        <f t="array" ref="W815">_xlfn.IFS(TRIM(C815)="","",TRIM(V815)="","",TRUE,V815-C815)</f>
        <v>5</v>
      </c>
      <c r="X815" s="37">
        <f t="shared" si="201"/>
        <v>1</v>
      </c>
      <c r="Y815" s="37" t="s">
        <v>200</v>
      </c>
      <c r="Z815" s="37" t="str">
        <f t="shared" si="202"/>
        <v>delayed</v>
      </c>
      <c r="AA815" s="37" t="str">
        <f t="shared" si="203"/>
        <v>Late</v>
      </c>
      <c r="AB815" s="37" t="str">
        <f t="shared" si="206"/>
        <v>1</v>
      </c>
      <c r="AC815" s="37">
        <f t="shared" si="207"/>
        <v>1</v>
      </c>
      <c r="AD815" s="45">
        <f t="shared" si="205"/>
        <v>0.525641025641026</v>
      </c>
      <c r="AE815" s="37">
        <v>2</v>
      </c>
      <c r="AF815" s="37" t="s">
        <v>79</v>
      </c>
      <c r="AG815" s="37" t="str">
        <f t="shared" si="204"/>
        <v>yes</v>
      </c>
      <c r="AH815" s="37" t="str">
        <f t="array" ref="AH815">_xlfn.IFS(LOWER(AG815)="n","no",LOWER(AG815)="y","yes",TRUE,LOWER(AG815))</f>
        <v>yes</v>
      </c>
      <c r="AI815" s="37" t="s">
        <v>4692</v>
      </c>
    </row>
    <row r="816" spans="1:35">
      <c r="A816" s="46" t="s">
        <v>2960</v>
      </c>
      <c r="B816" s="47">
        <v>45414</v>
      </c>
      <c r="C816" s="39">
        <f t="shared" si="192"/>
        <v>45414</v>
      </c>
      <c r="D816" s="48" t="s">
        <v>4712</v>
      </c>
      <c r="E816" s="37" t="str" cm="1">
        <f t="array" ref="E816">_xlfn.IFS(D816="delhi","north",D816="mumbai","west",D816="bengaluru","south",D816="chennai","south",D816="kolkata","east",TRUE,"west")</f>
        <v>west</v>
      </c>
      <c r="F816" s="46" t="s">
        <v>184</v>
      </c>
      <c r="G816" s="37" t="str">
        <f t="shared" si="193"/>
        <v>ecomexpress</v>
      </c>
      <c r="H816" s="46" t="s">
        <v>244</v>
      </c>
      <c r="I816" s="37" t="str">
        <f t="shared" si="194"/>
        <v>air</v>
      </c>
      <c r="J816" s="46" t="s">
        <v>301</v>
      </c>
      <c r="K816" s="37" t="str">
        <f t="shared" si="195"/>
        <v>furniture</v>
      </c>
      <c r="L816" s="46" t="s">
        <v>334</v>
      </c>
      <c r="M816" s="37" t="str">
        <f t="shared" si="196"/>
        <v>north</v>
      </c>
      <c r="N816" s="46" t="s">
        <v>32</v>
      </c>
      <c r="O816" s="41" t="str">
        <f t="shared" si="197"/>
        <v>Yes</v>
      </c>
      <c r="P816" s="49">
        <v>46</v>
      </c>
      <c r="Q816" s="49">
        <v>2222</v>
      </c>
      <c r="R816" s="42">
        <f t="shared" si="198"/>
        <v>48.304347826087</v>
      </c>
      <c r="S816" s="46">
        <v>4</v>
      </c>
      <c r="T816" s="46" t="s">
        <v>1586</v>
      </c>
      <c r="U816" s="43" t="str">
        <f t="shared" si="199"/>
        <v>2024-05-07</v>
      </c>
      <c r="V816" s="43">
        <f t="shared" si="200"/>
        <v>45419</v>
      </c>
      <c r="W816" s="44">
        <f t="array" ref="W816">_xlfn.IFS(TRIM(C816)="","",TRIM(V816)="","",TRUE,V816-C816)</f>
        <v>5</v>
      </c>
      <c r="X816" s="37">
        <f t="shared" si="201"/>
        <v>1</v>
      </c>
      <c r="Y816" s="46" t="s">
        <v>72</v>
      </c>
      <c r="Z816" s="37" t="str">
        <f t="shared" si="202"/>
        <v>delayed</v>
      </c>
      <c r="AA816" s="37" t="str">
        <f t="shared" si="203"/>
        <v>Late</v>
      </c>
      <c r="AB816" s="37" t="str">
        <f t="shared" si="206"/>
        <v>1</v>
      </c>
      <c r="AC816" s="37">
        <f t="shared" si="207"/>
        <v>1</v>
      </c>
      <c r="AD816" s="45">
        <f t="shared" si="205"/>
        <v>0.525032092426187</v>
      </c>
      <c r="AE816" s="46">
        <v>2</v>
      </c>
      <c r="AF816" s="46" t="s">
        <v>131</v>
      </c>
      <c r="AG816" s="37" t="str">
        <f t="shared" si="204"/>
        <v>n</v>
      </c>
      <c r="AH816" s="37" t="str">
        <f t="array" ref="AH816">_xlfn.IFS(LOWER(AG816)="n","no",LOWER(AG816)="y","yes",TRUE,LOWER(AG816))</f>
        <v>no</v>
      </c>
      <c r="AI816" s="46" t="s">
        <v>4692</v>
      </c>
    </row>
    <row r="817" spans="1:35">
      <c r="A817" s="37" t="s">
        <v>2963</v>
      </c>
      <c r="B817" s="38">
        <v>45414</v>
      </c>
      <c r="C817" s="39">
        <f t="shared" si="192"/>
        <v>45414</v>
      </c>
      <c r="D817" s="40" t="s">
        <v>243</v>
      </c>
      <c r="E817" s="37" t="str" cm="1">
        <f t="array" ref="E817">_xlfn.IFS(D817="delhi","north",D817="mumbai","west",D817="bengaluru","south",D817="chennai","south",D817="kolkata","east",TRUE,"west")</f>
        <v>west</v>
      </c>
      <c r="F817" s="37" t="s">
        <v>156</v>
      </c>
      <c r="G817" s="37" t="str">
        <f t="shared" si="193"/>
        <v>xpressbees</v>
      </c>
      <c r="H817" s="37" t="s">
        <v>244</v>
      </c>
      <c r="I817" s="37" t="str">
        <f t="shared" si="194"/>
        <v>air</v>
      </c>
      <c r="J817" s="37" t="s">
        <v>425</v>
      </c>
      <c r="K817" s="37" t="str">
        <f t="shared" si="195"/>
        <v>automotiveparts</v>
      </c>
      <c r="L817" s="37" t="s">
        <v>334</v>
      </c>
      <c r="M817" s="37" t="str">
        <f t="shared" si="196"/>
        <v>north</v>
      </c>
      <c r="N817" s="37" t="s">
        <v>215</v>
      </c>
      <c r="O817" s="41" t="str">
        <f t="shared" si="197"/>
        <v>Yes</v>
      </c>
      <c r="P817" s="41" t="s">
        <v>2463</v>
      </c>
      <c r="Q817" s="41" t="s">
        <v>2964</v>
      </c>
      <c r="R817" s="42">
        <f t="shared" si="198"/>
        <v>60.1010101010101</v>
      </c>
      <c r="S817" s="37">
        <v>4</v>
      </c>
      <c r="T817" s="37" t="s">
        <v>2965</v>
      </c>
      <c r="U817" s="43" t="str">
        <f t="shared" si="199"/>
        <v>07-may-2024</v>
      </c>
      <c r="V817" s="43">
        <f t="shared" si="200"/>
        <v>45419</v>
      </c>
      <c r="W817" s="44">
        <f t="array" ref="W817">_xlfn.IFS(TRIM(C817)="","",TRIM(V817)="","",TRUE,V817-C817)</f>
        <v>5</v>
      </c>
      <c r="X817" s="37">
        <f t="shared" si="201"/>
        <v>1</v>
      </c>
      <c r="Y817" s="37" t="s">
        <v>200</v>
      </c>
      <c r="Z817" s="37" t="str">
        <f t="shared" si="202"/>
        <v>delayed</v>
      </c>
      <c r="AA817" s="37" t="str">
        <f t="shared" si="203"/>
        <v>Late</v>
      </c>
      <c r="AB817" s="37" t="str">
        <f t="shared" si="206"/>
        <v>1</v>
      </c>
      <c r="AC817" s="37">
        <f t="shared" si="207"/>
        <v>1</v>
      </c>
      <c r="AD817" s="45">
        <f t="shared" si="205"/>
        <v>0.524421593830334</v>
      </c>
      <c r="AE817" s="37">
        <v>4</v>
      </c>
      <c r="AF817" s="37" t="s">
        <v>131</v>
      </c>
      <c r="AG817" s="37" t="str">
        <f t="shared" si="204"/>
        <v>n</v>
      </c>
      <c r="AH817" s="37" t="str">
        <f t="array" ref="AH817">_xlfn.IFS(LOWER(AG817)="n","no",LOWER(AG817)="y","yes",TRUE,LOWER(AG817))</f>
        <v>no</v>
      </c>
      <c r="AI817" s="37" t="s">
        <v>4692</v>
      </c>
    </row>
    <row r="818" spans="1:35">
      <c r="A818" s="46" t="s">
        <v>2966</v>
      </c>
      <c r="B818" s="47">
        <v>45427</v>
      </c>
      <c r="C818" s="39">
        <f t="shared" si="192"/>
        <v>45427</v>
      </c>
      <c r="D818" s="48" t="s">
        <v>135</v>
      </c>
      <c r="E818" s="37" t="str" cm="1">
        <f t="array" ref="E818">_xlfn.IFS(D818="delhi","north",D818="mumbai","west",D818="bengaluru","south",D818="chennai","south",D818="kolkata","east",TRUE,"west")</f>
        <v>west</v>
      </c>
      <c r="F818" s="46" t="s">
        <v>213</v>
      </c>
      <c r="G818" s="37" t="str">
        <f t="shared" si="193"/>
        <v>dtdc</v>
      </c>
      <c r="H818" s="46" t="s">
        <v>42</v>
      </c>
      <c r="I818" s="37" t="str">
        <f t="shared" si="194"/>
        <v>surface</v>
      </c>
      <c r="J818" s="46" t="s">
        <v>277</v>
      </c>
      <c r="K818" s="37" t="str">
        <f t="shared" si="195"/>
        <v>apparel</v>
      </c>
      <c r="L818" s="46" t="s">
        <v>92</v>
      </c>
      <c r="M818" s="37" t="str">
        <f t="shared" si="196"/>
        <v>east</v>
      </c>
      <c r="N818" s="46" t="s">
        <v>126</v>
      </c>
      <c r="O818" s="41" t="str">
        <f t="shared" si="197"/>
        <v>Yes</v>
      </c>
      <c r="P818" s="49" t="s">
        <v>1762</v>
      </c>
      <c r="Q818" s="49">
        <v>265</v>
      </c>
      <c r="R818" s="42">
        <f t="shared" si="198"/>
        <v>63.0952380952381</v>
      </c>
      <c r="S818" s="46">
        <v>6</v>
      </c>
      <c r="T818" s="46" t="s">
        <v>595</v>
      </c>
      <c r="U818" s="43" t="str">
        <f t="shared" si="199"/>
        <v>2024-05-22</v>
      </c>
      <c r="V818" s="43">
        <f t="shared" si="200"/>
        <v>45434</v>
      </c>
      <c r="W818" s="44">
        <f t="array" ref="W818">_xlfn.IFS(TRIM(C818)="","",TRIM(V818)="","",TRUE,V818-C818)</f>
        <v>7</v>
      </c>
      <c r="X818" s="37">
        <f t="shared" si="201"/>
        <v>1</v>
      </c>
      <c r="Y818" s="46" t="s">
        <v>143</v>
      </c>
      <c r="Z818" s="37" t="str">
        <f t="shared" si="202"/>
        <v>delayed</v>
      </c>
      <c r="AA818" s="37" t="str">
        <f t="shared" si="203"/>
        <v>Late</v>
      </c>
      <c r="AB818" s="37" t="str">
        <f t="shared" si="206"/>
        <v>1</v>
      </c>
      <c r="AC818" s="37">
        <f t="shared" si="207"/>
        <v>1</v>
      </c>
      <c r="AD818" s="45">
        <f t="shared" si="205"/>
        <v>0.523809523809524</v>
      </c>
      <c r="AE818" s="46">
        <v>1</v>
      </c>
      <c r="AF818" s="46" t="s">
        <v>152</v>
      </c>
      <c r="AG818" s="37" t="str">
        <f t="shared" si="204"/>
        <v>no</v>
      </c>
      <c r="AH818" s="37" t="str">
        <f t="array" ref="AH818">_xlfn.IFS(LOWER(AG818)="n","no",LOWER(AG818)="y","yes",TRUE,LOWER(AG818))</f>
        <v>no</v>
      </c>
      <c r="AI818" s="46" t="s">
        <v>4692</v>
      </c>
    </row>
    <row r="819" spans="1:35">
      <c r="A819" s="46" t="s">
        <v>2968</v>
      </c>
      <c r="B819" s="47">
        <v>45355</v>
      </c>
      <c r="C819" s="39">
        <f t="shared" si="192"/>
        <v>45355</v>
      </c>
      <c r="D819" s="48" t="s">
        <v>340</v>
      </c>
      <c r="E819" s="37" t="str" cm="1">
        <f t="array" ref="E819">_xlfn.IFS(D819="delhi","north",D819="mumbai","west",D819="bengaluru","south",D819="chennai","south",D819="kolkata","east",TRUE,"west")</f>
        <v>north</v>
      </c>
      <c r="F819" s="46" t="s">
        <v>204</v>
      </c>
      <c r="G819" s="37" t="str">
        <f t="shared" si="193"/>
        <v>delhivery</v>
      </c>
      <c r="H819" s="46" t="s">
        <v>157</v>
      </c>
      <c r="I819" s="37" t="str">
        <f t="shared" si="194"/>
        <v>surface</v>
      </c>
      <c r="J819" s="46" t="s">
        <v>148</v>
      </c>
      <c r="K819" s="37" t="str">
        <f t="shared" si="195"/>
        <v>electronics</v>
      </c>
      <c r="L819" s="46" t="s">
        <v>125</v>
      </c>
      <c r="M819" s="37" t="str">
        <f t="shared" si="196"/>
        <v>east</v>
      </c>
      <c r="N819" s="46" t="s">
        <v>126</v>
      </c>
      <c r="O819" s="41" t="str">
        <f t="shared" si="197"/>
        <v>Yes</v>
      </c>
      <c r="P819" s="49">
        <v>9.3</v>
      </c>
      <c r="Q819" s="49" t="s">
        <v>2970</v>
      </c>
      <c r="R819" s="42">
        <f t="shared" si="198"/>
        <v>42.0430107526882</v>
      </c>
      <c r="S819" s="46">
        <v>6</v>
      </c>
      <c r="T819" s="46" t="s">
        <v>165</v>
      </c>
      <c r="U819" s="43" t="str">
        <f t="shared" si="199"/>
        <v>14-mar-2024</v>
      </c>
      <c r="V819" s="43">
        <f t="shared" si="200"/>
        <v>45365</v>
      </c>
      <c r="W819" s="44">
        <f t="array" ref="W819">_xlfn.IFS(TRIM(C819)="","",TRIM(V819)="","",TRUE,V819-C819)</f>
        <v>10</v>
      </c>
      <c r="X819" s="37">
        <f t="shared" si="201"/>
        <v>4</v>
      </c>
      <c r="Y819" s="46" t="s">
        <v>200</v>
      </c>
      <c r="Z819" s="37" t="str">
        <f t="shared" si="202"/>
        <v>delayed</v>
      </c>
      <c r="AA819" s="37" t="str">
        <f t="shared" si="203"/>
        <v>Late</v>
      </c>
      <c r="AB819" s="37" t="str">
        <f t="shared" si="206"/>
        <v>1</v>
      </c>
      <c r="AC819" s="37">
        <f t="shared" si="207"/>
        <v>1</v>
      </c>
      <c r="AD819" s="45">
        <f t="shared" si="205"/>
        <v>0.52319587628866</v>
      </c>
      <c r="AE819" s="46">
        <v>5</v>
      </c>
      <c r="AF819" s="46" t="s">
        <v>118</v>
      </c>
      <c r="AG819" s="37" t="str">
        <f t="shared" si="204"/>
        <v>no</v>
      </c>
      <c r="AH819" s="37" t="str">
        <f t="array" ref="AH819">_xlfn.IFS(LOWER(AG819)="n","no",LOWER(AG819)="y","yes",TRUE,LOWER(AG819))</f>
        <v>no</v>
      </c>
      <c r="AI819" s="46" t="s">
        <v>4692</v>
      </c>
    </row>
    <row r="820" spans="1:35">
      <c r="A820" s="37" t="s">
        <v>2971</v>
      </c>
      <c r="B820" s="38" t="s">
        <v>4830</v>
      </c>
      <c r="C820" s="39">
        <f t="shared" si="192"/>
        <v>45425</v>
      </c>
      <c r="D820" s="40" t="s">
        <v>109</v>
      </c>
      <c r="E820" s="37" t="str" cm="1">
        <f t="array" ref="E820">_xlfn.IFS(D820="delhi","north",D820="mumbai","west",D820="bengaluru","south",D820="chennai","south",D820="kolkata","east",TRUE,"west")</f>
        <v>west</v>
      </c>
      <c r="F820" s="37" t="s">
        <v>270</v>
      </c>
      <c r="G820" s="37" t="str">
        <f t="shared" si="193"/>
        <v>ecomexpress</v>
      </c>
      <c r="H820" s="37" t="s">
        <v>176</v>
      </c>
      <c r="I820" s="37" t="str">
        <f t="shared" si="194"/>
        <v>road</v>
      </c>
      <c r="J820" s="37" t="s">
        <v>1682</v>
      </c>
      <c r="K820" s="37" t="str">
        <f t="shared" si="195"/>
        <v>furniture</v>
      </c>
      <c r="L820" s="37" t="s">
        <v>470</v>
      </c>
      <c r="M820" s="37" t="str">
        <f t="shared" si="196"/>
        <v>east</v>
      </c>
      <c r="N820" s="37" t="s">
        <v>294</v>
      </c>
      <c r="O820" s="41" t="str">
        <f t="shared" si="197"/>
        <v>Yes</v>
      </c>
      <c r="P820" s="41">
        <v>62.7</v>
      </c>
      <c r="Q820" s="41" t="s">
        <v>2973</v>
      </c>
      <c r="R820" s="42">
        <f t="shared" si="198"/>
        <v>16.4274322169059</v>
      </c>
      <c r="S820" s="37">
        <v>8</v>
      </c>
      <c r="T820" s="37" t="s">
        <v>595</v>
      </c>
      <c r="U820" s="43" t="str">
        <f t="shared" si="199"/>
        <v>2024-05-22</v>
      </c>
      <c r="V820" s="43">
        <f t="shared" si="200"/>
        <v>45434</v>
      </c>
      <c r="W820" s="44">
        <f t="array" ref="W820">_xlfn.IFS(TRIM(C820)="","",TRIM(V820)="","",TRUE,V820-C820)</f>
        <v>9</v>
      </c>
      <c r="X820" s="37">
        <f t="shared" si="201"/>
        <v>1</v>
      </c>
      <c r="Y820" s="37" t="s">
        <v>200</v>
      </c>
      <c r="Z820" s="37" t="str">
        <f t="shared" si="202"/>
        <v>delayed</v>
      </c>
      <c r="AA820" s="37" t="str">
        <f t="shared" si="203"/>
        <v>Late</v>
      </c>
      <c r="AB820" s="37" t="str">
        <f t="shared" si="206"/>
        <v>1</v>
      </c>
      <c r="AC820" s="37">
        <f t="shared" si="207"/>
        <v>1</v>
      </c>
      <c r="AD820" s="45">
        <f t="shared" si="205"/>
        <v>0.52258064516129</v>
      </c>
      <c r="AE820" s="37">
        <v>1</v>
      </c>
      <c r="AF820" s="37" t="s">
        <v>191</v>
      </c>
      <c r="AG820" s="37" t="str">
        <f t="shared" si="204"/>
        <v>no</v>
      </c>
      <c r="AH820" s="37" t="str">
        <f t="array" ref="AH820">_xlfn.IFS(LOWER(AG820)="n","no",LOWER(AG820)="y","yes",TRUE,LOWER(AG820))</f>
        <v>no</v>
      </c>
      <c r="AI820" s="37" t="s">
        <v>4692</v>
      </c>
    </row>
    <row r="821" spans="1:35">
      <c r="A821" s="46" t="s">
        <v>2974</v>
      </c>
      <c r="B821" s="47">
        <v>45414</v>
      </c>
      <c r="C821" s="39">
        <f t="shared" si="192"/>
        <v>45414</v>
      </c>
      <c r="D821" s="48" t="s">
        <v>633</v>
      </c>
      <c r="E821" s="37" t="str" cm="1">
        <f t="array" ref="E821">_xlfn.IFS(D821="delhi","north",D821="mumbai","west",D821="bengaluru","south",D821="chennai","south",D821="kolkata","east",TRUE,"west")</f>
        <v>south</v>
      </c>
      <c r="F821" s="46" t="s">
        <v>146</v>
      </c>
      <c r="G821" s="37" t="str">
        <f t="shared" si="193"/>
        <v>ecomexpress</v>
      </c>
      <c r="H821" s="46" t="s">
        <v>137</v>
      </c>
      <c r="I821" s="37" t="str">
        <f t="shared" si="194"/>
        <v>road</v>
      </c>
      <c r="J821" s="46" t="s">
        <v>664</v>
      </c>
      <c r="K821" s="37" t="str">
        <f t="shared" si="195"/>
        <v>grocery&amp;fmcg</v>
      </c>
      <c r="L821" s="46" t="s">
        <v>264</v>
      </c>
      <c r="M821" s="37" t="str">
        <f t="shared" si="196"/>
        <v>west</v>
      </c>
      <c r="N821" s="46" t="s">
        <v>88</v>
      </c>
      <c r="O821" s="41" t="str">
        <f t="shared" si="197"/>
        <v>Yes</v>
      </c>
      <c r="P821" s="49">
        <v>7.6</v>
      </c>
      <c r="Q821" s="49">
        <v>295</v>
      </c>
      <c r="R821" s="42">
        <f t="shared" si="198"/>
        <v>38.8157894736842</v>
      </c>
      <c r="S821" s="46">
        <v>8</v>
      </c>
      <c r="T821" s="46" t="s">
        <v>877</v>
      </c>
      <c r="U821" s="43" t="str">
        <f t="shared" si="199"/>
        <v>12-may-2024</v>
      </c>
      <c r="V821" s="43">
        <f t="shared" si="200"/>
        <v>45424</v>
      </c>
      <c r="W821" s="44">
        <f t="array" ref="W821">_xlfn.IFS(TRIM(C821)="","",TRIM(V821)="","",TRUE,V821-C821)</f>
        <v>10</v>
      </c>
      <c r="X821" s="37">
        <f t="shared" si="201"/>
        <v>2</v>
      </c>
      <c r="Y821" s="46" t="s">
        <v>200</v>
      </c>
      <c r="Z821" s="37" t="str">
        <f t="shared" si="202"/>
        <v>delayed</v>
      </c>
      <c r="AA821" s="37" t="str">
        <f t="shared" si="203"/>
        <v>Late</v>
      </c>
      <c r="AB821" s="37" t="str">
        <f t="shared" si="206"/>
        <v>1</v>
      </c>
      <c r="AC821" s="37">
        <f t="shared" si="207"/>
        <v>1</v>
      </c>
      <c r="AD821" s="45">
        <f t="shared" si="205"/>
        <v>0.521963824289406</v>
      </c>
      <c r="AE821" s="46">
        <v>2</v>
      </c>
      <c r="AF821" s="46" t="s">
        <v>181</v>
      </c>
      <c r="AG821" s="37" t="str">
        <f t="shared" si="204"/>
        <v>y</v>
      </c>
      <c r="AH821" s="37" t="str">
        <f t="array" ref="AH821">_xlfn.IFS(LOWER(AG821)="n","no",LOWER(AG821)="y","yes",TRUE,LOWER(AG821))</f>
        <v>yes</v>
      </c>
      <c r="AI821" s="46" t="s">
        <v>4692</v>
      </c>
    </row>
    <row r="822" spans="1:35">
      <c r="A822" s="37" t="s">
        <v>2975</v>
      </c>
      <c r="B822" s="38">
        <v>45294</v>
      </c>
      <c r="C822" s="39">
        <f t="shared" si="192"/>
        <v>45294</v>
      </c>
      <c r="D822" s="40" t="s">
        <v>424</v>
      </c>
      <c r="E822" s="37" t="str" cm="1">
        <f t="array" ref="E822">_xlfn.IFS(D822="delhi","north",D822="mumbai","west",D822="bengaluru","south",D822="chennai","south",D822="kolkata","east",TRUE,"west")</f>
        <v>south</v>
      </c>
      <c r="F822" s="37" t="s">
        <v>194</v>
      </c>
      <c r="G822" s="37" t="str">
        <f t="shared" si="193"/>
        <v>xpressbees</v>
      </c>
      <c r="H822" s="37" t="s">
        <v>176</v>
      </c>
      <c r="I822" s="37" t="str">
        <f t="shared" si="194"/>
        <v>road</v>
      </c>
      <c r="J822" s="37" t="s">
        <v>214</v>
      </c>
      <c r="K822" s="37" t="str">
        <f t="shared" si="195"/>
        <v>grocery&amp;fmcg</v>
      </c>
      <c r="L822" s="37" t="s">
        <v>302</v>
      </c>
      <c r="M822" s="37" t="str">
        <f t="shared" si="196"/>
        <v>east</v>
      </c>
      <c r="N822" s="37" t="s">
        <v>126</v>
      </c>
      <c r="O822" s="41" t="str">
        <f t="shared" si="197"/>
        <v>Yes</v>
      </c>
      <c r="P822" s="41">
        <v>13.2</v>
      </c>
      <c r="Q822" s="41">
        <v>306</v>
      </c>
      <c r="R822" s="42">
        <f t="shared" si="198"/>
        <v>23.1818181818182</v>
      </c>
      <c r="S822" s="37">
        <v>8</v>
      </c>
      <c r="T822" s="37" t="s">
        <v>1685</v>
      </c>
      <c r="U822" s="43" t="str">
        <f t="shared" si="199"/>
        <v>12/01/2024</v>
      </c>
      <c r="V822" s="43">
        <f t="shared" si="200"/>
        <v>45303</v>
      </c>
      <c r="W822" s="44">
        <f t="array" ref="W822">_xlfn.IFS(TRIM(C822)="","",TRIM(V822)="","",TRUE,V822-C822)</f>
        <v>9</v>
      </c>
      <c r="X822" s="37">
        <f t="shared" si="201"/>
        <v>1</v>
      </c>
      <c r="Y822" s="37" t="s">
        <v>143</v>
      </c>
      <c r="Z822" s="37" t="str">
        <f t="shared" si="202"/>
        <v>delayed</v>
      </c>
      <c r="AA822" s="37" t="str">
        <f t="shared" si="203"/>
        <v>Late</v>
      </c>
      <c r="AB822" s="37" t="str">
        <f t="shared" si="206"/>
        <v>1</v>
      </c>
      <c r="AC822" s="37">
        <f t="shared" si="207"/>
        <v>1</v>
      </c>
      <c r="AD822" s="45">
        <f t="shared" si="205"/>
        <v>0.521345407503234</v>
      </c>
      <c r="AE822" s="37">
        <v>1</v>
      </c>
      <c r="AF822" s="37" t="s">
        <v>152</v>
      </c>
      <c r="AG822" s="37" t="str">
        <f t="shared" si="204"/>
        <v>no</v>
      </c>
      <c r="AH822" s="37" t="str">
        <f t="array" ref="AH822">_xlfn.IFS(LOWER(AG822)="n","no",LOWER(AG822)="y","yes",TRUE,LOWER(AG822))</f>
        <v>no</v>
      </c>
      <c r="AI822" s="37" t="s">
        <v>4692</v>
      </c>
    </row>
    <row r="823" spans="1:35">
      <c r="A823" s="46" t="s">
        <v>2978</v>
      </c>
      <c r="B823" s="47">
        <v>45407</v>
      </c>
      <c r="C823" s="39">
        <f t="shared" si="192"/>
        <v>45407</v>
      </c>
      <c r="D823" s="48" t="s">
        <v>366</v>
      </c>
      <c r="E823" s="37" t="str" cm="1">
        <f t="array" ref="E823">_xlfn.IFS(D823="delhi","north",D823="mumbai","west",D823="bengaluru","south",D823="chennai","south",D823="kolkata","east",TRUE,"west")</f>
        <v>east</v>
      </c>
      <c r="F823" s="46" t="s">
        <v>919</v>
      </c>
      <c r="G823" s="37" t="str">
        <f t="shared" si="193"/>
        <v>xpressbees</v>
      </c>
      <c r="H823" s="46" t="s">
        <v>42</v>
      </c>
      <c r="I823" s="37" t="str">
        <f t="shared" si="194"/>
        <v>surface</v>
      </c>
      <c r="J823" s="46" t="s">
        <v>425</v>
      </c>
      <c r="K823" s="37" t="str">
        <f t="shared" si="195"/>
        <v>automotiveparts</v>
      </c>
      <c r="L823" s="46" t="s">
        <v>418</v>
      </c>
      <c r="M823" s="37" t="str">
        <f t="shared" si="196"/>
        <v>south</v>
      </c>
      <c r="N823" s="46" t="s">
        <v>93</v>
      </c>
      <c r="O823" s="41" t="str">
        <f t="shared" si="197"/>
        <v>Yes</v>
      </c>
      <c r="P823" s="49">
        <v>13.2</v>
      </c>
      <c r="Q823" s="49">
        <v>443</v>
      </c>
      <c r="R823" s="42">
        <f t="shared" si="198"/>
        <v>33.5606060606061</v>
      </c>
      <c r="S823" s="46">
        <v>6</v>
      </c>
      <c r="T823" s="46" t="s">
        <v>1030</v>
      </c>
      <c r="U823" s="43" t="str">
        <f t="shared" si="199"/>
        <v>02/05/2024</v>
      </c>
      <c r="V823" s="43">
        <f t="shared" si="200"/>
        <v>45414</v>
      </c>
      <c r="W823" s="44">
        <f t="array" ref="W823">_xlfn.IFS(TRIM(C823)="","",TRIM(V823)="","",TRUE,V823-C823)</f>
        <v>7</v>
      </c>
      <c r="X823" s="37">
        <f t="shared" si="201"/>
        <v>1</v>
      </c>
      <c r="Y823" s="46" t="s">
        <v>200</v>
      </c>
      <c r="Z823" s="37" t="str">
        <f t="shared" si="202"/>
        <v>delayed</v>
      </c>
      <c r="AA823" s="37" t="str">
        <f t="shared" si="203"/>
        <v>Late</v>
      </c>
      <c r="AB823" s="37" t="str">
        <f t="shared" si="206"/>
        <v>1</v>
      </c>
      <c r="AC823" s="37">
        <f t="shared" si="207"/>
        <v>1</v>
      </c>
      <c r="AD823" s="45">
        <f t="shared" si="205"/>
        <v>0.520725388601036</v>
      </c>
      <c r="AE823" s="46">
        <v>2</v>
      </c>
      <c r="AF823" s="46" t="s">
        <v>131</v>
      </c>
      <c r="AG823" s="37" t="str">
        <f t="shared" si="204"/>
        <v>n</v>
      </c>
      <c r="AH823" s="37" t="str">
        <f t="array" ref="AH823">_xlfn.IFS(LOWER(AG823)="n","no",LOWER(AG823)="y","yes",TRUE,LOWER(AG823))</f>
        <v>no</v>
      </c>
      <c r="AI823" s="46" t="s">
        <v>4692</v>
      </c>
    </row>
    <row r="824" spans="1:35">
      <c r="A824" s="37" t="s">
        <v>2980</v>
      </c>
      <c r="B824" s="38" t="s">
        <v>4809</v>
      </c>
      <c r="C824" s="39">
        <f t="shared" si="192"/>
        <v>45332</v>
      </c>
      <c r="D824" s="40" t="s">
        <v>4712</v>
      </c>
      <c r="E824" s="37" t="str" cm="1">
        <f t="array" ref="E824">_xlfn.IFS(D824="delhi","north",D824="mumbai","west",D824="bengaluru","south",D824="chennai","south",D824="kolkata","east",TRUE,"west")</f>
        <v>west</v>
      </c>
      <c r="F824" s="37" t="s">
        <v>919</v>
      </c>
      <c r="G824" s="37" t="str">
        <f t="shared" si="193"/>
        <v>xpressbees</v>
      </c>
      <c r="H824" s="37" t="s">
        <v>244</v>
      </c>
      <c r="I824" s="37" t="str">
        <f t="shared" si="194"/>
        <v>air</v>
      </c>
      <c r="J824" s="37" t="s">
        <v>177</v>
      </c>
      <c r="K824" s="37" t="str">
        <f t="shared" si="195"/>
        <v>pharma</v>
      </c>
      <c r="L824" s="37" t="s">
        <v>401</v>
      </c>
      <c r="M824" s="37" t="str">
        <f t="shared" si="196"/>
        <v>south</v>
      </c>
      <c r="N824" s="37" t="s">
        <v>54</v>
      </c>
      <c r="O824" s="41" t="str">
        <f t="shared" si="197"/>
        <v>Yes</v>
      </c>
      <c r="P824" s="41">
        <v>4</v>
      </c>
      <c r="Q824" s="41">
        <v>198</v>
      </c>
      <c r="R824" s="42">
        <f t="shared" si="198"/>
        <v>49.5</v>
      </c>
      <c r="S824" s="37">
        <v>2</v>
      </c>
      <c r="T824" s="37" t="s">
        <v>492</v>
      </c>
      <c r="U824" s="43" t="str">
        <f t="shared" si="199"/>
        <v>13/02/2024</v>
      </c>
      <c r="V824" s="43">
        <f t="shared" si="200"/>
        <v>45335</v>
      </c>
      <c r="W824" s="44">
        <f t="array" ref="W824">_xlfn.IFS(TRIM(C824)="","",TRIM(V824)="","",TRUE,V824-C824)</f>
        <v>3</v>
      </c>
      <c r="X824" s="37">
        <f t="shared" si="201"/>
        <v>1</v>
      </c>
      <c r="Y824" s="37" t="s">
        <v>172</v>
      </c>
      <c r="Z824" s="37" t="str">
        <f t="shared" si="202"/>
        <v>delayed</v>
      </c>
      <c r="AA824" s="37" t="str">
        <f t="shared" si="203"/>
        <v>Late</v>
      </c>
      <c r="AB824" s="37" t="str">
        <f t="shared" si="206"/>
        <v>1</v>
      </c>
      <c r="AC824" s="37">
        <f t="shared" si="207"/>
        <v>1</v>
      </c>
      <c r="AD824" s="45">
        <f t="shared" si="205"/>
        <v>0.520103761348898</v>
      </c>
      <c r="AE824" s="37">
        <v>2</v>
      </c>
      <c r="AF824" s="37" t="s">
        <v>131</v>
      </c>
      <c r="AG824" s="37" t="str">
        <f t="shared" si="204"/>
        <v>n</v>
      </c>
      <c r="AH824" s="37" t="str">
        <f t="array" ref="AH824">_xlfn.IFS(LOWER(AG824)="n","no",LOWER(AG824)="y","yes",TRUE,LOWER(AG824))</f>
        <v>no</v>
      </c>
      <c r="AI824" s="37" t="s">
        <v>4692</v>
      </c>
    </row>
    <row r="825" spans="1:35">
      <c r="A825" s="46" t="s">
        <v>2982</v>
      </c>
      <c r="B825" s="47" t="s">
        <v>4831</v>
      </c>
      <c r="C825" s="39">
        <f t="shared" si="192"/>
        <v>45357</v>
      </c>
      <c r="D825" s="48" t="s">
        <v>300</v>
      </c>
      <c r="E825" s="37" t="str" cm="1">
        <f t="array" ref="E825">_xlfn.IFS(D825="delhi","north",D825="mumbai","west",D825="bengaluru","south",D825="chennai","south",D825="kolkata","east",TRUE,"west")</f>
        <v>west</v>
      </c>
      <c r="F825" s="46" t="s">
        <v>352</v>
      </c>
      <c r="G825" s="37" t="str">
        <f t="shared" si="193"/>
        <v>delhivery</v>
      </c>
      <c r="H825" s="46" t="s">
        <v>224</v>
      </c>
      <c r="I825" s="37" t="str">
        <f t="shared" si="194"/>
        <v>air</v>
      </c>
      <c r="J825" s="46" t="s">
        <v>313</v>
      </c>
      <c r="K825" s="37" t="str">
        <f t="shared" si="195"/>
        <v>automotiveparts</v>
      </c>
      <c r="L825" s="46" t="s">
        <v>401</v>
      </c>
      <c r="M825" s="37" t="str">
        <f t="shared" si="196"/>
        <v>south</v>
      </c>
      <c r="N825" s="46" t="s">
        <v>54</v>
      </c>
      <c r="O825" s="41" t="str">
        <f t="shared" si="197"/>
        <v>Yes</v>
      </c>
      <c r="P825" s="49" t="s">
        <v>2983</v>
      </c>
      <c r="Q825" s="49">
        <v>1191</v>
      </c>
      <c r="R825" s="42">
        <f t="shared" si="198"/>
        <v>44.7744360902256</v>
      </c>
      <c r="S825" s="46">
        <v>2</v>
      </c>
      <c r="T825" s="46" t="s">
        <v>2985</v>
      </c>
      <c r="U825" s="43" t="str">
        <f t="shared" si="199"/>
        <v>12/03/2024</v>
      </c>
      <c r="V825" s="43">
        <f t="shared" si="200"/>
        <v>45363</v>
      </c>
      <c r="W825" s="44">
        <f t="array" ref="W825">_xlfn.IFS(TRIM(C825)="","",TRIM(V825)="","",TRUE,V825-C825)</f>
        <v>6</v>
      </c>
      <c r="X825" s="37">
        <f t="shared" si="201"/>
        <v>4</v>
      </c>
      <c r="Y825" s="46" t="s">
        <v>200</v>
      </c>
      <c r="Z825" s="37" t="str">
        <f t="shared" si="202"/>
        <v>delayed</v>
      </c>
      <c r="AA825" s="37" t="str">
        <f t="shared" si="203"/>
        <v>Late</v>
      </c>
      <c r="AB825" s="37" t="str">
        <f t="shared" si="206"/>
        <v>1</v>
      </c>
      <c r="AC825" s="37">
        <f t="shared" si="207"/>
        <v>1</v>
      </c>
      <c r="AD825" s="45">
        <f t="shared" si="205"/>
        <v>0.519480519480519</v>
      </c>
      <c r="AE825" s="46">
        <v>5</v>
      </c>
      <c r="AF825" s="46" t="s">
        <v>131</v>
      </c>
      <c r="AG825" s="37" t="str">
        <f t="shared" si="204"/>
        <v>n</v>
      </c>
      <c r="AH825" s="37" t="str">
        <f t="array" ref="AH825">_xlfn.IFS(LOWER(AG825)="n","no",LOWER(AG825)="y","yes",TRUE,LOWER(AG825))</f>
        <v>no</v>
      </c>
      <c r="AI825" s="46" t="s">
        <v>4692</v>
      </c>
    </row>
    <row r="826" spans="1:35">
      <c r="A826" s="37" t="s">
        <v>2986</v>
      </c>
      <c r="B826" s="38">
        <v>45301</v>
      </c>
      <c r="C826" s="39">
        <f t="shared" si="192"/>
        <v>45301</v>
      </c>
      <c r="D826" s="40" t="s">
        <v>300</v>
      </c>
      <c r="E826" s="37" t="str" cm="1">
        <f t="array" ref="E826">_xlfn.IFS(D826="delhi","north",D826="mumbai","west",D826="bengaluru","south",D826="chennai","south",D826="kolkata","east",TRUE,"west")</f>
        <v>west</v>
      </c>
      <c r="F826" s="37" t="s">
        <v>544</v>
      </c>
      <c r="G826" s="37" t="str">
        <f t="shared" si="193"/>
        <v>bluedart</v>
      </c>
      <c r="H826" s="37" t="s">
        <v>123</v>
      </c>
      <c r="I826" s="37" t="str">
        <f t="shared" si="194"/>
        <v>air</v>
      </c>
      <c r="J826" s="37" t="s">
        <v>167</v>
      </c>
      <c r="K826" s="37" t="str">
        <f t="shared" si="195"/>
        <v>pharma</v>
      </c>
      <c r="L826" s="37" t="s">
        <v>418</v>
      </c>
      <c r="M826" s="37" t="str">
        <f t="shared" si="196"/>
        <v>south</v>
      </c>
      <c r="N826" s="37" t="s">
        <v>90</v>
      </c>
      <c r="O826" s="41" t="str">
        <f t="shared" si="197"/>
        <v>Yes</v>
      </c>
      <c r="P826" s="41">
        <v>1.4</v>
      </c>
      <c r="Q826" s="41">
        <v>80</v>
      </c>
      <c r="R826" s="42">
        <f t="shared" si="198"/>
        <v>57.1428571428571</v>
      </c>
      <c r="S826" s="37">
        <v>2</v>
      </c>
      <c r="T826" s="37" t="s">
        <v>269</v>
      </c>
      <c r="U826" s="43" t="str">
        <f t="shared" si="199"/>
        <v>11/01/2024</v>
      </c>
      <c r="V826" s="43">
        <f t="shared" si="200"/>
        <v>45302</v>
      </c>
      <c r="W826" s="44">
        <f t="array" ref="W826">_xlfn.IFS(TRIM(C826)="","",TRIM(V826)="","",TRUE,V826-C826)</f>
        <v>1</v>
      </c>
      <c r="X826" s="37">
        <f t="shared" si="201"/>
        <v>-1</v>
      </c>
      <c r="Y826" s="37" t="s">
        <v>219</v>
      </c>
      <c r="Z826" s="37" t="str">
        <f t="shared" si="202"/>
        <v>delivered</v>
      </c>
      <c r="AA826" s="37" t="str">
        <f t="shared" si="203"/>
        <v>On Time</v>
      </c>
      <c r="AB826" s="37" t="str">
        <f t="shared" si="206"/>
        <v>0</v>
      </c>
      <c r="AC826" s="37">
        <f t="shared" si="207"/>
        <v>0</v>
      </c>
      <c r="AD826" s="45">
        <f t="shared" si="205"/>
        <v>0.518855656697009</v>
      </c>
      <c r="AE826" s="37">
        <v>4</v>
      </c>
      <c r="AF826" s="37" t="s">
        <v>181</v>
      </c>
      <c r="AG826" s="37" t="str">
        <f t="shared" si="204"/>
        <v>y</v>
      </c>
      <c r="AH826" s="37" t="str">
        <f t="array" ref="AH826">_xlfn.IFS(LOWER(AG826)="n","no",LOWER(AG826)="y","yes",TRUE,LOWER(AG826))</f>
        <v>yes</v>
      </c>
      <c r="AI826" s="37" t="s">
        <v>4692</v>
      </c>
    </row>
    <row r="827" spans="1:35">
      <c r="A827" s="46" t="s">
        <v>2987</v>
      </c>
      <c r="B827" s="47">
        <v>45342</v>
      </c>
      <c r="C827" s="39">
        <f t="shared" si="192"/>
        <v>45342</v>
      </c>
      <c r="D827" s="48" t="s">
        <v>633</v>
      </c>
      <c r="E827" s="37" t="str" cm="1">
        <f t="array" ref="E827">_xlfn.IFS(D827="delhi","north",D827="mumbai","west",D827="bengaluru","south",D827="chennai","south",D827="kolkata","east",TRUE,"west")</f>
        <v>south</v>
      </c>
      <c r="F827" s="46" t="s">
        <v>194</v>
      </c>
      <c r="G827" s="37" t="str">
        <f t="shared" si="193"/>
        <v>xpressbees</v>
      </c>
      <c r="H827" s="46" t="s">
        <v>176</v>
      </c>
      <c r="I827" s="37" t="str">
        <f t="shared" si="194"/>
        <v>road</v>
      </c>
      <c r="J827" s="46" t="s">
        <v>498</v>
      </c>
      <c r="K827" s="37" t="str">
        <f t="shared" si="195"/>
        <v>apparel</v>
      </c>
      <c r="L827" s="46" t="s">
        <v>139</v>
      </c>
      <c r="M827" s="37" t="str">
        <f t="shared" si="196"/>
        <v>north</v>
      </c>
      <c r="N827" s="46" t="s">
        <v>215</v>
      </c>
      <c r="O827" s="41" t="str">
        <f t="shared" si="197"/>
        <v>Yes</v>
      </c>
      <c r="P827" s="49">
        <v>5</v>
      </c>
      <c r="Q827" s="49">
        <v>232</v>
      </c>
      <c r="R827" s="42">
        <f t="shared" si="198"/>
        <v>46.4</v>
      </c>
      <c r="S827" s="46">
        <v>8</v>
      </c>
      <c r="T827" s="46" t="s">
        <v>2618</v>
      </c>
      <c r="U827" s="43" t="str">
        <f t="shared" si="199"/>
        <v>2024-03-01</v>
      </c>
      <c r="V827" s="43">
        <f t="shared" si="200"/>
        <v>45352</v>
      </c>
      <c r="W827" s="44">
        <f t="array" ref="W827">_xlfn.IFS(TRIM(C827)="","",TRIM(V827)="","",TRUE,V827-C827)</f>
        <v>10</v>
      </c>
      <c r="X827" s="37">
        <f t="shared" si="201"/>
        <v>2</v>
      </c>
      <c r="Y827" s="46" t="s">
        <v>624</v>
      </c>
      <c r="Z827" s="37" t="str">
        <f t="shared" si="202"/>
        <v>returned</v>
      </c>
      <c r="AA827" s="37" t="str">
        <f t="shared" si="203"/>
        <v>Late</v>
      </c>
      <c r="AB827" s="37" t="str">
        <f t="shared" si="206"/>
        <v>1</v>
      </c>
      <c r="AC827" s="37">
        <f t="shared" si="207"/>
        <v>1</v>
      </c>
      <c r="AD827" s="45">
        <f t="shared" si="205"/>
        <v>0.51953125</v>
      </c>
      <c r="AE827" s="46"/>
      <c r="AF827" s="46" t="s">
        <v>181</v>
      </c>
      <c r="AG827" s="37" t="str">
        <f t="shared" si="204"/>
        <v>y</v>
      </c>
      <c r="AH827" s="37" t="str">
        <f t="array" ref="AH827">_xlfn.IFS(LOWER(AG827)="n","no",LOWER(AG827)="y","yes",TRUE,LOWER(AG827))</f>
        <v>yes</v>
      </c>
      <c r="AI827" s="46" t="s">
        <v>625</v>
      </c>
    </row>
    <row r="828" spans="1:35">
      <c r="A828" s="37" t="s">
        <v>2988</v>
      </c>
      <c r="B828" s="38">
        <v>45436</v>
      </c>
      <c r="C828" s="39">
        <f t="shared" si="192"/>
        <v>45436</v>
      </c>
      <c r="D828" s="40" t="s">
        <v>4695</v>
      </c>
      <c r="E828" s="37" t="str" cm="1">
        <f t="array" ref="E828">_xlfn.IFS(D828="delhi","north",D828="mumbai","west",D828="bengaluru","south",D828="chennai","south",D828="kolkata","east",TRUE,"west")</f>
        <v>west</v>
      </c>
      <c r="F828" s="37" t="s">
        <v>352</v>
      </c>
      <c r="G828" s="37" t="str">
        <f t="shared" si="193"/>
        <v>delhivery</v>
      </c>
      <c r="H828" s="37" t="s">
        <v>345</v>
      </c>
      <c r="I828" s="37" t="str">
        <f t="shared" si="194"/>
        <v>surface</v>
      </c>
      <c r="J828" s="37" t="s">
        <v>368</v>
      </c>
      <c r="K828" s="37" t="str">
        <f t="shared" si="195"/>
        <v>furniture</v>
      </c>
      <c r="L828" s="37" t="s">
        <v>89</v>
      </c>
      <c r="M828" s="37" t="str">
        <f t="shared" si="196"/>
        <v>west</v>
      </c>
      <c r="N828" s="37" t="s">
        <v>206</v>
      </c>
      <c r="O828" s="41" t="str">
        <f t="shared" si="197"/>
        <v>Yes</v>
      </c>
      <c r="P828" s="41" t="s">
        <v>2989</v>
      </c>
      <c r="Q828" s="41">
        <v>1278</v>
      </c>
      <c r="R828" s="42">
        <f t="shared" si="198"/>
        <v>21.5514333895447</v>
      </c>
      <c r="S828" s="37">
        <v>4</v>
      </c>
      <c r="T828" s="37" t="s">
        <v>1325</v>
      </c>
      <c r="U828" s="43" t="str">
        <f t="shared" si="199"/>
        <v>28/05/2024</v>
      </c>
      <c r="V828" s="43">
        <f t="shared" si="200"/>
        <v>45440</v>
      </c>
      <c r="W828" s="44">
        <f t="array" ref="W828">_xlfn.IFS(TRIM(C828)="","",TRIM(V828)="","",TRUE,V828-C828)</f>
        <v>4</v>
      </c>
      <c r="X828" s="37">
        <f t="shared" si="201"/>
        <v>0</v>
      </c>
      <c r="Y828" s="37" t="s">
        <v>219</v>
      </c>
      <c r="Z828" s="37" t="str">
        <f t="shared" si="202"/>
        <v>delivered</v>
      </c>
      <c r="AA828" s="37" t="str">
        <f t="shared" si="203"/>
        <v>On Time</v>
      </c>
      <c r="AB828" s="37" t="str">
        <f t="shared" si="206"/>
        <v>0</v>
      </c>
      <c r="AC828" s="37">
        <f t="shared" si="207"/>
        <v>0</v>
      </c>
      <c r="AD828" s="45">
        <f t="shared" si="205"/>
        <v>0.51890482398957</v>
      </c>
      <c r="AE828" s="37">
        <v>4</v>
      </c>
      <c r="AF828" s="37" t="s">
        <v>118</v>
      </c>
      <c r="AG828" s="37" t="str">
        <f t="shared" si="204"/>
        <v>no</v>
      </c>
      <c r="AH828" s="37" t="str">
        <f t="array" ref="AH828">_xlfn.IFS(LOWER(AG828)="n","no",LOWER(AG828)="y","yes",TRUE,LOWER(AG828))</f>
        <v>no</v>
      </c>
      <c r="AI828" s="37" t="s">
        <v>4692</v>
      </c>
    </row>
    <row r="829" spans="1:35">
      <c r="A829" s="46" t="s">
        <v>2991</v>
      </c>
      <c r="B829" s="47" t="s">
        <v>4798</v>
      </c>
      <c r="C829" s="39">
        <f t="shared" si="192"/>
        <v>45312</v>
      </c>
      <c r="D829" s="48" t="s">
        <v>340</v>
      </c>
      <c r="E829" s="37" t="str" cm="1">
        <f t="array" ref="E829">_xlfn.IFS(D829="delhi","north",D829="mumbai","west",D829="bengaluru","south",D829="chennai","south",D829="kolkata","east",TRUE,"west")</f>
        <v>north</v>
      </c>
      <c r="F829" s="46" t="s">
        <v>136</v>
      </c>
      <c r="G829" s="37" t="str">
        <f t="shared" si="193"/>
        <v>bluedart</v>
      </c>
      <c r="H829" s="46" t="s">
        <v>345</v>
      </c>
      <c r="I829" s="37" t="str">
        <f t="shared" si="194"/>
        <v>surface</v>
      </c>
      <c r="J829" s="46" t="s">
        <v>385</v>
      </c>
      <c r="K829" s="37" t="str">
        <f t="shared" si="195"/>
        <v>furniture</v>
      </c>
      <c r="L829" s="46" t="s">
        <v>168</v>
      </c>
      <c r="M829" s="37" t="str">
        <f t="shared" si="196"/>
        <v>west</v>
      </c>
      <c r="N829" s="46" t="s">
        <v>187</v>
      </c>
      <c r="O829" s="41" t="str">
        <f t="shared" si="197"/>
        <v>Yes</v>
      </c>
      <c r="P829" s="49">
        <v>44.9</v>
      </c>
      <c r="Q829" s="49" t="s">
        <v>2993</v>
      </c>
      <c r="R829" s="42">
        <f t="shared" si="198"/>
        <v>25.0334075723831</v>
      </c>
      <c r="S829" s="46">
        <v>6</v>
      </c>
      <c r="T829" s="46" t="s">
        <v>1034</v>
      </c>
      <c r="U829" s="43" t="str">
        <f t="shared" si="199"/>
        <v>27/01/2024</v>
      </c>
      <c r="V829" s="43">
        <f t="shared" si="200"/>
        <v>45318</v>
      </c>
      <c r="W829" s="44">
        <f t="array" ref="W829">_xlfn.IFS(TRIM(C829)="","",TRIM(V829)="","",TRUE,V829-C829)</f>
        <v>6</v>
      </c>
      <c r="X829" s="37">
        <f t="shared" si="201"/>
        <v>0</v>
      </c>
      <c r="Y829" s="46" t="s">
        <v>163</v>
      </c>
      <c r="Z829" s="37" t="str">
        <f t="shared" si="202"/>
        <v>delivered</v>
      </c>
      <c r="AA829" s="37" t="str">
        <f t="shared" si="203"/>
        <v>On Time</v>
      </c>
      <c r="AB829" s="37" t="str">
        <f t="shared" si="206"/>
        <v>0</v>
      </c>
      <c r="AC829" s="37">
        <f t="shared" si="207"/>
        <v>0</v>
      </c>
      <c r="AD829" s="45">
        <f t="shared" si="205"/>
        <v>0.519582245430809</v>
      </c>
      <c r="AE829" s="46">
        <v>5</v>
      </c>
      <c r="AF829" s="46" t="s">
        <v>152</v>
      </c>
      <c r="AG829" s="37" t="str">
        <f t="shared" si="204"/>
        <v>no</v>
      </c>
      <c r="AH829" s="37" t="str">
        <f t="array" ref="AH829">_xlfn.IFS(LOWER(AG829)="n","no",LOWER(AG829)="y","yes",TRUE,LOWER(AG829))</f>
        <v>no</v>
      </c>
      <c r="AI829" s="46" t="s">
        <v>4692</v>
      </c>
    </row>
    <row r="830" spans="1:35">
      <c r="A830" s="37" t="s">
        <v>2994</v>
      </c>
      <c r="B830" s="38">
        <v>45456</v>
      </c>
      <c r="C830" s="39">
        <f t="shared" si="192"/>
        <v>45456</v>
      </c>
      <c r="D830" s="40" t="s">
        <v>109</v>
      </c>
      <c r="E830" s="37" t="str" cm="1">
        <f t="array" ref="E830">_xlfn.IFS(D830="delhi","north",D830="mumbai","west",D830="bengaluru","south",D830="chennai","south",D830="kolkata","east",TRUE,"west")</f>
        <v>west</v>
      </c>
      <c r="F830" s="37" t="s">
        <v>136</v>
      </c>
      <c r="G830" s="37" t="str">
        <f t="shared" si="193"/>
        <v>bluedart</v>
      </c>
      <c r="H830" s="37" t="s">
        <v>42</v>
      </c>
      <c r="I830" s="37" t="str">
        <f t="shared" si="194"/>
        <v>surface</v>
      </c>
      <c r="J830" s="37" t="s">
        <v>283</v>
      </c>
      <c r="K830" s="37" t="str">
        <f t="shared" si="195"/>
        <v>pharma</v>
      </c>
      <c r="L830" s="37" t="s">
        <v>257</v>
      </c>
      <c r="M830" s="37" t="str">
        <f t="shared" si="196"/>
        <v>west</v>
      </c>
      <c r="N830" s="37" t="s">
        <v>187</v>
      </c>
      <c r="O830" s="41" t="str">
        <f t="shared" si="197"/>
        <v>Yes</v>
      </c>
      <c r="P830" s="41" t="s">
        <v>613</v>
      </c>
      <c r="Q830" s="41" t="s">
        <v>563</v>
      </c>
      <c r="R830" s="42">
        <f t="shared" si="198"/>
        <v>25.4545454545455</v>
      </c>
      <c r="S830" s="37">
        <v>4</v>
      </c>
      <c r="T830" s="37" t="s">
        <v>2177</v>
      </c>
      <c r="U830" s="43" t="str">
        <f t="shared" si="199"/>
        <v>16/06/2024</v>
      </c>
      <c r="V830" s="43">
        <f t="shared" si="200"/>
        <v>45459</v>
      </c>
      <c r="W830" s="44">
        <f t="array" ref="W830">_xlfn.IFS(TRIM(C830)="","",TRIM(V830)="","",TRUE,V830-C830)</f>
        <v>3</v>
      </c>
      <c r="X830" s="37">
        <f t="shared" si="201"/>
        <v>-1</v>
      </c>
      <c r="Y830" s="37" t="s">
        <v>219</v>
      </c>
      <c r="Z830" s="37" t="str">
        <f t="shared" si="202"/>
        <v>delivered</v>
      </c>
      <c r="AA830" s="37" t="str">
        <f t="shared" si="203"/>
        <v>On Time</v>
      </c>
      <c r="AB830" s="37" t="str">
        <f t="shared" si="206"/>
        <v>0</v>
      </c>
      <c r="AC830" s="37">
        <f t="shared" si="207"/>
        <v>0</v>
      </c>
      <c r="AD830" s="45">
        <f t="shared" si="205"/>
        <v>0.520261437908497</v>
      </c>
      <c r="AE830" s="37">
        <v>5</v>
      </c>
      <c r="AF830" s="37" t="s">
        <v>131</v>
      </c>
      <c r="AG830" s="37" t="str">
        <f t="shared" si="204"/>
        <v>n</v>
      </c>
      <c r="AH830" s="37" t="str">
        <f t="array" ref="AH830">_xlfn.IFS(LOWER(AG830)="n","no",LOWER(AG830)="y","yes",TRUE,LOWER(AG830))</f>
        <v>no</v>
      </c>
      <c r="AI830" s="37" t="s">
        <v>4692</v>
      </c>
    </row>
    <row r="831" spans="1:35">
      <c r="A831" s="46" t="s">
        <v>2995</v>
      </c>
      <c r="B831" s="47">
        <v>45406</v>
      </c>
      <c r="C831" s="39">
        <f t="shared" si="192"/>
        <v>45406</v>
      </c>
      <c r="D831" s="48" t="s">
        <v>366</v>
      </c>
      <c r="E831" s="37" t="str" cm="1">
        <f t="array" ref="E831">_xlfn.IFS(D831="delhi","north",D831="mumbai","west",D831="bengaluru","south",D831="chennai","south",D831="kolkata","east",TRUE,"west")</f>
        <v>east</v>
      </c>
      <c r="F831" s="46" t="s">
        <v>352</v>
      </c>
      <c r="G831" s="37" t="str">
        <f t="shared" si="193"/>
        <v>delhivery</v>
      </c>
      <c r="H831" s="46" t="s">
        <v>185</v>
      </c>
      <c r="I831" s="37" t="str">
        <f t="shared" si="194"/>
        <v>surface</v>
      </c>
      <c r="J831" s="46" t="s">
        <v>47</v>
      </c>
      <c r="K831" s="37" t="str">
        <f t="shared" si="195"/>
        <v>electronics</v>
      </c>
      <c r="L831" s="46" t="s">
        <v>334</v>
      </c>
      <c r="M831" s="37" t="str">
        <f t="shared" si="196"/>
        <v>north</v>
      </c>
      <c r="N831" s="46" t="s">
        <v>113</v>
      </c>
      <c r="O831" s="41" t="str">
        <f t="shared" si="197"/>
        <v>Yes</v>
      </c>
      <c r="P831" s="49" t="s">
        <v>2996</v>
      </c>
      <c r="Q831" s="49">
        <v>425</v>
      </c>
      <c r="R831" s="42">
        <f t="shared" si="198"/>
        <v>36.0169491525424</v>
      </c>
      <c r="S831" s="46">
        <v>6</v>
      </c>
      <c r="T831" s="46" t="s">
        <v>2998</v>
      </c>
      <c r="U831" s="43" t="str">
        <f t="shared" si="199"/>
        <v>30/04/2024</v>
      </c>
      <c r="V831" s="43">
        <f t="shared" si="200"/>
        <v>45412</v>
      </c>
      <c r="W831" s="44">
        <f t="array" ref="W831">_xlfn.IFS(TRIM(C831)="","",TRIM(V831)="","",TRUE,V831-C831)</f>
        <v>6</v>
      </c>
      <c r="X831" s="37">
        <f t="shared" si="201"/>
        <v>0</v>
      </c>
      <c r="Y831" s="46" t="s">
        <v>163</v>
      </c>
      <c r="Z831" s="37" t="str">
        <f t="shared" si="202"/>
        <v>delivered</v>
      </c>
      <c r="AA831" s="37" t="str">
        <f t="shared" si="203"/>
        <v>On Time</v>
      </c>
      <c r="AB831" s="37" t="str">
        <f t="shared" si="206"/>
        <v>0</v>
      </c>
      <c r="AC831" s="37">
        <f t="shared" si="207"/>
        <v>0</v>
      </c>
      <c r="AD831" s="45">
        <f t="shared" si="205"/>
        <v>0.520942408376963</v>
      </c>
      <c r="AE831" s="46">
        <v>4</v>
      </c>
      <c r="AF831" s="46" t="s">
        <v>191</v>
      </c>
      <c r="AG831" s="37" t="str">
        <f t="shared" si="204"/>
        <v>no</v>
      </c>
      <c r="AH831" s="37" t="str">
        <f t="array" ref="AH831">_xlfn.IFS(LOWER(AG831)="n","no",LOWER(AG831)="y","yes",TRUE,LOWER(AG831))</f>
        <v>no</v>
      </c>
      <c r="AI831" s="46" t="s">
        <v>4692</v>
      </c>
    </row>
    <row r="832" spans="1:35">
      <c r="A832" s="37" t="s">
        <v>2999</v>
      </c>
      <c r="B832" s="38" t="s">
        <v>4703</v>
      </c>
      <c r="C832" s="39">
        <f t="shared" si="192"/>
        <v>45433</v>
      </c>
      <c r="D832" s="40" t="s">
        <v>4705</v>
      </c>
      <c r="E832" s="37" t="str" cm="1">
        <f t="array" ref="E832">_xlfn.IFS(D832="delhi","north",D832="mumbai","west",D832="bengaluru","south",D832="chennai","south",D832="kolkata","east",TRUE,"west")</f>
        <v>west</v>
      </c>
      <c r="F832" s="37" t="s">
        <v>544</v>
      </c>
      <c r="G832" s="37" t="str">
        <f t="shared" si="193"/>
        <v>bluedart</v>
      </c>
      <c r="H832" s="37" t="s">
        <v>195</v>
      </c>
      <c r="I832" s="37" t="str">
        <f t="shared" si="194"/>
        <v>road</v>
      </c>
      <c r="J832" s="37" t="s">
        <v>301</v>
      </c>
      <c r="K832" s="37" t="str">
        <f t="shared" si="195"/>
        <v>furniture</v>
      </c>
      <c r="L832" s="37" t="s">
        <v>159</v>
      </c>
      <c r="M832" s="37" t="str">
        <f t="shared" si="196"/>
        <v>south</v>
      </c>
      <c r="N832" s="37" t="s">
        <v>54</v>
      </c>
      <c r="O832" s="41" t="str">
        <f t="shared" si="197"/>
        <v>Yes</v>
      </c>
      <c r="P832" s="41">
        <v>33.6</v>
      </c>
      <c r="Q832" s="41" t="s">
        <v>3001</v>
      </c>
      <c r="R832" s="42">
        <f t="shared" si="198"/>
        <v>20.0297619047619</v>
      </c>
      <c r="S832" s="37">
        <v>8</v>
      </c>
      <c r="T832" s="37" t="s">
        <v>2322</v>
      </c>
      <c r="U832" s="43" t="str">
        <f t="shared" si="199"/>
        <v>30/05/2024</v>
      </c>
      <c r="V832" s="43">
        <f t="shared" si="200"/>
        <v>45442</v>
      </c>
      <c r="W832" s="44">
        <f t="array" ref="W832">_xlfn.IFS(TRIM(C832)="","",TRIM(V832)="","",TRUE,V832-C832)</f>
        <v>9</v>
      </c>
      <c r="X832" s="37">
        <f t="shared" si="201"/>
        <v>1</v>
      </c>
      <c r="Y832" s="37" t="s">
        <v>172</v>
      </c>
      <c r="Z832" s="37" t="str">
        <f t="shared" si="202"/>
        <v>delayed</v>
      </c>
      <c r="AA832" s="37" t="str">
        <f t="shared" si="203"/>
        <v>Late</v>
      </c>
      <c r="AB832" s="37" t="str">
        <f t="shared" si="206"/>
        <v>1</v>
      </c>
      <c r="AC832" s="37">
        <f t="shared" si="207"/>
        <v>1</v>
      </c>
      <c r="AD832" s="45">
        <f t="shared" si="205"/>
        <v>0.521625163826999</v>
      </c>
      <c r="AE832" s="37">
        <v>5</v>
      </c>
      <c r="AF832" s="37" t="s">
        <v>118</v>
      </c>
      <c r="AG832" s="37" t="str">
        <f t="shared" si="204"/>
        <v>no</v>
      </c>
      <c r="AH832" s="37" t="str">
        <f t="array" ref="AH832">_xlfn.IFS(LOWER(AG832)="n","no",LOWER(AG832)="y","yes",TRUE,LOWER(AG832))</f>
        <v>no</v>
      </c>
      <c r="AI832" s="37" t="s">
        <v>4692</v>
      </c>
    </row>
    <row r="833" spans="1:35">
      <c r="A833" s="46" t="s">
        <v>3002</v>
      </c>
      <c r="B833" s="47" t="s">
        <v>4819</v>
      </c>
      <c r="C833" s="39">
        <f t="shared" si="192"/>
        <v>45371</v>
      </c>
      <c r="D833" s="48" t="s">
        <v>4705</v>
      </c>
      <c r="E833" s="37" t="str" cm="1">
        <f t="array" ref="E833">_xlfn.IFS(D833="delhi","north",D833="mumbai","west",D833="bengaluru","south",D833="chennai","south",D833="kolkata","east",TRUE,"west")</f>
        <v>west</v>
      </c>
      <c r="F833" s="46" t="s">
        <v>98</v>
      </c>
      <c r="G833" s="37" t="str">
        <f t="shared" si="193"/>
        <v>dtdc</v>
      </c>
      <c r="H833" s="46" t="s">
        <v>157</v>
      </c>
      <c r="I833" s="37" t="str">
        <f t="shared" si="194"/>
        <v>surface</v>
      </c>
      <c r="J833" s="46" t="s">
        <v>326</v>
      </c>
      <c r="K833" s="37" t="str">
        <f t="shared" si="195"/>
        <v>apparel</v>
      </c>
      <c r="L833" s="46" t="s">
        <v>112</v>
      </c>
      <c r="M833" s="37" t="str">
        <f t="shared" si="196"/>
        <v>north</v>
      </c>
      <c r="N833" s="46" t="s">
        <v>354</v>
      </c>
      <c r="O833" s="41" t="str">
        <f t="shared" si="197"/>
        <v>Yes</v>
      </c>
      <c r="P833" s="49" t="s">
        <v>3003</v>
      </c>
      <c r="Q833" s="49">
        <v>137</v>
      </c>
      <c r="R833" s="42">
        <f t="shared" si="198"/>
        <v>22.4590163934426</v>
      </c>
      <c r="S833" s="46">
        <v>4</v>
      </c>
      <c r="T833" s="46" t="s">
        <v>3004</v>
      </c>
      <c r="U833" s="43" t="str">
        <f t="shared" si="199"/>
        <v>27/03/2024</v>
      </c>
      <c r="V833" s="43">
        <f t="shared" si="200"/>
        <v>45378</v>
      </c>
      <c r="W833" s="44">
        <f t="array" ref="W833">_xlfn.IFS(TRIM(C833)="","",TRIM(V833)="","",TRUE,V833-C833)</f>
        <v>7</v>
      </c>
      <c r="X833" s="37">
        <f t="shared" si="201"/>
        <v>3</v>
      </c>
      <c r="Y833" s="46" t="s">
        <v>72</v>
      </c>
      <c r="Z833" s="37" t="str">
        <f t="shared" si="202"/>
        <v>delayed</v>
      </c>
      <c r="AA833" s="37" t="str">
        <f t="shared" si="203"/>
        <v>Late</v>
      </c>
      <c r="AB833" s="37" t="str">
        <f t="shared" si="206"/>
        <v>1</v>
      </c>
      <c r="AC833" s="37">
        <f t="shared" si="207"/>
        <v>1</v>
      </c>
      <c r="AD833" s="45">
        <f t="shared" si="205"/>
        <v>0.520997375328084</v>
      </c>
      <c r="AE833" s="46">
        <v>4</v>
      </c>
      <c r="AF833" s="46" t="s">
        <v>152</v>
      </c>
      <c r="AG833" s="37" t="str">
        <f t="shared" si="204"/>
        <v>no</v>
      </c>
      <c r="AH833" s="37" t="str">
        <f t="array" ref="AH833">_xlfn.IFS(LOWER(AG833)="n","no",LOWER(AG833)="y","yes",TRUE,LOWER(AG833))</f>
        <v>no</v>
      </c>
      <c r="AI833" s="46" t="s">
        <v>4692</v>
      </c>
    </row>
    <row r="834" spans="1:35">
      <c r="A834" s="37" t="s">
        <v>3005</v>
      </c>
      <c r="B834" s="38" t="s">
        <v>4825</v>
      </c>
      <c r="C834" s="39">
        <f t="shared" ref="C834:C897" si="208">IF(ISNUMBER(B834),B834,DATE(RIGHT(TRIM(B834),4),MID(TRIM(B834),4,2),LEFT(TRIM(B834),2)))</f>
        <v>45413</v>
      </c>
      <c r="D834" s="40" t="s">
        <v>633</v>
      </c>
      <c r="E834" s="37" t="str" cm="1">
        <f t="array" ref="E834">_xlfn.IFS(D834="delhi","north",D834="mumbai","west",D834="bengaluru","south",D834="chennai","south",D834="kolkata","east",TRUE,"west")</f>
        <v>south</v>
      </c>
      <c r="F834" s="37" t="s">
        <v>122</v>
      </c>
      <c r="G834" s="37" t="str">
        <f t="shared" ref="G834:G897" si="209">SUBSTITUTE(LOWER(F834)," ","")</f>
        <v>delhivery</v>
      </c>
      <c r="H834" s="37" t="s">
        <v>244</v>
      </c>
      <c r="I834" s="37" t="str">
        <f t="shared" ref="I834:I897" si="210">SUBSTITUTE(LOWER(H834)," ","")</f>
        <v>air</v>
      </c>
      <c r="J834" s="37" t="s">
        <v>177</v>
      </c>
      <c r="K834" s="37" t="str">
        <f t="shared" ref="K834:K897" si="211">SUBSTITUTE(LOWER(J834)," ","")</f>
        <v>pharma</v>
      </c>
      <c r="L834" s="37" t="s">
        <v>334</v>
      </c>
      <c r="M834" s="37" t="str">
        <f t="shared" ref="M834:M897" si="212">SUBSTITUTE(LOWER(L834)," ","")</f>
        <v>north</v>
      </c>
      <c r="N834" s="37" t="s">
        <v>215</v>
      </c>
      <c r="O834" s="41" t="str">
        <f t="shared" ref="O834:O897" si="213">IF(OR(D834="",M834=""),"",IF(D834=M834,"No","Yes"))</f>
        <v>Yes</v>
      </c>
      <c r="P834" s="41">
        <v>3.3</v>
      </c>
      <c r="Q834" s="41">
        <v>319</v>
      </c>
      <c r="R834" s="42">
        <f t="shared" ref="R834:R897" si="214">IF(OR(Q834="",P834="",P834=0),"",Q834/P834)</f>
        <v>96.6666666666667</v>
      </c>
      <c r="S834" s="37">
        <v>4</v>
      </c>
      <c r="T834" s="37" t="s">
        <v>1297</v>
      </c>
      <c r="U834" s="43" t="str">
        <f t="shared" ref="U834:U897" si="215">SUBSTITUTE(LOWER(T834)," ","")</f>
        <v>2024-05-06</v>
      </c>
      <c r="V834" s="43">
        <f t="shared" ref="V834:V897" si="216">DATEVALUE(TEXT(U834,"yyyy-mm-dd"))</f>
        <v>45418</v>
      </c>
      <c r="W834" s="44">
        <f t="array" ref="W834">_xlfn.IFS(TRIM(C834)="","",TRIM(V834)="","",TRUE,V834-C834)</f>
        <v>5</v>
      </c>
      <c r="X834" s="37">
        <f t="shared" ref="X834:X897" si="217">IF(OR(W834="",S834=""),"",W834-S834)</f>
        <v>1</v>
      </c>
      <c r="Y834" s="37" t="s">
        <v>72</v>
      </c>
      <c r="Z834" s="37" t="str">
        <f t="shared" ref="Z834:Z897" si="218">SUBSTITUTE(LOWER(Y834)," ","")</f>
        <v>delayed</v>
      </c>
      <c r="AA834" s="37" t="str">
        <f t="shared" ref="AA834:AA897" si="219">IF(Z834="In-Transit","N/A",IF(X834="","",IF(X834&gt;0,"Late","On Time")))</f>
        <v>Late</v>
      </c>
      <c r="AB834" s="37" t="str">
        <f t="shared" si="206"/>
        <v>1</v>
      </c>
      <c r="AC834" s="37">
        <f t="shared" si="207"/>
        <v>1</v>
      </c>
      <c r="AD834" s="45">
        <f t="shared" si="205"/>
        <v>0.520367936925099</v>
      </c>
      <c r="AE834" s="37">
        <v>2</v>
      </c>
      <c r="AF834" s="37" t="s">
        <v>131</v>
      </c>
      <c r="AG834" s="37" t="str">
        <f t="shared" ref="AG834:AG897" si="220">SUBSTITUTE(LOWER(AF834)," ","")</f>
        <v>n</v>
      </c>
      <c r="AH834" s="37" t="str">
        <f t="array" ref="AH834">_xlfn.IFS(LOWER(AG834)="n","no",LOWER(AG834)="y","yes",TRUE,LOWER(AG834))</f>
        <v>no</v>
      </c>
      <c r="AI834" s="37" t="s">
        <v>4692</v>
      </c>
    </row>
    <row r="835" spans="1:35">
      <c r="A835" s="46" t="s">
        <v>3007</v>
      </c>
      <c r="B835" s="47">
        <v>45420</v>
      </c>
      <c r="C835" s="39">
        <f t="shared" si="208"/>
        <v>45420</v>
      </c>
      <c r="D835" s="48" t="s">
        <v>4704</v>
      </c>
      <c r="E835" s="37" t="str" cm="1">
        <f t="array" ref="E835">_xlfn.IFS(D835="delhi","north",D835="mumbai","west",D835="bengaluru","south",D835="chennai","south",D835="kolkata","east",TRUE,"west")</f>
        <v>west</v>
      </c>
      <c r="F835" s="46" t="s">
        <v>156</v>
      </c>
      <c r="G835" s="37" t="str">
        <f t="shared" si="209"/>
        <v>xpressbees</v>
      </c>
      <c r="H835" s="46" t="s">
        <v>195</v>
      </c>
      <c r="I835" s="37" t="str">
        <f t="shared" si="210"/>
        <v>road</v>
      </c>
      <c r="J835" s="46" t="s">
        <v>612</v>
      </c>
      <c r="K835" s="37" t="str">
        <f t="shared" si="211"/>
        <v>grocery&amp;fmcg</v>
      </c>
      <c r="L835" s="46" t="s">
        <v>334</v>
      </c>
      <c r="M835" s="37" t="str">
        <f t="shared" si="212"/>
        <v>north</v>
      </c>
      <c r="N835" s="46" t="s">
        <v>32</v>
      </c>
      <c r="O835" s="41" t="str">
        <f t="shared" si="213"/>
        <v>Yes</v>
      </c>
      <c r="P835" s="49">
        <v>3.2</v>
      </c>
      <c r="Q835" s="49" t="s">
        <v>2393</v>
      </c>
      <c r="R835" s="42">
        <f t="shared" si="214"/>
        <v>66.25</v>
      </c>
      <c r="S835" s="46">
        <v>8</v>
      </c>
      <c r="T835" s="46" t="s">
        <v>1895</v>
      </c>
      <c r="U835" s="43" t="str">
        <f t="shared" si="215"/>
        <v>2024-05-17</v>
      </c>
      <c r="V835" s="43">
        <f t="shared" si="216"/>
        <v>45429</v>
      </c>
      <c r="W835" s="44">
        <f t="array" ref="W835">_xlfn.IFS(TRIM(C835)="","",TRIM(V835)="","",TRUE,V835-C835)</f>
        <v>9</v>
      </c>
      <c r="X835" s="37">
        <f t="shared" si="217"/>
        <v>1</v>
      </c>
      <c r="Y835" s="46" t="s">
        <v>200</v>
      </c>
      <c r="Z835" s="37" t="str">
        <f t="shared" si="218"/>
        <v>delayed</v>
      </c>
      <c r="AA835" s="37" t="str">
        <f t="shared" si="219"/>
        <v>Late</v>
      </c>
      <c r="AB835" s="37" t="str">
        <f t="shared" si="206"/>
        <v>1</v>
      </c>
      <c r="AC835" s="37">
        <f t="shared" si="207"/>
        <v>1</v>
      </c>
      <c r="AD835" s="45">
        <f t="shared" ref="AD835:AD898" si="221">COUNTIF(AC835:AC2434,1)/COUNT(AC835:AC2434)</f>
        <v>0.519736842105263</v>
      </c>
      <c r="AE835" s="46">
        <v>1</v>
      </c>
      <c r="AF835" s="46" t="s">
        <v>286</v>
      </c>
      <c r="AG835" s="37" t="str">
        <f t="shared" si="220"/>
        <v>yes</v>
      </c>
      <c r="AH835" s="37" t="str">
        <f t="array" ref="AH835">_xlfn.IFS(LOWER(AG835)="n","no",LOWER(AG835)="y","yes",TRUE,LOWER(AG835))</f>
        <v>yes</v>
      </c>
      <c r="AI835" s="46" t="s">
        <v>4692</v>
      </c>
    </row>
    <row r="836" spans="1:35">
      <c r="A836" s="37" t="s">
        <v>3008</v>
      </c>
      <c r="B836" s="38">
        <v>45335</v>
      </c>
      <c r="C836" s="39">
        <f t="shared" si="208"/>
        <v>45335</v>
      </c>
      <c r="D836" s="40" t="s">
        <v>212</v>
      </c>
      <c r="E836" s="37" t="str" cm="1">
        <f t="array" ref="E836">_xlfn.IFS(D836="delhi","north",D836="mumbai","west",D836="bengaluru","south",D836="chennai","south",D836="kolkata","east",TRUE,"west")</f>
        <v>west</v>
      </c>
      <c r="F836" s="37" t="s">
        <v>37</v>
      </c>
      <c r="G836" s="37" t="str">
        <f t="shared" si="209"/>
        <v>bluedart</v>
      </c>
      <c r="H836" s="37" t="s">
        <v>176</v>
      </c>
      <c r="I836" s="37" t="str">
        <f t="shared" si="210"/>
        <v>road</v>
      </c>
      <c r="J836" s="37" t="s">
        <v>214</v>
      </c>
      <c r="K836" s="37" t="str">
        <f t="shared" si="211"/>
        <v>grocery&amp;fmcg</v>
      </c>
      <c r="L836" s="37" t="s">
        <v>139</v>
      </c>
      <c r="M836" s="37" t="str">
        <f t="shared" si="212"/>
        <v>north</v>
      </c>
      <c r="N836" s="37" t="s">
        <v>32</v>
      </c>
      <c r="O836" s="41" t="str">
        <f t="shared" si="213"/>
        <v>Yes</v>
      </c>
      <c r="P836" s="41" t="s">
        <v>402</v>
      </c>
      <c r="Q836" s="41">
        <v>380</v>
      </c>
      <c r="R836" s="42">
        <f t="shared" si="214"/>
        <v>26.9503546099291</v>
      </c>
      <c r="S836" s="37">
        <v>8</v>
      </c>
      <c r="T836" s="37" t="s">
        <v>2918</v>
      </c>
      <c r="U836" s="43" t="str">
        <f t="shared" si="215"/>
        <v>22/02/2024</v>
      </c>
      <c r="V836" s="43">
        <f t="shared" si="216"/>
        <v>45344</v>
      </c>
      <c r="W836" s="44">
        <f t="array" ref="W836">_xlfn.IFS(TRIM(C836)="","",TRIM(V836)="","",TRUE,V836-C836)</f>
        <v>9</v>
      </c>
      <c r="X836" s="37">
        <f t="shared" si="217"/>
        <v>1</v>
      </c>
      <c r="Y836" s="37" t="s">
        <v>172</v>
      </c>
      <c r="Z836" s="37" t="str">
        <f t="shared" si="218"/>
        <v>delayed</v>
      </c>
      <c r="AA836" s="37" t="str">
        <f t="shared" si="219"/>
        <v>Late</v>
      </c>
      <c r="AB836" s="37" t="str">
        <f t="shared" si="206"/>
        <v>1</v>
      </c>
      <c r="AC836" s="37">
        <f t="shared" si="207"/>
        <v>1</v>
      </c>
      <c r="AD836" s="45">
        <f t="shared" si="221"/>
        <v>0.519104084321476</v>
      </c>
      <c r="AE836" s="37">
        <v>3</v>
      </c>
      <c r="AF836" s="37" t="s">
        <v>152</v>
      </c>
      <c r="AG836" s="37" t="str">
        <f t="shared" si="220"/>
        <v>no</v>
      </c>
      <c r="AH836" s="37" t="str">
        <f t="array" ref="AH836">_xlfn.IFS(LOWER(AG836)="n","no",LOWER(AG836)="y","yes",TRUE,LOWER(AG836))</f>
        <v>no</v>
      </c>
      <c r="AI836" s="37" t="s">
        <v>4692</v>
      </c>
    </row>
    <row r="837" spans="1:35">
      <c r="A837" s="46" t="s">
        <v>3010</v>
      </c>
      <c r="B837" s="47">
        <v>45295</v>
      </c>
      <c r="C837" s="39">
        <f t="shared" si="208"/>
        <v>45295</v>
      </c>
      <c r="D837" s="48" t="s">
        <v>4695</v>
      </c>
      <c r="E837" s="37" t="str" cm="1">
        <f t="array" ref="E837">_xlfn.IFS(D837="delhi","north",D837="mumbai","west",D837="bengaluru","south",D837="chennai","south",D837="kolkata","east",TRUE,"west")</f>
        <v>west</v>
      </c>
      <c r="F837" s="46" t="s">
        <v>367</v>
      </c>
      <c r="G837" s="37" t="str">
        <f t="shared" si="209"/>
        <v>dtdc</v>
      </c>
      <c r="H837" s="46" t="s">
        <v>99</v>
      </c>
      <c r="I837" s="37" t="str">
        <f t="shared" si="210"/>
        <v>air</v>
      </c>
      <c r="J837" s="46" t="s">
        <v>138</v>
      </c>
      <c r="K837" s="37" t="str">
        <f t="shared" si="211"/>
        <v>apparel</v>
      </c>
      <c r="L837" s="46" t="s">
        <v>87</v>
      </c>
      <c r="M837" s="37" t="str">
        <f t="shared" si="212"/>
        <v>north</v>
      </c>
      <c r="N837" s="46" t="s">
        <v>215</v>
      </c>
      <c r="O837" s="41" t="str">
        <f t="shared" si="213"/>
        <v>Yes</v>
      </c>
      <c r="P837" s="49">
        <v>6.9</v>
      </c>
      <c r="Q837" s="49">
        <v>431</v>
      </c>
      <c r="R837" s="42">
        <f t="shared" si="214"/>
        <v>62.463768115942</v>
      </c>
      <c r="S837" s="46">
        <v>4</v>
      </c>
      <c r="T837" s="46" t="s">
        <v>652</v>
      </c>
      <c r="U837" s="43" t="str">
        <f t="shared" si="215"/>
        <v>08-jan-2024</v>
      </c>
      <c r="V837" s="43">
        <f t="shared" si="216"/>
        <v>45299</v>
      </c>
      <c r="W837" s="44">
        <f t="array" ref="W837">_xlfn.IFS(TRIM(C837)="","",TRIM(V837)="","",TRUE,V837-C837)</f>
        <v>4</v>
      </c>
      <c r="X837" s="37">
        <f t="shared" si="217"/>
        <v>0</v>
      </c>
      <c r="Y837" s="46" t="s">
        <v>105</v>
      </c>
      <c r="Z837" s="37" t="str">
        <f t="shared" si="218"/>
        <v>delivered</v>
      </c>
      <c r="AA837" s="37" t="str">
        <f t="shared" si="219"/>
        <v>On Time</v>
      </c>
      <c r="AB837" s="37" t="str">
        <f t="shared" si="206"/>
        <v>0</v>
      </c>
      <c r="AC837" s="37">
        <f t="shared" si="207"/>
        <v>0</v>
      </c>
      <c r="AD837" s="45">
        <f t="shared" si="221"/>
        <v>0.518469656992084</v>
      </c>
      <c r="AE837" s="46">
        <v>5</v>
      </c>
      <c r="AF837" s="46" t="s">
        <v>181</v>
      </c>
      <c r="AG837" s="37" t="str">
        <f t="shared" si="220"/>
        <v>y</v>
      </c>
      <c r="AH837" s="37" t="str">
        <f t="array" ref="AH837">_xlfn.IFS(LOWER(AG837)="n","no",LOWER(AG837)="y","yes",TRUE,LOWER(AG837))</f>
        <v>yes</v>
      </c>
      <c r="AI837" s="46" t="s">
        <v>4692</v>
      </c>
    </row>
    <row r="838" spans="1:35">
      <c r="A838" s="37" t="s">
        <v>3013</v>
      </c>
      <c r="B838" s="38" t="s">
        <v>4741</v>
      </c>
      <c r="C838" s="39">
        <f t="shared" si="208"/>
        <v>45418</v>
      </c>
      <c r="D838" s="40" t="s">
        <v>366</v>
      </c>
      <c r="E838" s="37" t="str" cm="1">
        <f t="array" ref="E838">_xlfn.IFS(D838="delhi","north",D838="mumbai","west",D838="bengaluru","south",D838="chennai","south",D838="kolkata","east",TRUE,"west")</f>
        <v>east</v>
      </c>
      <c r="F838" s="37" t="s">
        <v>204</v>
      </c>
      <c r="G838" s="37" t="str">
        <f t="shared" si="209"/>
        <v>delhivery</v>
      </c>
      <c r="H838" s="37" t="s">
        <v>244</v>
      </c>
      <c r="I838" s="37" t="str">
        <f t="shared" si="210"/>
        <v>air</v>
      </c>
      <c r="J838" s="37" t="s">
        <v>263</v>
      </c>
      <c r="K838" s="37" t="str">
        <f t="shared" si="211"/>
        <v>apparel</v>
      </c>
      <c r="L838" s="37" t="s">
        <v>470</v>
      </c>
      <c r="M838" s="37" t="str">
        <f t="shared" si="212"/>
        <v>east</v>
      </c>
      <c r="N838" s="37" t="s">
        <v>294</v>
      </c>
      <c r="O838" s="41" t="str">
        <f t="shared" si="213"/>
        <v>Yes</v>
      </c>
      <c r="P838" s="41" t="s">
        <v>1633</v>
      </c>
      <c r="Q838" s="41">
        <v>80</v>
      </c>
      <c r="R838" s="42">
        <f t="shared" si="214"/>
        <v>42.1052631578947</v>
      </c>
      <c r="S838" s="37">
        <v>2</v>
      </c>
      <c r="T838" s="37" t="s">
        <v>2206</v>
      </c>
      <c r="U838" s="43" t="str">
        <f t="shared" si="215"/>
        <v>15/05/2024</v>
      </c>
      <c r="V838" s="43">
        <f t="shared" si="216"/>
        <v>45427</v>
      </c>
      <c r="W838" s="44">
        <f t="array" ref="W838">_xlfn.IFS(TRIM(C838)="","",TRIM(V838)="","",TRUE,V838-C838)</f>
        <v>9</v>
      </c>
      <c r="X838" s="37">
        <f t="shared" si="217"/>
        <v>7</v>
      </c>
      <c r="Y838" s="37" t="s">
        <v>72</v>
      </c>
      <c r="Z838" s="37" t="str">
        <f t="shared" si="218"/>
        <v>delayed</v>
      </c>
      <c r="AA838" s="37" t="str">
        <f t="shared" si="219"/>
        <v>Late</v>
      </c>
      <c r="AB838" s="37" t="str">
        <f t="shared" ref="AB838:AB901" si="222">IF(Z838="In-Transit","N/A",IF(X838="","",IF(X838&gt;0,"1","0")))</f>
        <v>1</v>
      </c>
      <c r="AC838" s="37">
        <f t="shared" si="207"/>
        <v>1</v>
      </c>
      <c r="AD838" s="45">
        <f t="shared" si="221"/>
        <v>0.519154557463672</v>
      </c>
      <c r="AE838" s="37">
        <v>4</v>
      </c>
      <c r="AF838" s="37" t="s">
        <v>131</v>
      </c>
      <c r="AG838" s="37" t="str">
        <f t="shared" si="220"/>
        <v>n</v>
      </c>
      <c r="AH838" s="37" t="str">
        <f t="array" ref="AH838">_xlfn.IFS(LOWER(AG838)="n","no",LOWER(AG838)="y","yes",TRUE,LOWER(AG838))</f>
        <v>no</v>
      </c>
      <c r="AI838" s="37" t="s">
        <v>4692</v>
      </c>
    </row>
    <row r="839" spans="1:35">
      <c r="A839" s="46" t="s">
        <v>3014</v>
      </c>
      <c r="B839" s="47">
        <v>45370</v>
      </c>
      <c r="C839" s="39">
        <f t="shared" si="208"/>
        <v>45370</v>
      </c>
      <c r="D839" s="48" t="s">
        <v>212</v>
      </c>
      <c r="E839" s="37" t="str" cm="1">
        <f t="array" ref="E839">_xlfn.IFS(D839="delhi","north",D839="mumbai","west",D839="bengaluru","south",D839="chennai","south",D839="kolkata","east",TRUE,"west")</f>
        <v>west</v>
      </c>
      <c r="F839" s="46" t="s">
        <v>156</v>
      </c>
      <c r="G839" s="37" t="str">
        <f t="shared" si="209"/>
        <v>xpressbees</v>
      </c>
      <c r="H839" s="46" t="s">
        <v>42</v>
      </c>
      <c r="I839" s="37" t="str">
        <f t="shared" si="210"/>
        <v>surface</v>
      </c>
      <c r="J839" s="46" t="s">
        <v>138</v>
      </c>
      <c r="K839" s="37" t="str">
        <f t="shared" si="211"/>
        <v>apparel</v>
      </c>
      <c r="L839" s="46" t="s">
        <v>197</v>
      </c>
      <c r="M839" s="37" t="str">
        <f t="shared" si="212"/>
        <v>south</v>
      </c>
      <c r="N839" s="46" t="s">
        <v>327</v>
      </c>
      <c r="O839" s="41" t="str">
        <f t="shared" si="213"/>
        <v>Yes</v>
      </c>
      <c r="P839" s="49">
        <v>3.7</v>
      </c>
      <c r="Q839" s="49">
        <v>232</v>
      </c>
      <c r="R839" s="42">
        <f t="shared" si="214"/>
        <v>62.7027027027027</v>
      </c>
      <c r="S839" s="46">
        <v>6</v>
      </c>
      <c r="T839" s="46" t="s">
        <v>483</v>
      </c>
      <c r="U839" s="43" t="str">
        <f t="shared" si="215"/>
        <v>25/03/2024</v>
      </c>
      <c r="V839" s="43">
        <f t="shared" si="216"/>
        <v>45376</v>
      </c>
      <c r="W839" s="44">
        <f t="array" ref="W839">_xlfn.IFS(TRIM(C839)="","",TRIM(V839)="","",TRUE,V839-C839)</f>
        <v>6</v>
      </c>
      <c r="X839" s="37">
        <f t="shared" si="217"/>
        <v>0</v>
      </c>
      <c r="Y839" s="46" t="s">
        <v>163</v>
      </c>
      <c r="Z839" s="37" t="str">
        <f t="shared" si="218"/>
        <v>delivered</v>
      </c>
      <c r="AA839" s="37" t="str">
        <f t="shared" si="219"/>
        <v>On Time</v>
      </c>
      <c r="AB839" s="37" t="str">
        <f t="shared" si="222"/>
        <v>0</v>
      </c>
      <c r="AC839" s="37">
        <f t="shared" ref="AC839:AC902" si="223">IF(TRIM(AB839&amp;"")="","",VALUE(TRIM(AB839&amp;"")))</f>
        <v>0</v>
      </c>
      <c r="AD839" s="45">
        <f t="shared" si="221"/>
        <v>0.518518518518518</v>
      </c>
      <c r="AE839" s="46">
        <v>4</v>
      </c>
      <c r="AF839" s="46" t="s">
        <v>286</v>
      </c>
      <c r="AG839" s="37" t="str">
        <f t="shared" si="220"/>
        <v>yes</v>
      </c>
      <c r="AH839" s="37" t="str">
        <f t="array" ref="AH839">_xlfn.IFS(LOWER(AG839)="n","no",LOWER(AG839)="y","yes",TRUE,LOWER(AG839))</f>
        <v>yes</v>
      </c>
      <c r="AI839" s="46" t="s">
        <v>4692</v>
      </c>
    </row>
    <row r="840" spans="1:35">
      <c r="A840" s="37" t="s">
        <v>3015</v>
      </c>
      <c r="B840" s="38">
        <v>45355</v>
      </c>
      <c r="C840" s="39">
        <f t="shared" si="208"/>
        <v>45355</v>
      </c>
      <c r="D840" s="40" t="s">
        <v>4695</v>
      </c>
      <c r="E840" s="37" t="str" cm="1">
        <f t="array" ref="E840">_xlfn.IFS(D840="delhi","north",D840="mumbai","west",D840="bengaluru","south",D840="chennai","south",D840="kolkata","east",TRUE,"west")</f>
        <v>west</v>
      </c>
      <c r="F840" s="37" t="s">
        <v>367</v>
      </c>
      <c r="G840" s="37" t="str">
        <f t="shared" si="209"/>
        <v>dtdc</v>
      </c>
      <c r="H840" s="37" t="s">
        <v>224</v>
      </c>
      <c r="I840" s="37" t="str">
        <f t="shared" si="210"/>
        <v>air</v>
      </c>
      <c r="J840" s="37" t="s">
        <v>313</v>
      </c>
      <c r="K840" s="37" t="str">
        <f t="shared" si="211"/>
        <v>automotiveparts</v>
      </c>
      <c r="L840" s="37" t="s">
        <v>51</v>
      </c>
      <c r="M840" s="37" t="str">
        <f t="shared" si="212"/>
        <v>south</v>
      </c>
      <c r="N840" s="37" t="s">
        <v>54</v>
      </c>
      <c r="O840" s="41" t="str">
        <f t="shared" si="213"/>
        <v>Yes</v>
      </c>
      <c r="P840" s="41" t="s">
        <v>57</v>
      </c>
      <c r="Q840" s="41">
        <v>702</v>
      </c>
      <c r="R840" s="42">
        <f t="shared" si="214"/>
        <v>56.16</v>
      </c>
      <c r="S840" s="37">
        <v>4</v>
      </c>
      <c r="T840" s="37" t="s">
        <v>363</v>
      </c>
      <c r="U840" s="43" t="str">
        <f t="shared" si="215"/>
        <v>07/03/2024</v>
      </c>
      <c r="V840" s="43">
        <f t="shared" si="216"/>
        <v>45358</v>
      </c>
      <c r="W840" s="44">
        <f t="array" ref="W840">_xlfn.IFS(TRIM(C840)="","",TRIM(V840)="","",TRUE,V840-C840)</f>
        <v>3</v>
      </c>
      <c r="X840" s="37">
        <f t="shared" si="217"/>
        <v>-1</v>
      </c>
      <c r="Y840" s="37" t="s">
        <v>163</v>
      </c>
      <c r="Z840" s="37" t="str">
        <f t="shared" si="218"/>
        <v>delivered</v>
      </c>
      <c r="AA840" s="37" t="str">
        <f t="shared" si="219"/>
        <v>On Time</v>
      </c>
      <c r="AB840" s="37" t="str">
        <f t="shared" si="222"/>
        <v>0</v>
      </c>
      <c r="AC840" s="37">
        <f t="shared" si="223"/>
        <v>0</v>
      </c>
      <c r="AD840" s="45">
        <f t="shared" si="221"/>
        <v>0.519205298013245</v>
      </c>
      <c r="AE840" s="37">
        <v>3</v>
      </c>
      <c r="AF840" s="37" t="s">
        <v>152</v>
      </c>
      <c r="AG840" s="37" t="str">
        <f t="shared" si="220"/>
        <v>no</v>
      </c>
      <c r="AH840" s="37" t="str">
        <f t="array" ref="AH840">_xlfn.IFS(LOWER(AG840)="n","no",LOWER(AG840)="y","yes",TRUE,LOWER(AG840))</f>
        <v>no</v>
      </c>
      <c r="AI840" s="37" t="s">
        <v>4692</v>
      </c>
    </row>
    <row r="841" spans="1:35">
      <c r="A841" s="46" t="s">
        <v>3017</v>
      </c>
      <c r="B841" s="47">
        <v>45365</v>
      </c>
      <c r="C841" s="39">
        <f t="shared" si="208"/>
        <v>45365</v>
      </c>
      <c r="D841" s="48" t="s">
        <v>109</v>
      </c>
      <c r="E841" s="37" t="str" cm="1">
        <f t="array" ref="E841">_xlfn.IFS(D841="delhi","north",D841="mumbai","west",D841="bengaluru","south",D841="chennai","south",D841="kolkata","east",TRUE,"west")</f>
        <v>west</v>
      </c>
      <c r="F841" s="46" t="s">
        <v>919</v>
      </c>
      <c r="G841" s="37" t="str">
        <f t="shared" si="209"/>
        <v>xpressbees</v>
      </c>
      <c r="H841" s="46" t="s">
        <v>224</v>
      </c>
      <c r="I841" s="37" t="str">
        <f t="shared" si="210"/>
        <v>air</v>
      </c>
      <c r="J841" s="46" t="s">
        <v>1701</v>
      </c>
      <c r="K841" s="37" t="str">
        <f t="shared" si="211"/>
        <v>grocery&amp;fmcg</v>
      </c>
      <c r="L841" s="46" t="s">
        <v>159</v>
      </c>
      <c r="M841" s="37" t="str">
        <f t="shared" si="212"/>
        <v>south</v>
      </c>
      <c r="N841" s="46" t="s">
        <v>93</v>
      </c>
      <c r="O841" s="41" t="str">
        <f t="shared" si="213"/>
        <v>Yes</v>
      </c>
      <c r="P841" s="49">
        <v>17.7</v>
      </c>
      <c r="Q841" s="49">
        <v>953</v>
      </c>
      <c r="R841" s="42">
        <f t="shared" si="214"/>
        <v>53.8418079096045</v>
      </c>
      <c r="S841" s="46">
        <v>4</v>
      </c>
      <c r="T841" s="46" t="s">
        <v>694</v>
      </c>
      <c r="U841" s="43" t="str">
        <f t="shared" si="215"/>
        <v>26/03/2024</v>
      </c>
      <c r="V841" s="43">
        <f t="shared" si="216"/>
        <v>45377</v>
      </c>
      <c r="W841" s="44">
        <f t="array" ref="W841">_xlfn.IFS(TRIM(C841)="","",TRIM(V841)="","",TRUE,V841-C841)</f>
        <v>12</v>
      </c>
      <c r="X841" s="37">
        <f t="shared" si="217"/>
        <v>8</v>
      </c>
      <c r="Y841" s="46" t="s">
        <v>143</v>
      </c>
      <c r="Z841" s="37" t="str">
        <f t="shared" si="218"/>
        <v>delayed</v>
      </c>
      <c r="AA841" s="37" t="str">
        <f t="shared" si="219"/>
        <v>Late</v>
      </c>
      <c r="AB841" s="37" t="str">
        <f t="shared" si="222"/>
        <v>1</v>
      </c>
      <c r="AC841" s="37">
        <f t="shared" si="223"/>
        <v>1</v>
      </c>
      <c r="AD841" s="45">
        <f t="shared" si="221"/>
        <v>0.519893899204244</v>
      </c>
      <c r="AE841" s="46">
        <v>5</v>
      </c>
      <c r="AF841" s="46" t="s">
        <v>131</v>
      </c>
      <c r="AG841" s="37" t="str">
        <f t="shared" si="220"/>
        <v>n</v>
      </c>
      <c r="AH841" s="37" t="str">
        <f t="array" ref="AH841">_xlfn.IFS(LOWER(AG841)="n","no",LOWER(AG841)="y","yes",TRUE,LOWER(AG841))</f>
        <v>no</v>
      </c>
      <c r="AI841" s="46" t="s">
        <v>4692</v>
      </c>
    </row>
    <row r="842" spans="1:35">
      <c r="A842" s="37" t="s">
        <v>3020</v>
      </c>
      <c r="B842" s="38">
        <v>45373</v>
      </c>
      <c r="C842" s="39">
        <f t="shared" si="208"/>
        <v>45373</v>
      </c>
      <c r="D842" s="40" t="s">
        <v>366</v>
      </c>
      <c r="E842" s="37" t="str" cm="1">
        <f t="array" ref="E842">_xlfn.IFS(D842="delhi","north",D842="mumbai","west",D842="bengaluru","south",D842="chennai","south",D842="kolkata","east",TRUE,"west")</f>
        <v>east</v>
      </c>
      <c r="F842" s="37" t="s">
        <v>367</v>
      </c>
      <c r="G842" s="37" t="str">
        <f t="shared" si="209"/>
        <v>dtdc</v>
      </c>
      <c r="H842" s="37" t="s">
        <v>176</v>
      </c>
      <c r="I842" s="37" t="str">
        <f t="shared" si="210"/>
        <v>road</v>
      </c>
      <c r="J842" s="37" t="s">
        <v>612</v>
      </c>
      <c r="K842" s="37" t="str">
        <f t="shared" si="211"/>
        <v>grocery&amp;fmcg</v>
      </c>
      <c r="L842" s="37" t="s">
        <v>302</v>
      </c>
      <c r="M842" s="37" t="str">
        <f t="shared" si="212"/>
        <v>east</v>
      </c>
      <c r="N842" s="37" t="s">
        <v>294</v>
      </c>
      <c r="O842" s="41" t="str">
        <f t="shared" si="213"/>
        <v>Yes</v>
      </c>
      <c r="P842" s="41">
        <v>2.5</v>
      </c>
      <c r="Q842" s="41" t="s">
        <v>432</v>
      </c>
      <c r="R842" s="42">
        <f t="shared" si="214"/>
        <v>32</v>
      </c>
      <c r="S842" s="37">
        <v>6</v>
      </c>
      <c r="T842" s="37" t="s">
        <v>600</v>
      </c>
      <c r="U842" s="43" t="str">
        <f t="shared" si="215"/>
        <v>01/04/2024</v>
      </c>
      <c r="V842" s="43">
        <f t="shared" si="216"/>
        <v>45383</v>
      </c>
      <c r="W842" s="44">
        <f t="array" ref="W842">_xlfn.IFS(TRIM(C842)="","",TRIM(V842)="","",TRUE,V842-C842)</f>
        <v>10</v>
      </c>
      <c r="X842" s="37">
        <f t="shared" si="217"/>
        <v>4</v>
      </c>
      <c r="Y842" s="37" t="s">
        <v>200</v>
      </c>
      <c r="Z842" s="37" t="str">
        <f t="shared" si="218"/>
        <v>delayed</v>
      </c>
      <c r="AA842" s="37" t="str">
        <f t="shared" si="219"/>
        <v>Late</v>
      </c>
      <c r="AB842" s="37" t="str">
        <f t="shared" si="222"/>
        <v>1</v>
      </c>
      <c r="AC842" s="37">
        <f t="shared" si="223"/>
        <v>1</v>
      </c>
      <c r="AD842" s="45">
        <f t="shared" si="221"/>
        <v>0.51925630810093</v>
      </c>
      <c r="AE842" s="37">
        <v>3</v>
      </c>
      <c r="AF842" s="37" t="s">
        <v>106</v>
      </c>
      <c r="AG842" s="37" t="str">
        <f t="shared" si="220"/>
        <v>yes</v>
      </c>
      <c r="AH842" s="37" t="str">
        <f t="array" ref="AH842">_xlfn.IFS(LOWER(AG842)="n","no",LOWER(AG842)="y","yes",TRUE,LOWER(AG842))</f>
        <v>yes</v>
      </c>
      <c r="AI842" s="37" t="s">
        <v>4692</v>
      </c>
    </row>
    <row r="843" spans="1:35">
      <c r="A843" s="46" t="s">
        <v>3022</v>
      </c>
      <c r="B843" s="47">
        <v>45421</v>
      </c>
      <c r="C843" s="39">
        <f t="shared" si="208"/>
        <v>45421</v>
      </c>
      <c r="D843" s="48" t="s">
        <v>121</v>
      </c>
      <c r="E843" s="37" t="str" cm="1">
        <f t="array" ref="E843">_xlfn.IFS(D843="delhi","north",D843="mumbai","west",D843="bengaluru","south",D843="chennai","south",D843="kolkata","east",TRUE,"west")</f>
        <v>west</v>
      </c>
      <c r="F843" s="46" t="s">
        <v>213</v>
      </c>
      <c r="G843" s="37" t="str">
        <f t="shared" si="209"/>
        <v>dtdc</v>
      </c>
      <c r="H843" s="46" t="s">
        <v>185</v>
      </c>
      <c r="I843" s="37" t="str">
        <f t="shared" si="210"/>
        <v>surface</v>
      </c>
      <c r="J843" s="46" t="s">
        <v>158</v>
      </c>
      <c r="K843" s="37" t="str">
        <f t="shared" si="211"/>
        <v>pharma</v>
      </c>
      <c r="L843" s="46" t="s">
        <v>264</v>
      </c>
      <c r="M843" s="37" t="str">
        <f t="shared" si="212"/>
        <v>west</v>
      </c>
      <c r="N843" s="46" t="s">
        <v>187</v>
      </c>
      <c r="O843" s="41" t="str">
        <f t="shared" si="213"/>
        <v>Yes</v>
      </c>
      <c r="P843" s="49">
        <v>2.7</v>
      </c>
      <c r="Q843" s="49" t="s">
        <v>3024</v>
      </c>
      <c r="R843" s="42">
        <f t="shared" si="214"/>
        <v>96.6666666666667</v>
      </c>
      <c r="S843" s="46">
        <v>6</v>
      </c>
      <c r="T843" s="46" t="s">
        <v>2305</v>
      </c>
      <c r="U843" s="43" t="str">
        <f t="shared" si="215"/>
        <v>2024-05-16</v>
      </c>
      <c r="V843" s="43">
        <f t="shared" si="216"/>
        <v>45428</v>
      </c>
      <c r="W843" s="44">
        <f t="array" ref="W843">_xlfn.IFS(TRIM(C843)="","",TRIM(V843)="","",TRUE,V843-C843)</f>
        <v>7</v>
      </c>
      <c r="X843" s="37">
        <f t="shared" si="217"/>
        <v>1</v>
      </c>
      <c r="Y843" s="46" t="s">
        <v>172</v>
      </c>
      <c r="Z843" s="37" t="str">
        <f t="shared" si="218"/>
        <v>delayed</v>
      </c>
      <c r="AA843" s="37" t="str">
        <f t="shared" si="219"/>
        <v>Late</v>
      </c>
      <c r="AB843" s="37" t="str">
        <f t="shared" si="222"/>
        <v>1</v>
      </c>
      <c r="AC843" s="37">
        <f t="shared" si="223"/>
        <v>1</v>
      </c>
      <c r="AD843" s="45">
        <f t="shared" si="221"/>
        <v>0.518617021276596</v>
      </c>
      <c r="AE843" s="46">
        <v>3</v>
      </c>
      <c r="AF843" s="46" t="s">
        <v>118</v>
      </c>
      <c r="AG843" s="37" t="str">
        <f t="shared" si="220"/>
        <v>no</v>
      </c>
      <c r="AH843" s="37" t="str">
        <f t="array" ref="AH843">_xlfn.IFS(LOWER(AG843)="n","no",LOWER(AG843)="y","yes",TRUE,LOWER(AG843))</f>
        <v>no</v>
      </c>
      <c r="AI843" s="46" t="s">
        <v>4692</v>
      </c>
    </row>
    <row r="844" spans="1:35">
      <c r="A844" s="37" t="s">
        <v>3025</v>
      </c>
      <c r="B844" s="38">
        <v>45435</v>
      </c>
      <c r="C844" s="39">
        <f t="shared" si="208"/>
        <v>45435</v>
      </c>
      <c r="D844" s="40" t="s">
        <v>212</v>
      </c>
      <c r="E844" s="37" t="str" cm="1">
        <f t="array" ref="E844">_xlfn.IFS(D844="delhi","north",D844="mumbai","west",D844="bengaluru","south",D844="chennai","south",D844="kolkata","east",TRUE,"west")</f>
        <v>west</v>
      </c>
      <c r="F844" s="37" t="s">
        <v>122</v>
      </c>
      <c r="G844" s="37" t="str">
        <f t="shared" si="209"/>
        <v>delhivery</v>
      </c>
      <c r="H844" s="37" t="s">
        <v>110</v>
      </c>
      <c r="I844" s="37" t="str">
        <f t="shared" si="210"/>
        <v>surface</v>
      </c>
      <c r="J844" s="37" t="s">
        <v>231</v>
      </c>
      <c r="K844" s="37" t="str">
        <f t="shared" si="211"/>
        <v>furniture</v>
      </c>
      <c r="L844" s="37" t="s">
        <v>346</v>
      </c>
      <c r="M844" s="37" t="str">
        <f t="shared" si="212"/>
        <v>north</v>
      </c>
      <c r="N844" s="37" t="s">
        <v>32</v>
      </c>
      <c r="O844" s="41" t="str">
        <f t="shared" si="213"/>
        <v>Yes</v>
      </c>
      <c r="P844" s="41" t="s">
        <v>3026</v>
      </c>
      <c r="Q844" s="41">
        <v>1897</v>
      </c>
      <c r="R844" s="42">
        <f t="shared" si="214"/>
        <v>23.8316582914573</v>
      </c>
      <c r="S844" s="37">
        <v>6</v>
      </c>
      <c r="T844" s="37" t="s">
        <v>1952</v>
      </c>
      <c r="U844" s="43" t="str">
        <f t="shared" si="215"/>
        <v>30/05/2024</v>
      </c>
      <c r="V844" s="43">
        <f t="shared" si="216"/>
        <v>45442</v>
      </c>
      <c r="W844" s="44">
        <f t="array" ref="W844">_xlfn.IFS(TRIM(C844)="","",TRIM(V844)="","",TRUE,V844-C844)</f>
        <v>7</v>
      </c>
      <c r="X844" s="37">
        <f t="shared" si="217"/>
        <v>1</v>
      </c>
      <c r="Y844" s="37" t="s">
        <v>1513</v>
      </c>
      <c r="Z844" s="37" t="str">
        <f t="shared" si="218"/>
        <v>damaged</v>
      </c>
      <c r="AA844" s="37" t="str">
        <f t="shared" si="219"/>
        <v>Late</v>
      </c>
      <c r="AB844" s="37" t="str">
        <f t="shared" si="222"/>
        <v>1</v>
      </c>
      <c r="AC844" s="37">
        <f t="shared" si="223"/>
        <v>1</v>
      </c>
      <c r="AD844" s="45">
        <f t="shared" si="221"/>
        <v>0.51797603195739</v>
      </c>
      <c r="AE844" s="37"/>
      <c r="AF844" s="37" t="s">
        <v>286</v>
      </c>
      <c r="AG844" s="37" t="str">
        <f t="shared" si="220"/>
        <v>yes</v>
      </c>
      <c r="AH844" s="37" t="str">
        <f t="array" ref="AH844">_xlfn.IFS(LOWER(AG844)="n","no",LOWER(AG844)="y","yes",TRUE,LOWER(AG844))</f>
        <v>yes</v>
      </c>
      <c r="AI844" s="37" t="s">
        <v>132</v>
      </c>
    </row>
    <row r="845" spans="1:35">
      <c r="A845" s="46" t="s">
        <v>3028</v>
      </c>
      <c r="B845" s="47">
        <v>45308</v>
      </c>
      <c r="C845" s="39">
        <f t="shared" si="208"/>
        <v>45308</v>
      </c>
      <c r="D845" s="48" t="s">
        <v>212</v>
      </c>
      <c r="E845" s="37" t="str" cm="1">
        <f t="array" ref="E845">_xlfn.IFS(D845="delhi","north",D845="mumbai","west",D845="bengaluru","south",D845="chennai","south",D845="kolkata","east",TRUE,"west")</f>
        <v>west</v>
      </c>
      <c r="F845" s="46" t="s">
        <v>98</v>
      </c>
      <c r="G845" s="37" t="str">
        <f t="shared" si="209"/>
        <v>dtdc</v>
      </c>
      <c r="H845" s="46" t="s">
        <v>42</v>
      </c>
      <c r="I845" s="37" t="str">
        <f t="shared" si="210"/>
        <v>surface</v>
      </c>
      <c r="J845" s="46" t="s">
        <v>353</v>
      </c>
      <c r="K845" s="37" t="str">
        <f t="shared" si="211"/>
        <v>automotiveparts</v>
      </c>
      <c r="L845" s="46" t="s">
        <v>125</v>
      </c>
      <c r="M845" s="37" t="str">
        <f t="shared" si="212"/>
        <v>east</v>
      </c>
      <c r="N845" s="46" t="s">
        <v>91</v>
      </c>
      <c r="O845" s="41" t="str">
        <f t="shared" si="213"/>
        <v>Yes</v>
      </c>
      <c r="P845" s="49" t="s">
        <v>911</v>
      </c>
      <c r="Q845" s="49">
        <v>713</v>
      </c>
      <c r="R845" s="42">
        <f t="shared" si="214"/>
        <v>28.0708661417323</v>
      </c>
      <c r="S845" s="46">
        <v>6</v>
      </c>
      <c r="T845" s="46" t="s">
        <v>3030</v>
      </c>
      <c r="U845" s="43" t="str">
        <f t="shared" si="215"/>
        <v>2024-01-24</v>
      </c>
      <c r="V845" s="43">
        <f t="shared" si="216"/>
        <v>45315</v>
      </c>
      <c r="W845" s="44">
        <f t="array" ref="W845">_xlfn.IFS(TRIM(C845)="","",TRIM(V845)="","",TRUE,V845-C845)</f>
        <v>7</v>
      </c>
      <c r="X845" s="37">
        <f t="shared" si="217"/>
        <v>1</v>
      </c>
      <c r="Y845" s="46" t="s">
        <v>72</v>
      </c>
      <c r="Z845" s="37" t="str">
        <f t="shared" si="218"/>
        <v>delayed</v>
      </c>
      <c r="AA845" s="37" t="str">
        <f t="shared" si="219"/>
        <v>Late</v>
      </c>
      <c r="AB845" s="37" t="str">
        <f t="shared" si="222"/>
        <v>1</v>
      </c>
      <c r="AC845" s="37">
        <f t="shared" si="223"/>
        <v>1</v>
      </c>
      <c r="AD845" s="45">
        <f t="shared" si="221"/>
        <v>0.517333333333333</v>
      </c>
      <c r="AE845" s="46">
        <v>4</v>
      </c>
      <c r="AF845" s="46" t="s">
        <v>286</v>
      </c>
      <c r="AG845" s="37" t="str">
        <f t="shared" si="220"/>
        <v>yes</v>
      </c>
      <c r="AH845" s="37" t="str">
        <f t="array" ref="AH845">_xlfn.IFS(LOWER(AG845)="n","no",LOWER(AG845)="y","yes",TRUE,LOWER(AG845))</f>
        <v>yes</v>
      </c>
      <c r="AI845" s="46" t="s">
        <v>4692</v>
      </c>
    </row>
    <row r="846" spans="1:35">
      <c r="A846" s="37" t="s">
        <v>3031</v>
      </c>
      <c r="B846" s="38">
        <v>45365</v>
      </c>
      <c r="C846" s="39">
        <f t="shared" si="208"/>
        <v>45365</v>
      </c>
      <c r="D846" s="40" t="s">
        <v>4704</v>
      </c>
      <c r="E846" s="37" t="str" cm="1">
        <f t="array" ref="E846">_xlfn.IFS(D846="delhi","north",D846="mumbai","west",D846="bengaluru","south",D846="chennai","south",D846="kolkata","east",TRUE,"west")</f>
        <v>west</v>
      </c>
      <c r="F846" s="37" t="s">
        <v>230</v>
      </c>
      <c r="G846" s="37" t="str">
        <f t="shared" si="209"/>
        <v>dtdc</v>
      </c>
      <c r="H846" s="37" t="s">
        <v>110</v>
      </c>
      <c r="I846" s="37" t="str">
        <f t="shared" si="210"/>
        <v>surface</v>
      </c>
      <c r="J846" s="37" t="s">
        <v>177</v>
      </c>
      <c r="K846" s="37" t="str">
        <f t="shared" si="211"/>
        <v>pharma</v>
      </c>
      <c r="L846" s="37" t="s">
        <v>346</v>
      </c>
      <c r="M846" s="37" t="str">
        <f t="shared" si="212"/>
        <v>north</v>
      </c>
      <c r="N846" s="37" t="s">
        <v>215</v>
      </c>
      <c r="O846" s="41" t="str">
        <f t="shared" si="213"/>
        <v>Yes</v>
      </c>
      <c r="P846" s="41">
        <v>3.9</v>
      </c>
      <c r="Q846" s="41" t="s">
        <v>3032</v>
      </c>
      <c r="R846" s="42">
        <f t="shared" si="214"/>
        <v>68.974358974359</v>
      </c>
      <c r="S846" s="37">
        <v>6</v>
      </c>
      <c r="T846" s="37" t="s">
        <v>1166</v>
      </c>
      <c r="U846" s="43" t="str">
        <f t="shared" si="215"/>
        <v>21/03/2024</v>
      </c>
      <c r="V846" s="43">
        <f t="shared" si="216"/>
        <v>45372</v>
      </c>
      <c r="W846" s="44">
        <f t="array" ref="W846">_xlfn.IFS(TRIM(C846)="","",TRIM(V846)="","",TRUE,V846-C846)</f>
        <v>7</v>
      </c>
      <c r="X846" s="37">
        <f t="shared" si="217"/>
        <v>1</v>
      </c>
      <c r="Y846" s="37" t="s">
        <v>143</v>
      </c>
      <c r="Z846" s="37" t="str">
        <f t="shared" si="218"/>
        <v>delayed</v>
      </c>
      <c r="AA846" s="37" t="str">
        <f t="shared" si="219"/>
        <v>Late</v>
      </c>
      <c r="AB846" s="37" t="str">
        <f t="shared" si="222"/>
        <v>1</v>
      </c>
      <c r="AC846" s="37">
        <f t="shared" si="223"/>
        <v>1</v>
      </c>
      <c r="AD846" s="45">
        <f t="shared" si="221"/>
        <v>0.516688918558077</v>
      </c>
      <c r="AE846" s="37">
        <v>5</v>
      </c>
      <c r="AF846" s="37" t="s">
        <v>118</v>
      </c>
      <c r="AG846" s="37" t="str">
        <f t="shared" si="220"/>
        <v>no</v>
      </c>
      <c r="AH846" s="37" t="str">
        <f t="array" ref="AH846">_xlfn.IFS(LOWER(AG846)="n","no",LOWER(AG846)="y","yes",TRUE,LOWER(AG846))</f>
        <v>no</v>
      </c>
      <c r="AI846" s="37" t="s">
        <v>4692</v>
      </c>
    </row>
    <row r="847" spans="1:35">
      <c r="A847" s="46" t="s">
        <v>3033</v>
      </c>
      <c r="B847" s="47">
        <v>45423</v>
      </c>
      <c r="C847" s="39">
        <f t="shared" si="208"/>
        <v>45423</v>
      </c>
      <c r="D847" s="48" t="s">
        <v>424</v>
      </c>
      <c r="E847" s="37" t="str" cm="1">
        <f t="array" ref="E847">_xlfn.IFS(D847="delhi","north",D847="mumbai","west",D847="bengaluru","south",D847="chennai","south",D847="kolkata","east",TRUE,"west")</f>
        <v>south</v>
      </c>
      <c r="F847" s="46" t="s">
        <v>175</v>
      </c>
      <c r="G847" s="37" t="str">
        <f t="shared" si="209"/>
        <v>ecomexpress</v>
      </c>
      <c r="H847" s="46" t="s">
        <v>185</v>
      </c>
      <c r="I847" s="37" t="str">
        <f t="shared" si="210"/>
        <v>surface</v>
      </c>
      <c r="J847" s="46" t="s">
        <v>301</v>
      </c>
      <c r="K847" s="37" t="str">
        <f t="shared" si="211"/>
        <v>furniture</v>
      </c>
      <c r="L847" s="46" t="s">
        <v>101</v>
      </c>
      <c r="M847" s="37" t="str">
        <f t="shared" si="212"/>
        <v>west</v>
      </c>
      <c r="N847" s="46" t="s">
        <v>187</v>
      </c>
      <c r="O847" s="41" t="str">
        <f t="shared" si="213"/>
        <v>Yes</v>
      </c>
      <c r="P847" s="49">
        <v>54</v>
      </c>
      <c r="Q847" s="49" t="s">
        <v>3035</v>
      </c>
      <c r="R847" s="42">
        <f t="shared" si="214"/>
        <v>24.4814814814815</v>
      </c>
      <c r="S847" s="46">
        <v>6</v>
      </c>
      <c r="T847" s="46" t="s">
        <v>3036</v>
      </c>
      <c r="U847" s="43" t="str">
        <f t="shared" si="215"/>
        <v>16/05/2024</v>
      </c>
      <c r="V847" s="43">
        <f t="shared" si="216"/>
        <v>45428</v>
      </c>
      <c r="W847" s="44">
        <f t="array" ref="W847">_xlfn.IFS(TRIM(C847)="","",TRIM(V847)="","",TRUE,V847-C847)</f>
        <v>5</v>
      </c>
      <c r="X847" s="37">
        <f t="shared" si="217"/>
        <v>-1</v>
      </c>
      <c r="Y847" s="46" t="s">
        <v>105</v>
      </c>
      <c r="Z847" s="37" t="str">
        <f t="shared" si="218"/>
        <v>delivered</v>
      </c>
      <c r="AA847" s="37" t="str">
        <f t="shared" si="219"/>
        <v>On Time</v>
      </c>
      <c r="AB847" s="37" t="str">
        <f t="shared" si="222"/>
        <v>0</v>
      </c>
      <c r="AC847" s="37">
        <f t="shared" si="223"/>
        <v>0</v>
      </c>
      <c r="AD847" s="45">
        <f t="shared" si="221"/>
        <v>0.516042780748663</v>
      </c>
      <c r="AE847" s="46">
        <v>4</v>
      </c>
      <c r="AF847" s="46" t="s">
        <v>118</v>
      </c>
      <c r="AG847" s="37" t="str">
        <f t="shared" si="220"/>
        <v>no</v>
      </c>
      <c r="AH847" s="37" t="str">
        <f t="array" ref="AH847">_xlfn.IFS(LOWER(AG847)="n","no",LOWER(AG847)="y","yes",TRUE,LOWER(AG847))</f>
        <v>no</v>
      </c>
      <c r="AI847" s="46" t="s">
        <v>4692</v>
      </c>
    </row>
    <row r="848" spans="1:35">
      <c r="A848" s="37" t="s">
        <v>3037</v>
      </c>
      <c r="B848" s="38">
        <v>45425</v>
      </c>
      <c r="C848" s="39">
        <f t="shared" si="208"/>
        <v>45425</v>
      </c>
      <c r="D848" s="40" t="s">
        <v>633</v>
      </c>
      <c r="E848" s="37" t="str" cm="1">
        <f t="array" ref="E848">_xlfn.IFS(D848="delhi","north",D848="mumbai","west",D848="bengaluru","south",D848="chennai","south",D848="kolkata","east",TRUE,"west")</f>
        <v>south</v>
      </c>
      <c r="F848" s="37" t="s">
        <v>223</v>
      </c>
      <c r="G848" s="37" t="str">
        <f t="shared" si="209"/>
        <v>xpressbees</v>
      </c>
      <c r="H848" s="37" t="s">
        <v>195</v>
      </c>
      <c r="I848" s="37" t="str">
        <f t="shared" si="210"/>
        <v>road</v>
      </c>
      <c r="J848" s="37" t="s">
        <v>353</v>
      </c>
      <c r="K848" s="37" t="str">
        <f t="shared" si="211"/>
        <v>automotiveparts</v>
      </c>
      <c r="L848" s="37" t="s">
        <v>139</v>
      </c>
      <c r="M848" s="37" t="str">
        <f t="shared" si="212"/>
        <v>north</v>
      </c>
      <c r="N848" s="37" t="s">
        <v>32</v>
      </c>
      <c r="O848" s="41" t="str">
        <f t="shared" si="213"/>
        <v>Yes</v>
      </c>
      <c r="P848" s="41">
        <v>5</v>
      </c>
      <c r="Q848" s="41" t="s">
        <v>3039</v>
      </c>
      <c r="R848" s="42">
        <f t="shared" si="214"/>
        <v>48</v>
      </c>
      <c r="S848" s="37">
        <v>8</v>
      </c>
      <c r="T848" s="37" t="s">
        <v>2720</v>
      </c>
      <c r="U848" s="43" t="str">
        <f t="shared" si="215"/>
        <v>20/05/2024</v>
      </c>
      <c r="V848" s="43">
        <f t="shared" si="216"/>
        <v>45432</v>
      </c>
      <c r="W848" s="44">
        <f t="array" ref="W848">_xlfn.IFS(TRIM(C848)="","",TRIM(V848)="","",TRUE,V848-C848)</f>
        <v>7</v>
      </c>
      <c r="X848" s="37">
        <f t="shared" si="217"/>
        <v>-1</v>
      </c>
      <c r="Y848" s="37" t="s">
        <v>105</v>
      </c>
      <c r="Z848" s="37" t="str">
        <f t="shared" si="218"/>
        <v>delivered</v>
      </c>
      <c r="AA848" s="37" t="str">
        <f t="shared" si="219"/>
        <v>On Time</v>
      </c>
      <c r="AB848" s="37" t="str">
        <f t="shared" si="222"/>
        <v>0</v>
      </c>
      <c r="AC848" s="37">
        <f t="shared" si="223"/>
        <v>0</v>
      </c>
      <c r="AD848" s="45">
        <f t="shared" si="221"/>
        <v>0.51673360107095</v>
      </c>
      <c r="AE848" s="37">
        <v>4</v>
      </c>
      <c r="AF848" s="37" t="s">
        <v>131</v>
      </c>
      <c r="AG848" s="37" t="str">
        <f t="shared" si="220"/>
        <v>n</v>
      </c>
      <c r="AH848" s="37" t="str">
        <f t="array" ref="AH848">_xlfn.IFS(LOWER(AG848)="n","no",LOWER(AG848)="y","yes",TRUE,LOWER(AG848))</f>
        <v>no</v>
      </c>
      <c r="AI848" s="37" t="s">
        <v>4692</v>
      </c>
    </row>
    <row r="849" spans="1:35">
      <c r="A849" s="46" t="s">
        <v>3040</v>
      </c>
      <c r="B849" s="47">
        <v>45383</v>
      </c>
      <c r="C849" s="39">
        <f t="shared" si="208"/>
        <v>45383</v>
      </c>
      <c r="D849" s="48" t="s">
        <v>243</v>
      </c>
      <c r="E849" s="37" t="str" cm="1">
        <f t="array" ref="E849">_xlfn.IFS(D849="delhi","north",D849="mumbai","west",D849="bengaluru","south",D849="chennai","south",D849="kolkata","east",TRUE,"west")</f>
        <v>west</v>
      </c>
      <c r="F849" s="46" t="s">
        <v>230</v>
      </c>
      <c r="G849" s="37" t="str">
        <f t="shared" si="209"/>
        <v>dtdc</v>
      </c>
      <c r="H849" s="46" t="s">
        <v>185</v>
      </c>
      <c r="I849" s="37" t="str">
        <f t="shared" si="210"/>
        <v>surface</v>
      </c>
      <c r="J849" s="46" t="s">
        <v>385</v>
      </c>
      <c r="K849" s="37" t="str">
        <f t="shared" si="211"/>
        <v>furniture</v>
      </c>
      <c r="L849" s="46" t="s">
        <v>418</v>
      </c>
      <c r="M849" s="37" t="str">
        <f t="shared" si="212"/>
        <v>south</v>
      </c>
      <c r="N849" s="46" t="s">
        <v>327</v>
      </c>
      <c r="O849" s="41" t="str">
        <f t="shared" si="213"/>
        <v>Yes</v>
      </c>
      <c r="P849" s="49">
        <v>18.6</v>
      </c>
      <c r="Q849" s="49" t="s">
        <v>3042</v>
      </c>
      <c r="R849" s="42">
        <f t="shared" si="214"/>
        <v>22.8494623655914</v>
      </c>
      <c r="S849" s="46">
        <v>4</v>
      </c>
      <c r="T849" s="46" t="s">
        <v>3043</v>
      </c>
      <c r="U849" s="43" t="str">
        <f t="shared" si="215"/>
        <v>10-apr-2024</v>
      </c>
      <c r="V849" s="43">
        <f t="shared" si="216"/>
        <v>45392</v>
      </c>
      <c r="W849" s="44">
        <f t="array" ref="W849">_xlfn.IFS(TRIM(C849)="","",TRIM(V849)="","",TRUE,V849-C849)</f>
        <v>9</v>
      </c>
      <c r="X849" s="37">
        <f t="shared" si="217"/>
        <v>5</v>
      </c>
      <c r="Y849" s="46" t="s">
        <v>200</v>
      </c>
      <c r="Z849" s="37" t="str">
        <f t="shared" si="218"/>
        <v>delayed</v>
      </c>
      <c r="AA849" s="37" t="str">
        <f t="shared" si="219"/>
        <v>Late</v>
      </c>
      <c r="AB849" s="37" t="str">
        <f t="shared" si="222"/>
        <v>1</v>
      </c>
      <c r="AC849" s="37">
        <f t="shared" si="223"/>
        <v>1</v>
      </c>
      <c r="AD849" s="45">
        <f t="shared" si="221"/>
        <v>0.517426273458445</v>
      </c>
      <c r="AE849" s="46">
        <v>2</v>
      </c>
      <c r="AF849" s="46" t="s">
        <v>152</v>
      </c>
      <c r="AG849" s="37" t="str">
        <f t="shared" si="220"/>
        <v>no</v>
      </c>
      <c r="AH849" s="37" t="str">
        <f t="array" ref="AH849">_xlfn.IFS(LOWER(AG849)="n","no",LOWER(AG849)="y","yes",TRUE,LOWER(AG849))</f>
        <v>no</v>
      </c>
      <c r="AI849" s="46" t="s">
        <v>4692</v>
      </c>
    </row>
    <row r="850" spans="1:35">
      <c r="A850" s="37" t="s">
        <v>3044</v>
      </c>
      <c r="B850" s="38">
        <v>45385</v>
      </c>
      <c r="C850" s="39">
        <f t="shared" si="208"/>
        <v>45385</v>
      </c>
      <c r="D850" s="40" t="s">
        <v>121</v>
      </c>
      <c r="E850" s="37" t="str" cm="1">
        <f t="array" ref="E850">_xlfn.IFS(D850="delhi","north",D850="mumbai","west",D850="bengaluru","south",D850="chennai","south",D850="kolkata","east",TRUE,"west")</f>
        <v>west</v>
      </c>
      <c r="F850" s="37" t="s">
        <v>122</v>
      </c>
      <c r="G850" s="37" t="str">
        <f t="shared" si="209"/>
        <v>delhivery</v>
      </c>
      <c r="H850" s="37" t="s">
        <v>185</v>
      </c>
      <c r="I850" s="37" t="str">
        <f t="shared" si="210"/>
        <v>surface</v>
      </c>
      <c r="J850" s="37" t="s">
        <v>425</v>
      </c>
      <c r="K850" s="37" t="str">
        <f t="shared" si="211"/>
        <v>automotiveparts</v>
      </c>
      <c r="L850" s="37" t="s">
        <v>380</v>
      </c>
      <c r="M850" s="37" t="str">
        <f t="shared" si="212"/>
        <v>east</v>
      </c>
      <c r="N850" s="37" t="s">
        <v>126</v>
      </c>
      <c r="O850" s="41" t="str">
        <f t="shared" si="213"/>
        <v>Yes</v>
      </c>
      <c r="P850" s="41" t="s">
        <v>3045</v>
      </c>
      <c r="Q850" s="41">
        <v>1014</v>
      </c>
      <c r="R850" s="42">
        <f t="shared" si="214"/>
        <v>26.2694300518135</v>
      </c>
      <c r="S850" s="37">
        <v>6</v>
      </c>
      <c r="T850" s="37" t="s">
        <v>1739</v>
      </c>
      <c r="U850" s="43" t="str">
        <f t="shared" si="215"/>
        <v>2024-04-10</v>
      </c>
      <c r="V850" s="43">
        <f t="shared" si="216"/>
        <v>45392</v>
      </c>
      <c r="W850" s="44">
        <f t="array" ref="W850">_xlfn.IFS(TRIM(C850)="","",TRIM(V850)="","",TRUE,V850-C850)</f>
        <v>7</v>
      </c>
      <c r="X850" s="37">
        <f t="shared" si="217"/>
        <v>1</v>
      </c>
      <c r="Y850" s="37" t="s">
        <v>72</v>
      </c>
      <c r="Z850" s="37" t="str">
        <f t="shared" si="218"/>
        <v>delayed</v>
      </c>
      <c r="AA850" s="37" t="str">
        <f t="shared" si="219"/>
        <v>Late</v>
      </c>
      <c r="AB850" s="37" t="str">
        <f t="shared" si="222"/>
        <v>1</v>
      </c>
      <c r="AC850" s="37">
        <f t="shared" si="223"/>
        <v>1</v>
      </c>
      <c r="AD850" s="45">
        <f t="shared" si="221"/>
        <v>0.516778523489933</v>
      </c>
      <c r="AE850" s="37">
        <v>1</v>
      </c>
      <c r="AF850" s="37" t="s">
        <v>152</v>
      </c>
      <c r="AG850" s="37" t="str">
        <f t="shared" si="220"/>
        <v>no</v>
      </c>
      <c r="AH850" s="37" t="str">
        <f t="array" ref="AH850">_xlfn.IFS(LOWER(AG850)="n","no",LOWER(AG850)="y","yes",TRUE,LOWER(AG850))</f>
        <v>no</v>
      </c>
      <c r="AI850" s="37" t="s">
        <v>4692</v>
      </c>
    </row>
    <row r="851" spans="1:35">
      <c r="A851" s="46" t="s">
        <v>3047</v>
      </c>
      <c r="B851" s="47">
        <v>45324</v>
      </c>
      <c r="C851" s="39">
        <f t="shared" si="208"/>
        <v>45324</v>
      </c>
      <c r="D851" s="48" t="s">
        <v>366</v>
      </c>
      <c r="E851" s="37" t="str" cm="1">
        <f t="array" ref="E851">_xlfn.IFS(D851="delhi","north",D851="mumbai","west",D851="bengaluru","south",D851="chennai","south",D851="kolkata","east",TRUE,"west")</f>
        <v>east</v>
      </c>
      <c r="F851" s="46" t="s">
        <v>204</v>
      </c>
      <c r="G851" s="37" t="str">
        <f t="shared" si="209"/>
        <v>delhivery</v>
      </c>
      <c r="H851" s="46" t="s">
        <v>224</v>
      </c>
      <c r="I851" s="37" t="str">
        <f t="shared" si="210"/>
        <v>air</v>
      </c>
      <c r="J851" s="46" t="s">
        <v>313</v>
      </c>
      <c r="K851" s="37" t="str">
        <f t="shared" si="211"/>
        <v>automotiveparts</v>
      </c>
      <c r="L851" s="46" t="s">
        <v>139</v>
      </c>
      <c r="M851" s="37" t="str">
        <f t="shared" si="212"/>
        <v>north</v>
      </c>
      <c r="N851" s="46" t="s">
        <v>113</v>
      </c>
      <c r="O851" s="41" t="str">
        <f t="shared" si="213"/>
        <v>Yes</v>
      </c>
      <c r="P851" s="49">
        <v>22.7</v>
      </c>
      <c r="Q851" s="49" t="s">
        <v>3050</v>
      </c>
      <c r="R851" s="42">
        <f t="shared" si="214"/>
        <v>53.8325991189427</v>
      </c>
      <c r="S851" s="46">
        <v>4</v>
      </c>
      <c r="T851" s="46" t="s">
        <v>1914</v>
      </c>
      <c r="U851" s="43" t="str">
        <f t="shared" si="215"/>
        <v>12-feb-2024</v>
      </c>
      <c r="V851" s="43">
        <f t="shared" si="216"/>
        <v>45334</v>
      </c>
      <c r="W851" s="44">
        <f t="array" ref="W851">_xlfn.IFS(TRIM(C851)="","",TRIM(V851)="","",TRUE,V851-C851)</f>
        <v>10</v>
      </c>
      <c r="X851" s="37">
        <f t="shared" si="217"/>
        <v>6</v>
      </c>
      <c r="Y851" s="46" t="s">
        <v>200</v>
      </c>
      <c r="Z851" s="37" t="str">
        <f t="shared" si="218"/>
        <v>delayed</v>
      </c>
      <c r="AA851" s="37" t="str">
        <f t="shared" si="219"/>
        <v>Late</v>
      </c>
      <c r="AB851" s="37" t="str">
        <f t="shared" si="222"/>
        <v>1</v>
      </c>
      <c r="AC851" s="37">
        <f t="shared" si="223"/>
        <v>1</v>
      </c>
      <c r="AD851" s="45">
        <f t="shared" si="221"/>
        <v>0.516129032258065</v>
      </c>
      <c r="AE851" s="46">
        <v>2</v>
      </c>
      <c r="AF851" s="46" t="s">
        <v>191</v>
      </c>
      <c r="AG851" s="37" t="str">
        <f t="shared" si="220"/>
        <v>no</v>
      </c>
      <c r="AH851" s="37" t="str">
        <f t="array" ref="AH851">_xlfn.IFS(LOWER(AG851)="n","no",LOWER(AG851)="y","yes",TRUE,LOWER(AG851))</f>
        <v>no</v>
      </c>
      <c r="AI851" s="46" t="s">
        <v>4692</v>
      </c>
    </row>
    <row r="852" spans="1:35">
      <c r="A852" s="37" t="s">
        <v>3051</v>
      </c>
      <c r="B852" s="38">
        <v>45365</v>
      </c>
      <c r="C852" s="39">
        <f t="shared" si="208"/>
        <v>45365</v>
      </c>
      <c r="D852" s="40" t="s">
        <v>135</v>
      </c>
      <c r="E852" s="37" t="str" cm="1">
        <f t="array" ref="E852">_xlfn.IFS(D852="delhi","north",D852="mumbai","west",D852="bengaluru","south",D852="chennai","south",D852="kolkata","east",TRUE,"west")</f>
        <v>west</v>
      </c>
      <c r="F852" s="37" t="s">
        <v>156</v>
      </c>
      <c r="G852" s="37" t="str">
        <f t="shared" si="209"/>
        <v>xpressbees</v>
      </c>
      <c r="H852" s="37" t="s">
        <v>137</v>
      </c>
      <c r="I852" s="37" t="str">
        <f t="shared" si="210"/>
        <v>road</v>
      </c>
      <c r="J852" s="37" t="s">
        <v>47</v>
      </c>
      <c r="K852" s="37" t="str">
        <f t="shared" si="211"/>
        <v>electronics</v>
      </c>
      <c r="L852" s="37" t="s">
        <v>380</v>
      </c>
      <c r="M852" s="37" t="str">
        <f t="shared" si="212"/>
        <v>east</v>
      </c>
      <c r="N852" s="37" t="s">
        <v>126</v>
      </c>
      <c r="O852" s="41" t="str">
        <f t="shared" si="213"/>
        <v>Yes</v>
      </c>
      <c r="P852" s="41">
        <v>9.6</v>
      </c>
      <c r="Q852" s="41">
        <v>293</v>
      </c>
      <c r="R852" s="42">
        <f t="shared" si="214"/>
        <v>30.5208333333333</v>
      </c>
      <c r="S852" s="37">
        <v>8</v>
      </c>
      <c r="T852" s="37" t="s">
        <v>609</v>
      </c>
      <c r="U852" s="43" t="str">
        <f t="shared" si="215"/>
        <v>2024-03-26</v>
      </c>
      <c r="V852" s="43">
        <f t="shared" si="216"/>
        <v>45377</v>
      </c>
      <c r="W852" s="44">
        <f t="array" ref="W852">_xlfn.IFS(TRIM(C852)="","",TRIM(V852)="","",TRUE,V852-C852)</f>
        <v>12</v>
      </c>
      <c r="X852" s="37">
        <f t="shared" si="217"/>
        <v>4</v>
      </c>
      <c r="Y852" s="37" t="s">
        <v>200</v>
      </c>
      <c r="Z852" s="37" t="str">
        <f t="shared" si="218"/>
        <v>delayed</v>
      </c>
      <c r="AA852" s="37" t="str">
        <f t="shared" si="219"/>
        <v>Late</v>
      </c>
      <c r="AB852" s="37" t="str">
        <f t="shared" si="222"/>
        <v>1</v>
      </c>
      <c r="AC852" s="37">
        <f t="shared" si="223"/>
        <v>1</v>
      </c>
      <c r="AD852" s="45">
        <f t="shared" si="221"/>
        <v>0.515477792732167</v>
      </c>
      <c r="AE852" s="37">
        <v>3</v>
      </c>
      <c r="AF852" s="37" t="s">
        <v>131</v>
      </c>
      <c r="AG852" s="37" t="str">
        <f t="shared" si="220"/>
        <v>n</v>
      </c>
      <c r="AH852" s="37" t="str">
        <f t="array" ref="AH852">_xlfn.IFS(LOWER(AG852)="n","no",LOWER(AG852)="y","yes",TRUE,LOWER(AG852))</f>
        <v>no</v>
      </c>
      <c r="AI852" s="37" t="s">
        <v>4692</v>
      </c>
    </row>
    <row r="853" spans="1:35">
      <c r="A853" s="46" t="s">
        <v>3053</v>
      </c>
      <c r="B853" s="47" t="s">
        <v>4823</v>
      </c>
      <c r="C853" s="39">
        <f t="shared" si="208"/>
        <v>45370</v>
      </c>
      <c r="D853" s="48" t="s">
        <v>4694</v>
      </c>
      <c r="E853" s="37" t="str" cm="1">
        <f t="array" ref="E853">_xlfn.IFS(D853="delhi","north",D853="mumbai","west",D853="bengaluru","south",D853="chennai","south",D853="kolkata","east",TRUE,"west")</f>
        <v>west</v>
      </c>
      <c r="F853" s="46" t="s">
        <v>919</v>
      </c>
      <c r="G853" s="37" t="str">
        <f t="shared" si="209"/>
        <v>xpressbees</v>
      </c>
      <c r="H853" s="46" t="s">
        <v>185</v>
      </c>
      <c r="I853" s="37" t="str">
        <f t="shared" si="210"/>
        <v>surface</v>
      </c>
      <c r="J853" s="46" t="s">
        <v>582</v>
      </c>
      <c r="K853" s="37" t="str">
        <f t="shared" si="211"/>
        <v>grocery&amp;fmcg</v>
      </c>
      <c r="L853" s="46" t="s">
        <v>380</v>
      </c>
      <c r="M853" s="37" t="str">
        <f t="shared" si="212"/>
        <v>east</v>
      </c>
      <c r="N853" s="46" t="s">
        <v>91</v>
      </c>
      <c r="O853" s="41" t="str">
        <f t="shared" si="213"/>
        <v>Yes</v>
      </c>
      <c r="P853" s="49">
        <v>13.8</v>
      </c>
      <c r="Q853" s="49" t="s">
        <v>3054</v>
      </c>
      <c r="R853" s="42">
        <f t="shared" si="214"/>
        <v>34.1304347826087</v>
      </c>
      <c r="S853" s="46">
        <v>6</v>
      </c>
      <c r="T853" s="46" t="s">
        <v>1424</v>
      </c>
      <c r="U853" s="43" t="str">
        <f t="shared" si="215"/>
        <v>24-mar-2024</v>
      </c>
      <c r="V853" s="43">
        <f t="shared" si="216"/>
        <v>45375</v>
      </c>
      <c r="W853" s="44">
        <f t="array" ref="W853">_xlfn.IFS(TRIM(C853)="","",TRIM(V853)="","",TRUE,V853-C853)</f>
        <v>5</v>
      </c>
      <c r="X853" s="37">
        <f t="shared" si="217"/>
        <v>-1</v>
      </c>
      <c r="Y853" s="46" t="s">
        <v>219</v>
      </c>
      <c r="Z853" s="37" t="str">
        <f t="shared" si="218"/>
        <v>delivered</v>
      </c>
      <c r="AA853" s="37" t="str">
        <f t="shared" si="219"/>
        <v>On Time</v>
      </c>
      <c r="AB853" s="37" t="str">
        <f t="shared" si="222"/>
        <v>0</v>
      </c>
      <c r="AC853" s="37">
        <f t="shared" si="223"/>
        <v>0</v>
      </c>
      <c r="AD853" s="45">
        <f t="shared" si="221"/>
        <v>0.514824797843666</v>
      </c>
      <c r="AE853" s="46">
        <v>5</v>
      </c>
      <c r="AF853" s="46" t="s">
        <v>118</v>
      </c>
      <c r="AG853" s="37" t="str">
        <f t="shared" si="220"/>
        <v>no</v>
      </c>
      <c r="AH853" s="37" t="str">
        <f t="array" ref="AH853">_xlfn.IFS(LOWER(AG853)="n","no",LOWER(AG853)="y","yes",TRUE,LOWER(AG853))</f>
        <v>no</v>
      </c>
      <c r="AI853" s="46" t="s">
        <v>4692</v>
      </c>
    </row>
    <row r="854" spans="1:35">
      <c r="A854" s="37" t="s">
        <v>3055</v>
      </c>
      <c r="B854" s="38" t="s">
        <v>4757</v>
      </c>
      <c r="C854" s="39">
        <f t="shared" si="208"/>
        <v>45317</v>
      </c>
      <c r="D854" s="40" t="s">
        <v>135</v>
      </c>
      <c r="E854" s="37" t="str" cm="1">
        <f t="array" ref="E854">_xlfn.IFS(D854="delhi","north",D854="mumbai","west",D854="bengaluru","south",D854="chennai","south",D854="kolkata","east",TRUE,"west")</f>
        <v>west</v>
      </c>
      <c r="F854" s="37" t="s">
        <v>204</v>
      </c>
      <c r="G854" s="37" t="str">
        <f t="shared" si="209"/>
        <v>delhivery</v>
      </c>
      <c r="H854" s="37" t="s">
        <v>157</v>
      </c>
      <c r="I854" s="37" t="str">
        <f t="shared" si="210"/>
        <v>surface</v>
      </c>
      <c r="J854" s="37" t="s">
        <v>1014</v>
      </c>
      <c r="K854" s="37" t="str">
        <f t="shared" si="211"/>
        <v>pharma</v>
      </c>
      <c r="L854" s="37" t="s">
        <v>92</v>
      </c>
      <c r="M854" s="37" t="str">
        <f t="shared" si="212"/>
        <v>east</v>
      </c>
      <c r="N854" s="37" t="s">
        <v>294</v>
      </c>
      <c r="O854" s="41" t="str">
        <f t="shared" si="213"/>
        <v>Yes</v>
      </c>
      <c r="P854" s="41" t="s">
        <v>3056</v>
      </c>
      <c r="Q854" s="41">
        <v>177</v>
      </c>
      <c r="R854" s="42">
        <f t="shared" si="214"/>
        <v>76.9565217391304</v>
      </c>
      <c r="S854" s="37">
        <v>6</v>
      </c>
      <c r="T854" s="37" t="s">
        <v>1415</v>
      </c>
      <c r="U854" s="43" t="str">
        <f t="shared" si="215"/>
        <v>02/02/2024</v>
      </c>
      <c r="V854" s="43">
        <f t="shared" si="216"/>
        <v>45324</v>
      </c>
      <c r="W854" s="44">
        <f t="array" ref="W854">_xlfn.IFS(TRIM(C854)="","",TRIM(V854)="","",TRUE,V854-C854)</f>
        <v>7</v>
      </c>
      <c r="X854" s="37">
        <f t="shared" si="217"/>
        <v>1</v>
      </c>
      <c r="Y854" s="37" t="s">
        <v>72</v>
      </c>
      <c r="Z854" s="37" t="str">
        <f t="shared" si="218"/>
        <v>delayed</v>
      </c>
      <c r="AA854" s="37" t="str">
        <f t="shared" si="219"/>
        <v>Late</v>
      </c>
      <c r="AB854" s="37" t="str">
        <f t="shared" si="222"/>
        <v>1</v>
      </c>
      <c r="AC854" s="37">
        <f t="shared" si="223"/>
        <v>1</v>
      </c>
      <c r="AD854" s="45">
        <f t="shared" si="221"/>
        <v>0.515519568151147</v>
      </c>
      <c r="AE854" s="37">
        <v>5</v>
      </c>
      <c r="AF854" s="37" t="s">
        <v>181</v>
      </c>
      <c r="AG854" s="37" t="str">
        <f t="shared" si="220"/>
        <v>y</v>
      </c>
      <c r="AH854" s="37" t="str">
        <f t="array" ref="AH854">_xlfn.IFS(LOWER(AG854)="n","no",LOWER(AG854)="y","yes",TRUE,LOWER(AG854))</f>
        <v>yes</v>
      </c>
      <c r="AI854" s="37" t="s">
        <v>4692</v>
      </c>
    </row>
    <row r="855" spans="1:35">
      <c r="A855" s="46" t="s">
        <v>3057</v>
      </c>
      <c r="B855" s="47">
        <v>45432</v>
      </c>
      <c r="C855" s="39">
        <f t="shared" si="208"/>
        <v>45432</v>
      </c>
      <c r="D855" s="48" t="s">
        <v>109</v>
      </c>
      <c r="E855" s="37" t="str" cm="1">
        <f t="array" ref="E855">_xlfn.IFS(D855="delhi","north",D855="mumbai","west",D855="bengaluru","south",D855="chennai","south",D855="kolkata","east",TRUE,"west")</f>
        <v>west</v>
      </c>
      <c r="F855" s="46" t="s">
        <v>98</v>
      </c>
      <c r="G855" s="37" t="str">
        <f t="shared" si="209"/>
        <v>dtdc</v>
      </c>
      <c r="H855" s="46" t="s">
        <v>244</v>
      </c>
      <c r="I855" s="37" t="str">
        <f t="shared" si="210"/>
        <v>air</v>
      </c>
      <c r="J855" s="46" t="s">
        <v>313</v>
      </c>
      <c r="K855" s="37" t="str">
        <f t="shared" si="211"/>
        <v>automotiveparts</v>
      </c>
      <c r="L855" s="46" t="s">
        <v>380</v>
      </c>
      <c r="M855" s="37" t="str">
        <f t="shared" si="212"/>
        <v>east</v>
      </c>
      <c r="N855" s="46" t="s">
        <v>294</v>
      </c>
      <c r="O855" s="41" t="str">
        <f t="shared" si="213"/>
        <v>Yes</v>
      </c>
      <c r="P855" s="49">
        <v>30.4</v>
      </c>
      <c r="Q855" s="49">
        <v>1552</v>
      </c>
      <c r="R855" s="42">
        <f t="shared" si="214"/>
        <v>51.0526315789474</v>
      </c>
      <c r="S855" s="46">
        <v>4</v>
      </c>
      <c r="T855" s="46" t="s">
        <v>1105</v>
      </c>
      <c r="U855" s="43" t="str">
        <f t="shared" si="215"/>
        <v>25-may-2024</v>
      </c>
      <c r="V855" s="43">
        <f t="shared" si="216"/>
        <v>45437</v>
      </c>
      <c r="W855" s="44">
        <f t="array" ref="W855">_xlfn.IFS(TRIM(C855)="","",TRIM(V855)="","",TRUE,V855-C855)</f>
        <v>5</v>
      </c>
      <c r="X855" s="37">
        <f t="shared" si="217"/>
        <v>1</v>
      </c>
      <c r="Y855" s="46" t="s">
        <v>143</v>
      </c>
      <c r="Z855" s="37" t="str">
        <f t="shared" si="218"/>
        <v>delayed</v>
      </c>
      <c r="AA855" s="37" t="str">
        <f t="shared" si="219"/>
        <v>Late</v>
      </c>
      <c r="AB855" s="37" t="str">
        <f t="shared" si="222"/>
        <v>1</v>
      </c>
      <c r="AC855" s="37">
        <f t="shared" si="223"/>
        <v>1</v>
      </c>
      <c r="AD855" s="45">
        <f t="shared" si="221"/>
        <v>0.514864864864865</v>
      </c>
      <c r="AE855" s="46">
        <v>4</v>
      </c>
      <c r="AF855" s="46" t="s">
        <v>131</v>
      </c>
      <c r="AG855" s="37" t="str">
        <f t="shared" si="220"/>
        <v>n</v>
      </c>
      <c r="AH855" s="37" t="str">
        <f t="array" ref="AH855">_xlfn.IFS(LOWER(AG855)="n","no",LOWER(AG855)="y","yes",TRUE,LOWER(AG855))</f>
        <v>no</v>
      </c>
      <c r="AI855" s="46" t="s">
        <v>4692</v>
      </c>
    </row>
    <row r="856" spans="1:35">
      <c r="A856" s="37" t="s">
        <v>3060</v>
      </c>
      <c r="B856" s="38">
        <v>45458</v>
      </c>
      <c r="C856" s="39">
        <f t="shared" si="208"/>
        <v>45458</v>
      </c>
      <c r="D856" s="40" t="s">
        <v>212</v>
      </c>
      <c r="E856" s="37" t="str" cm="1">
        <f t="array" ref="E856">_xlfn.IFS(D856="delhi","north",D856="mumbai","west",D856="bengaluru","south",D856="chennai","south",D856="kolkata","east",TRUE,"west")</f>
        <v>west</v>
      </c>
      <c r="F856" s="37" t="s">
        <v>194</v>
      </c>
      <c r="G856" s="37" t="str">
        <f t="shared" si="209"/>
        <v>xpressbees</v>
      </c>
      <c r="H856" s="37" t="s">
        <v>147</v>
      </c>
      <c r="I856" s="37" t="str">
        <f t="shared" si="210"/>
        <v>road</v>
      </c>
      <c r="J856" s="37" t="s">
        <v>47</v>
      </c>
      <c r="K856" s="37" t="str">
        <f t="shared" si="211"/>
        <v>electronics</v>
      </c>
      <c r="L856" s="37" t="s">
        <v>112</v>
      </c>
      <c r="M856" s="37" t="str">
        <f t="shared" si="212"/>
        <v>north</v>
      </c>
      <c r="N856" s="37" t="s">
        <v>215</v>
      </c>
      <c r="O856" s="41" t="str">
        <f t="shared" si="213"/>
        <v>Yes</v>
      </c>
      <c r="P856" s="41">
        <v>8.7</v>
      </c>
      <c r="Q856" s="41">
        <v>274</v>
      </c>
      <c r="R856" s="42">
        <f t="shared" si="214"/>
        <v>31.4942528735632</v>
      </c>
      <c r="S856" s="37">
        <v>8</v>
      </c>
      <c r="T856" s="37" t="s">
        <v>654</v>
      </c>
      <c r="U856" s="43" t="str">
        <f t="shared" si="215"/>
        <v>24/06/2024</v>
      </c>
      <c r="V856" s="43">
        <f t="shared" si="216"/>
        <v>45467</v>
      </c>
      <c r="W856" s="44">
        <f t="array" ref="W856">_xlfn.IFS(TRIM(C856)="","",TRIM(V856)="","",TRUE,V856-C856)</f>
        <v>9</v>
      </c>
      <c r="X856" s="37">
        <f t="shared" si="217"/>
        <v>1</v>
      </c>
      <c r="Y856" s="37" t="s">
        <v>172</v>
      </c>
      <c r="Z856" s="37" t="str">
        <f t="shared" si="218"/>
        <v>delayed</v>
      </c>
      <c r="AA856" s="37" t="str">
        <f t="shared" si="219"/>
        <v>Late</v>
      </c>
      <c r="AB856" s="37" t="str">
        <f t="shared" si="222"/>
        <v>1</v>
      </c>
      <c r="AC856" s="37">
        <f t="shared" si="223"/>
        <v>1</v>
      </c>
      <c r="AD856" s="45">
        <f t="shared" si="221"/>
        <v>0.514208389715832</v>
      </c>
      <c r="AE856" s="37">
        <v>4</v>
      </c>
      <c r="AF856" s="37" t="s">
        <v>191</v>
      </c>
      <c r="AG856" s="37" t="str">
        <f t="shared" si="220"/>
        <v>no</v>
      </c>
      <c r="AH856" s="37" t="str">
        <f t="array" ref="AH856">_xlfn.IFS(LOWER(AG856)="n","no",LOWER(AG856)="y","yes",TRUE,LOWER(AG856))</f>
        <v>no</v>
      </c>
      <c r="AI856" s="37" t="s">
        <v>4692</v>
      </c>
    </row>
    <row r="857" spans="1:35">
      <c r="A857" s="46" t="s">
        <v>3063</v>
      </c>
      <c r="B857" s="47">
        <v>45431</v>
      </c>
      <c r="C857" s="39">
        <f t="shared" si="208"/>
        <v>45431</v>
      </c>
      <c r="D857" s="48" t="s">
        <v>4704</v>
      </c>
      <c r="E857" s="37" t="str" cm="1">
        <f t="array" ref="E857">_xlfn.IFS(D857="delhi","north",D857="mumbai","west",D857="bengaluru","south",D857="chennai","south",D857="kolkata","east",TRUE,"west")</f>
        <v>west</v>
      </c>
      <c r="F857" s="46" t="s">
        <v>312</v>
      </c>
      <c r="G857" s="37" t="str">
        <f t="shared" si="209"/>
        <v>bluedart</v>
      </c>
      <c r="H857" s="46" t="s">
        <v>185</v>
      </c>
      <c r="I857" s="37" t="str">
        <f t="shared" si="210"/>
        <v>surface</v>
      </c>
      <c r="J857" s="46" t="s">
        <v>100</v>
      </c>
      <c r="K857" s="37" t="str">
        <f t="shared" si="211"/>
        <v>electronics</v>
      </c>
      <c r="L857" s="46" t="s">
        <v>139</v>
      </c>
      <c r="M857" s="37" t="str">
        <f t="shared" si="212"/>
        <v>north</v>
      </c>
      <c r="N857" s="46" t="s">
        <v>32</v>
      </c>
      <c r="O857" s="41" t="str">
        <f t="shared" si="213"/>
        <v>Yes</v>
      </c>
      <c r="P857" s="49" t="s">
        <v>3064</v>
      </c>
      <c r="Q857" s="49">
        <v>514</v>
      </c>
      <c r="R857" s="42">
        <f t="shared" si="214"/>
        <v>35.2054794520548</v>
      </c>
      <c r="S857" s="46">
        <v>6</v>
      </c>
      <c r="T857" s="46" t="s">
        <v>1105</v>
      </c>
      <c r="U857" s="43" t="str">
        <f t="shared" si="215"/>
        <v>25-may-2024</v>
      </c>
      <c r="V857" s="43">
        <f t="shared" si="216"/>
        <v>45437</v>
      </c>
      <c r="W857" s="44">
        <f t="array" ref="W857">_xlfn.IFS(TRIM(C857)="","",TRIM(V857)="","",TRUE,V857-C857)</f>
        <v>6</v>
      </c>
      <c r="X857" s="37">
        <f t="shared" si="217"/>
        <v>0</v>
      </c>
      <c r="Y857" s="46" t="s">
        <v>117</v>
      </c>
      <c r="Z857" s="37" t="str">
        <f t="shared" si="218"/>
        <v>delivered</v>
      </c>
      <c r="AA857" s="37" t="str">
        <f t="shared" si="219"/>
        <v>On Time</v>
      </c>
      <c r="AB857" s="37" t="str">
        <f t="shared" si="222"/>
        <v>0</v>
      </c>
      <c r="AC857" s="37">
        <f t="shared" si="223"/>
        <v>0</v>
      </c>
      <c r="AD857" s="45">
        <f t="shared" si="221"/>
        <v>0.513550135501355</v>
      </c>
      <c r="AE857" s="46">
        <v>4</v>
      </c>
      <c r="AF857" s="46" t="s">
        <v>131</v>
      </c>
      <c r="AG857" s="37" t="str">
        <f t="shared" si="220"/>
        <v>n</v>
      </c>
      <c r="AH857" s="37" t="str">
        <f t="array" ref="AH857">_xlfn.IFS(LOWER(AG857)="n","no",LOWER(AG857)="y","yes",TRUE,LOWER(AG857))</f>
        <v>no</v>
      </c>
      <c r="AI857" s="46" t="s">
        <v>4692</v>
      </c>
    </row>
    <row r="858" spans="1:35">
      <c r="A858" s="37" t="s">
        <v>3065</v>
      </c>
      <c r="B858" s="38" t="s">
        <v>4832</v>
      </c>
      <c r="C858" s="39">
        <f t="shared" si="208"/>
        <v>45330</v>
      </c>
      <c r="D858" s="40" t="s">
        <v>300</v>
      </c>
      <c r="E858" s="37" t="str" cm="1">
        <f t="array" ref="E858">_xlfn.IFS(D858="delhi","north",D858="mumbai","west",D858="bengaluru","south",D858="chennai","south",D858="kolkata","east",TRUE,"west")</f>
        <v>west</v>
      </c>
      <c r="F858" s="37" t="s">
        <v>270</v>
      </c>
      <c r="G858" s="37" t="str">
        <f t="shared" si="209"/>
        <v>ecomexpress</v>
      </c>
      <c r="H858" s="37" t="s">
        <v>224</v>
      </c>
      <c r="I858" s="37" t="str">
        <f t="shared" si="210"/>
        <v>air</v>
      </c>
      <c r="J858" s="37" t="s">
        <v>111</v>
      </c>
      <c r="K858" s="37" t="str">
        <f t="shared" si="211"/>
        <v>grocery&amp;fmcg</v>
      </c>
      <c r="L858" s="37" t="s">
        <v>92</v>
      </c>
      <c r="M858" s="37" t="str">
        <f t="shared" si="212"/>
        <v>east</v>
      </c>
      <c r="N858" s="37" t="s">
        <v>91</v>
      </c>
      <c r="O858" s="41" t="str">
        <f t="shared" si="213"/>
        <v>Yes</v>
      </c>
      <c r="P858" s="41">
        <v>17.2</v>
      </c>
      <c r="Q858" s="41">
        <v>954</v>
      </c>
      <c r="R858" s="42">
        <f t="shared" si="214"/>
        <v>55.4651162790698</v>
      </c>
      <c r="S858" s="37">
        <v>4</v>
      </c>
      <c r="T858" s="37" t="s">
        <v>2388</v>
      </c>
      <c r="U858" s="43" t="str">
        <f t="shared" si="215"/>
        <v>2024-02-12</v>
      </c>
      <c r="V858" s="43">
        <f t="shared" si="216"/>
        <v>45334</v>
      </c>
      <c r="W858" s="44">
        <f t="array" ref="W858">_xlfn.IFS(TRIM(C858)="","",TRIM(V858)="","",TRUE,V858-C858)</f>
        <v>4</v>
      </c>
      <c r="X858" s="37">
        <f t="shared" si="217"/>
        <v>0</v>
      </c>
      <c r="Y858" s="37" t="s">
        <v>117</v>
      </c>
      <c r="Z858" s="37" t="str">
        <f t="shared" si="218"/>
        <v>delivered</v>
      </c>
      <c r="AA858" s="37" t="str">
        <f t="shared" si="219"/>
        <v>On Time</v>
      </c>
      <c r="AB858" s="37" t="str">
        <f t="shared" si="222"/>
        <v>0</v>
      </c>
      <c r="AC858" s="37">
        <f t="shared" si="223"/>
        <v>0</v>
      </c>
      <c r="AD858" s="45">
        <f t="shared" si="221"/>
        <v>0.514246947082768</v>
      </c>
      <c r="AE858" s="37">
        <v>5</v>
      </c>
      <c r="AF858" s="37" t="s">
        <v>181</v>
      </c>
      <c r="AG858" s="37" t="str">
        <f t="shared" si="220"/>
        <v>y</v>
      </c>
      <c r="AH858" s="37" t="str">
        <f t="array" ref="AH858">_xlfn.IFS(LOWER(AG858)="n","no",LOWER(AG858)="y","yes",TRUE,LOWER(AG858))</f>
        <v>yes</v>
      </c>
      <c r="AI858" s="37" t="s">
        <v>4692</v>
      </c>
    </row>
    <row r="859" spans="1:35">
      <c r="A859" s="46" t="s">
        <v>3068</v>
      </c>
      <c r="B859" s="47">
        <v>45358</v>
      </c>
      <c r="C859" s="39">
        <f t="shared" si="208"/>
        <v>45358</v>
      </c>
      <c r="D859" s="48" t="s">
        <v>243</v>
      </c>
      <c r="E859" s="37" t="str" cm="1">
        <f t="array" ref="E859">_xlfn.IFS(D859="delhi","north",D859="mumbai","west",D859="bengaluru","south",D859="chennai","south",D859="kolkata","east",TRUE,"west")</f>
        <v>west</v>
      </c>
      <c r="F859" s="46" t="s">
        <v>194</v>
      </c>
      <c r="G859" s="37" t="str">
        <f t="shared" si="209"/>
        <v>xpressbees</v>
      </c>
      <c r="H859" s="46" t="s">
        <v>157</v>
      </c>
      <c r="I859" s="37" t="str">
        <f t="shared" si="210"/>
        <v>surface</v>
      </c>
      <c r="J859" s="46" t="s">
        <v>237</v>
      </c>
      <c r="K859" s="37" t="str">
        <f t="shared" si="211"/>
        <v>automotiveparts</v>
      </c>
      <c r="L859" s="46" t="s">
        <v>346</v>
      </c>
      <c r="M859" s="37" t="str">
        <f t="shared" si="212"/>
        <v>north</v>
      </c>
      <c r="N859" s="46" t="s">
        <v>113</v>
      </c>
      <c r="O859" s="41" t="str">
        <f t="shared" si="213"/>
        <v>Yes</v>
      </c>
      <c r="P859" s="49" t="s">
        <v>3069</v>
      </c>
      <c r="Q859" s="49" t="s">
        <v>3070</v>
      </c>
      <c r="R859" s="42">
        <f t="shared" si="214"/>
        <v>25.3315649867374</v>
      </c>
      <c r="S859" s="46">
        <v>6</v>
      </c>
      <c r="T859" s="46" t="s">
        <v>165</v>
      </c>
      <c r="U859" s="43" t="str">
        <f t="shared" si="215"/>
        <v>14-mar-2024</v>
      </c>
      <c r="V859" s="43">
        <f t="shared" si="216"/>
        <v>45365</v>
      </c>
      <c r="W859" s="44">
        <f t="array" ref="W859">_xlfn.IFS(TRIM(C859)="","",TRIM(V859)="","",TRUE,V859-C859)</f>
        <v>7</v>
      </c>
      <c r="X859" s="37">
        <f t="shared" si="217"/>
        <v>1</v>
      </c>
      <c r="Y859" s="46" t="s">
        <v>72</v>
      </c>
      <c r="Z859" s="37" t="str">
        <f t="shared" si="218"/>
        <v>delayed</v>
      </c>
      <c r="AA859" s="37" t="str">
        <f t="shared" si="219"/>
        <v>Late</v>
      </c>
      <c r="AB859" s="37" t="str">
        <f t="shared" si="222"/>
        <v>1</v>
      </c>
      <c r="AC859" s="37">
        <f t="shared" si="223"/>
        <v>1</v>
      </c>
      <c r="AD859" s="45">
        <f t="shared" si="221"/>
        <v>0.514945652173913</v>
      </c>
      <c r="AE859" s="46">
        <v>2</v>
      </c>
      <c r="AF859" s="46" t="s">
        <v>191</v>
      </c>
      <c r="AG859" s="37" t="str">
        <f t="shared" si="220"/>
        <v>no</v>
      </c>
      <c r="AH859" s="37" t="str">
        <f t="array" ref="AH859">_xlfn.IFS(LOWER(AG859)="n","no",LOWER(AG859)="y","yes",TRUE,LOWER(AG859))</f>
        <v>no</v>
      </c>
      <c r="AI859" s="46" t="s">
        <v>4692</v>
      </c>
    </row>
    <row r="860" spans="1:35">
      <c r="A860" s="37" t="s">
        <v>3071</v>
      </c>
      <c r="B860" s="38" t="s">
        <v>4788</v>
      </c>
      <c r="C860" s="39">
        <f t="shared" si="208"/>
        <v>45387</v>
      </c>
      <c r="D860" s="40" t="s">
        <v>109</v>
      </c>
      <c r="E860" s="37" t="str" cm="1">
        <f t="array" ref="E860">_xlfn.IFS(D860="delhi","north",D860="mumbai","west",D860="bengaluru","south",D860="chennai","south",D860="kolkata","east",TRUE,"west")</f>
        <v>west</v>
      </c>
      <c r="F860" s="37" t="s">
        <v>230</v>
      </c>
      <c r="G860" s="37" t="str">
        <f t="shared" si="209"/>
        <v>dtdc</v>
      </c>
      <c r="H860" s="37" t="s">
        <v>440</v>
      </c>
      <c r="I860" s="37" t="str">
        <f t="shared" si="210"/>
        <v>road</v>
      </c>
      <c r="J860" s="37" t="s">
        <v>186</v>
      </c>
      <c r="K860" s="37" t="str">
        <f t="shared" si="211"/>
        <v>automotiveparts</v>
      </c>
      <c r="L860" s="37" t="s">
        <v>380</v>
      </c>
      <c r="M860" s="37" t="str">
        <f t="shared" si="212"/>
        <v>east</v>
      </c>
      <c r="N860" s="37" t="s">
        <v>126</v>
      </c>
      <c r="O860" s="41" t="str">
        <f t="shared" si="213"/>
        <v>Yes</v>
      </c>
      <c r="P860" s="41">
        <v>25.5</v>
      </c>
      <c r="Q860" s="41" t="s">
        <v>3073</v>
      </c>
      <c r="R860" s="42">
        <f t="shared" si="214"/>
        <v>21.2156862745098</v>
      </c>
      <c r="S860" s="37">
        <v>8</v>
      </c>
      <c r="T860" s="37" t="s">
        <v>623</v>
      </c>
      <c r="U860" s="43" t="str">
        <f t="shared" si="215"/>
        <v>13/04/2024</v>
      </c>
      <c r="V860" s="43">
        <f t="shared" si="216"/>
        <v>45395</v>
      </c>
      <c r="W860" s="44">
        <f t="array" ref="W860">_xlfn.IFS(TRIM(C860)="","",TRIM(V860)="","",TRUE,V860-C860)</f>
        <v>8</v>
      </c>
      <c r="X860" s="37">
        <f t="shared" si="217"/>
        <v>0</v>
      </c>
      <c r="Y860" s="37" t="s">
        <v>163</v>
      </c>
      <c r="Z860" s="37" t="str">
        <f t="shared" si="218"/>
        <v>delivered</v>
      </c>
      <c r="AA860" s="37" t="str">
        <f t="shared" si="219"/>
        <v>On Time</v>
      </c>
      <c r="AB860" s="37" t="str">
        <f t="shared" si="222"/>
        <v>0</v>
      </c>
      <c r="AC860" s="37">
        <f t="shared" si="223"/>
        <v>0</v>
      </c>
      <c r="AD860" s="45">
        <f t="shared" si="221"/>
        <v>0.514285714285714</v>
      </c>
      <c r="AE860" s="37">
        <v>4</v>
      </c>
      <c r="AF860" s="37" t="s">
        <v>131</v>
      </c>
      <c r="AG860" s="37" t="str">
        <f t="shared" si="220"/>
        <v>n</v>
      </c>
      <c r="AH860" s="37" t="str">
        <f t="array" ref="AH860">_xlfn.IFS(LOWER(AG860)="n","no",LOWER(AG860)="y","yes",TRUE,LOWER(AG860))</f>
        <v>no</v>
      </c>
      <c r="AI860" s="37" t="s">
        <v>4692</v>
      </c>
    </row>
    <row r="861" spans="1:35">
      <c r="A861" s="46" t="s">
        <v>3074</v>
      </c>
      <c r="B861" s="47" t="s">
        <v>4780</v>
      </c>
      <c r="C861" s="39">
        <f t="shared" si="208"/>
        <v>45399</v>
      </c>
      <c r="D861" s="48" t="s">
        <v>109</v>
      </c>
      <c r="E861" s="37" t="str" cm="1">
        <f t="array" ref="E861">_xlfn.IFS(D861="delhi","north",D861="mumbai","west",D861="bengaluru","south",D861="chennai","south",D861="kolkata","east",TRUE,"west")</f>
        <v>west</v>
      </c>
      <c r="F861" s="46" t="s">
        <v>136</v>
      </c>
      <c r="G861" s="37" t="str">
        <f t="shared" si="209"/>
        <v>bluedart</v>
      </c>
      <c r="H861" s="46" t="s">
        <v>440</v>
      </c>
      <c r="I861" s="37" t="str">
        <f t="shared" si="210"/>
        <v>road</v>
      </c>
      <c r="J861" s="46" t="s">
        <v>582</v>
      </c>
      <c r="K861" s="37" t="str">
        <f t="shared" si="211"/>
        <v>grocery&amp;fmcg</v>
      </c>
      <c r="L861" s="46" t="s">
        <v>470</v>
      </c>
      <c r="M861" s="37" t="str">
        <f t="shared" si="212"/>
        <v>east</v>
      </c>
      <c r="N861" s="46" t="s">
        <v>91</v>
      </c>
      <c r="O861" s="41" t="str">
        <f t="shared" si="213"/>
        <v>Yes</v>
      </c>
      <c r="P861" s="49">
        <v>8.9</v>
      </c>
      <c r="Q861" s="49">
        <v>291</v>
      </c>
      <c r="R861" s="42">
        <f t="shared" si="214"/>
        <v>32.6966292134831</v>
      </c>
      <c r="S861" s="46">
        <v>8</v>
      </c>
      <c r="T861" s="46" t="s">
        <v>712</v>
      </c>
      <c r="U861" s="43" t="str">
        <f t="shared" si="215"/>
        <v>26-apr-2024</v>
      </c>
      <c r="V861" s="43">
        <f t="shared" si="216"/>
        <v>45408</v>
      </c>
      <c r="W861" s="44">
        <f t="array" ref="W861">_xlfn.IFS(TRIM(C861)="","",TRIM(V861)="","",TRUE,V861-C861)</f>
        <v>9</v>
      </c>
      <c r="X861" s="37">
        <f t="shared" si="217"/>
        <v>1</v>
      </c>
      <c r="Y861" s="46" t="s">
        <v>200</v>
      </c>
      <c r="Z861" s="37" t="str">
        <f t="shared" si="218"/>
        <v>delayed</v>
      </c>
      <c r="AA861" s="37" t="str">
        <f t="shared" si="219"/>
        <v>Late</v>
      </c>
      <c r="AB861" s="37" t="str">
        <f t="shared" si="222"/>
        <v>1</v>
      </c>
      <c r="AC861" s="37">
        <f t="shared" si="223"/>
        <v>1</v>
      </c>
      <c r="AD861" s="45">
        <f t="shared" si="221"/>
        <v>0.514986376021798</v>
      </c>
      <c r="AE861" s="46">
        <v>1</v>
      </c>
      <c r="AF861" s="46" t="s">
        <v>181</v>
      </c>
      <c r="AG861" s="37" t="str">
        <f t="shared" si="220"/>
        <v>y</v>
      </c>
      <c r="AH861" s="37" t="str">
        <f t="array" ref="AH861">_xlfn.IFS(LOWER(AG861)="n","no",LOWER(AG861)="y","yes",TRUE,LOWER(AG861))</f>
        <v>yes</v>
      </c>
      <c r="AI861" s="46" t="s">
        <v>4692</v>
      </c>
    </row>
    <row r="862" spans="1:35">
      <c r="A862" s="37" t="s">
        <v>3075</v>
      </c>
      <c r="B862" s="38">
        <v>45317</v>
      </c>
      <c r="C862" s="39">
        <f t="shared" si="208"/>
        <v>45317</v>
      </c>
      <c r="D862" s="40" t="s">
        <v>4705</v>
      </c>
      <c r="E862" s="37" t="str" cm="1">
        <f t="array" ref="E862">_xlfn.IFS(D862="delhi","north",D862="mumbai","west",D862="bengaluru","south",D862="chennai","south",D862="kolkata","east",TRUE,"west")</f>
        <v>west</v>
      </c>
      <c r="F862" s="37" t="s">
        <v>312</v>
      </c>
      <c r="G862" s="37" t="str">
        <f t="shared" si="209"/>
        <v>bluedart</v>
      </c>
      <c r="H862" s="37" t="s">
        <v>110</v>
      </c>
      <c r="I862" s="37" t="str">
        <f t="shared" si="210"/>
        <v>surface</v>
      </c>
      <c r="J862" s="37" t="s">
        <v>283</v>
      </c>
      <c r="K862" s="37" t="str">
        <f t="shared" si="211"/>
        <v>pharma</v>
      </c>
      <c r="L862" s="37" t="s">
        <v>197</v>
      </c>
      <c r="M862" s="37" t="str">
        <f t="shared" si="212"/>
        <v>south</v>
      </c>
      <c r="N862" s="37" t="s">
        <v>327</v>
      </c>
      <c r="O862" s="41" t="str">
        <f t="shared" si="213"/>
        <v>Yes</v>
      </c>
      <c r="P862" s="41" t="s">
        <v>2560</v>
      </c>
      <c r="Q862" s="41">
        <v>289</v>
      </c>
      <c r="R862" s="42">
        <f t="shared" si="214"/>
        <v>72.25</v>
      </c>
      <c r="S862" s="37">
        <v>6</v>
      </c>
      <c r="T862" s="37" t="s">
        <v>516</v>
      </c>
      <c r="U862" s="43" t="str">
        <f t="shared" si="215"/>
        <v>31/01/2024</v>
      </c>
      <c r="V862" s="43">
        <f t="shared" si="216"/>
        <v>45322</v>
      </c>
      <c r="W862" s="44">
        <f t="array" ref="W862">_xlfn.IFS(TRIM(C862)="","",TRIM(V862)="","",TRUE,V862-C862)</f>
        <v>5</v>
      </c>
      <c r="X862" s="37">
        <f t="shared" si="217"/>
        <v>-1</v>
      </c>
      <c r="Y862" s="37" t="s">
        <v>105</v>
      </c>
      <c r="Z862" s="37" t="str">
        <f t="shared" si="218"/>
        <v>delivered</v>
      </c>
      <c r="AA862" s="37" t="str">
        <f t="shared" si="219"/>
        <v>On Time</v>
      </c>
      <c r="AB862" s="37" t="str">
        <f t="shared" si="222"/>
        <v>0</v>
      </c>
      <c r="AC862" s="37">
        <f t="shared" si="223"/>
        <v>0</v>
      </c>
      <c r="AD862" s="45">
        <f t="shared" si="221"/>
        <v>0.514324693042292</v>
      </c>
      <c r="AE862" s="37">
        <v>4</v>
      </c>
      <c r="AF862" s="37" t="s">
        <v>118</v>
      </c>
      <c r="AG862" s="37" t="str">
        <f t="shared" si="220"/>
        <v>no</v>
      </c>
      <c r="AH862" s="37" t="str">
        <f t="array" ref="AH862">_xlfn.IFS(LOWER(AG862)="n","no",LOWER(AG862)="y","yes",TRUE,LOWER(AG862))</f>
        <v>no</v>
      </c>
      <c r="AI862" s="37" t="s">
        <v>4692</v>
      </c>
    </row>
    <row r="863" spans="1:35">
      <c r="A863" s="46" t="s">
        <v>3077</v>
      </c>
      <c r="B863" s="47">
        <v>45435</v>
      </c>
      <c r="C863" s="39">
        <f t="shared" si="208"/>
        <v>45435</v>
      </c>
      <c r="D863" s="48" t="s">
        <v>212</v>
      </c>
      <c r="E863" s="37" t="str" cm="1">
        <f t="array" ref="E863">_xlfn.IFS(D863="delhi","north",D863="mumbai","west",D863="bengaluru","south",D863="chennai","south",D863="kolkata","east",TRUE,"west")</f>
        <v>west</v>
      </c>
      <c r="F863" s="46" t="s">
        <v>919</v>
      </c>
      <c r="G863" s="37" t="str">
        <f t="shared" si="209"/>
        <v>xpressbees</v>
      </c>
      <c r="H863" s="46" t="s">
        <v>157</v>
      </c>
      <c r="I863" s="37" t="str">
        <f t="shared" si="210"/>
        <v>surface</v>
      </c>
      <c r="J863" s="46" t="s">
        <v>47</v>
      </c>
      <c r="K863" s="37" t="str">
        <f t="shared" si="211"/>
        <v>electronics</v>
      </c>
      <c r="L863" s="46" t="s">
        <v>101</v>
      </c>
      <c r="M863" s="37" t="str">
        <f t="shared" si="212"/>
        <v>west</v>
      </c>
      <c r="N863" s="46" t="s">
        <v>88</v>
      </c>
      <c r="O863" s="41" t="str">
        <f t="shared" si="213"/>
        <v>Yes</v>
      </c>
      <c r="P863" s="49">
        <v>6.7</v>
      </c>
      <c r="Q863" s="49">
        <v>122</v>
      </c>
      <c r="R863" s="42">
        <f t="shared" si="214"/>
        <v>18.2089552238806</v>
      </c>
      <c r="S863" s="46">
        <v>4</v>
      </c>
      <c r="T863" s="46" t="s">
        <v>1015</v>
      </c>
      <c r="U863" s="43" t="str">
        <f t="shared" si="215"/>
        <v>28/05/2024</v>
      </c>
      <c r="V863" s="43">
        <f t="shared" si="216"/>
        <v>45440</v>
      </c>
      <c r="W863" s="44">
        <f t="array" ref="W863">_xlfn.IFS(TRIM(C863)="","",TRIM(V863)="","",TRUE,V863-C863)</f>
        <v>5</v>
      </c>
      <c r="X863" s="37">
        <f t="shared" si="217"/>
        <v>1</v>
      </c>
      <c r="Y863" s="46" t="s">
        <v>72</v>
      </c>
      <c r="Z863" s="37" t="str">
        <f t="shared" si="218"/>
        <v>delayed</v>
      </c>
      <c r="AA863" s="37" t="str">
        <f t="shared" si="219"/>
        <v>Late</v>
      </c>
      <c r="AB863" s="37" t="str">
        <f t="shared" si="222"/>
        <v>1</v>
      </c>
      <c r="AC863" s="37">
        <f t="shared" si="223"/>
        <v>1</v>
      </c>
      <c r="AD863" s="45">
        <f t="shared" si="221"/>
        <v>0.515027322404372</v>
      </c>
      <c r="AE863" s="46">
        <v>4</v>
      </c>
      <c r="AF863" s="46" t="s">
        <v>181</v>
      </c>
      <c r="AG863" s="37" t="str">
        <f t="shared" si="220"/>
        <v>y</v>
      </c>
      <c r="AH863" s="37" t="str">
        <f t="array" ref="AH863">_xlfn.IFS(LOWER(AG863)="n","no",LOWER(AG863)="y","yes",TRUE,LOWER(AG863))</f>
        <v>yes</v>
      </c>
      <c r="AI863" s="46" t="s">
        <v>4692</v>
      </c>
    </row>
    <row r="864" spans="1:35">
      <c r="A864" s="37" t="s">
        <v>3079</v>
      </c>
      <c r="B864" s="38">
        <v>45314</v>
      </c>
      <c r="C864" s="39">
        <f t="shared" si="208"/>
        <v>45314</v>
      </c>
      <c r="D864" s="40" t="s">
        <v>109</v>
      </c>
      <c r="E864" s="37" t="str" cm="1">
        <f t="array" ref="E864">_xlfn.IFS(D864="delhi","north",D864="mumbai","west",D864="bengaluru","south",D864="chennai","south",D864="kolkata","east",TRUE,"west")</f>
        <v>west</v>
      </c>
      <c r="F864" s="37" t="s">
        <v>223</v>
      </c>
      <c r="G864" s="37" t="str">
        <f t="shared" si="209"/>
        <v>xpressbees</v>
      </c>
      <c r="H864" s="37" t="s">
        <v>185</v>
      </c>
      <c r="I864" s="37" t="str">
        <f t="shared" si="210"/>
        <v>surface</v>
      </c>
      <c r="J864" s="37" t="s">
        <v>277</v>
      </c>
      <c r="K864" s="37" t="str">
        <f t="shared" si="211"/>
        <v>apparel</v>
      </c>
      <c r="L864" s="37" t="s">
        <v>334</v>
      </c>
      <c r="M864" s="37" t="str">
        <f t="shared" si="212"/>
        <v>north</v>
      </c>
      <c r="N864" s="37" t="s">
        <v>354</v>
      </c>
      <c r="O864" s="41" t="str">
        <f t="shared" si="213"/>
        <v>Yes</v>
      </c>
      <c r="P864" s="41">
        <v>0.9</v>
      </c>
      <c r="Q864" s="41" t="s">
        <v>2896</v>
      </c>
      <c r="R864" s="42">
        <f t="shared" si="214"/>
        <v>218.888888888889</v>
      </c>
      <c r="S864" s="37">
        <v>6</v>
      </c>
      <c r="T864" s="37" t="s">
        <v>679</v>
      </c>
      <c r="U864" s="43" t="str">
        <f t="shared" si="215"/>
        <v>29/01/2024</v>
      </c>
      <c r="V864" s="43">
        <f t="shared" si="216"/>
        <v>45320</v>
      </c>
      <c r="W864" s="44">
        <f t="array" ref="W864">_xlfn.IFS(TRIM(C864)="","",TRIM(V864)="","",TRUE,V864-C864)</f>
        <v>6</v>
      </c>
      <c r="X864" s="37">
        <f t="shared" si="217"/>
        <v>0</v>
      </c>
      <c r="Y864" s="37" t="s">
        <v>105</v>
      </c>
      <c r="Z864" s="37" t="str">
        <f t="shared" si="218"/>
        <v>delivered</v>
      </c>
      <c r="AA864" s="37" t="str">
        <f t="shared" si="219"/>
        <v>On Time</v>
      </c>
      <c r="AB864" s="37" t="str">
        <f t="shared" si="222"/>
        <v>0</v>
      </c>
      <c r="AC864" s="37">
        <f t="shared" si="223"/>
        <v>0</v>
      </c>
      <c r="AD864" s="45">
        <f t="shared" si="221"/>
        <v>0.514363885088919</v>
      </c>
      <c r="AE864" s="37">
        <v>4</v>
      </c>
      <c r="AF864" s="37" t="s">
        <v>131</v>
      </c>
      <c r="AG864" s="37" t="str">
        <f t="shared" si="220"/>
        <v>n</v>
      </c>
      <c r="AH864" s="37" t="str">
        <f t="array" ref="AH864">_xlfn.IFS(LOWER(AG864)="n","no",LOWER(AG864)="y","yes",TRUE,LOWER(AG864))</f>
        <v>no</v>
      </c>
      <c r="AI864" s="37" t="s">
        <v>4692</v>
      </c>
    </row>
    <row r="865" spans="1:35">
      <c r="A865" s="46" t="s">
        <v>3081</v>
      </c>
      <c r="B865" s="47" t="s">
        <v>4811</v>
      </c>
      <c r="C865" s="39">
        <f t="shared" si="208"/>
        <v>45374</v>
      </c>
      <c r="D865" s="48" t="s">
        <v>366</v>
      </c>
      <c r="E865" s="37" t="str" cm="1">
        <f t="array" ref="E865">_xlfn.IFS(D865="delhi","north",D865="mumbai","west",D865="bengaluru","south",D865="chennai","south",D865="kolkata","east",TRUE,"west")</f>
        <v>east</v>
      </c>
      <c r="F865" s="46" t="s">
        <v>230</v>
      </c>
      <c r="G865" s="37" t="str">
        <f t="shared" si="209"/>
        <v>dtdc</v>
      </c>
      <c r="H865" s="46" t="s">
        <v>345</v>
      </c>
      <c r="I865" s="37" t="str">
        <f t="shared" si="210"/>
        <v>surface</v>
      </c>
      <c r="J865" s="46" t="s">
        <v>368</v>
      </c>
      <c r="K865" s="37" t="str">
        <f t="shared" si="211"/>
        <v>furniture</v>
      </c>
      <c r="L865" s="46" t="s">
        <v>139</v>
      </c>
      <c r="M865" s="37" t="str">
        <f t="shared" si="212"/>
        <v>north</v>
      </c>
      <c r="N865" s="46" t="s">
        <v>354</v>
      </c>
      <c r="O865" s="41" t="str">
        <f t="shared" si="213"/>
        <v>Yes</v>
      </c>
      <c r="P865" s="49">
        <v>31.8</v>
      </c>
      <c r="Q865" s="49">
        <v>824</v>
      </c>
      <c r="R865" s="42">
        <f t="shared" si="214"/>
        <v>25.9119496855346</v>
      </c>
      <c r="S865" s="46">
        <v>6</v>
      </c>
      <c r="T865" s="46" t="s">
        <v>162</v>
      </c>
      <c r="U865" s="43" t="str">
        <f t="shared" si="215"/>
        <v>28/03/2024</v>
      </c>
      <c r="V865" s="43">
        <f t="shared" si="216"/>
        <v>45379</v>
      </c>
      <c r="W865" s="44">
        <f t="array" ref="W865">_xlfn.IFS(TRIM(C865)="","",TRIM(V865)="","",TRUE,V865-C865)</f>
        <v>5</v>
      </c>
      <c r="X865" s="37">
        <f t="shared" si="217"/>
        <v>-1</v>
      </c>
      <c r="Y865" s="46" t="s">
        <v>117</v>
      </c>
      <c r="Z865" s="37" t="str">
        <f t="shared" si="218"/>
        <v>delivered</v>
      </c>
      <c r="AA865" s="37" t="str">
        <f t="shared" si="219"/>
        <v>On Time</v>
      </c>
      <c r="AB865" s="37" t="str">
        <f t="shared" si="222"/>
        <v>0</v>
      </c>
      <c r="AC865" s="37">
        <f t="shared" si="223"/>
        <v>0</v>
      </c>
      <c r="AD865" s="45">
        <f t="shared" si="221"/>
        <v>0.515068493150685</v>
      </c>
      <c r="AE865" s="46">
        <v>5</v>
      </c>
      <c r="AF865" s="46" t="s">
        <v>118</v>
      </c>
      <c r="AG865" s="37" t="str">
        <f t="shared" si="220"/>
        <v>no</v>
      </c>
      <c r="AH865" s="37" t="str">
        <f t="array" ref="AH865">_xlfn.IFS(LOWER(AG865)="n","no",LOWER(AG865)="y","yes",TRUE,LOWER(AG865))</f>
        <v>no</v>
      </c>
      <c r="AI865" s="46" t="s">
        <v>4692</v>
      </c>
    </row>
    <row r="866" spans="1:35">
      <c r="A866" s="37" t="s">
        <v>3083</v>
      </c>
      <c r="B866" s="38">
        <v>45392</v>
      </c>
      <c r="C866" s="39">
        <f t="shared" si="208"/>
        <v>45392</v>
      </c>
      <c r="D866" s="40" t="s">
        <v>4695</v>
      </c>
      <c r="E866" s="37" t="str" cm="1">
        <f t="array" ref="E866">_xlfn.IFS(D866="delhi","north",D866="mumbai","west",D866="bengaluru","south",D866="chennai","south",D866="kolkata","east",TRUE,"west")</f>
        <v>west</v>
      </c>
      <c r="F866" s="37" t="s">
        <v>37</v>
      </c>
      <c r="G866" s="37" t="str">
        <f t="shared" si="209"/>
        <v>bluedart</v>
      </c>
      <c r="H866" s="37" t="s">
        <v>176</v>
      </c>
      <c r="I866" s="37" t="str">
        <f t="shared" si="210"/>
        <v>road</v>
      </c>
      <c r="J866" s="37" t="s">
        <v>498</v>
      </c>
      <c r="K866" s="37" t="str">
        <f t="shared" si="211"/>
        <v>apparel</v>
      </c>
      <c r="L866" s="37" t="s">
        <v>112</v>
      </c>
      <c r="M866" s="37" t="str">
        <f t="shared" si="212"/>
        <v>north</v>
      </c>
      <c r="N866" s="37" t="s">
        <v>354</v>
      </c>
      <c r="O866" s="41" t="str">
        <f t="shared" si="213"/>
        <v>Yes</v>
      </c>
      <c r="P866" s="41">
        <v>4.4</v>
      </c>
      <c r="Q866" s="41">
        <v>255</v>
      </c>
      <c r="R866" s="42">
        <f t="shared" si="214"/>
        <v>57.9545454545455</v>
      </c>
      <c r="S866" s="37">
        <v>8</v>
      </c>
      <c r="T866" s="37" t="s">
        <v>1025</v>
      </c>
      <c r="U866" s="43" t="str">
        <f t="shared" si="215"/>
        <v>17-apr-2024</v>
      </c>
      <c r="V866" s="43">
        <f t="shared" si="216"/>
        <v>45399</v>
      </c>
      <c r="W866" s="44">
        <f t="array" ref="W866">_xlfn.IFS(TRIM(C866)="","",TRIM(V866)="","",TRUE,V866-C866)</f>
        <v>7</v>
      </c>
      <c r="X866" s="37">
        <f t="shared" si="217"/>
        <v>-1</v>
      </c>
      <c r="Y866" s="37" t="s">
        <v>163</v>
      </c>
      <c r="Z866" s="37" t="str">
        <f t="shared" si="218"/>
        <v>delivered</v>
      </c>
      <c r="AA866" s="37" t="str">
        <f t="shared" si="219"/>
        <v>On Time</v>
      </c>
      <c r="AB866" s="37" t="str">
        <f t="shared" si="222"/>
        <v>0</v>
      </c>
      <c r="AC866" s="37">
        <f t="shared" si="223"/>
        <v>0</v>
      </c>
      <c r="AD866" s="45">
        <f t="shared" si="221"/>
        <v>0.515775034293553</v>
      </c>
      <c r="AE866" s="37">
        <v>5</v>
      </c>
      <c r="AF866" s="37" t="s">
        <v>118</v>
      </c>
      <c r="AG866" s="37" t="str">
        <f t="shared" si="220"/>
        <v>no</v>
      </c>
      <c r="AH866" s="37" t="str">
        <f t="array" ref="AH866">_xlfn.IFS(LOWER(AG866)="n","no",LOWER(AG866)="y","yes",TRUE,LOWER(AG866))</f>
        <v>no</v>
      </c>
      <c r="AI866" s="37" t="s">
        <v>4692</v>
      </c>
    </row>
    <row r="867" spans="1:35">
      <c r="A867" s="46" t="s">
        <v>3085</v>
      </c>
      <c r="B867" s="47">
        <v>45353</v>
      </c>
      <c r="C867" s="39">
        <f t="shared" si="208"/>
        <v>45353</v>
      </c>
      <c r="D867" s="48" t="s">
        <v>212</v>
      </c>
      <c r="E867" s="37" t="str" cm="1">
        <f t="array" ref="E867">_xlfn.IFS(D867="delhi","north",D867="mumbai","west",D867="bengaluru","south",D867="chennai","south",D867="kolkata","east",TRUE,"west")</f>
        <v>west</v>
      </c>
      <c r="F867" s="46" t="s">
        <v>919</v>
      </c>
      <c r="G867" s="37" t="str">
        <f t="shared" si="209"/>
        <v>xpressbees</v>
      </c>
      <c r="H867" s="46" t="s">
        <v>224</v>
      </c>
      <c r="I867" s="37" t="str">
        <f t="shared" si="210"/>
        <v>air</v>
      </c>
      <c r="J867" s="46" t="s">
        <v>368</v>
      </c>
      <c r="K867" s="37" t="str">
        <f t="shared" si="211"/>
        <v>furniture</v>
      </c>
      <c r="L867" s="46" t="s">
        <v>51</v>
      </c>
      <c r="M867" s="37" t="str">
        <f t="shared" si="212"/>
        <v>south</v>
      </c>
      <c r="N867" s="46" t="s">
        <v>93</v>
      </c>
      <c r="O867" s="41" t="str">
        <f t="shared" si="213"/>
        <v>Yes</v>
      </c>
      <c r="P867" s="49">
        <v>51.6</v>
      </c>
      <c r="Q867" s="49" t="s">
        <v>3087</v>
      </c>
      <c r="R867" s="42">
        <f t="shared" si="214"/>
        <v>48.9147286821705</v>
      </c>
      <c r="S867" s="46">
        <v>4</v>
      </c>
      <c r="T867" s="46" t="s">
        <v>2985</v>
      </c>
      <c r="U867" s="43" t="str">
        <f t="shared" si="215"/>
        <v>12/03/2024</v>
      </c>
      <c r="V867" s="43">
        <f t="shared" si="216"/>
        <v>45363</v>
      </c>
      <c r="W867" s="44">
        <f t="array" ref="W867">_xlfn.IFS(TRIM(C867)="","",TRIM(V867)="","",TRUE,V867-C867)</f>
        <v>10</v>
      </c>
      <c r="X867" s="37">
        <f t="shared" si="217"/>
        <v>6</v>
      </c>
      <c r="Y867" s="46" t="s">
        <v>143</v>
      </c>
      <c r="Z867" s="37" t="str">
        <f t="shared" si="218"/>
        <v>delayed</v>
      </c>
      <c r="AA867" s="37" t="str">
        <f t="shared" si="219"/>
        <v>Late</v>
      </c>
      <c r="AB867" s="37" t="str">
        <f t="shared" si="222"/>
        <v>1</v>
      </c>
      <c r="AC867" s="37">
        <f t="shared" si="223"/>
        <v>1</v>
      </c>
      <c r="AD867" s="45">
        <f t="shared" si="221"/>
        <v>0.516483516483517</v>
      </c>
      <c r="AE867" s="46">
        <v>4</v>
      </c>
      <c r="AF867" s="46" t="s">
        <v>152</v>
      </c>
      <c r="AG867" s="37" t="str">
        <f t="shared" si="220"/>
        <v>no</v>
      </c>
      <c r="AH867" s="37" t="str">
        <f t="array" ref="AH867">_xlfn.IFS(LOWER(AG867)="n","no",LOWER(AG867)="y","yes",TRUE,LOWER(AG867))</f>
        <v>no</v>
      </c>
      <c r="AI867" s="46" t="s">
        <v>4692</v>
      </c>
    </row>
    <row r="868" spans="1:35">
      <c r="A868" s="37" t="s">
        <v>3088</v>
      </c>
      <c r="B868" s="38">
        <v>45347</v>
      </c>
      <c r="C868" s="39">
        <f t="shared" si="208"/>
        <v>45347</v>
      </c>
      <c r="D868" s="40" t="s">
        <v>109</v>
      </c>
      <c r="E868" s="37" t="str" cm="1">
        <f t="array" ref="E868">_xlfn.IFS(D868="delhi","north",D868="mumbai","west",D868="bengaluru","south",D868="chennai","south",D868="kolkata","east",TRUE,"west")</f>
        <v>west</v>
      </c>
      <c r="F868" s="37" t="s">
        <v>194</v>
      </c>
      <c r="G868" s="37" t="str">
        <f t="shared" si="209"/>
        <v>xpressbees</v>
      </c>
      <c r="H868" s="37" t="s">
        <v>147</v>
      </c>
      <c r="I868" s="37" t="str">
        <f t="shared" si="210"/>
        <v>road</v>
      </c>
      <c r="J868" s="37" t="s">
        <v>283</v>
      </c>
      <c r="K868" s="37" t="str">
        <f t="shared" si="211"/>
        <v>pharma</v>
      </c>
      <c r="L868" s="37" t="s">
        <v>257</v>
      </c>
      <c r="M868" s="37" t="str">
        <f t="shared" si="212"/>
        <v>west</v>
      </c>
      <c r="N868" s="37" t="s">
        <v>187</v>
      </c>
      <c r="O868" s="41" t="str">
        <f t="shared" si="213"/>
        <v>Yes</v>
      </c>
      <c r="P868" s="41">
        <v>4.9</v>
      </c>
      <c r="Q868" s="41">
        <v>120</v>
      </c>
      <c r="R868" s="42">
        <f t="shared" si="214"/>
        <v>24.4897959183673</v>
      </c>
      <c r="S868" s="37">
        <v>6</v>
      </c>
      <c r="T868" s="37" t="s">
        <v>2620</v>
      </c>
      <c r="U868" s="43" t="str">
        <f t="shared" si="215"/>
        <v>03/03/2024</v>
      </c>
      <c r="V868" s="43">
        <f t="shared" si="216"/>
        <v>45354</v>
      </c>
      <c r="W868" s="44">
        <f t="array" ref="W868">_xlfn.IFS(TRIM(C868)="","",TRIM(V868)="","",TRUE,V868-C868)</f>
        <v>7</v>
      </c>
      <c r="X868" s="37">
        <f t="shared" si="217"/>
        <v>1</v>
      </c>
      <c r="Y868" s="37" t="s">
        <v>143</v>
      </c>
      <c r="Z868" s="37" t="str">
        <f t="shared" si="218"/>
        <v>delayed</v>
      </c>
      <c r="AA868" s="37" t="str">
        <f t="shared" si="219"/>
        <v>Late</v>
      </c>
      <c r="AB868" s="37" t="str">
        <f t="shared" si="222"/>
        <v>1</v>
      </c>
      <c r="AC868" s="37">
        <f t="shared" si="223"/>
        <v>1</v>
      </c>
      <c r="AD868" s="45">
        <f t="shared" si="221"/>
        <v>0.515818431911967</v>
      </c>
      <c r="AE868" s="37">
        <v>2</v>
      </c>
      <c r="AF868" s="37" t="s">
        <v>131</v>
      </c>
      <c r="AG868" s="37" t="str">
        <f t="shared" si="220"/>
        <v>n</v>
      </c>
      <c r="AH868" s="37" t="str">
        <f t="array" ref="AH868">_xlfn.IFS(LOWER(AG868)="n","no",LOWER(AG868)="y","yes",TRUE,LOWER(AG868))</f>
        <v>no</v>
      </c>
      <c r="AI868" s="37" t="s">
        <v>4692</v>
      </c>
    </row>
    <row r="869" spans="1:35">
      <c r="A869" s="46" t="s">
        <v>3091</v>
      </c>
      <c r="B869" s="47" t="s">
        <v>4807</v>
      </c>
      <c r="C869" s="39">
        <f t="shared" si="208"/>
        <v>45424</v>
      </c>
      <c r="D869" s="48" t="s">
        <v>222</v>
      </c>
      <c r="E869" s="37" t="str" cm="1">
        <f t="array" ref="E869">_xlfn.IFS(D869="delhi","north",D869="mumbai","west",D869="bengaluru","south",D869="chennai","south",D869="kolkata","east",TRUE,"west")</f>
        <v>west</v>
      </c>
      <c r="F869" s="46" t="s">
        <v>333</v>
      </c>
      <c r="G869" s="37" t="str">
        <f t="shared" si="209"/>
        <v>delhivery</v>
      </c>
      <c r="H869" s="46" t="s">
        <v>195</v>
      </c>
      <c r="I869" s="37" t="str">
        <f t="shared" si="210"/>
        <v>road</v>
      </c>
      <c r="J869" s="46" t="s">
        <v>158</v>
      </c>
      <c r="K869" s="37" t="str">
        <f t="shared" si="211"/>
        <v>pharma</v>
      </c>
      <c r="L869" s="46" t="s">
        <v>92</v>
      </c>
      <c r="M869" s="37" t="str">
        <f t="shared" si="212"/>
        <v>east</v>
      </c>
      <c r="N869" s="46" t="s">
        <v>126</v>
      </c>
      <c r="O869" s="41" t="str">
        <f t="shared" si="213"/>
        <v>Yes</v>
      </c>
      <c r="P869" s="49" t="s">
        <v>1090</v>
      </c>
      <c r="Q869" s="49">
        <v>194</v>
      </c>
      <c r="R869" s="42">
        <f t="shared" si="214"/>
        <v>45.1162790697674</v>
      </c>
      <c r="S869" s="46">
        <v>8</v>
      </c>
      <c r="T869" s="46" t="s">
        <v>2602</v>
      </c>
      <c r="U869" s="43" t="str">
        <f t="shared" si="215"/>
        <v>19-may-2024</v>
      </c>
      <c r="V869" s="43">
        <f t="shared" si="216"/>
        <v>45431</v>
      </c>
      <c r="W869" s="44">
        <f t="array" ref="W869">_xlfn.IFS(TRIM(C869)="","",TRIM(V869)="","",TRUE,V869-C869)</f>
        <v>7</v>
      </c>
      <c r="X869" s="37">
        <f t="shared" si="217"/>
        <v>-1</v>
      </c>
      <c r="Y869" s="46" t="s">
        <v>163</v>
      </c>
      <c r="Z869" s="37" t="str">
        <f t="shared" si="218"/>
        <v>delivered</v>
      </c>
      <c r="AA869" s="37" t="str">
        <f t="shared" si="219"/>
        <v>On Time</v>
      </c>
      <c r="AB869" s="37" t="str">
        <f t="shared" si="222"/>
        <v>0</v>
      </c>
      <c r="AC869" s="37">
        <f t="shared" si="223"/>
        <v>0</v>
      </c>
      <c r="AD869" s="45">
        <f t="shared" si="221"/>
        <v>0.515151515151515</v>
      </c>
      <c r="AE869" s="46">
        <v>2</v>
      </c>
      <c r="AF869" s="46" t="s">
        <v>191</v>
      </c>
      <c r="AG869" s="37" t="str">
        <f t="shared" si="220"/>
        <v>no</v>
      </c>
      <c r="AH869" s="37" t="str">
        <f t="array" ref="AH869">_xlfn.IFS(LOWER(AG869)="n","no",LOWER(AG869)="y","yes",TRUE,LOWER(AG869))</f>
        <v>no</v>
      </c>
      <c r="AI869" s="46" t="s">
        <v>4692</v>
      </c>
    </row>
    <row r="870" spans="1:35">
      <c r="A870" s="37" t="s">
        <v>3093</v>
      </c>
      <c r="B870" s="38">
        <v>45388</v>
      </c>
      <c r="C870" s="39">
        <f t="shared" si="208"/>
        <v>45388</v>
      </c>
      <c r="D870" s="40" t="s">
        <v>4695</v>
      </c>
      <c r="E870" s="37" t="str" cm="1">
        <f t="array" ref="E870">_xlfn.IFS(D870="delhi","north",D870="mumbai","west",D870="bengaluru","south",D870="chennai","south",D870="kolkata","east",TRUE,"west")</f>
        <v>west</v>
      </c>
      <c r="F870" s="37" t="s">
        <v>367</v>
      </c>
      <c r="G870" s="37" t="str">
        <f t="shared" si="209"/>
        <v>dtdc</v>
      </c>
      <c r="H870" s="37" t="s">
        <v>195</v>
      </c>
      <c r="I870" s="37" t="str">
        <f t="shared" si="210"/>
        <v>road</v>
      </c>
      <c r="J870" s="37" t="s">
        <v>301</v>
      </c>
      <c r="K870" s="37" t="str">
        <f t="shared" si="211"/>
        <v>furniture</v>
      </c>
      <c r="L870" s="37" t="s">
        <v>380</v>
      </c>
      <c r="M870" s="37" t="str">
        <f t="shared" si="212"/>
        <v>east</v>
      </c>
      <c r="N870" s="37" t="s">
        <v>294</v>
      </c>
      <c r="O870" s="41" t="str">
        <f t="shared" si="213"/>
        <v>Yes</v>
      </c>
      <c r="P870" s="41">
        <v>28.9</v>
      </c>
      <c r="Q870" s="41" t="s">
        <v>3095</v>
      </c>
      <c r="R870" s="42">
        <f t="shared" si="214"/>
        <v>20.3114186851211</v>
      </c>
      <c r="S870" s="37">
        <v>8</v>
      </c>
      <c r="T870" s="37" t="s">
        <v>2611</v>
      </c>
      <c r="U870" s="43" t="str">
        <f t="shared" si="215"/>
        <v>2024-04-15</v>
      </c>
      <c r="V870" s="43">
        <f t="shared" si="216"/>
        <v>45397</v>
      </c>
      <c r="W870" s="44">
        <f t="array" ref="W870">_xlfn.IFS(TRIM(C870)="","",TRIM(V870)="","",TRUE,V870-C870)</f>
        <v>9</v>
      </c>
      <c r="X870" s="37">
        <f t="shared" si="217"/>
        <v>1</v>
      </c>
      <c r="Y870" s="37" t="s">
        <v>72</v>
      </c>
      <c r="Z870" s="37" t="str">
        <f t="shared" si="218"/>
        <v>delayed</v>
      </c>
      <c r="AA870" s="37" t="str">
        <f t="shared" si="219"/>
        <v>Late</v>
      </c>
      <c r="AB870" s="37" t="str">
        <f t="shared" si="222"/>
        <v>1</v>
      </c>
      <c r="AC870" s="37">
        <f t="shared" si="223"/>
        <v>1</v>
      </c>
      <c r="AD870" s="45">
        <f t="shared" si="221"/>
        <v>0.515862068965517</v>
      </c>
      <c r="AE870" s="37">
        <v>1</v>
      </c>
      <c r="AF870" s="37" t="s">
        <v>131</v>
      </c>
      <c r="AG870" s="37" t="str">
        <f t="shared" si="220"/>
        <v>n</v>
      </c>
      <c r="AH870" s="37" t="str">
        <f t="array" ref="AH870">_xlfn.IFS(LOWER(AG870)="n","no",LOWER(AG870)="y","yes",TRUE,LOWER(AG870))</f>
        <v>no</v>
      </c>
      <c r="AI870" s="37" t="s">
        <v>4692</v>
      </c>
    </row>
    <row r="871" spans="1:35">
      <c r="A871" s="46" t="s">
        <v>3096</v>
      </c>
      <c r="B871" s="47">
        <v>45469</v>
      </c>
      <c r="C871" s="39">
        <f t="shared" si="208"/>
        <v>45469</v>
      </c>
      <c r="D871" s="48" t="s">
        <v>222</v>
      </c>
      <c r="E871" s="37" t="str" cm="1">
        <f t="array" ref="E871">_xlfn.IFS(D871="delhi","north",D871="mumbai","west",D871="bengaluru","south",D871="chennai","south",D871="kolkata","east",TRUE,"west")</f>
        <v>west</v>
      </c>
      <c r="F871" s="46" t="s">
        <v>312</v>
      </c>
      <c r="G871" s="37" t="str">
        <f t="shared" si="209"/>
        <v>bluedart</v>
      </c>
      <c r="H871" s="46" t="s">
        <v>137</v>
      </c>
      <c r="I871" s="37" t="str">
        <f t="shared" si="210"/>
        <v>road</v>
      </c>
      <c r="J871" s="46" t="s">
        <v>301</v>
      </c>
      <c r="K871" s="37" t="str">
        <f t="shared" si="211"/>
        <v>furniture</v>
      </c>
      <c r="L871" s="46" t="s">
        <v>257</v>
      </c>
      <c r="M871" s="37" t="str">
        <f t="shared" si="212"/>
        <v>west</v>
      </c>
      <c r="N871" s="46" t="s">
        <v>88</v>
      </c>
      <c r="O871" s="41" t="str">
        <f t="shared" si="213"/>
        <v>Yes</v>
      </c>
      <c r="P871" s="49">
        <v>63.2</v>
      </c>
      <c r="Q871" s="49">
        <v>875</v>
      </c>
      <c r="R871" s="42">
        <f t="shared" si="214"/>
        <v>13.8449367088608</v>
      </c>
      <c r="S871" s="46">
        <v>6</v>
      </c>
      <c r="T871" s="46"/>
      <c r="U871" s="43" t="str">
        <f t="shared" si="215"/>
        <v/>
      </c>
      <c r="V871" s="43" t="e">
        <f t="shared" si="216"/>
        <v>#VALUE!</v>
      </c>
      <c r="W871" s="44" t="e">
        <f t="array" ref="W871">_xlfn.IFS(TRIM(C871)="","",TRIM(V871)="","",TRUE,V871-C871)</f>
        <v>#VALUE!</v>
      </c>
      <c r="X871" s="37" t="e">
        <f t="shared" si="217"/>
        <v>#VALUE!</v>
      </c>
      <c r="Y871" s="46" t="s">
        <v>2073</v>
      </c>
      <c r="Z871" s="37" t="str">
        <f t="shared" si="218"/>
        <v>in-transit</v>
      </c>
      <c r="AA871" s="37" t="str">
        <f t="shared" si="219"/>
        <v>N/A</v>
      </c>
      <c r="AB871" s="37" t="str">
        <f t="shared" si="222"/>
        <v>N/A</v>
      </c>
      <c r="AC871" s="37" t="e">
        <f t="shared" si="223"/>
        <v>#VALUE!</v>
      </c>
      <c r="AD871" s="45">
        <f t="shared" si="221"/>
        <v>0.515193370165746</v>
      </c>
      <c r="AE871" s="46"/>
      <c r="AF871" s="46" t="s">
        <v>286</v>
      </c>
      <c r="AG871" s="37" t="str">
        <f t="shared" si="220"/>
        <v>yes</v>
      </c>
      <c r="AH871" s="37" t="str">
        <f t="array" ref="AH871">_xlfn.IFS(LOWER(AG871)="n","no",LOWER(AG871)="y","yes",TRUE,LOWER(AG871))</f>
        <v>yes</v>
      </c>
      <c r="AI871" s="46" t="s">
        <v>4692</v>
      </c>
    </row>
    <row r="872" spans="1:35">
      <c r="A872" s="37" t="s">
        <v>3099</v>
      </c>
      <c r="B872" s="38" t="s">
        <v>4767</v>
      </c>
      <c r="C872" s="39">
        <f t="shared" si="208"/>
        <v>45471</v>
      </c>
      <c r="D872" s="40" t="s">
        <v>424</v>
      </c>
      <c r="E872" s="37" t="str" cm="1">
        <f t="array" ref="E872">_xlfn.IFS(D872="delhi","north",D872="mumbai","west",D872="bengaluru","south",D872="chennai","south",D872="kolkata","east",TRUE,"west")</f>
        <v>south</v>
      </c>
      <c r="F872" s="37" t="s">
        <v>98</v>
      </c>
      <c r="G872" s="37" t="str">
        <f t="shared" si="209"/>
        <v>dtdc</v>
      </c>
      <c r="H872" s="37" t="s">
        <v>224</v>
      </c>
      <c r="I872" s="37" t="str">
        <f t="shared" si="210"/>
        <v>air</v>
      </c>
      <c r="J872" s="37" t="s">
        <v>430</v>
      </c>
      <c r="K872" s="37" t="str">
        <f t="shared" si="211"/>
        <v>pharma</v>
      </c>
      <c r="L872" s="37" t="s">
        <v>101</v>
      </c>
      <c r="M872" s="37" t="str">
        <f t="shared" si="212"/>
        <v>west</v>
      </c>
      <c r="N872" s="37" t="s">
        <v>206</v>
      </c>
      <c r="O872" s="41" t="str">
        <f t="shared" si="213"/>
        <v>Yes</v>
      </c>
      <c r="P872" s="41">
        <v>2.8</v>
      </c>
      <c r="Q872" s="41">
        <v>292</v>
      </c>
      <c r="R872" s="42">
        <f t="shared" si="214"/>
        <v>104.285714285714</v>
      </c>
      <c r="S872" s="37">
        <v>4</v>
      </c>
      <c r="T872" s="37" t="s">
        <v>1120</v>
      </c>
      <c r="U872" s="43" t="str">
        <f t="shared" si="215"/>
        <v>03/07/2024</v>
      </c>
      <c r="V872" s="43">
        <f t="shared" si="216"/>
        <v>45476</v>
      </c>
      <c r="W872" s="44">
        <f t="array" ref="W872">_xlfn.IFS(TRIM(C872)="","",TRIM(V872)="","",TRUE,V872-C872)</f>
        <v>5</v>
      </c>
      <c r="X872" s="37">
        <f t="shared" si="217"/>
        <v>1</v>
      </c>
      <c r="Y872" s="37" t="s">
        <v>172</v>
      </c>
      <c r="Z872" s="37" t="str">
        <f t="shared" si="218"/>
        <v>delayed</v>
      </c>
      <c r="AA872" s="37" t="str">
        <f t="shared" si="219"/>
        <v>Late</v>
      </c>
      <c r="AB872" s="37" t="str">
        <f t="shared" si="222"/>
        <v>1</v>
      </c>
      <c r="AC872" s="37">
        <f t="shared" si="223"/>
        <v>1</v>
      </c>
      <c r="AD872" s="45">
        <f t="shared" si="221"/>
        <v>0.515193370165746</v>
      </c>
      <c r="AE872" s="37">
        <v>3</v>
      </c>
      <c r="AF872" s="37" t="s">
        <v>152</v>
      </c>
      <c r="AG872" s="37" t="str">
        <f t="shared" si="220"/>
        <v>no</v>
      </c>
      <c r="AH872" s="37" t="str">
        <f t="array" ref="AH872">_xlfn.IFS(LOWER(AG872)="n","no",LOWER(AG872)="y","yes",TRUE,LOWER(AG872))</f>
        <v>no</v>
      </c>
      <c r="AI872" s="37" t="s">
        <v>4692</v>
      </c>
    </row>
    <row r="873" spans="1:35">
      <c r="A873" s="46" t="s">
        <v>3101</v>
      </c>
      <c r="B873" s="47" t="s">
        <v>4833</v>
      </c>
      <c r="C873" s="39">
        <f t="shared" si="208"/>
        <v>45355</v>
      </c>
      <c r="D873" s="48" t="s">
        <v>633</v>
      </c>
      <c r="E873" s="37" t="str" cm="1">
        <f t="array" ref="E873">_xlfn.IFS(D873="delhi","north",D873="mumbai","west",D873="bengaluru","south",D873="chennai","south",D873="kolkata","east",TRUE,"west")</f>
        <v>south</v>
      </c>
      <c r="F873" s="46" t="s">
        <v>136</v>
      </c>
      <c r="G873" s="37" t="str">
        <f t="shared" si="209"/>
        <v>bluedart</v>
      </c>
      <c r="H873" s="46" t="s">
        <v>157</v>
      </c>
      <c r="I873" s="37" t="str">
        <f t="shared" si="210"/>
        <v>surface</v>
      </c>
      <c r="J873" s="46" t="s">
        <v>425</v>
      </c>
      <c r="K873" s="37" t="str">
        <f t="shared" si="211"/>
        <v>automotiveparts</v>
      </c>
      <c r="L873" s="46" t="s">
        <v>112</v>
      </c>
      <c r="M873" s="37" t="str">
        <f t="shared" si="212"/>
        <v>north</v>
      </c>
      <c r="N873" s="46" t="s">
        <v>354</v>
      </c>
      <c r="O873" s="41" t="str">
        <f t="shared" si="213"/>
        <v>Yes</v>
      </c>
      <c r="P873" s="49">
        <v>26</v>
      </c>
      <c r="Q873" s="49">
        <v>749</v>
      </c>
      <c r="R873" s="42">
        <f t="shared" si="214"/>
        <v>28.8076923076923</v>
      </c>
      <c r="S873" s="46">
        <v>6</v>
      </c>
      <c r="T873" s="46" t="s">
        <v>3105</v>
      </c>
      <c r="U873" s="43" t="str">
        <f t="shared" si="215"/>
        <v>2024-03-11</v>
      </c>
      <c r="V873" s="43">
        <f t="shared" si="216"/>
        <v>45362</v>
      </c>
      <c r="W873" s="44">
        <f t="array" ref="W873">_xlfn.IFS(TRIM(C873)="","",TRIM(V873)="","",TRUE,V873-C873)</f>
        <v>7</v>
      </c>
      <c r="X873" s="37">
        <f t="shared" si="217"/>
        <v>1</v>
      </c>
      <c r="Y873" s="46" t="s">
        <v>72</v>
      </c>
      <c r="Z873" s="37" t="str">
        <f t="shared" si="218"/>
        <v>delayed</v>
      </c>
      <c r="AA873" s="37" t="str">
        <f t="shared" si="219"/>
        <v>Late</v>
      </c>
      <c r="AB873" s="37" t="str">
        <f t="shared" si="222"/>
        <v>1</v>
      </c>
      <c r="AC873" s="37">
        <f t="shared" si="223"/>
        <v>1</v>
      </c>
      <c r="AD873" s="45">
        <f t="shared" si="221"/>
        <v>0.514522821576763</v>
      </c>
      <c r="AE873" s="46">
        <v>1</v>
      </c>
      <c r="AF873" s="46" t="s">
        <v>79</v>
      </c>
      <c r="AG873" s="37" t="str">
        <f t="shared" si="220"/>
        <v>yes</v>
      </c>
      <c r="AH873" s="37" t="str">
        <f t="array" ref="AH873">_xlfn.IFS(LOWER(AG873)="n","no",LOWER(AG873)="y","yes",TRUE,LOWER(AG873))</f>
        <v>yes</v>
      </c>
      <c r="AI873" s="46" t="s">
        <v>4692</v>
      </c>
    </row>
    <row r="874" spans="1:35">
      <c r="A874" s="37" t="s">
        <v>3106</v>
      </c>
      <c r="B874" s="38">
        <v>45343</v>
      </c>
      <c r="C874" s="39">
        <f t="shared" si="208"/>
        <v>45343</v>
      </c>
      <c r="D874" s="40" t="s">
        <v>340</v>
      </c>
      <c r="E874" s="37" t="str" cm="1">
        <f t="array" ref="E874">_xlfn.IFS(D874="delhi","north",D874="mumbai","west",D874="bengaluru","south",D874="chennai","south",D874="kolkata","east",TRUE,"west")</f>
        <v>north</v>
      </c>
      <c r="F874" s="37" t="s">
        <v>37</v>
      </c>
      <c r="G874" s="37" t="str">
        <f t="shared" si="209"/>
        <v>bluedart</v>
      </c>
      <c r="H874" s="37" t="s">
        <v>123</v>
      </c>
      <c r="I874" s="37" t="str">
        <f t="shared" si="210"/>
        <v>air</v>
      </c>
      <c r="J874" s="37" t="s">
        <v>47</v>
      </c>
      <c r="K874" s="37" t="str">
        <f t="shared" si="211"/>
        <v>electronics</v>
      </c>
      <c r="L874" s="37" t="s">
        <v>101</v>
      </c>
      <c r="M874" s="37" t="str">
        <f t="shared" si="212"/>
        <v>west</v>
      </c>
      <c r="N874" s="37" t="s">
        <v>187</v>
      </c>
      <c r="O874" s="41" t="str">
        <f t="shared" si="213"/>
        <v>Yes</v>
      </c>
      <c r="P874" s="41" t="s">
        <v>3107</v>
      </c>
      <c r="Q874" s="41">
        <v>752</v>
      </c>
      <c r="R874" s="42">
        <f t="shared" si="214"/>
        <v>55.7037037037037</v>
      </c>
      <c r="S874" s="37">
        <v>4</v>
      </c>
      <c r="T874" s="37" t="s">
        <v>497</v>
      </c>
      <c r="U874" s="43" t="str">
        <f t="shared" si="215"/>
        <v>26/02/2024</v>
      </c>
      <c r="V874" s="43">
        <f t="shared" si="216"/>
        <v>45348</v>
      </c>
      <c r="W874" s="44">
        <f t="array" ref="W874">_xlfn.IFS(TRIM(C874)="","",TRIM(V874)="","",TRUE,V874-C874)</f>
        <v>5</v>
      </c>
      <c r="X874" s="37">
        <f t="shared" si="217"/>
        <v>1</v>
      </c>
      <c r="Y874" s="37" t="s">
        <v>172</v>
      </c>
      <c r="Z874" s="37" t="str">
        <f t="shared" si="218"/>
        <v>delayed</v>
      </c>
      <c r="AA874" s="37" t="str">
        <f t="shared" si="219"/>
        <v>Late</v>
      </c>
      <c r="AB874" s="37" t="str">
        <f t="shared" si="222"/>
        <v>1</v>
      </c>
      <c r="AC874" s="37">
        <f t="shared" si="223"/>
        <v>1</v>
      </c>
      <c r="AD874" s="45">
        <f t="shared" si="221"/>
        <v>0.513850415512465</v>
      </c>
      <c r="AE874" s="37">
        <v>2</v>
      </c>
      <c r="AF874" s="37" t="s">
        <v>152</v>
      </c>
      <c r="AG874" s="37" t="str">
        <f t="shared" si="220"/>
        <v>no</v>
      </c>
      <c r="AH874" s="37" t="str">
        <f t="array" ref="AH874">_xlfn.IFS(LOWER(AG874)="n","no",LOWER(AG874)="y","yes",TRUE,LOWER(AG874))</f>
        <v>no</v>
      </c>
      <c r="AI874" s="37" t="s">
        <v>4692</v>
      </c>
    </row>
    <row r="875" spans="1:35">
      <c r="A875" s="46" t="s">
        <v>3109</v>
      </c>
      <c r="B875" s="47">
        <v>45458</v>
      </c>
      <c r="C875" s="39">
        <f t="shared" si="208"/>
        <v>45458</v>
      </c>
      <c r="D875" s="48" t="s">
        <v>212</v>
      </c>
      <c r="E875" s="37" t="str" cm="1">
        <f t="array" ref="E875">_xlfn.IFS(D875="delhi","north",D875="mumbai","west",D875="bengaluru","south",D875="chennai","south",D875="kolkata","east",TRUE,"west")</f>
        <v>west</v>
      </c>
      <c r="F875" s="46" t="s">
        <v>204</v>
      </c>
      <c r="G875" s="37" t="str">
        <f t="shared" si="209"/>
        <v>delhivery</v>
      </c>
      <c r="H875" s="46" t="s">
        <v>325</v>
      </c>
      <c r="I875" s="37" t="str">
        <f t="shared" si="210"/>
        <v>air</v>
      </c>
      <c r="J875" s="46" t="s">
        <v>100</v>
      </c>
      <c r="K875" s="37" t="str">
        <f t="shared" si="211"/>
        <v>electronics</v>
      </c>
      <c r="L875" s="46" t="s">
        <v>101</v>
      </c>
      <c r="M875" s="37" t="str">
        <f t="shared" si="212"/>
        <v>west</v>
      </c>
      <c r="N875" s="46" t="s">
        <v>206</v>
      </c>
      <c r="O875" s="41" t="str">
        <f t="shared" si="213"/>
        <v>Yes</v>
      </c>
      <c r="P875" s="49">
        <v>14.8</v>
      </c>
      <c r="Q875" s="49">
        <v>709</v>
      </c>
      <c r="R875" s="42">
        <f t="shared" si="214"/>
        <v>47.9054054054054</v>
      </c>
      <c r="S875" s="46">
        <v>2</v>
      </c>
      <c r="T875" s="46" t="s">
        <v>116</v>
      </c>
      <c r="U875" s="43" t="str">
        <f t="shared" si="215"/>
        <v>2024-06-16</v>
      </c>
      <c r="V875" s="43">
        <f t="shared" si="216"/>
        <v>45459</v>
      </c>
      <c r="W875" s="44">
        <f t="array" ref="W875">_xlfn.IFS(TRIM(C875)="","",TRIM(V875)="","",TRUE,V875-C875)</f>
        <v>1</v>
      </c>
      <c r="X875" s="37">
        <f t="shared" si="217"/>
        <v>-1</v>
      </c>
      <c r="Y875" s="46" t="s">
        <v>105</v>
      </c>
      <c r="Z875" s="37" t="str">
        <f t="shared" si="218"/>
        <v>delivered</v>
      </c>
      <c r="AA875" s="37" t="str">
        <f t="shared" si="219"/>
        <v>On Time</v>
      </c>
      <c r="AB875" s="37" t="str">
        <f t="shared" si="222"/>
        <v>0</v>
      </c>
      <c r="AC875" s="37">
        <f t="shared" si="223"/>
        <v>0</v>
      </c>
      <c r="AD875" s="45">
        <f t="shared" si="221"/>
        <v>0.513176144244105</v>
      </c>
      <c r="AE875" s="46">
        <v>3</v>
      </c>
      <c r="AF875" s="46" t="s">
        <v>181</v>
      </c>
      <c r="AG875" s="37" t="str">
        <f t="shared" si="220"/>
        <v>y</v>
      </c>
      <c r="AH875" s="37" t="str">
        <f t="array" ref="AH875">_xlfn.IFS(LOWER(AG875)="n","no",LOWER(AG875)="y","yes",TRUE,LOWER(AG875))</f>
        <v>yes</v>
      </c>
      <c r="AI875" s="46" t="s">
        <v>4692</v>
      </c>
    </row>
    <row r="876" spans="1:35">
      <c r="A876" s="37" t="s">
        <v>3111</v>
      </c>
      <c r="B876" s="38">
        <v>45404</v>
      </c>
      <c r="C876" s="39">
        <f t="shared" si="208"/>
        <v>45404</v>
      </c>
      <c r="D876" s="40" t="s">
        <v>4699</v>
      </c>
      <c r="E876" s="37" t="str" cm="1">
        <f t="array" ref="E876">_xlfn.IFS(D876="delhi","north",D876="mumbai","west",D876="bengaluru","south",D876="chennai","south",D876="kolkata","east",TRUE,"west")</f>
        <v>west</v>
      </c>
      <c r="F876" s="37" t="s">
        <v>136</v>
      </c>
      <c r="G876" s="37" t="str">
        <f t="shared" si="209"/>
        <v>bluedart</v>
      </c>
      <c r="H876" s="37" t="s">
        <v>157</v>
      </c>
      <c r="I876" s="37" t="str">
        <f t="shared" si="210"/>
        <v>surface</v>
      </c>
      <c r="J876" s="37" t="s">
        <v>430</v>
      </c>
      <c r="K876" s="37" t="str">
        <f t="shared" si="211"/>
        <v>pharma</v>
      </c>
      <c r="L876" s="37" t="s">
        <v>159</v>
      </c>
      <c r="M876" s="37" t="str">
        <f t="shared" si="212"/>
        <v>south</v>
      </c>
      <c r="N876" s="37" t="s">
        <v>327</v>
      </c>
      <c r="O876" s="41" t="str">
        <f t="shared" si="213"/>
        <v>Yes</v>
      </c>
      <c r="P876" s="41">
        <v>3.7</v>
      </c>
      <c r="Q876" s="41" t="s">
        <v>3112</v>
      </c>
      <c r="R876" s="42">
        <f t="shared" si="214"/>
        <v>60.8108108108108</v>
      </c>
      <c r="S876" s="37">
        <v>6</v>
      </c>
      <c r="T876" s="37" t="s">
        <v>3113</v>
      </c>
      <c r="U876" s="43" t="str">
        <f t="shared" si="215"/>
        <v>2024-04-29</v>
      </c>
      <c r="V876" s="43">
        <f t="shared" si="216"/>
        <v>45411</v>
      </c>
      <c r="W876" s="44">
        <f t="array" ref="W876">_xlfn.IFS(TRIM(C876)="","",TRIM(V876)="","",TRUE,V876-C876)</f>
        <v>7</v>
      </c>
      <c r="X876" s="37">
        <f t="shared" si="217"/>
        <v>1</v>
      </c>
      <c r="Y876" s="37" t="s">
        <v>172</v>
      </c>
      <c r="Z876" s="37" t="str">
        <f t="shared" si="218"/>
        <v>delayed</v>
      </c>
      <c r="AA876" s="37" t="str">
        <f t="shared" si="219"/>
        <v>Late</v>
      </c>
      <c r="AB876" s="37" t="str">
        <f t="shared" si="222"/>
        <v>1</v>
      </c>
      <c r="AC876" s="37">
        <f t="shared" si="223"/>
        <v>1</v>
      </c>
      <c r="AD876" s="45">
        <f t="shared" si="221"/>
        <v>0.513888888888889</v>
      </c>
      <c r="AE876" s="37">
        <v>3</v>
      </c>
      <c r="AF876" s="37" t="s">
        <v>152</v>
      </c>
      <c r="AG876" s="37" t="str">
        <f t="shared" si="220"/>
        <v>no</v>
      </c>
      <c r="AH876" s="37" t="str">
        <f t="array" ref="AH876">_xlfn.IFS(LOWER(AG876)="n","no",LOWER(AG876)="y","yes",TRUE,LOWER(AG876))</f>
        <v>no</v>
      </c>
      <c r="AI876" s="37" t="s">
        <v>4692</v>
      </c>
    </row>
    <row r="877" spans="1:35">
      <c r="A877" s="46" t="s">
        <v>3114</v>
      </c>
      <c r="B877" s="47">
        <v>45416</v>
      </c>
      <c r="C877" s="39">
        <f t="shared" si="208"/>
        <v>45416</v>
      </c>
      <c r="D877" s="48" t="s">
        <v>243</v>
      </c>
      <c r="E877" s="37" t="str" cm="1">
        <f t="array" ref="E877">_xlfn.IFS(D877="delhi","north",D877="mumbai","west",D877="bengaluru","south",D877="chennai","south",D877="kolkata","east",TRUE,"west")</f>
        <v>west</v>
      </c>
      <c r="F877" s="46" t="s">
        <v>544</v>
      </c>
      <c r="G877" s="37" t="str">
        <f t="shared" si="209"/>
        <v>bluedart</v>
      </c>
      <c r="H877" s="46" t="s">
        <v>325</v>
      </c>
      <c r="I877" s="37" t="str">
        <f t="shared" si="210"/>
        <v>air</v>
      </c>
      <c r="J877" s="46" t="s">
        <v>186</v>
      </c>
      <c r="K877" s="37" t="str">
        <f t="shared" si="211"/>
        <v>automotiveparts</v>
      </c>
      <c r="L877" s="46" t="s">
        <v>334</v>
      </c>
      <c r="M877" s="37" t="str">
        <f t="shared" si="212"/>
        <v>north</v>
      </c>
      <c r="N877" s="46" t="s">
        <v>32</v>
      </c>
      <c r="O877" s="41" t="str">
        <f t="shared" si="213"/>
        <v>Yes</v>
      </c>
      <c r="P877" s="49">
        <v>5.1</v>
      </c>
      <c r="Q877" s="49">
        <v>394</v>
      </c>
      <c r="R877" s="42">
        <f t="shared" si="214"/>
        <v>77.2549019607843</v>
      </c>
      <c r="S877" s="46">
        <v>4</v>
      </c>
      <c r="T877" s="46" t="s">
        <v>1931</v>
      </c>
      <c r="U877" s="43" t="str">
        <f t="shared" si="215"/>
        <v>09/05/2024</v>
      </c>
      <c r="V877" s="43">
        <f t="shared" si="216"/>
        <v>45421</v>
      </c>
      <c r="W877" s="44">
        <f t="array" ref="W877">_xlfn.IFS(TRIM(C877)="","",TRIM(V877)="","",TRUE,V877-C877)</f>
        <v>5</v>
      </c>
      <c r="X877" s="37">
        <f t="shared" si="217"/>
        <v>1</v>
      </c>
      <c r="Y877" s="46" t="s">
        <v>143</v>
      </c>
      <c r="Z877" s="37" t="str">
        <f t="shared" si="218"/>
        <v>delayed</v>
      </c>
      <c r="AA877" s="37" t="str">
        <f t="shared" si="219"/>
        <v>Late</v>
      </c>
      <c r="AB877" s="37" t="str">
        <f t="shared" si="222"/>
        <v>1</v>
      </c>
      <c r="AC877" s="37">
        <f t="shared" si="223"/>
        <v>1</v>
      </c>
      <c r="AD877" s="45">
        <f t="shared" si="221"/>
        <v>0.513212795549374</v>
      </c>
      <c r="AE877" s="46">
        <v>2</v>
      </c>
      <c r="AF877" s="46" t="s">
        <v>131</v>
      </c>
      <c r="AG877" s="37" t="str">
        <f t="shared" si="220"/>
        <v>n</v>
      </c>
      <c r="AH877" s="37" t="str">
        <f t="array" ref="AH877">_xlfn.IFS(LOWER(AG877)="n","no",LOWER(AG877)="y","yes",TRUE,LOWER(AG877))</f>
        <v>no</v>
      </c>
      <c r="AI877" s="46" t="s">
        <v>4692</v>
      </c>
    </row>
    <row r="878" spans="1:35">
      <c r="A878" s="37" t="s">
        <v>3117</v>
      </c>
      <c r="B878" s="38">
        <v>45465</v>
      </c>
      <c r="C878" s="39">
        <f t="shared" si="208"/>
        <v>45465</v>
      </c>
      <c r="D878" s="40" t="s">
        <v>4695</v>
      </c>
      <c r="E878" s="37" t="str" cm="1">
        <f t="array" ref="E878">_xlfn.IFS(D878="delhi","north",D878="mumbai","west",D878="bengaluru","south",D878="chennai","south",D878="kolkata","east",TRUE,"west")</f>
        <v>west</v>
      </c>
      <c r="F878" s="37" t="s">
        <v>312</v>
      </c>
      <c r="G878" s="37" t="str">
        <f t="shared" si="209"/>
        <v>bluedart</v>
      </c>
      <c r="H878" s="37" t="s">
        <v>137</v>
      </c>
      <c r="I878" s="37" t="str">
        <f t="shared" si="210"/>
        <v>road</v>
      </c>
      <c r="J878" s="37" t="s">
        <v>167</v>
      </c>
      <c r="K878" s="37" t="str">
        <f t="shared" si="211"/>
        <v>pharma</v>
      </c>
      <c r="L878" s="37" t="s">
        <v>168</v>
      </c>
      <c r="M878" s="37" t="str">
        <f t="shared" si="212"/>
        <v>west</v>
      </c>
      <c r="N878" s="37" t="s">
        <v>88</v>
      </c>
      <c r="O878" s="41" t="str">
        <f t="shared" si="213"/>
        <v>Yes</v>
      </c>
      <c r="P878" s="41">
        <v>4.9</v>
      </c>
      <c r="Q878" s="41">
        <v>80</v>
      </c>
      <c r="R878" s="42">
        <f t="shared" si="214"/>
        <v>16.3265306122449</v>
      </c>
      <c r="S878" s="37">
        <v>6</v>
      </c>
      <c r="T878" s="37" t="s">
        <v>3119</v>
      </c>
      <c r="U878" s="43" t="str">
        <f t="shared" si="215"/>
        <v>29/06/2024</v>
      </c>
      <c r="V878" s="43">
        <f t="shared" si="216"/>
        <v>45472</v>
      </c>
      <c r="W878" s="44">
        <f t="array" ref="W878">_xlfn.IFS(TRIM(C878)="","",TRIM(V878)="","",TRUE,V878-C878)</f>
        <v>7</v>
      </c>
      <c r="X878" s="37">
        <f t="shared" si="217"/>
        <v>1</v>
      </c>
      <c r="Y878" s="37" t="s">
        <v>143</v>
      </c>
      <c r="Z878" s="37" t="str">
        <f t="shared" si="218"/>
        <v>delayed</v>
      </c>
      <c r="AA878" s="37" t="str">
        <f t="shared" si="219"/>
        <v>Late</v>
      </c>
      <c r="AB878" s="37" t="str">
        <f t="shared" si="222"/>
        <v>1</v>
      </c>
      <c r="AC878" s="37">
        <f t="shared" si="223"/>
        <v>1</v>
      </c>
      <c r="AD878" s="45">
        <f t="shared" si="221"/>
        <v>0.512534818941504</v>
      </c>
      <c r="AE878" s="37">
        <v>2</v>
      </c>
      <c r="AF878" s="37" t="s">
        <v>79</v>
      </c>
      <c r="AG878" s="37" t="str">
        <f t="shared" si="220"/>
        <v>yes</v>
      </c>
      <c r="AH878" s="37" t="str">
        <f t="array" ref="AH878">_xlfn.IFS(LOWER(AG878)="n","no",LOWER(AG878)="y","yes",TRUE,LOWER(AG878))</f>
        <v>yes</v>
      </c>
      <c r="AI878" s="37" t="s">
        <v>4692</v>
      </c>
    </row>
    <row r="879" spans="1:35">
      <c r="A879" s="46" t="s">
        <v>3120</v>
      </c>
      <c r="B879" s="47">
        <v>45343</v>
      </c>
      <c r="C879" s="39">
        <f t="shared" si="208"/>
        <v>45343</v>
      </c>
      <c r="D879" s="48" t="s">
        <v>300</v>
      </c>
      <c r="E879" s="37" t="str" cm="1">
        <f t="array" ref="E879">_xlfn.IFS(D879="delhi","north",D879="mumbai","west",D879="bengaluru","south",D879="chennai","south",D879="kolkata","east",TRUE,"west")</f>
        <v>west</v>
      </c>
      <c r="F879" s="46" t="s">
        <v>223</v>
      </c>
      <c r="G879" s="37" t="str">
        <f t="shared" si="209"/>
        <v>xpressbees</v>
      </c>
      <c r="H879" s="46" t="s">
        <v>42</v>
      </c>
      <c r="I879" s="37" t="str">
        <f t="shared" si="210"/>
        <v>surface</v>
      </c>
      <c r="J879" s="46" t="s">
        <v>231</v>
      </c>
      <c r="K879" s="37" t="str">
        <f t="shared" si="211"/>
        <v>furniture</v>
      </c>
      <c r="L879" s="46" t="s">
        <v>257</v>
      </c>
      <c r="M879" s="37" t="str">
        <f t="shared" si="212"/>
        <v>west</v>
      </c>
      <c r="N879" s="46" t="s">
        <v>206</v>
      </c>
      <c r="O879" s="41" t="str">
        <f t="shared" si="213"/>
        <v>Yes</v>
      </c>
      <c r="P879" s="49">
        <v>28</v>
      </c>
      <c r="Q879" s="49" t="s">
        <v>3122</v>
      </c>
      <c r="R879" s="42">
        <f t="shared" si="214"/>
        <v>27.75</v>
      </c>
      <c r="S879" s="46">
        <v>6</v>
      </c>
      <c r="T879" s="46" t="s">
        <v>1807</v>
      </c>
      <c r="U879" s="43" t="str">
        <f t="shared" si="215"/>
        <v>2024-02-27</v>
      </c>
      <c r="V879" s="43">
        <f t="shared" si="216"/>
        <v>45349</v>
      </c>
      <c r="W879" s="44">
        <f t="array" ref="W879">_xlfn.IFS(TRIM(C879)="","",TRIM(V879)="","",TRUE,V879-C879)</f>
        <v>6</v>
      </c>
      <c r="X879" s="37">
        <f t="shared" si="217"/>
        <v>0</v>
      </c>
      <c r="Y879" s="46" t="s">
        <v>163</v>
      </c>
      <c r="Z879" s="37" t="str">
        <f t="shared" si="218"/>
        <v>delivered</v>
      </c>
      <c r="AA879" s="37" t="str">
        <f t="shared" si="219"/>
        <v>On Time</v>
      </c>
      <c r="AB879" s="37" t="str">
        <f t="shared" si="222"/>
        <v>0</v>
      </c>
      <c r="AC879" s="37">
        <f t="shared" si="223"/>
        <v>0</v>
      </c>
      <c r="AD879" s="45">
        <f t="shared" si="221"/>
        <v>0.511854951185495</v>
      </c>
      <c r="AE879" s="46">
        <v>3</v>
      </c>
      <c r="AF879" s="46" t="s">
        <v>181</v>
      </c>
      <c r="AG879" s="37" t="str">
        <f t="shared" si="220"/>
        <v>y</v>
      </c>
      <c r="AH879" s="37" t="str">
        <f t="array" ref="AH879">_xlfn.IFS(LOWER(AG879)="n","no",LOWER(AG879)="y","yes",TRUE,LOWER(AG879))</f>
        <v>yes</v>
      </c>
      <c r="AI879" s="46" t="s">
        <v>4692</v>
      </c>
    </row>
    <row r="880" spans="1:35">
      <c r="A880" s="37" t="s">
        <v>3123</v>
      </c>
      <c r="B880" s="38">
        <v>45462</v>
      </c>
      <c r="C880" s="39">
        <f t="shared" si="208"/>
        <v>45462</v>
      </c>
      <c r="D880" s="40" t="s">
        <v>243</v>
      </c>
      <c r="E880" s="37" t="str" cm="1">
        <f t="array" ref="E880">_xlfn.IFS(D880="delhi","north",D880="mumbai","west",D880="bengaluru","south",D880="chennai","south",D880="kolkata","east",TRUE,"west")</f>
        <v>west</v>
      </c>
      <c r="F880" s="37" t="s">
        <v>136</v>
      </c>
      <c r="G880" s="37" t="str">
        <f t="shared" si="209"/>
        <v>bluedart</v>
      </c>
      <c r="H880" s="37" t="s">
        <v>99</v>
      </c>
      <c r="I880" s="37" t="str">
        <f t="shared" si="210"/>
        <v>air</v>
      </c>
      <c r="J880" s="37" t="s">
        <v>167</v>
      </c>
      <c r="K880" s="37" t="str">
        <f t="shared" si="211"/>
        <v>pharma</v>
      </c>
      <c r="L880" s="37" t="s">
        <v>334</v>
      </c>
      <c r="M880" s="37" t="str">
        <f t="shared" si="212"/>
        <v>north</v>
      </c>
      <c r="N880" s="37" t="s">
        <v>113</v>
      </c>
      <c r="O880" s="41" t="str">
        <f t="shared" si="213"/>
        <v>Yes</v>
      </c>
      <c r="P880" s="41">
        <v>4.1</v>
      </c>
      <c r="Q880" s="41">
        <v>355</v>
      </c>
      <c r="R880" s="42">
        <f t="shared" si="214"/>
        <v>86.5853658536585</v>
      </c>
      <c r="S880" s="37">
        <v>4</v>
      </c>
      <c r="T880" s="37" t="s">
        <v>654</v>
      </c>
      <c r="U880" s="43" t="str">
        <f t="shared" si="215"/>
        <v>24/06/2024</v>
      </c>
      <c r="V880" s="43">
        <f t="shared" si="216"/>
        <v>45467</v>
      </c>
      <c r="W880" s="44">
        <f t="array" ref="W880">_xlfn.IFS(TRIM(C880)="","",TRIM(V880)="","",TRUE,V880-C880)</f>
        <v>5</v>
      </c>
      <c r="X880" s="37">
        <f t="shared" si="217"/>
        <v>1</v>
      </c>
      <c r="Y880" s="37" t="s">
        <v>200</v>
      </c>
      <c r="Z880" s="37" t="str">
        <f t="shared" si="218"/>
        <v>delayed</v>
      </c>
      <c r="AA880" s="37" t="str">
        <f t="shared" si="219"/>
        <v>Late</v>
      </c>
      <c r="AB880" s="37" t="str">
        <f t="shared" si="222"/>
        <v>1</v>
      </c>
      <c r="AC880" s="37">
        <f t="shared" si="223"/>
        <v>1</v>
      </c>
      <c r="AD880" s="45">
        <f t="shared" si="221"/>
        <v>0.512569832402235</v>
      </c>
      <c r="AE880" s="37">
        <v>3</v>
      </c>
      <c r="AF880" s="37" t="s">
        <v>191</v>
      </c>
      <c r="AG880" s="37" t="str">
        <f t="shared" si="220"/>
        <v>no</v>
      </c>
      <c r="AH880" s="37" t="str">
        <f t="array" ref="AH880">_xlfn.IFS(LOWER(AG880)="n","no",LOWER(AG880)="y","yes",TRUE,LOWER(AG880))</f>
        <v>no</v>
      </c>
      <c r="AI880" s="37" t="s">
        <v>4692</v>
      </c>
    </row>
    <row r="881" spans="1:35">
      <c r="A881" s="46" t="s">
        <v>3126</v>
      </c>
      <c r="B881" s="47" t="s">
        <v>4769</v>
      </c>
      <c r="C881" s="39">
        <f t="shared" si="208"/>
        <v>45404</v>
      </c>
      <c r="D881" s="48" t="s">
        <v>4700</v>
      </c>
      <c r="E881" s="37" t="str" cm="1">
        <f t="array" ref="E881">_xlfn.IFS(D881="delhi","north",D881="mumbai","west",D881="bengaluru","south",D881="chennai","south",D881="kolkata","east",TRUE,"west")</f>
        <v>west</v>
      </c>
      <c r="F881" s="46" t="s">
        <v>156</v>
      </c>
      <c r="G881" s="37" t="str">
        <f t="shared" si="209"/>
        <v>xpressbees</v>
      </c>
      <c r="H881" s="46" t="s">
        <v>195</v>
      </c>
      <c r="I881" s="37" t="str">
        <f t="shared" si="210"/>
        <v>road</v>
      </c>
      <c r="J881" s="46" t="s">
        <v>353</v>
      </c>
      <c r="K881" s="37" t="str">
        <f t="shared" si="211"/>
        <v>automotiveparts</v>
      </c>
      <c r="L881" s="46" t="s">
        <v>92</v>
      </c>
      <c r="M881" s="37" t="str">
        <f t="shared" si="212"/>
        <v>east</v>
      </c>
      <c r="N881" s="46" t="s">
        <v>91</v>
      </c>
      <c r="O881" s="41" t="str">
        <f t="shared" si="213"/>
        <v/>
      </c>
      <c r="P881" s="49">
        <v>18.1</v>
      </c>
      <c r="Q881" s="49" t="s">
        <v>3128</v>
      </c>
      <c r="R881" s="42">
        <f t="shared" si="214"/>
        <v>23.1491712707182</v>
      </c>
      <c r="S881" s="46">
        <v>8</v>
      </c>
      <c r="T881" s="46" t="s">
        <v>1050</v>
      </c>
      <c r="U881" s="43" t="str">
        <f t="shared" si="215"/>
        <v>2024-05-08</v>
      </c>
      <c r="V881" s="43">
        <f t="shared" si="216"/>
        <v>45420</v>
      </c>
      <c r="W881" s="44">
        <f t="array" ref="W881">_xlfn.IFS(TRIM(C881)="","",TRIM(V881)="","",TRUE,V881-C881)</f>
        <v>16</v>
      </c>
      <c r="X881" s="37">
        <f t="shared" si="217"/>
        <v>8</v>
      </c>
      <c r="Y881" s="46" t="s">
        <v>200</v>
      </c>
      <c r="Z881" s="37" t="str">
        <f t="shared" si="218"/>
        <v>delayed</v>
      </c>
      <c r="AA881" s="37" t="str">
        <f t="shared" si="219"/>
        <v>Late</v>
      </c>
      <c r="AB881" s="37" t="str">
        <f t="shared" si="222"/>
        <v>1</v>
      </c>
      <c r="AC881" s="37">
        <f t="shared" si="223"/>
        <v>1</v>
      </c>
      <c r="AD881" s="45">
        <f t="shared" si="221"/>
        <v>0.511888111888112</v>
      </c>
      <c r="AE881" s="46">
        <v>4</v>
      </c>
      <c r="AF881" s="46" t="s">
        <v>131</v>
      </c>
      <c r="AG881" s="37" t="str">
        <f t="shared" si="220"/>
        <v>n</v>
      </c>
      <c r="AH881" s="37" t="str">
        <f t="array" ref="AH881">_xlfn.IFS(LOWER(AG881)="n","no",LOWER(AG881)="y","yes",TRUE,LOWER(AG881))</f>
        <v>no</v>
      </c>
      <c r="AI881" s="46" t="s">
        <v>4692</v>
      </c>
    </row>
    <row r="882" spans="1:35">
      <c r="A882" s="37" t="s">
        <v>3129</v>
      </c>
      <c r="B882" s="38">
        <v>45416</v>
      </c>
      <c r="C882" s="39">
        <f t="shared" si="208"/>
        <v>45416</v>
      </c>
      <c r="D882" s="40" t="s">
        <v>109</v>
      </c>
      <c r="E882" s="37" t="str" cm="1">
        <f t="array" ref="E882">_xlfn.IFS(D882="delhi","north",D882="mumbai","west",D882="bengaluru","south",D882="chennai","south",D882="kolkata","east",TRUE,"west")</f>
        <v>west</v>
      </c>
      <c r="F882" s="37" t="s">
        <v>333</v>
      </c>
      <c r="G882" s="37" t="str">
        <f t="shared" si="209"/>
        <v>delhivery</v>
      </c>
      <c r="H882" s="37" t="s">
        <v>185</v>
      </c>
      <c r="I882" s="37" t="str">
        <f t="shared" si="210"/>
        <v>surface</v>
      </c>
      <c r="J882" s="37" t="s">
        <v>124</v>
      </c>
      <c r="K882" s="37" t="str">
        <f t="shared" si="211"/>
        <v>automotiveparts</v>
      </c>
      <c r="L882" s="37" t="s">
        <v>101</v>
      </c>
      <c r="M882" s="37" t="str">
        <f t="shared" si="212"/>
        <v>west</v>
      </c>
      <c r="N882" s="37" t="s">
        <v>278</v>
      </c>
      <c r="O882" s="41" t="str">
        <f t="shared" si="213"/>
        <v>Yes</v>
      </c>
      <c r="P882" s="41" t="s">
        <v>2983</v>
      </c>
      <c r="Q882" s="41">
        <v>575</v>
      </c>
      <c r="R882" s="42">
        <f t="shared" si="214"/>
        <v>21.6165413533835</v>
      </c>
      <c r="S882" s="37">
        <v>4</v>
      </c>
      <c r="T882" s="37" t="s">
        <v>2024</v>
      </c>
      <c r="U882" s="43" t="str">
        <f t="shared" si="215"/>
        <v>07/05/2024</v>
      </c>
      <c r="V882" s="43">
        <f t="shared" si="216"/>
        <v>45419</v>
      </c>
      <c r="W882" s="44">
        <f t="array" ref="W882">_xlfn.IFS(TRIM(C882)="","",TRIM(V882)="","",TRUE,V882-C882)</f>
        <v>3</v>
      </c>
      <c r="X882" s="37">
        <f t="shared" si="217"/>
        <v>-1</v>
      </c>
      <c r="Y882" s="37" t="s">
        <v>219</v>
      </c>
      <c r="Z882" s="37" t="str">
        <f t="shared" si="218"/>
        <v>delivered</v>
      </c>
      <c r="AA882" s="37" t="str">
        <f t="shared" si="219"/>
        <v>On Time</v>
      </c>
      <c r="AB882" s="37" t="str">
        <f t="shared" si="222"/>
        <v>0</v>
      </c>
      <c r="AC882" s="37">
        <f t="shared" si="223"/>
        <v>0</v>
      </c>
      <c r="AD882" s="45">
        <f t="shared" si="221"/>
        <v>0.511204481792717</v>
      </c>
      <c r="AE882" s="37">
        <v>4</v>
      </c>
      <c r="AF882" s="37" t="s">
        <v>131</v>
      </c>
      <c r="AG882" s="37" t="str">
        <f t="shared" si="220"/>
        <v>n</v>
      </c>
      <c r="AH882" s="37" t="str">
        <f t="array" ref="AH882">_xlfn.IFS(LOWER(AG882)="n","no",LOWER(AG882)="y","yes",TRUE,LOWER(AG882))</f>
        <v>no</v>
      </c>
      <c r="AI882" s="37" t="s">
        <v>4692</v>
      </c>
    </row>
    <row r="883" spans="1:35">
      <c r="A883" s="46" t="s">
        <v>3131</v>
      </c>
      <c r="B883" s="47">
        <v>45294</v>
      </c>
      <c r="C883" s="39">
        <f t="shared" si="208"/>
        <v>45294</v>
      </c>
      <c r="D883" s="48" t="s">
        <v>166</v>
      </c>
      <c r="E883" s="37" t="str" cm="1">
        <f t="array" ref="E883">_xlfn.IFS(D883="delhi","north",D883="mumbai","west",D883="bengaluru","south",D883="chennai","south",D883="kolkata","east",TRUE,"west")</f>
        <v>west</v>
      </c>
      <c r="F883" s="46" t="s">
        <v>194</v>
      </c>
      <c r="G883" s="37" t="str">
        <f t="shared" si="209"/>
        <v>xpressbees</v>
      </c>
      <c r="H883" s="46" t="s">
        <v>345</v>
      </c>
      <c r="I883" s="37" t="str">
        <f t="shared" si="210"/>
        <v>surface</v>
      </c>
      <c r="J883" s="46" t="s">
        <v>592</v>
      </c>
      <c r="K883" s="37" t="str">
        <f t="shared" si="211"/>
        <v>grocery&amp;fmcg</v>
      </c>
      <c r="L883" s="46" t="s">
        <v>302</v>
      </c>
      <c r="M883" s="37" t="str">
        <f t="shared" si="212"/>
        <v>east</v>
      </c>
      <c r="N883" s="46" t="s">
        <v>126</v>
      </c>
      <c r="O883" s="41" t="str">
        <f t="shared" si="213"/>
        <v>Yes</v>
      </c>
      <c r="P883" s="49">
        <v>17.5</v>
      </c>
      <c r="Q883" s="49">
        <v>410</v>
      </c>
      <c r="R883" s="42">
        <f t="shared" si="214"/>
        <v>23.4285714285714</v>
      </c>
      <c r="S883" s="46">
        <v>4</v>
      </c>
      <c r="T883" s="46" t="s">
        <v>1685</v>
      </c>
      <c r="U883" s="43" t="str">
        <f t="shared" si="215"/>
        <v>12/01/2024</v>
      </c>
      <c r="V883" s="43">
        <f t="shared" si="216"/>
        <v>45303</v>
      </c>
      <c r="W883" s="44">
        <f t="array" ref="W883">_xlfn.IFS(TRIM(C883)="","",TRIM(V883)="","",TRUE,V883-C883)</f>
        <v>9</v>
      </c>
      <c r="X883" s="37">
        <f t="shared" si="217"/>
        <v>5</v>
      </c>
      <c r="Y883" s="46" t="s">
        <v>200</v>
      </c>
      <c r="Z883" s="37" t="str">
        <f t="shared" si="218"/>
        <v>delayed</v>
      </c>
      <c r="AA883" s="37" t="str">
        <f t="shared" si="219"/>
        <v>Late</v>
      </c>
      <c r="AB883" s="37" t="str">
        <f t="shared" si="222"/>
        <v>1</v>
      </c>
      <c r="AC883" s="37">
        <f t="shared" si="223"/>
        <v>1</v>
      </c>
      <c r="AD883" s="45">
        <f t="shared" si="221"/>
        <v>0.511921458625526</v>
      </c>
      <c r="AE883" s="46">
        <v>2</v>
      </c>
      <c r="AF883" s="46" t="s">
        <v>131</v>
      </c>
      <c r="AG883" s="37" t="str">
        <f t="shared" si="220"/>
        <v>n</v>
      </c>
      <c r="AH883" s="37" t="str">
        <f t="array" ref="AH883">_xlfn.IFS(LOWER(AG883)="n","no",LOWER(AG883)="y","yes",TRUE,LOWER(AG883))</f>
        <v>no</v>
      </c>
      <c r="AI883" s="46" t="s">
        <v>4692</v>
      </c>
    </row>
    <row r="884" spans="1:35">
      <c r="A884" s="37" t="s">
        <v>3134</v>
      </c>
      <c r="B884" s="38" t="s">
        <v>4702</v>
      </c>
      <c r="C884" s="39">
        <f t="shared" si="208"/>
        <v>45393</v>
      </c>
      <c r="D884" s="40" t="s">
        <v>424</v>
      </c>
      <c r="E884" s="37" t="str" cm="1">
        <f t="array" ref="E884">_xlfn.IFS(D884="delhi","north",D884="mumbai","west",D884="bengaluru","south",D884="chennai","south",D884="kolkata","east",TRUE,"west")</f>
        <v>south</v>
      </c>
      <c r="F884" s="37" t="s">
        <v>213</v>
      </c>
      <c r="G884" s="37" t="str">
        <f t="shared" si="209"/>
        <v>dtdc</v>
      </c>
      <c r="H884" s="37" t="s">
        <v>440</v>
      </c>
      <c r="I884" s="37" t="str">
        <f t="shared" si="210"/>
        <v>road</v>
      </c>
      <c r="J884" s="37" t="s">
        <v>205</v>
      </c>
      <c r="K884" s="37" t="str">
        <f t="shared" si="211"/>
        <v>furniture</v>
      </c>
      <c r="L884" s="37" t="s">
        <v>380</v>
      </c>
      <c r="M884" s="37" t="str">
        <f t="shared" si="212"/>
        <v>east</v>
      </c>
      <c r="N884" s="37" t="s">
        <v>126</v>
      </c>
      <c r="O884" s="41" t="str">
        <f t="shared" si="213"/>
        <v>Yes</v>
      </c>
      <c r="P884" s="41">
        <v>61.5</v>
      </c>
      <c r="Q884" s="41">
        <v>988</v>
      </c>
      <c r="R884" s="42">
        <f t="shared" si="214"/>
        <v>16.0650406504065</v>
      </c>
      <c r="S884" s="37">
        <v>8</v>
      </c>
      <c r="T884" s="37" t="s">
        <v>784</v>
      </c>
      <c r="U884" s="43" t="str">
        <f t="shared" si="215"/>
        <v>20/04/2024</v>
      </c>
      <c r="V884" s="43">
        <f t="shared" si="216"/>
        <v>45402</v>
      </c>
      <c r="W884" s="44">
        <f t="array" ref="W884">_xlfn.IFS(TRIM(C884)="","",TRIM(V884)="","",TRUE,V884-C884)</f>
        <v>9</v>
      </c>
      <c r="X884" s="37">
        <f t="shared" si="217"/>
        <v>1</v>
      </c>
      <c r="Y884" s="37" t="s">
        <v>337</v>
      </c>
      <c r="Z884" s="37" t="str">
        <f t="shared" si="218"/>
        <v>damaged</v>
      </c>
      <c r="AA884" s="37" t="str">
        <f t="shared" si="219"/>
        <v>Late</v>
      </c>
      <c r="AB884" s="37" t="str">
        <f t="shared" si="222"/>
        <v>1</v>
      </c>
      <c r="AC884" s="37">
        <f t="shared" si="223"/>
        <v>1</v>
      </c>
      <c r="AD884" s="45">
        <f t="shared" si="221"/>
        <v>0.51123595505618</v>
      </c>
      <c r="AE884" s="37"/>
      <c r="AF884" s="37" t="s">
        <v>191</v>
      </c>
      <c r="AG884" s="37" t="str">
        <f t="shared" si="220"/>
        <v>no</v>
      </c>
      <c r="AH884" s="37" t="str">
        <f t="array" ref="AH884">_xlfn.IFS(LOWER(AG884)="n","no",LOWER(AG884)="y","yes",TRUE,LOWER(AG884))</f>
        <v>no</v>
      </c>
      <c r="AI884" s="37" t="s">
        <v>759</v>
      </c>
    </row>
    <row r="885" spans="1:35">
      <c r="A885" s="46" t="s">
        <v>3137</v>
      </c>
      <c r="B885" s="47">
        <v>45307</v>
      </c>
      <c r="C885" s="39">
        <f t="shared" si="208"/>
        <v>45307</v>
      </c>
      <c r="D885" s="48" t="s">
        <v>4699</v>
      </c>
      <c r="E885" s="37" t="str" cm="1">
        <f t="array" ref="E885">_xlfn.IFS(D885="delhi","north",D885="mumbai","west",D885="bengaluru","south",D885="chennai","south",D885="kolkata","east",TRUE,"west")</f>
        <v>west</v>
      </c>
      <c r="F885" s="46" t="s">
        <v>37</v>
      </c>
      <c r="G885" s="37" t="str">
        <f t="shared" si="209"/>
        <v>bluedart</v>
      </c>
      <c r="H885" s="46" t="s">
        <v>147</v>
      </c>
      <c r="I885" s="37" t="str">
        <f t="shared" si="210"/>
        <v>road</v>
      </c>
      <c r="J885" s="46" t="s">
        <v>263</v>
      </c>
      <c r="K885" s="37" t="str">
        <f t="shared" si="211"/>
        <v>apparel</v>
      </c>
      <c r="L885" s="46" t="s">
        <v>470</v>
      </c>
      <c r="M885" s="37" t="str">
        <f t="shared" si="212"/>
        <v>east</v>
      </c>
      <c r="N885" s="46" t="s">
        <v>91</v>
      </c>
      <c r="O885" s="41" t="str">
        <f t="shared" si="213"/>
        <v>Yes</v>
      </c>
      <c r="P885" s="49">
        <v>3.9</v>
      </c>
      <c r="Q885" s="49">
        <v>215</v>
      </c>
      <c r="R885" s="42">
        <f t="shared" si="214"/>
        <v>55.1282051282051</v>
      </c>
      <c r="S885" s="46">
        <v>8</v>
      </c>
      <c r="T885" s="46" t="s">
        <v>763</v>
      </c>
      <c r="U885" s="43" t="str">
        <f t="shared" si="215"/>
        <v>23/01/2024</v>
      </c>
      <c r="V885" s="43">
        <f t="shared" si="216"/>
        <v>45314</v>
      </c>
      <c r="W885" s="44">
        <f t="array" ref="W885">_xlfn.IFS(TRIM(C885)="","",TRIM(V885)="","",TRUE,V885-C885)</f>
        <v>7</v>
      </c>
      <c r="X885" s="37">
        <f t="shared" si="217"/>
        <v>-1</v>
      </c>
      <c r="Y885" s="46" t="s">
        <v>117</v>
      </c>
      <c r="Z885" s="37" t="str">
        <f t="shared" si="218"/>
        <v>delivered</v>
      </c>
      <c r="AA885" s="37" t="str">
        <f t="shared" si="219"/>
        <v>On Time</v>
      </c>
      <c r="AB885" s="37" t="str">
        <f t="shared" si="222"/>
        <v>0</v>
      </c>
      <c r="AC885" s="37">
        <f t="shared" si="223"/>
        <v>0</v>
      </c>
      <c r="AD885" s="45">
        <f t="shared" si="221"/>
        <v>0.510548523206751</v>
      </c>
      <c r="AE885" s="46">
        <v>5</v>
      </c>
      <c r="AF885" s="46" t="s">
        <v>79</v>
      </c>
      <c r="AG885" s="37" t="str">
        <f t="shared" si="220"/>
        <v>yes</v>
      </c>
      <c r="AH885" s="37" t="str">
        <f t="array" ref="AH885">_xlfn.IFS(LOWER(AG885)="n","no",LOWER(AG885)="y","yes",TRUE,LOWER(AG885))</f>
        <v>yes</v>
      </c>
      <c r="AI885" s="46" t="s">
        <v>4692</v>
      </c>
    </row>
    <row r="886" spans="1:35">
      <c r="A886" s="37" t="s">
        <v>3138</v>
      </c>
      <c r="B886" s="38">
        <v>45317</v>
      </c>
      <c r="C886" s="39">
        <f t="shared" si="208"/>
        <v>45317</v>
      </c>
      <c r="D886" s="40" t="s">
        <v>109</v>
      </c>
      <c r="E886" s="37" t="str" cm="1">
        <f t="array" ref="E886">_xlfn.IFS(D886="delhi","north",D886="mumbai","west",D886="bengaluru","south",D886="chennai","south",D886="kolkata","east",TRUE,"west")</f>
        <v>west</v>
      </c>
      <c r="F886" s="37" t="s">
        <v>919</v>
      </c>
      <c r="G886" s="37" t="str">
        <f t="shared" si="209"/>
        <v>xpressbees</v>
      </c>
      <c r="H886" s="37" t="s">
        <v>137</v>
      </c>
      <c r="I886" s="37" t="str">
        <f t="shared" si="210"/>
        <v>road</v>
      </c>
      <c r="J886" s="37" t="s">
        <v>319</v>
      </c>
      <c r="K886" s="37" t="str">
        <f t="shared" si="211"/>
        <v>electronics</v>
      </c>
      <c r="L886" s="37" t="s">
        <v>51</v>
      </c>
      <c r="M886" s="37" t="str">
        <f t="shared" si="212"/>
        <v>south</v>
      </c>
      <c r="N886" s="37" t="s">
        <v>93</v>
      </c>
      <c r="O886" s="41" t="str">
        <f t="shared" si="213"/>
        <v>Yes</v>
      </c>
      <c r="P886" s="41">
        <v>9.1</v>
      </c>
      <c r="Q886" s="41">
        <v>271</v>
      </c>
      <c r="R886" s="42">
        <f t="shared" si="214"/>
        <v>29.7802197802198</v>
      </c>
      <c r="S886" s="37">
        <v>8</v>
      </c>
      <c r="T886" s="37" t="s">
        <v>221</v>
      </c>
      <c r="U886" s="43" t="str">
        <f t="shared" si="215"/>
        <v>03-feb-2024</v>
      </c>
      <c r="V886" s="43">
        <f t="shared" si="216"/>
        <v>45325</v>
      </c>
      <c r="W886" s="44">
        <f t="array" ref="W886">_xlfn.IFS(TRIM(C886)="","",TRIM(V886)="","",TRUE,V886-C886)</f>
        <v>8</v>
      </c>
      <c r="X886" s="37">
        <f t="shared" si="217"/>
        <v>0</v>
      </c>
      <c r="Y886" s="37" t="s">
        <v>219</v>
      </c>
      <c r="Z886" s="37" t="str">
        <f t="shared" si="218"/>
        <v>delivered</v>
      </c>
      <c r="AA886" s="37" t="str">
        <f t="shared" si="219"/>
        <v>On Time</v>
      </c>
      <c r="AB886" s="37" t="str">
        <f t="shared" si="222"/>
        <v>0</v>
      </c>
      <c r="AC886" s="37">
        <f t="shared" si="223"/>
        <v>0</v>
      </c>
      <c r="AD886" s="45">
        <f t="shared" si="221"/>
        <v>0.511267605633803</v>
      </c>
      <c r="AE886" s="37">
        <v>5</v>
      </c>
      <c r="AF886" s="37" t="s">
        <v>286</v>
      </c>
      <c r="AG886" s="37" t="str">
        <f t="shared" si="220"/>
        <v>yes</v>
      </c>
      <c r="AH886" s="37" t="str">
        <f t="array" ref="AH886">_xlfn.IFS(LOWER(AG886)="n","no",LOWER(AG886)="y","yes",TRUE,LOWER(AG886))</f>
        <v>yes</v>
      </c>
      <c r="AI886" s="37" t="s">
        <v>4692</v>
      </c>
    </row>
    <row r="887" spans="1:35">
      <c r="A887" s="46" t="s">
        <v>3140</v>
      </c>
      <c r="B887" s="47">
        <v>45428</v>
      </c>
      <c r="C887" s="39">
        <f t="shared" si="208"/>
        <v>45428</v>
      </c>
      <c r="D887" s="48" t="s">
        <v>4712</v>
      </c>
      <c r="E887" s="37" t="str" cm="1">
        <f t="array" ref="E887">_xlfn.IFS(D887="delhi","north",D887="mumbai","west",D887="bengaluru","south",D887="chennai","south",D887="kolkata","east",TRUE,"west")</f>
        <v>west</v>
      </c>
      <c r="F887" s="46" t="s">
        <v>312</v>
      </c>
      <c r="G887" s="37" t="str">
        <f t="shared" si="209"/>
        <v>bluedart</v>
      </c>
      <c r="H887" s="46" t="s">
        <v>185</v>
      </c>
      <c r="I887" s="37" t="str">
        <f t="shared" si="210"/>
        <v>surface</v>
      </c>
      <c r="J887" s="46" t="s">
        <v>245</v>
      </c>
      <c r="K887" s="37" t="str">
        <f t="shared" si="211"/>
        <v>electronics</v>
      </c>
      <c r="L887" s="46" t="s">
        <v>257</v>
      </c>
      <c r="M887" s="37" t="str">
        <f t="shared" si="212"/>
        <v>west</v>
      </c>
      <c r="N887" s="46" t="s">
        <v>88</v>
      </c>
      <c r="O887" s="41" t="str">
        <f t="shared" si="213"/>
        <v>Yes</v>
      </c>
      <c r="P887" s="49">
        <v>11.4</v>
      </c>
      <c r="Q887" s="49">
        <v>431</v>
      </c>
      <c r="R887" s="42">
        <f t="shared" si="214"/>
        <v>37.8070175438597</v>
      </c>
      <c r="S887" s="46">
        <v>6</v>
      </c>
      <c r="T887" s="46" t="s">
        <v>720</v>
      </c>
      <c r="U887" s="43" t="str">
        <f t="shared" si="215"/>
        <v>2024-05-21</v>
      </c>
      <c r="V887" s="43">
        <f t="shared" si="216"/>
        <v>45433</v>
      </c>
      <c r="W887" s="44">
        <f t="array" ref="W887">_xlfn.IFS(TRIM(C887)="","",TRIM(V887)="","",TRUE,V887-C887)</f>
        <v>5</v>
      </c>
      <c r="X887" s="37">
        <f t="shared" si="217"/>
        <v>-1</v>
      </c>
      <c r="Y887" s="46" t="s">
        <v>105</v>
      </c>
      <c r="Z887" s="37" t="str">
        <f t="shared" si="218"/>
        <v>delivered</v>
      </c>
      <c r="AA887" s="37" t="str">
        <f t="shared" si="219"/>
        <v>On Time</v>
      </c>
      <c r="AB887" s="37" t="str">
        <f t="shared" si="222"/>
        <v>0</v>
      </c>
      <c r="AC887" s="37">
        <f t="shared" si="223"/>
        <v>0</v>
      </c>
      <c r="AD887" s="45">
        <f t="shared" si="221"/>
        <v>0.511988716502116</v>
      </c>
      <c r="AE887" s="46">
        <v>4</v>
      </c>
      <c r="AF887" s="46" t="s">
        <v>131</v>
      </c>
      <c r="AG887" s="37" t="str">
        <f t="shared" si="220"/>
        <v>n</v>
      </c>
      <c r="AH887" s="37" t="str">
        <f t="array" ref="AH887">_xlfn.IFS(LOWER(AG887)="n","no",LOWER(AG887)="y","yes",TRUE,LOWER(AG887))</f>
        <v>no</v>
      </c>
      <c r="AI887" s="46" t="s">
        <v>4692</v>
      </c>
    </row>
    <row r="888" spans="1:35">
      <c r="A888" s="37" t="s">
        <v>3142</v>
      </c>
      <c r="B888" s="38">
        <v>45452</v>
      </c>
      <c r="C888" s="39">
        <f t="shared" si="208"/>
        <v>45452</v>
      </c>
      <c r="D888" s="40" t="s">
        <v>366</v>
      </c>
      <c r="E888" s="37" t="str" cm="1">
        <f t="array" ref="E888">_xlfn.IFS(D888="delhi","north",D888="mumbai","west",D888="bengaluru","south",D888="chennai","south",D888="kolkata","east",TRUE,"west")</f>
        <v>east</v>
      </c>
      <c r="F888" s="37" t="s">
        <v>204</v>
      </c>
      <c r="G888" s="37" t="str">
        <f t="shared" si="209"/>
        <v>delhivery</v>
      </c>
      <c r="H888" s="37" t="s">
        <v>157</v>
      </c>
      <c r="I888" s="37" t="str">
        <f t="shared" si="210"/>
        <v>surface</v>
      </c>
      <c r="J888" s="37" t="s">
        <v>734</v>
      </c>
      <c r="K888" s="37" t="str">
        <f t="shared" si="211"/>
        <v>grocery&amp;fmcg</v>
      </c>
      <c r="L888" s="37" t="s">
        <v>197</v>
      </c>
      <c r="M888" s="37" t="str">
        <f t="shared" si="212"/>
        <v>south</v>
      </c>
      <c r="N888" s="37" t="s">
        <v>54</v>
      </c>
      <c r="O888" s="41" t="str">
        <f t="shared" si="213"/>
        <v>Yes</v>
      </c>
      <c r="P888" s="41">
        <v>13.2</v>
      </c>
      <c r="Q888" s="41">
        <v>491</v>
      </c>
      <c r="R888" s="42">
        <f t="shared" si="214"/>
        <v>37.1969696969697</v>
      </c>
      <c r="S888" s="37">
        <v>6</v>
      </c>
      <c r="T888" s="37" t="s">
        <v>2177</v>
      </c>
      <c r="U888" s="43" t="str">
        <f t="shared" si="215"/>
        <v>16/06/2024</v>
      </c>
      <c r="V888" s="43">
        <f t="shared" si="216"/>
        <v>45459</v>
      </c>
      <c r="W888" s="44">
        <f t="array" ref="W888">_xlfn.IFS(TRIM(C888)="","",TRIM(V888)="","",TRUE,V888-C888)</f>
        <v>7</v>
      </c>
      <c r="X888" s="37">
        <f t="shared" si="217"/>
        <v>1</v>
      </c>
      <c r="Y888" s="37" t="s">
        <v>143</v>
      </c>
      <c r="Z888" s="37" t="str">
        <f t="shared" si="218"/>
        <v>delayed</v>
      </c>
      <c r="AA888" s="37" t="str">
        <f t="shared" si="219"/>
        <v>Late</v>
      </c>
      <c r="AB888" s="37" t="str">
        <f t="shared" si="222"/>
        <v>1</v>
      </c>
      <c r="AC888" s="37">
        <f t="shared" si="223"/>
        <v>1</v>
      </c>
      <c r="AD888" s="45">
        <f t="shared" si="221"/>
        <v>0.51271186440678</v>
      </c>
      <c r="AE888" s="37">
        <v>2</v>
      </c>
      <c r="AF888" s="37" t="s">
        <v>118</v>
      </c>
      <c r="AG888" s="37" t="str">
        <f t="shared" si="220"/>
        <v>no</v>
      </c>
      <c r="AH888" s="37" t="str">
        <f t="array" ref="AH888">_xlfn.IFS(LOWER(AG888)="n","no",LOWER(AG888)="y","yes",TRUE,LOWER(AG888))</f>
        <v>no</v>
      </c>
      <c r="AI888" s="37" t="s">
        <v>4692</v>
      </c>
    </row>
    <row r="889" spans="1:35">
      <c r="A889" s="46" t="s">
        <v>3145</v>
      </c>
      <c r="B889" s="47">
        <v>45394</v>
      </c>
      <c r="C889" s="39">
        <f t="shared" si="208"/>
        <v>45394</v>
      </c>
      <c r="D889" s="48" t="s">
        <v>212</v>
      </c>
      <c r="E889" s="37" t="str" cm="1">
        <f t="array" ref="E889">_xlfn.IFS(D889="delhi","north",D889="mumbai","west",D889="bengaluru","south",D889="chennai","south",D889="kolkata","east",TRUE,"west")</f>
        <v>west</v>
      </c>
      <c r="F889" s="46" t="s">
        <v>213</v>
      </c>
      <c r="G889" s="37" t="str">
        <f t="shared" si="209"/>
        <v>dtdc</v>
      </c>
      <c r="H889" s="46" t="s">
        <v>123</v>
      </c>
      <c r="I889" s="37" t="str">
        <f t="shared" si="210"/>
        <v>air</v>
      </c>
      <c r="J889" s="46" t="s">
        <v>385</v>
      </c>
      <c r="K889" s="37" t="str">
        <f t="shared" si="211"/>
        <v>furniture</v>
      </c>
      <c r="L889" s="46" t="s">
        <v>334</v>
      </c>
      <c r="M889" s="37" t="str">
        <f t="shared" si="212"/>
        <v>north</v>
      </c>
      <c r="N889" s="46" t="s">
        <v>32</v>
      </c>
      <c r="O889" s="41" t="str">
        <f t="shared" si="213"/>
        <v>Yes</v>
      </c>
      <c r="P889" s="49" t="s">
        <v>3146</v>
      </c>
      <c r="Q889" s="51">
        <v>2860</v>
      </c>
      <c r="R889" s="42">
        <f t="shared" si="214"/>
        <v>47.3509933774834</v>
      </c>
      <c r="S889" s="46">
        <v>4</v>
      </c>
      <c r="T889" s="46" t="s">
        <v>1890</v>
      </c>
      <c r="U889" s="43" t="str">
        <f t="shared" si="215"/>
        <v>17/04/2024</v>
      </c>
      <c r="V889" s="43">
        <f t="shared" si="216"/>
        <v>45399</v>
      </c>
      <c r="W889" s="44">
        <f t="array" ref="W889">_xlfn.IFS(TRIM(C889)="","",TRIM(V889)="","",TRUE,V889-C889)</f>
        <v>5</v>
      </c>
      <c r="X889" s="37">
        <f t="shared" si="217"/>
        <v>1</v>
      </c>
      <c r="Y889" s="46" t="s">
        <v>143</v>
      </c>
      <c r="Z889" s="37" t="str">
        <f t="shared" si="218"/>
        <v>delayed</v>
      </c>
      <c r="AA889" s="37" t="str">
        <f t="shared" si="219"/>
        <v>Late</v>
      </c>
      <c r="AB889" s="37" t="str">
        <f t="shared" si="222"/>
        <v>1</v>
      </c>
      <c r="AC889" s="37">
        <f t="shared" si="223"/>
        <v>1</v>
      </c>
      <c r="AD889" s="45">
        <f t="shared" si="221"/>
        <v>0.512022630834512</v>
      </c>
      <c r="AE889" s="46">
        <v>4</v>
      </c>
      <c r="AF889" s="46" t="s">
        <v>118</v>
      </c>
      <c r="AG889" s="37" t="str">
        <f t="shared" si="220"/>
        <v>no</v>
      </c>
      <c r="AH889" s="37" t="str">
        <f t="array" ref="AH889">_xlfn.IFS(LOWER(AG889)="n","no",LOWER(AG889)="y","yes",TRUE,LOWER(AG889))</f>
        <v>no</v>
      </c>
      <c r="AI889" s="46" t="s">
        <v>4692</v>
      </c>
    </row>
    <row r="890" spans="1:35">
      <c r="A890" s="37" t="s">
        <v>3148</v>
      </c>
      <c r="B890" s="38">
        <v>45397</v>
      </c>
      <c r="C890" s="39">
        <f t="shared" si="208"/>
        <v>45397</v>
      </c>
      <c r="D890" s="40" t="s">
        <v>424</v>
      </c>
      <c r="E890" s="37" t="str" cm="1">
        <f t="array" ref="E890">_xlfn.IFS(D890="delhi","north",D890="mumbai","west",D890="bengaluru","south",D890="chennai","south",D890="kolkata","east",TRUE,"west")</f>
        <v>south</v>
      </c>
      <c r="F890" s="37" t="s">
        <v>230</v>
      </c>
      <c r="G890" s="37" t="str">
        <f t="shared" si="209"/>
        <v>dtdc</v>
      </c>
      <c r="H890" s="37" t="s">
        <v>185</v>
      </c>
      <c r="I890" s="37" t="str">
        <f t="shared" si="210"/>
        <v>surface</v>
      </c>
      <c r="J890" s="37" t="s">
        <v>237</v>
      </c>
      <c r="K890" s="37" t="str">
        <f t="shared" si="211"/>
        <v>automotiveparts</v>
      </c>
      <c r="L890" s="37" t="s">
        <v>112</v>
      </c>
      <c r="M890" s="37" t="str">
        <f t="shared" si="212"/>
        <v>north</v>
      </c>
      <c r="N890" s="37" t="s">
        <v>354</v>
      </c>
      <c r="O890" s="41" t="str">
        <f t="shared" si="213"/>
        <v>Yes</v>
      </c>
      <c r="P890" s="41">
        <v>29.1</v>
      </c>
      <c r="Q890" s="41">
        <v>785</v>
      </c>
      <c r="R890" s="42">
        <f t="shared" si="214"/>
        <v>26.9759450171821</v>
      </c>
      <c r="S890" s="37">
        <v>6</v>
      </c>
      <c r="T890" s="37" t="s">
        <v>1304</v>
      </c>
      <c r="U890" s="43" t="str">
        <f t="shared" si="215"/>
        <v>22/04/2024</v>
      </c>
      <c r="V890" s="43">
        <f t="shared" si="216"/>
        <v>45404</v>
      </c>
      <c r="W890" s="44">
        <f t="array" ref="W890">_xlfn.IFS(TRIM(C890)="","",TRIM(V890)="","",TRUE,V890-C890)</f>
        <v>7</v>
      </c>
      <c r="X890" s="37">
        <f t="shared" si="217"/>
        <v>1</v>
      </c>
      <c r="Y890" s="37" t="s">
        <v>143</v>
      </c>
      <c r="Z890" s="37" t="str">
        <f t="shared" si="218"/>
        <v>delayed</v>
      </c>
      <c r="AA890" s="37" t="str">
        <f t="shared" si="219"/>
        <v>Late</v>
      </c>
      <c r="AB890" s="37" t="str">
        <f t="shared" si="222"/>
        <v>1</v>
      </c>
      <c r="AC890" s="37">
        <f t="shared" si="223"/>
        <v>1</v>
      </c>
      <c r="AD890" s="45">
        <f t="shared" si="221"/>
        <v>0.511331444759207</v>
      </c>
      <c r="AE890" s="37">
        <v>1</v>
      </c>
      <c r="AF890" s="37" t="s">
        <v>106</v>
      </c>
      <c r="AG890" s="37" t="str">
        <f t="shared" si="220"/>
        <v>yes</v>
      </c>
      <c r="AH890" s="37" t="str">
        <f t="array" ref="AH890">_xlfn.IFS(LOWER(AG890)="n","no",LOWER(AG890)="y","yes",TRUE,LOWER(AG890))</f>
        <v>yes</v>
      </c>
      <c r="AI890" s="37" t="s">
        <v>4692</v>
      </c>
    </row>
    <row r="891" spans="1:35">
      <c r="A891" s="46" t="s">
        <v>3151</v>
      </c>
      <c r="B891" s="47">
        <v>45365</v>
      </c>
      <c r="C891" s="39">
        <f t="shared" si="208"/>
        <v>45365</v>
      </c>
      <c r="D891" s="48" t="s">
        <v>366</v>
      </c>
      <c r="E891" s="37" t="str" cm="1">
        <f t="array" ref="E891">_xlfn.IFS(D891="delhi","north",D891="mumbai","west",D891="bengaluru","south",D891="chennai","south",D891="kolkata","east",TRUE,"west")</f>
        <v>east</v>
      </c>
      <c r="F891" s="46" t="s">
        <v>184</v>
      </c>
      <c r="G891" s="37" t="str">
        <f t="shared" si="209"/>
        <v>ecomexpress</v>
      </c>
      <c r="H891" s="46" t="s">
        <v>244</v>
      </c>
      <c r="I891" s="37" t="str">
        <f t="shared" si="210"/>
        <v>air</v>
      </c>
      <c r="J891" s="46" t="s">
        <v>100</v>
      </c>
      <c r="K891" s="37" t="str">
        <f t="shared" si="211"/>
        <v>electronics</v>
      </c>
      <c r="L891" s="46" t="s">
        <v>264</v>
      </c>
      <c r="M891" s="37" t="str">
        <f t="shared" si="212"/>
        <v>west</v>
      </c>
      <c r="N891" s="46" t="s">
        <v>206</v>
      </c>
      <c r="O891" s="41" t="str">
        <f t="shared" si="213"/>
        <v>Yes</v>
      </c>
      <c r="P891" s="49" t="s">
        <v>57</v>
      </c>
      <c r="Q891" s="49" t="s">
        <v>1280</v>
      </c>
      <c r="R891" s="42">
        <f t="shared" si="214"/>
        <v>56.32</v>
      </c>
      <c r="S891" s="46">
        <v>4</v>
      </c>
      <c r="T891" s="46" t="s">
        <v>1610</v>
      </c>
      <c r="U891" s="43" t="str">
        <f t="shared" si="215"/>
        <v>18-mar-2024</v>
      </c>
      <c r="V891" s="43">
        <f t="shared" si="216"/>
        <v>45369</v>
      </c>
      <c r="W891" s="44">
        <f t="array" ref="W891">_xlfn.IFS(TRIM(C891)="","",TRIM(V891)="","",TRUE,V891-C891)</f>
        <v>4</v>
      </c>
      <c r="X891" s="37">
        <f t="shared" si="217"/>
        <v>0</v>
      </c>
      <c r="Y891" s="46" t="s">
        <v>117</v>
      </c>
      <c r="Z891" s="37" t="str">
        <f t="shared" si="218"/>
        <v>delivered</v>
      </c>
      <c r="AA891" s="37" t="str">
        <f t="shared" si="219"/>
        <v>On Time</v>
      </c>
      <c r="AB891" s="37" t="str">
        <f t="shared" si="222"/>
        <v>0</v>
      </c>
      <c r="AC891" s="37">
        <f t="shared" si="223"/>
        <v>0</v>
      </c>
      <c r="AD891" s="45">
        <f t="shared" si="221"/>
        <v>0.51063829787234</v>
      </c>
      <c r="AE891" s="46">
        <v>4</v>
      </c>
      <c r="AF891" s="46" t="s">
        <v>118</v>
      </c>
      <c r="AG891" s="37" t="str">
        <f t="shared" si="220"/>
        <v>no</v>
      </c>
      <c r="AH891" s="37" t="str">
        <f t="array" ref="AH891">_xlfn.IFS(LOWER(AG891)="n","no",LOWER(AG891)="y","yes",TRUE,LOWER(AG891))</f>
        <v>no</v>
      </c>
      <c r="AI891" s="46" t="s">
        <v>4692</v>
      </c>
    </row>
    <row r="892" spans="1:35">
      <c r="A892" s="37" t="s">
        <v>3152</v>
      </c>
      <c r="B892" s="38">
        <v>45466</v>
      </c>
      <c r="C892" s="39">
        <f t="shared" si="208"/>
        <v>45466</v>
      </c>
      <c r="D892" s="40" t="s">
        <v>4699</v>
      </c>
      <c r="E892" s="37" t="str" cm="1">
        <f t="array" ref="E892">_xlfn.IFS(D892="delhi","north",D892="mumbai","west",D892="bengaluru","south",D892="chennai","south",D892="kolkata","east",TRUE,"west")</f>
        <v>west</v>
      </c>
      <c r="F892" s="37" t="s">
        <v>270</v>
      </c>
      <c r="G892" s="37" t="str">
        <f t="shared" si="209"/>
        <v>ecomexpress</v>
      </c>
      <c r="H892" s="37" t="s">
        <v>42</v>
      </c>
      <c r="I892" s="37" t="str">
        <f t="shared" si="210"/>
        <v>surface</v>
      </c>
      <c r="J892" s="37" t="s">
        <v>277</v>
      </c>
      <c r="K892" s="37" t="str">
        <f t="shared" si="211"/>
        <v>apparel</v>
      </c>
      <c r="L892" s="37" t="s">
        <v>87</v>
      </c>
      <c r="M892" s="37" t="str">
        <f t="shared" si="212"/>
        <v>north</v>
      </c>
      <c r="N892" s="37" t="s">
        <v>215</v>
      </c>
      <c r="O892" s="41" t="str">
        <f t="shared" si="213"/>
        <v>Yes</v>
      </c>
      <c r="P892" s="41">
        <v>3</v>
      </c>
      <c r="Q892" s="41">
        <v>227</v>
      </c>
      <c r="R892" s="42">
        <f t="shared" si="214"/>
        <v>75.6666666666667</v>
      </c>
      <c r="S892" s="37">
        <v>6</v>
      </c>
      <c r="T892" s="37" t="s">
        <v>448</v>
      </c>
      <c r="U892" s="43" t="str">
        <f t="shared" si="215"/>
        <v>2024-07-03</v>
      </c>
      <c r="V892" s="43">
        <f t="shared" si="216"/>
        <v>45476</v>
      </c>
      <c r="W892" s="44">
        <f t="array" ref="W892">_xlfn.IFS(TRIM(C892)="","",TRIM(V892)="","",TRUE,V892-C892)</f>
        <v>10</v>
      </c>
      <c r="X892" s="37">
        <f t="shared" si="217"/>
        <v>4</v>
      </c>
      <c r="Y892" s="37" t="s">
        <v>143</v>
      </c>
      <c r="Z892" s="37" t="str">
        <f t="shared" si="218"/>
        <v>delayed</v>
      </c>
      <c r="AA892" s="37" t="str">
        <f t="shared" si="219"/>
        <v>Late</v>
      </c>
      <c r="AB892" s="37" t="str">
        <f t="shared" si="222"/>
        <v>1</v>
      </c>
      <c r="AC892" s="37">
        <f t="shared" si="223"/>
        <v>1</v>
      </c>
      <c r="AD892" s="45">
        <f t="shared" si="221"/>
        <v>0.511363636363636</v>
      </c>
      <c r="AE892" s="37">
        <v>3</v>
      </c>
      <c r="AF892" s="37" t="s">
        <v>118</v>
      </c>
      <c r="AG892" s="37" t="str">
        <f t="shared" si="220"/>
        <v>no</v>
      </c>
      <c r="AH892" s="37" t="str">
        <f t="array" ref="AH892">_xlfn.IFS(LOWER(AG892)="n","no",LOWER(AG892)="y","yes",TRUE,LOWER(AG892))</f>
        <v>no</v>
      </c>
      <c r="AI892" s="37" t="s">
        <v>4692</v>
      </c>
    </row>
    <row r="893" spans="1:35">
      <c r="A893" s="46" t="s">
        <v>3153</v>
      </c>
      <c r="B893" s="47">
        <v>45371</v>
      </c>
      <c r="C893" s="39">
        <f t="shared" si="208"/>
        <v>45371</v>
      </c>
      <c r="D893" s="48" t="s">
        <v>121</v>
      </c>
      <c r="E893" s="37" t="str" cm="1">
        <f t="array" ref="E893">_xlfn.IFS(D893="delhi","north",D893="mumbai","west",D893="bengaluru","south",D893="chennai","south",D893="kolkata","east",TRUE,"west")</f>
        <v>west</v>
      </c>
      <c r="F893" s="46" t="s">
        <v>919</v>
      </c>
      <c r="G893" s="37" t="str">
        <f t="shared" si="209"/>
        <v>xpressbees</v>
      </c>
      <c r="H893" s="46" t="s">
        <v>110</v>
      </c>
      <c r="I893" s="37" t="str">
        <f t="shared" si="210"/>
        <v>surface</v>
      </c>
      <c r="J893" s="46" t="s">
        <v>843</v>
      </c>
      <c r="K893" s="37" t="str">
        <f t="shared" si="211"/>
        <v>automotiveparts</v>
      </c>
      <c r="L893" s="46" t="s">
        <v>159</v>
      </c>
      <c r="M893" s="37" t="str">
        <f t="shared" si="212"/>
        <v>south</v>
      </c>
      <c r="N893" s="46" t="s">
        <v>93</v>
      </c>
      <c r="O893" s="41" t="str">
        <f t="shared" si="213"/>
        <v>Yes</v>
      </c>
      <c r="P893" s="49" t="s">
        <v>2352</v>
      </c>
      <c r="Q893" s="49" t="s">
        <v>3154</v>
      </c>
      <c r="R893" s="42">
        <f t="shared" si="214"/>
        <v>32.5133689839572</v>
      </c>
      <c r="S893" s="46">
        <v>6</v>
      </c>
      <c r="T893" s="46" t="s">
        <v>3004</v>
      </c>
      <c r="U893" s="43" t="str">
        <f t="shared" si="215"/>
        <v>27/03/2024</v>
      </c>
      <c r="V893" s="43">
        <f t="shared" si="216"/>
        <v>45378</v>
      </c>
      <c r="W893" s="44">
        <f t="array" ref="W893">_xlfn.IFS(TRIM(C893)="","",TRIM(V893)="","",TRUE,V893-C893)</f>
        <v>7</v>
      </c>
      <c r="X893" s="37">
        <f t="shared" si="217"/>
        <v>1</v>
      </c>
      <c r="Y893" s="46" t="s">
        <v>72</v>
      </c>
      <c r="Z893" s="37" t="str">
        <f t="shared" si="218"/>
        <v>delayed</v>
      </c>
      <c r="AA893" s="37" t="str">
        <f t="shared" si="219"/>
        <v>Late</v>
      </c>
      <c r="AB893" s="37" t="str">
        <f t="shared" si="222"/>
        <v>1</v>
      </c>
      <c r="AC893" s="37">
        <f t="shared" si="223"/>
        <v>1</v>
      </c>
      <c r="AD893" s="45">
        <f t="shared" si="221"/>
        <v>0.510668563300142</v>
      </c>
      <c r="AE893" s="46">
        <v>4</v>
      </c>
      <c r="AF893" s="46" t="s">
        <v>106</v>
      </c>
      <c r="AG893" s="37" t="str">
        <f t="shared" si="220"/>
        <v>yes</v>
      </c>
      <c r="AH893" s="37" t="str">
        <f t="array" ref="AH893">_xlfn.IFS(LOWER(AG893)="n","no",LOWER(AG893)="y","yes",TRUE,LOWER(AG893))</f>
        <v>yes</v>
      </c>
      <c r="AI893" s="46" t="s">
        <v>4692</v>
      </c>
    </row>
    <row r="894" spans="1:35">
      <c r="A894" s="37" t="s">
        <v>3155</v>
      </c>
      <c r="B894" s="38">
        <v>45317</v>
      </c>
      <c r="C894" s="39">
        <f t="shared" si="208"/>
        <v>45317</v>
      </c>
      <c r="D894" s="40" t="s">
        <v>633</v>
      </c>
      <c r="E894" s="37" t="str" cm="1">
        <f t="array" ref="E894">_xlfn.IFS(D894="delhi","north",D894="mumbai","west",D894="bengaluru","south",D894="chennai","south",D894="kolkata","east",TRUE,"west")</f>
        <v>south</v>
      </c>
      <c r="F894" s="37" t="s">
        <v>367</v>
      </c>
      <c r="G894" s="37" t="str">
        <f t="shared" si="209"/>
        <v>dtdc</v>
      </c>
      <c r="H894" s="37" t="s">
        <v>440</v>
      </c>
      <c r="I894" s="37" t="str">
        <f t="shared" si="210"/>
        <v>road</v>
      </c>
      <c r="J894" s="37" t="s">
        <v>1701</v>
      </c>
      <c r="K894" s="37" t="str">
        <f t="shared" si="211"/>
        <v>grocery&amp;fmcg</v>
      </c>
      <c r="L894" s="37" t="s">
        <v>168</v>
      </c>
      <c r="M894" s="37" t="str">
        <f t="shared" si="212"/>
        <v>west</v>
      </c>
      <c r="N894" s="37" t="s">
        <v>278</v>
      </c>
      <c r="O894" s="41" t="str">
        <f t="shared" si="213"/>
        <v>Yes</v>
      </c>
      <c r="P894" s="41">
        <v>14</v>
      </c>
      <c r="Q894" s="41">
        <v>320</v>
      </c>
      <c r="R894" s="42">
        <f t="shared" si="214"/>
        <v>22.8571428571429</v>
      </c>
      <c r="S894" s="37">
        <v>8</v>
      </c>
      <c r="T894" s="37" t="s">
        <v>1489</v>
      </c>
      <c r="U894" s="43" t="str">
        <f t="shared" si="215"/>
        <v>06/02/2024</v>
      </c>
      <c r="V894" s="43">
        <f t="shared" si="216"/>
        <v>45328</v>
      </c>
      <c r="W894" s="44">
        <f t="array" ref="W894">_xlfn.IFS(TRIM(C894)="","",TRIM(V894)="","",TRUE,V894-C894)</f>
        <v>11</v>
      </c>
      <c r="X894" s="37">
        <f t="shared" si="217"/>
        <v>3</v>
      </c>
      <c r="Y894" s="37" t="s">
        <v>172</v>
      </c>
      <c r="Z894" s="37" t="str">
        <f t="shared" si="218"/>
        <v>delayed</v>
      </c>
      <c r="AA894" s="37" t="str">
        <f t="shared" si="219"/>
        <v>Late</v>
      </c>
      <c r="AB894" s="37" t="str">
        <f t="shared" si="222"/>
        <v>1</v>
      </c>
      <c r="AC894" s="37">
        <f t="shared" si="223"/>
        <v>1</v>
      </c>
      <c r="AD894" s="45">
        <f t="shared" si="221"/>
        <v>0.50997150997151</v>
      </c>
      <c r="AE894" s="37">
        <v>4</v>
      </c>
      <c r="AF894" s="37" t="s">
        <v>118</v>
      </c>
      <c r="AG894" s="37" t="str">
        <f t="shared" si="220"/>
        <v>no</v>
      </c>
      <c r="AH894" s="37" t="str">
        <f t="array" ref="AH894">_xlfn.IFS(LOWER(AG894)="n","no",LOWER(AG894)="y","yes",TRUE,LOWER(AG894))</f>
        <v>no</v>
      </c>
      <c r="AI894" s="37" t="s">
        <v>4692</v>
      </c>
    </row>
    <row r="895" spans="1:35">
      <c r="A895" s="46" t="s">
        <v>3156</v>
      </c>
      <c r="B895" s="47" t="s">
        <v>4806</v>
      </c>
      <c r="C895" s="39">
        <f t="shared" si="208"/>
        <v>45301</v>
      </c>
      <c r="D895" s="48" t="s">
        <v>212</v>
      </c>
      <c r="E895" s="37" t="str" cm="1">
        <f t="array" ref="E895">_xlfn.IFS(D895="delhi","north",D895="mumbai","west",D895="bengaluru","south",D895="chennai","south",D895="kolkata","east",TRUE,"west")</f>
        <v>west</v>
      </c>
      <c r="F895" s="46" t="s">
        <v>122</v>
      </c>
      <c r="G895" s="37" t="str">
        <f t="shared" si="209"/>
        <v>delhivery</v>
      </c>
      <c r="H895" s="46" t="s">
        <v>325</v>
      </c>
      <c r="I895" s="37" t="str">
        <f t="shared" si="210"/>
        <v>air</v>
      </c>
      <c r="J895" s="46" t="s">
        <v>425</v>
      </c>
      <c r="K895" s="37" t="str">
        <f t="shared" si="211"/>
        <v>automotiveparts</v>
      </c>
      <c r="L895" s="46" t="s">
        <v>87</v>
      </c>
      <c r="M895" s="37" t="str">
        <f t="shared" si="212"/>
        <v>north</v>
      </c>
      <c r="N895" s="46" t="s">
        <v>32</v>
      </c>
      <c r="O895" s="41" t="str">
        <f t="shared" si="213"/>
        <v>Yes</v>
      </c>
      <c r="P895" s="49" t="s">
        <v>3157</v>
      </c>
      <c r="Q895" s="49" t="s">
        <v>3158</v>
      </c>
      <c r="R895" s="42">
        <f t="shared" si="214"/>
        <v>52.9961089494163</v>
      </c>
      <c r="S895" s="46">
        <v>4</v>
      </c>
      <c r="T895" s="46" t="s">
        <v>2367</v>
      </c>
      <c r="U895" s="43" t="str">
        <f t="shared" si="215"/>
        <v>17/01/2024</v>
      </c>
      <c r="V895" s="43">
        <f t="shared" si="216"/>
        <v>45308</v>
      </c>
      <c r="W895" s="44">
        <f t="array" ref="W895">_xlfn.IFS(TRIM(C895)="","",TRIM(V895)="","",TRUE,V895-C895)</f>
        <v>7</v>
      </c>
      <c r="X895" s="37">
        <f t="shared" si="217"/>
        <v>3</v>
      </c>
      <c r="Y895" s="46" t="s">
        <v>200</v>
      </c>
      <c r="Z895" s="37" t="str">
        <f t="shared" si="218"/>
        <v>delayed</v>
      </c>
      <c r="AA895" s="37" t="str">
        <f t="shared" si="219"/>
        <v>Late</v>
      </c>
      <c r="AB895" s="37" t="str">
        <f t="shared" si="222"/>
        <v>1</v>
      </c>
      <c r="AC895" s="37">
        <f t="shared" si="223"/>
        <v>1</v>
      </c>
      <c r="AD895" s="45">
        <f t="shared" si="221"/>
        <v>0.509272467902996</v>
      </c>
      <c r="AE895" s="46">
        <v>1</v>
      </c>
      <c r="AF895" s="46" t="s">
        <v>131</v>
      </c>
      <c r="AG895" s="37" t="str">
        <f t="shared" si="220"/>
        <v>n</v>
      </c>
      <c r="AH895" s="37" t="str">
        <f t="array" ref="AH895">_xlfn.IFS(LOWER(AG895)="n","no",LOWER(AG895)="y","yes",TRUE,LOWER(AG895))</f>
        <v>no</v>
      </c>
      <c r="AI895" s="46" t="s">
        <v>4692</v>
      </c>
    </row>
    <row r="896" spans="1:35">
      <c r="A896" s="37" t="s">
        <v>3159</v>
      </c>
      <c r="B896" s="38">
        <v>45307</v>
      </c>
      <c r="C896" s="39">
        <f t="shared" si="208"/>
        <v>45307</v>
      </c>
      <c r="D896" s="40" t="s">
        <v>109</v>
      </c>
      <c r="E896" s="37" t="str" cm="1">
        <f t="array" ref="E896">_xlfn.IFS(D896="delhi","north",D896="mumbai","west",D896="bengaluru","south",D896="chennai","south",D896="kolkata","east",TRUE,"west")</f>
        <v>west</v>
      </c>
      <c r="F896" s="37" t="s">
        <v>367</v>
      </c>
      <c r="G896" s="37" t="str">
        <f t="shared" si="209"/>
        <v>dtdc</v>
      </c>
      <c r="H896" s="37" t="s">
        <v>325</v>
      </c>
      <c r="I896" s="37" t="str">
        <f t="shared" si="210"/>
        <v>air</v>
      </c>
      <c r="J896" s="37" t="s">
        <v>111</v>
      </c>
      <c r="K896" s="37" t="str">
        <f t="shared" si="211"/>
        <v>grocery&amp;fmcg</v>
      </c>
      <c r="L896" s="37" t="s">
        <v>92</v>
      </c>
      <c r="M896" s="37" t="str">
        <f t="shared" si="212"/>
        <v>east</v>
      </c>
      <c r="N896" s="37" t="s">
        <v>396</v>
      </c>
      <c r="O896" s="41" t="str">
        <f t="shared" si="213"/>
        <v>Yes</v>
      </c>
      <c r="P896" s="41">
        <v>16.1</v>
      </c>
      <c r="Q896" s="41" t="s">
        <v>3161</v>
      </c>
      <c r="R896" s="42">
        <f t="shared" si="214"/>
        <v>54.8447204968944</v>
      </c>
      <c r="S896" s="37">
        <v>4</v>
      </c>
      <c r="T896" s="37" t="s">
        <v>1160</v>
      </c>
      <c r="U896" s="43" t="str">
        <f t="shared" si="215"/>
        <v>2024-01-29</v>
      </c>
      <c r="V896" s="43">
        <f t="shared" si="216"/>
        <v>45320</v>
      </c>
      <c r="W896" s="44">
        <f t="array" ref="W896">_xlfn.IFS(TRIM(C896)="","",TRIM(V896)="","",TRUE,V896-C896)</f>
        <v>13</v>
      </c>
      <c r="X896" s="37">
        <f t="shared" si="217"/>
        <v>9</v>
      </c>
      <c r="Y896" s="37" t="s">
        <v>172</v>
      </c>
      <c r="Z896" s="37" t="str">
        <f t="shared" si="218"/>
        <v>delayed</v>
      </c>
      <c r="AA896" s="37" t="str">
        <f t="shared" si="219"/>
        <v>Late</v>
      </c>
      <c r="AB896" s="37" t="str">
        <f t="shared" si="222"/>
        <v>1</v>
      </c>
      <c r="AC896" s="37">
        <f t="shared" si="223"/>
        <v>1</v>
      </c>
      <c r="AD896" s="45">
        <f t="shared" si="221"/>
        <v>0.508571428571429</v>
      </c>
      <c r="AE896" s="37">
        <v>4</v>
      </c>
      <c r="AF896" s="37" t="s">
        <v>286</v>
      </c>
      <c r="AG896" s="37" t="str">
        <f t="shared" si="220"/>
        <v>yes</v>
      </c>
      <c r="AH896" s="37" t="str">
        <f t="array" ref="AH896">_xlfn.IFS(LOWER(AG896)="n","no",LOWER(AG896)="y","yes",TRUE,LOWER(AG896))</f>
        <v>yes</v>
      </c>
      <c r="AI896" s="37" t="s">
        <v>4692</v>
      </c>
    </row>
    <row r="897" spans="1:35">
      <c r="A897" s="46" t="s">
        <v>3162</v>
      </c>
      <c r="B897" s="47">
        <v>45451</v>
      </c>
      <c r="C897" s="39">
        <f t="shared" si="208"/>
        <v>45451</v>
      </c>
      <c r="D897" s="48" t="s">
        <v>633</v>
      </c>
      <c r="E897" s="37" t="str" cm="1">
        <f t="array" ref="E897">_xlfn.IFS(D897="delhi","north",D897="mumbai","west",D897="bengaluru","south",D897="chennai","south",D897="kolkata","east",TRUE,"west")</f>
        <v>south</v>
      </c>
      <c r="F897" s="46" t="s">
        <v>146</v>
      </c>
      <c r="G897" s="37" t="str">
        <f t="shared" si="209"/>
        <v>ecomexpress</v>
      </c>
      <c r="H897" s="46" t="s">
        <v>137</v>
      </c>
      <c r="I897" s="37" t="str">
        <f t="shared" si="210"/>
        <v>road</v>
      </c>
      <c r="J897" s="46" t="s">
        <v>385</v>
      </c>
      <c r="K897" s="37" t="str">
        <f t="shared" si="211"/>
        <v>furniture</v>
      </c>
      <c r="L897" s="46" t="s">
        <v>89</v>
      </c>
      <c r="M897" s="37" t="str">
        <f t="shared" si="212"/>
        <v>west</v>
      </c>
      <c r="N897" s="46" t="s">
        <v>278</v>
      </c>
      <c r="O897" s="41" t="str">
        <f t="shared" si="213"/>
        <v>Yes</v>
      </c>
      <c r="P897" s="49" t="s">
        <v>3163</v>
      </c>
      <c r="Q897" s="51">
        <v>1273</v>
      </c>
      <c r="R897" s="42">
        <f t="shared" si="214"/>
        <v>16.1548223350254</v>
      </c>
      <c r="S897" s="46">
        <v>8</v>
      </c>
      <c r="T897" s="46" t="s">
        <v>1622</v>
      </c>
      <c r="U897" s="43" t="str">
        <f t="shared" si="215"/>
        <v>23-jun-2024</v>
      </c>
      <c r="V897" s="43">
        <f t="shared" si="216"/>
        <v>45466</v>
      </c>
      <c r="W897" s="44">
        <f t="array" ref="W897">_xlfn.IFS(TRIM(C897)="","",TRIM(V897)="","",TRUE,V897-C897)</f>
        <v>15</v>
      </c>
      <c r="X897" s="37">
        <f t="shared" si="217"/>
        <v>7</v>
      </c>
      <c r="Y897" s="46" t="s">
        <v>200</v>
      </c>
      <c r="Z897" s="37" t="str">
        <f t="shared" si="218"/>
        <v>delayed</v>
      </c>
      <c r="AA897" s="37" t="str">
        <f t="shared" si="219"/>
        <v>Late</v>
      </c>
      <c r="AB897" s="37" t="str">
        <f t="shared" si="222"/>
        <v>1</v>
      </c>
      <c r="AC897" s="37">
        <f t="shared" si="223"/>
        <v>1</v>
      </c>
      <c r="AD897" s="45">
        <f t="shared" si="221"/>
        <v>0.507868383404864</v>
      </c>
      <c r="AE897" s="46">
        <v>5</v>
      </c>
      <c r="AF897" s="46" t="s">
        <v>152</v>
      </c>
      <c r="AG897" s="37" t="str">
        <f t="shared" si="220"/>
        <v>no</v>
      </c>
      <c r="AH897" s="37" t="str">
        <f t="array" ref="AH897">_xlfn.IFS(LOWER(AG897)="n","no",LOWER(AG897)="y","yes",TRUE,LOWER(AG897))</f>
        <v>no</v>
      </c>
      <c r="AI897" s="46" t="s">
        <v>4692</v>
      </c>
    </row>
    <row r="898" spans="1:35">
      <c r="A898" s="37" t="s">
        <v>3165</v>
      </c>
      <c r="B898" s="38" t="s">
        <v>4718</v>
      </c>
      <c r="C898" s="39">
        <f t="shared" ref="C898:C961" si="224">IF(ISNUMBER(B898),B898,DATE(RIGHT(TRIM(B898),4),MID(TRIM(B898),4,2),LEFT(TRIM(B898),2)))</f>
        <v>45333</v>
      </c>
      <c r="D898" s="40" t="s">
        <v>4704</v>
      </c>
      <c r="E898" s="37" t="str" cm="1">
        <f t="array" ref="E898">_xlfn.IFS(D898="delhi","north",D898="mumbai","west",D898="bengaluru","south",D898="chennai","south",D898="kolkata","east",TRUE,"west")</f>
        <v>west</v>
      </c>
      <c r="F898" s="37" t="s">
        <v>223</v>
      </c>
      <c r="G898" s="37" t="str">
        <f t="shared" ref="G898:G961" si="225">SUBSTITUTE(LOWER(F898)," ","")</f>
        <v>xpressbees</v>
      </c>
      <c r="H898" s="37" t="s">
        <v>176</v>
      </c>
      <c r="I898" s="37" t="str">
        <f t="shared" ref="I898:I961" si="226">SUBSTITUTE(LOWER(H898)," ","")</f>
        <v>road</v>
      </c>
      <c r="J898" s="37" t="s">
        <v>326</v>
      </c>
      <c r="K898" s="37" t="str">
        <f t="shared" ref="K898:K961" si="227">SUBSTITUTE(LOWER(J898)," ","")</f>
        <v>apparel</v>
      </c>
      <c r="L898" s="37" t="s">
        <v>112</v>
      </c>
      <c r="M898" s="37" t="str">
        <f t="shared" ref="M898:M961" si="228">SUBSTITUTE(LOWER(L898)," ","")</f>
        <v>north</v>
      </c>
      <c r="N898" s="37" t="s">
        <v>113</v>
      </c>
      <c r="O898" s="41" t="str">
        <f t="shared" ref="O898:O961" si="229">IF(OR(D898="",M898=""),"",IF(D898=M898,"No","Yes"))</f>
        <v>Yes</v>
      </c>
      <c r="P898" s="41">
        <v>4.4</v>
      </c>
      <c r="Q898" s="41">
        <v>236</v>
      </c>
      <c r="R898" s="42">
        <f t="shared" ref="R898:R961" si="230">IF(OR(Q898="",P898="",P898=0),"",Q898/P898)</f>
        <v>53.6363636363636</v>
      </c>
      <c r="S898" s="37">
        <v>8</v>
      </c>
      <c r="T898" s="37" t="s">
        <v>3167</v>
      </c>
      <c r="U898" s="43" t="str">
        <f t="shared" ref="U898:U961" si="231">SUBSTITUTE(LOWER(T898)," ","")</f>
        <v>2024-02-19</v>
      </c>
      <c r="V898" s="43">
        <f t="shared" ref="V898:V961" si="232">DATEVALUE(TEXT(U898,"yyyy-mm-dd"))</f>
        <v>45341</v>
      </c>
      <c r="W898" s="44">
        <f t="array" ref="W898">_xlfn.IFS(TRIM(C898)="","",TRIM(V898)="","",TRUE,V898-C898)</f>
        <v>8</v>
      </c>
      <c r="X898" s="37">
        <f t="shared" ref="X898:X961" si="233">IF(OR(W898="",S898=""),"",W898-S898)</f>
        <v>0</v>
      </c>
      <c r="Y898" s="37" t="s">
        <v>117</v>
      </c>
      <c r="Z898" s="37" t="str">
        <f t="shared" ref="Z898:Z961" si="234">SUBSTITUTE(LOWER(Y898)," ","")</f>
        <v>delivered</v>
      </c>
      <c r="AA898" s="37" t="str">
        <f t="shared" ref="AA898:AA961" si="235">IF(Z898="In-Transit","N/A",IF(X898="","",IF(X898&gt;0,"Late","On Time")))</f>
        <v>On Time</v>
      </c>
      <c r="AB898" s="37" t="str">
        <f t="shared" si="222"/>
        <v>0</v>
      </c>
      <c r="AC898" s="37">
        <f t="shared" si="223"/>
        <v>0</v>
      </c>
      <c r="AD898" s="45">
        <f t="shared" si="221"/>
        <v>0.507163323782235</v>
      </c>
      <c r="AE898" s="37">
        <v>4</v>
      </c>
      <c r="AF898" s="37" t="s">
        <v>131</v>
      </c>
      <c r="AG898" s="37" t="str">
        <f t="shared" ref="AG898:AG961" si="236">SUBSTITUTE(LOWER(AF898)," ","")</f>
        <v>n</v>
      </c>
      <c r="AH898" s="37" t="str">
        <f t="array" ref="AH898">_xlfn.IFS(LOWER(AG898)="n","no",LOWER(AG898)="y","yes",TRUE,LOWER(AG898))</f>
        <v>no</v>
      </c>
      <c r="AI898" s="37" t="s">
        <v>4692</v>
      </c>
    </row>
    <row r="899" spans="1:35">
      <c r="A899" s="46" t="s">
        <v>3168</v>
      </c>
      <c r="B899" s="47">
        <v>45349</v>
      </c>
      <c r="C899" s="39">
        <f t="shared" si="224"/>
        <v>45349</v>
      </c>
      <c r="D899" s="48" t="s">
        <v>340</v>
      </c>
      <c r="E899" s="37" t="str" cm="1">
        <f t="array" ref="E899">_xlfn.IFS(D899="delhi","north",D899="mumbai","west",D899="bengaluru","south",D899="chennai","south",D899="kolkata","east",TRUE,"west")</f>
        <v>north</v>
      </c>
      <c r="F899" s="46" t="s">
        <v>194</v>
      </c>
      <c r="G899" s="37" t="str">
        <f t="shared" si="225"/>
        <v>xpressbees</v>
      </c>
      <c r="H899" s="46" t="s">
        <v>110</v>
      </c>
      <c r="I899" s="37" t="str">
        <f t="shared" si="226"/>
        <v>surface</v>
      </c>
      <c r="J899" s="46" t="s">
        <v>368</v>
      </c>
      <c r="K899" s="37" t="str">
        <f t="shared" si="227"/>
        <v>furniture</v>
      </c>
      <c r="L899" s="46" t="s">
        <v>380</v>
      </c>
      <c r="M899" s="37" t="str">
        <f t="shared" si="228"/>
        <v>east</v>
      </c>
      <c r="N899" s="46" t="s">
        <v>91</v>
      </c>
      <c r="O899" s="41" t="str">
        <f t="shared" si="229"/>
        <v>Yes</v>
      </c>
      <c r="P899" s="49">
        <v>16.6</v>
      </c>
      <c r="Q899" s="49" t="s">
        <v>3170</v>
      </c>
      <c r="R899" s="42">
        <f t="shared" si="230"/>
        <v>31.2048192771084</v>
      </c>
      <c r="S899" s="46">
        <v>6</v>
      </c>
      <c r="T899" s="46" t="s">
        <v>1175</v>
      </c>
      <c r="U899" s="43" t="str">
        <f t="shared" si="231"/>
        <v>2024-03-12</v>
      </c>
      <c r="V899" s="43">
        <f t="shared" si="232"/>
        <v>45363</v>
      </c>
      <c r="W899" s="44">
        <f t="array" ref="W899">_xlfn.IFS(TRIM(C899)="","",TRIM(V899)="","",TRUE,V899-C899)</f>
        <v>14</v>
      </c>
      <c r="X899" s="37">
        <f t="shared" si="233"/>
        <v>8</v>
      </c>
      <c r="Y899" s="46" t="s">
        <v>143</v>
      </c>
      <c r="Z899" s="37" t="str">
        <f t="shared" si="234"/>
        <v>delayed</v>
      </c>
      <c r="AA899" s="37" t="str">
        <f t="shared" si="235"/>
        <v>Late</v>
      </c>
      <c r="AB899" s="37" t="str">
        <f t="shared" si="222"/>
        <v>1</v>
      </c>
      <c r="AC899" s="37">
        <f t="shared" si="223"/>
        <v>1</v>
      </c>
      <c r="AD899" s="45">
        <f t="shared" ref="AD899:AD962" si="237">COUNTIF(AC899:AC2498,1)/COUNT(AC899:AC2498)</f>
        <v>0.507890961262554</v>
      </c>
      <c r="AE899" s="46">
        <v>2</v>
      </c>
      <c r="AF899" s="46" t="s">
        <v>152</v>
      </c>
      <c r="AG899" s="37" t="str">
        <f t="shared" si="236"/>
        <v>no</v>
      </c>
      <c r="AH899" s="37" t="str">
        <f t="array" ref="AH899">_xlfn.IFS(LOWER(AG899)="n","no",LOWER(AG899)="y","yes",TRUE,LOWER(AG899))</f>
        <v>no</v>
      </c>
      <c r="AI899" s="46" t="s">
        <v>4692</v>
      </c>
    </row>
    <row r="900" spans="1:35">
      <c r="A900" s="37" t="s">
        <v>3171</v>
      </c>
      <c r="B900" s="38">
        <v>45294</v>
      </c>
      <c r="C900" s="39">
        <f t="shared" si="224"/>
        <v>45294</v>
      </c>
      <c r="D900" s="40" t="s">
        <v>633</v>
      </c>
      <c r="E900" s="37" t="str" cm="1">
        <f t="array" ref="E900">_xlfn.IFS(D900="delhi","north",D900="mumbai","west",D900="bengaluru","south",D900="chennai","south",D900="kolkata","east",TRUE,"west")</f>
        <v>south</v>
      </c>
      <c r="F900" s="37" t="s">
        <v>194</v>
      </c>
      <c r="G900" s="37" t="str">
        <f t="shared" si="225"/>
        <v>xpressbees</v>
      </c>
      <c r="H900" s="37" t="s">
        <v>440</v>
      </c>
      <c r="I900" s="37" t="str">
        <f t="shared" si="226"/>
        <v>road</v>
      </c>
      <c r="J900" s="37" t="s">
        <v>430</v>
      </c>
      <c r="K900" s="37" t="str">
        <f t="shared" si="227"/>
        <v>pharma</v>
      </c>
      <c r="L900" s="37" t="s">
        <v>92</v>
      </c>
      <c r="M900" s="37" t="str">
        <f t="shared" si="228"/>
        <v>east</v>
      </c>
      <c r="N900" s="37" t="s">
        <v>396</v>
      </c>
      <c r="O900" s="41" t="str">
        <f t="shared" si="229"/>
        <v>Yes</v>
      </c>
      <c r="P900" s="41" t="s">
        <v>3172</v>
      </c>
      <c r="Q900" s="41">
        <v>185</v>
      </c>
      <c r="R900" s="42">
        <f t="shared" si="230"/>
        <v>74</v>
      </c>
      <c r="S900" s="37">
        <v>8</v>
      </c>
      <c r="T900" s="37" t="s">
        <v>443</v>
      </c>
      <c r="U900" s="43" t="str">
        <f t="shared" si="231"/>
        <v>2024-01-11</v>
      </c>
      <c r="V900" s="43">
        <f t="shared" si="232"/>
        <v>45302</v>
      </c>
      <c r="W900" s="44">
        <f t="array" ref="W900">_xlfn.IFS(TRIM(C900)="","",TRIM(V900)="","",TRUE,V900-C900)</f>
        <v>8</v>
      </c>
      <c r="X900" s="37">
        <f t="shared" si="233"/>
        <v>0</v>
      </c>
      <c r="Y900" s="37" t="s">
        <v>117</v>
      </c>
      <c r="Z900" s="37" t="str">
        <f t="shared" si="234"/>
        <v>delivered</v>
      </c>
      <c r="AA900" s="37" t="str">
        <f t="shared" si="235"/>
        <v>On Time</v>
      </c>
      <c r="AB900" s="37" t="str">
        <f t="shared" si="222"/>
        <v>0</v>
      </c>
      <c r="AC900" s="37">
        <f t="shared" si="223"/>
        <v>0</v>
      </c>
      <c r="AD900" s="45">
        <f t="shared" si="237"/>
        <v>0.507183908045977</v>
      </c>
      <c r="AE900" s="37">
        <v>5</v>
      </c>
      <c r="AF900" s="37" t="s">
        <v>191</v>
      </c>
      <c r="AG900" s="37" t="str">
        <f t="shared" si="236"/>
        <v>no</v>
      </c>
      <c r="AH900" s="37" t="str">
        <f t="array" ref="AH900">_xlfn.IFS(LOWER(AG900)="n","no",LOWER(AG900)="y","yes",TRUE,LOWER(AG900))</f>
        <v>no</v>
      </c>
      <c r="AI900" s="37" t="s">
        <v>4692</v>
      </c>
    </row>
    <row r="901" spans="1:35">
      <c r="A901" s="46" t="s">
        <v>3173</v>
      </c>
      <c r="B901" s="47" t="s">
        <v>4748</v>
      </c>
      <c r="C901" s="39">
        <f t="shared" si="224"/>
        <v>45373</v>
      </c>
      <c r="D901" s="48" t="s">
        <v>109</v>
      </c>
      <c r="E901" s="37" t="str" cm="1">
        <f t="array" ref="E901">_xlfn.IFS(D901="delhi","north",D901="mumbai","west",D901="bengaluru","south",D901="chennai","south",D901="kolkata","east",TRUE,"west")</f>
        <v>west</v>
      </c>
      <c r="F901" s="46" t="s">
        <v>204</v>
      </c>
      <c r="G901" s="37" t="str">
        <f t="shared" si="225"/>
        <v>delhivery</v>
      </c>
      <c r="H901" s="46" t="s">
        <v>123</v>
      </c>
      <c r="I901" s="37" t="str">
        <f t="shared" si="226"/>
        <v>air</v>
      </c>
      <c r="J901" s="46" t="s">
        <v>177</v>
      </c>
      <c r="K901" s="37" t="str">
        <f t="shared" si="227"/>
        <v>pharma</v>
      </c>
      <c r="L901" s="46" t="s">
        <v>101</v>
      </c>
      <c r="M901" s="37" t="str">
        <f t="shared" si="228"/>
        <v>west</v>
      </c>
      <c r="N901" s="46" t="s">
        <v>88</v>
      </c>
      <c r="O901" s="41" t="str">
        <f t="shared" si="229"/>
        <v>Yes</v>
      </c>
      <c r="P901" s="49">
        <v>0.9</v>
      </c>
      <c r="Q901" s="49" t="s">
        <v>432</v>
      </c>
      <c r="R901" s="42">
        <f t="shared" si="230"/>
        <v>88.8888888888889</v>
      </c>
      <c r="S901" s="46">
        <v>2</v>
      </c>
      <c r="T901" s="46" t="s">
        <v>755</v>
      </c>
      <c r="U901" s="43" t="str">
        <f t="shared" si="231"/>
        <v>2024-03-23</v>
      </c>
      <c r="V901" s="43">
        <f t="shared" si="232"/>
        <v>45374</v>
      </c>
      <c r="W901" s="44">
        <f t="array" ref="W901">_xlfn.IFS(TRIM(C901)="","",TRIM(V901)="","",TRUE,V901-C901)</f>
        <v>1</v>
      </c>
      <c r="X901" s="37">
        <f t="shared" si="233"/>
        <v>-1</v>
      </c>
      <c r="Y901" s="46" t="s">
        <v>219</v>
      </c>
      <c r="Z901" s="37" t="str">
        <f t="shared" si="234"/>
        <v>delivered</v>
      </c>
      <c r="AA901" s="37" t="str">
        <f t="shared" si="235"/>
        <v>On Time</v>
      </c>
      <c r="AB901" s="37" t="str">
        <f t="shared" si="222"/>
        <v>0</v>
      </c>
      <c r="AC901" s="37">
        <f t="shared" si="223"/>
        <v>0</v>
      </c>
      <c r="AD901" s="45">
        <f t="shared" si="237"/>
        <v>0.507913669064748</v>
      </c>
      <c r="AE901" s="46">
        <v>3</v>
      </c>
      <c r="AF901" s="46" t="s">
        <v>191</v>
      </c>
      <c r="AG901" s="37" t="str">
        <f t="shared" si="236"/>
        <v>no</v>
      </c>
      <c r="AH901" s="37" t="str">
        <f t="array" ref="AH901">_xlfn.IFS(LOWER(AG901)="n","no",LOWER(AG901)="y","yes",TRUE,LOWER(AG901))</f>
        <v>no</v>
      </c>
      <c r="AI901" s="46" t="s">
        <v>4692</v>
      </c>
    </row>
    <row r="902" spans="1:35">
      <c r="A902" s="37" t="s">
        <v>3174</v>
      </c>
      <c r="B902" s="38">
        <v>45444</v>
      </c>
      <c r="C902" s="39">
        <f t="shared" si="224"/>
        <v>45444</v>
      </c>
      <c r="D902" s="40" t="s">
        <v>166</v>
      </c>
      <c r="E902" s="37" t="str" cm="1">
        <f t="array" ref="E902">_xlfn.IFS(D902="delhi","north",D902="mumbai","west",D902="bengaluru","south",D902="chennai","south",D902="kolkata","east",TRUE,"west")</f>
        <v>west</v>
      </c>
      <c r="F902" s="37" t="s">
        <v>352</v>
      </c>
      <c r="G902" s="37" t="str">
        <f t="shared" si="225"/>
        <v>delhivery</v>
      </c>
      <c r="H902" s="37" t="s">
        <v>345</v>
      </c>
      <c r="I902" s="37" t="str">
        <f t="shared" si="226"/>
        <v>surface</v>
      </c>
      <c r="J902" s="37" t="s">
        <v>283</v>
      </c>
      <c r="K902" s="37" t="str">
        <f t="shared" si="227"/>
        <v>pharma</v>
      </c>
      <c r="L902" s="37" t="s">
        <v>89</v>
      </c>
      <c r="M902" s="37" t="str">
        <f t="shared" si="228"/>
        <v>west</v>
      </c>
      <c r="N902" s="37" t="s">
        <v>187</v>
      </c>
      <c r="O902" s="41" t="str">
        <f t="shared" si="229"/>
        <v>Yes</v>
      </c>
      <c r="P902" s="41" t="s">
        <v>2555</v>
      </c>
      <c r="Q902" s="41">
        <v>268</v>
      </c>
      <c r="R902" s="42">
        <f t="shared" si="230"/>
        <v>74.4444444444444</v>
      </c>
      <c r="S902" s="37">
        <v>6</v>
      </c>
      <c r="T902" s="37" t="s">
        <v>2595</v>
      </c>
      <c r="U902" s="43" t="str">
        <f t="shared" si="231"/>
        <v>07-jun-2024</v>
      </c>
      <c r="V902" s="43">
        <f t="shared" si="232"/>
        <v>45450</v>
      </c>
      <c r="W902" s="44">
        <f t="array" ref="W902">_xlfn.IFS(TRIM(C902)="","",TRIM(V902)="","",TRUE,V902-C902)</f>
        <v>6</v>
      </c>
      <c r="X902" s="37">
        <f t="shared" si="233"/>
        <v>0</v>
      </c>
      <c r="Y902" s="37" t="s">
        <v>105</v>
      </c>
      <c r="Z902" s="37" t="str">
        <f t="shared" si="234"/>
        <v>delivered</v>
      </c>
      <c r="AA902" s="37" t="str">
        <f t="shared" si="235"/>
        <v>On Time</v>
      </c>
      <c r="AB902" s="37" t="str">
        <f t="shared" ref="AB902:AB965" si="238">IF(Z902="In-Transit","N/A",IF(X902="","",IF(X902&gt;0,"1","0")))</f>
        <v>0</v>
      </c>
      <c r="AC902" s="37">
        <f t="shared" si="223"/>
        <v>0</v>
      </c>
      <c r="AD902" s="45">
        <f t="shared" si="237"/>
        <v>0.50864553314121</v>
      </c>
      <c r="AE902" s="37">
        <v>4</v>
      </c>
      <c r="AF902" s="37" t="s">
        <v>191</v>
      </c>
      <c r="AG902" s="37" t="str">
        <f t="shared" si="236"/>
        <v>no</v>
      </c>
      <c r="AH902" s="37" t="str">
        <f t="array" ref="AH902">_xlfn.IFS(LOWER(AG902)="n","no",LOWER(AG902)="y","yes",TRUE,LOWER(AG902))</f>
        <v>no</v>
      </c>
      <c r="AI902" s="37" t="s">
        <v>4692</v>
      </c>
    </row>
    <row r="903" spans="1:35">
      <c r="A903" s="46" t="s">
        <v>3175</v>
      </c>
      <c r="B903" s="47">
        <v>45340</v>
      </c>
      <c r="C903" s="39">
        <f t="shared" si="224"/>
        <v>45340</v>
      </c>
      <c r="D903" s="48" t="s">
        <v>109</v>
      </c>
      <c r="E903" s="37" t="str" cm="1">
        <f t="array" ref="E903">_xlfn.IFS(D903="delhi","north",D903="mumbai","west",D903="bengaluru","south",D903="chennai","south",D903="kolkata","east",TRUE,"west")</f>
        <v>west</v>
      </c>
      <c r="F903" s="46" t="s">
        <v>270</v>
      </c>
      <c r="G903" s="37" t="str">
        <f t="shared" si="225"/>
        <v>ecomexpress</v>
      </c>
      <c r="H903" s="46" t="s">
        <v>110</v>
      </c>
      <c r="I903" s="37" t="str">
        <f t="shared" si="226"/>
        <v>surface</v>
      </c>
      <c r="J903" s="46" t="s">
        <v>263</v>
      </c>
      <c r="K903" s="37" t="str">
        <f t="shared" si="227"/>
        <v>apparel</v>
      </c>
      <c r="L903" s="46" t="s">
        <v>197</v>
      </c>
      <c r="M903" s="37" t="str">
        <f t="shared" si="228"/>
        <v>south</v>
      </c>
      <c r="N903" s="46" t="s">
        <v>327</v>
      </c>
      <c r="O903" s="41" t="str">
        <f t="shared" si="229"/>
        <v>Yes</v>
      </c>
      <c r="P903" s="49" t="s">
        <v>1633</v>
      </c>
      <c r="Q903" s="49" t="s">
        <v>3177</v>
      </c>
      <c r="R903" s="42">
        <f t="shared" si="230"/>
        <v>127.894736842105</v>
      </c>
      <c r="S903" s="46">
        <v>6</v>
      </c>
      <c r="T903" s="46" t="s">
        <v>3089</v>
      </c>
      <c r="U903" s="43" t="str">
        <f t="shared" si="231"/>
        <v>25/02/2024</v>
      </c>
      <c r="V903" s="43">
        <f t="shared" si="232"/>
        <v>45347</v>
      </c>
      <c r="W903" s="44">
        <f t="array" ref="W903">_xlfn.IFS(TRIM(C903)="","",TRIM(V903)="","",TRUE,V903-C903)</f>
        <v>7</v>
      </c>
      <c r="X903" s="37">
        <f t="shared" si="233"/>
        <v>1</v>
      </c>
      <c r="Y903" s="46" t="s">
        <v>200</v>
      </c>
      <c r="Z903" s="37" t="str">
        <f t="shared" si="234"/>
        <v>delayed</v>
      </c>
      <c r="AA903" s="37" t="str">
        <f t="shared" si="235"/>
        <v>Late</v>
      </c>
      <c r="AB903" s="37" t="str">
        <f t="shared" si="238"/>
        <v>1</v>
      </c>
      <c r="AC903" s="37">
        <f t="shared" ref="AC903:AC966" si="239">IF(TRIM(AB903&amp;"")="","",VALUE(TRIM(AB903&amp;"")))</f>
        <v>1</v>
      </c>
      <c r="AD903" s="45">
        <f t="shared" si="237"/>
        <v>0.509379509379509</v>
      </c>
      <c r="AE903" s="46">
        <v>3</v>
      </c>
      <c r="AF903" s="46" t="s">
        <v>118</v>
      </c>
      <c r="AG903" s="37" t="str">
        <f t="shared" si="236"/>
        <v>no</v>
      </c>
      <c r="AH903" s="37" t="str">
        <f t="array" ref="AH903">_xlfn.IFS(LOWER(AG903)="n","no",LOWER(AG903)="y","yes",TRUE,LOWER(AG903))</f>
        <v>no</v>
      </c>
      <c r="AI903" s="46" t="s">
        <v>4692</v>
      </c>
    </row>
    <row r="904" spans="1:35">
      <c r="A904" s="37" t="s">
        <v>3178</v>
      </c>
      <c r="B904" s="38">
        <v>45297</v>
      </c>
      <c r="C904" s="39">
        <f t="shared" si="224"/>
        <v>45297</v>
      </c>
      <c r="D904" s="40" t="s">
        <v>340</v>
      </c>
      <c r="E904" s="37" t="str" cm="1">
        <f t="array" ref="E904">_xlfn.IFS(D904="delhi","north",D904="mumbai","west",D904="bengaluru","south",D904="chennai","south",D904="kolkata","east",TRUE,"west")</f>
        <v>north</v>
      </c>
      <c r="F904" s="37" t="s">
        <v>194</v>
      </c>
      <c r="G904" s="37" t="str">
        <f t="shared" si="225"/>
        <v>xpressbees</v>
      </c>
      <c r="H904" s="37" t="s">
        <v>325</v>
      </c>
      <c r="I904" s="37" t="str">
        <f t="shared" si="226"/>
        <v>air</v>
      </c>
      <c r="J904" s="37" t="s">
        <v>843</v>
      </c>
      <c r="K904" s="37" t="str">
        <f t="shared" si="227"/>
        <v>automotiveparts</v>
      </c>
      <c r="L904" s="37" t="s">
        <v>112</v>
      </c>
      <c r="M904" s="37" t="str">
        <f t="shared" si="228"/>
        <v>north</v>
      </c>
      <c r="N904" s="37" t="s">
        <v>32</v>
      </c>
      <c r="O904" s="41" t="str">
        <f t="shared" si="229"/>
        <v>Yes</v>
      </c>
      <c r="P904" s="41">
        <v>24.4</v>
      </c>
      <c r="Q904" s="50">
        <v>1137</v>
      </c>
      <c r="R904" s="42">
        <f t="shared" si="230"/>
        <v>46.5983606557377</v>
      </c>
      <c r="S904" s="37">
        <v>2</v>
      </c>
      <c r="T904" s="37" t="s">
        <v>1475</v>
      </c>
      <c r="U904" s="43" t="str">
        <f t="shared" si="231"/>
        <v>08/01/2024</v>
      </c>
      <c r="V904" s="43">
        <f t="shared" si="232"/>
        <v>45299</v>
      </c>
      <c r="W904" s="44">
        <f t="array" ref="W904">_xlfn.IFS(TRIM(C904)="","",TRIM(V904)="","",TRUE,V904-C904)</f>
        <v>2</v>
      </c>
      <c r="X904" s="37">
        <f t="shared" si="233"/>
        <v>0</v>
      </c>
      <c r="Y904" s="37" t="s">
        <v>163</v>
      </c>
      <c r="Z904" s="37" t="str">
        <f t="shared" si="234"/>
        <v>delivered</v>
      </c>
      <c r="AA904" s="37" t="str">
        <f t="shared" si="235"/>
        <v>On Time</v>
      </c>
      <c r="AB904" s="37" t="str">
        <f t="shared" si="238"/>
        <v>0</v>
      </c>
      <c r="AC904" s="37">
        <f t="shared" si="239"/>
        <v>0</v>
      </c>
      <c r="AD904" s="45">
        <f t="shared" si="237"/>
        <v>0.508670520231214</v>
      </c>
      <c r="AE904" s="37">
        <v>4</v>
      </c>
      <c r="AF904" s="37" t="s">
        <v>131</v>
      </c>
      <c r="AG904" s="37" t="str">
        <f t="shared" si="236"/>
        <v>n</v>
      </c>
      <c r="AH904" s="37" t="str">
        <f t="array" ref="AH904">_xlfn.IFS(LOWER(AG904)="n","no",LOWER(AG904)="y","yes",TRUE,LOWER(AG904))</f>
        <v>no</v>
      </c>
      <c r="AI904" s="37" t="s">
        <v>4692</v>
      </c>
    </row>
    <row r="905" spans="1:35">
      <c r="A905" s="46" t="s">
        <v>3181</v>
      </c>
      <c r="B905" s="47" t="s">
        <v>4725</v>
      </c>
      <c r="C905" s="39">
        <f t="shared" si="224"/>
        <v>45309</v>
      </c>
      <c r="D905" s="48" t="s">
        <v>424</v>
      </c>
      <c r="E905" s="37" t="str" cm="1">
        <f t="array" ref="E905">_xlfn.IFS(D905="delhi","north",D905="mumbai","west",D905="bengaluru","south",D905="chennai","south",D905="kolkata","east",TRUE,"west")</f>
        <v>south</v>
      </c>
      <c r="F905" s="46" t="s">
        <v>230</v>
      </c>
      <c r="G905" s="37" t="str">
        <f t="shared" si="225"/>
        <v>dtdc</v>
      </c>
      <c r="H905" s="46" t="s">
        <v>123</v>
      </c>
      <c r="I905" s="37" t="str">
        <f t="shared" si="226"/>
        <v>air</v>
      </c>
      <c r="J905" s="46" t="s">
        <v>47</v>
      </c>
      <c r="K905" s="37" t="str">
        <f t="shared" si="227"/>
        <v>electronics</v>
      </c>
      <c r="L905" s="46" t="s">
        <v>401</v>
      </c>
      <c r="M905" s="37" t="str">
        <f t="shared" si="228"/>
        <v>south</v>
      </c>
      <c r="N905" s="46" t="s">
        <v>93</v>
      </c>
      <c r="O905" s="41" t="str">
        <f t="shared" si="229"/>
        <v>Yes</v>
      </c>
      <c r="P905" s="49" t="s">
        <v>3182</v>
      </c>
      <c r="Q905" s="49">
        <v>190</v>
      </c>
      <c r="R905" s="42">
        <f t="shared" si="230"/>
        <v>59.375</v>
      </c>
      <c r="S905" s="46">
        <v>2</v>
      </c>
      <c r="T905" s="46" t="s">
        <v>1034</v>
      </c>
      <c r="U905" s="43" t="str">
        <f t="shared" si="231"/>
        <v>27/01/2024</v>
      </c>
      <c r="V905" s="43">
        <f t="shared" si="232"/>
        <v>45318</v>
      </c>
      <c r="W905" s="44">
        <f t="array" ref="W905">_xlfn.IFS(TRIM(C905)="","",TRIM(V905)="","",TRUE,V905-C905)</f>
        <v>9</v>
      </c>
      <c r="X905" s="37">
        <f t="shared" si="233"/>
        <v>7</v>
      </c>
      <c r="Y905" s="46" t="s">
        <v>143</v>
      </c>
      <c r="Z905" s="37" t="str">
        <f t="shared" si="234"/>
        <v>delayed</v>
      </c>
      <c r="AA905" s="37" t="str">
        <f t="shared" si="235"/>
        <v>Late</v>
      </c>
      <c r="AB905" s="37" t="str">
        <f t="shared" si="238"/>
        <v>1</v>
      </c>
      <c r="AC905" s="37">
        <f t="shared" si="239"/>
        <v>1</v>
      </c>
      <c r="AD905" s="45">
        <f t="shared" si="237"/>
        <v>0.509406657018813</v>
      </c>
      <c r="AE905" s="46">
        <v>2</v>
      </c>
      <c r="AF905" s="46" t="s">
        <v>191</v>
      </c>
      <c r="AG905" s="37" t="str">
        <f t="shared" si="236"/>
        <v>no</v>
      </c>
      <c r="AH905" s="37" t="str">
        <f t="array" ref="AH905">_xlfn.IFS(LOWER(AG905)="n","no",LOWER(AG905)="y","yes",TRUE,LOWER(AG905))</f>
        <v>no</v>
      </c>
      <c r="AI905" s="46" t="s">
        <v>4692</v>
      </c>
    </row>
    <row r="906" spans="1:35">
      <c r="A906" s="37" t="s">
        <v>3183</v>
      </c>
      <c r="B906" s="38" t="s">
        <v>4753</v>
      </c>
      <c r="C906" s="39">
        <f t="shared" si="224"/>
        <v>45397</v>
      </c>
      <c r="D906" s="40" t="s">
        <v>4705</v>
      </c>
      <c r="E906" s="37" t="str" cm="1">
        <f t="array" ref="E906">_xlfn.IFS(D906="delhi","north",D906="mumbai","west",D906="bengaluru","south",D906="chennai","south",D906="kolkata","east",TRUE,"west")</f>
        <v>west</v>
      </c>
      <c r="F906" s="37" t="s">
        <v>367</v>
      </c>
      <c r="G906" s="37" t="str">
        <f t="shared" si="225"/>
        <v>dtdc</v>
      </c>
      <c r="H906" s="37" t="s">
        <v>185</v>
      </c>
      <c r="I906" s="37" t="str">
        <f t="shared" si="226"/>
        <v>surface</v>
      </c>
      <c r="J906" s="37" t="s">
        <v>1701</v>
      </c>
      <c r="K906" s="37" t="str">
        <f t="shared" si="227"/>
        <v>grocery&amp;fmcg</v>
      </c>
      <c r="L906" s="37" t="s">
        <v>92</v>
      </c>
      <c r="M906" s="37" t="str">
        <f t="shared" si="228"/>
        <v>east</v>
      </c>
      <c r="N906" s="37" t="s">
        <v>126</v>
      </c>
      <c r="O906" s="41" t="str">
        <f t="shared" si="229"/>
        <v>Yes</v>
      </c>
      <c r="P906" s="41" t="s">
        <v>436</v>
      </c>
      <c r="Q906" s="41">
        <v>216</v>
      </c>
      <c r="R906" s="42">
        <f t="shared" si="230"/>
        <v>72</v>
      </c>
      <c r="S906" s="37">
        <v>6</v>
      </c>
      <c r="T906" s="37" t="s">
        <v>589</v>
      </c>
      <c r="U906" s="43" t="str">
        <f t="shared" si="231"/>
        <v>22/04/2024</v>
      </c>
      <c r="V906" s="43">
        <f t="shared" si="232"/>
        <v>45404</v>
      </c>
      <c r="W906" s="44">
        <f t="array" ref="W906">_xlfn.IFS(TRIM(C906)="","",TRIM(V906)="","",TRUE,V906-C906)</f>
        <v>7</v>
      </c>
      <c r="X906" s="37">
        <f t="shared" si="233"/>
        <v>1</v>
      </c>
      <c r="Y906" s="37" t="s">
        <v>143</v>
      </c>
      <c r="Z906" s="37" t="str">
        <f t="shared" si="234"/>
        <v>delayed</v>
      </c>
      <c r="AA906" s="37" t="str">
        <f t="shared" si="235"/>
        <v>Late</v>
      </c>
      <c r="AB906" s="37" t="str">
        <f t="shared" si="238"/>
        <v>1</v>
      </c>
      <c r="AC906" s="37">
        <f t="shared" si="239"/>
        <v>1</v>
      </c>
      <c r="AD906" s="45">
        <f t="shared" si="237"/>
        <v>0.508695652173913</v>
      </c>
      <c r="AE906" s="37">
        <v>5</v>
      </c>
      <c r="AF906" s="37" t="s">
        <v>152</v>
      </c>
      <c r="AG906" s="37" t="str">
        <f t="shared" si="236"/>
        <v>no</v>
      </c>
      <c r="AH906" s="37" t="str">
        <f t="array" ref="AH906">_xlfn.IFS(LOWER(AG906)="n","no",LOWER(AG906)="y","yes",TRUE,LOWER(AG906))</f>
        <v>no</v>
      </c>
      <c r="AI906" s="37" t="s">
        <v>4692</v>
      </c>
    </row>
    <row r="907" spans="1:35">
      <c r="A907" s="46" t="s">
        <v>3184</v>
      </c>
      <c r="B907" s="47">
        <v>45420</v>
      </c>
      <c r="C907" s="39">
        <f t="shared" si="224"/>
        <v>45420</v>
      </c>
      <c r="D907" s="48" t="s">
        <v>340</v>
      </c>
      <c r="E907" s="37" t="str" cm="1">
        <f t="array" ref="E907">_xlfn.IFS(D907="delhi","north",D907="mumbai","west",D907="bengaluru","south",D907="chennai","south",D907="kolkata","east",TRUE,"west")</f>
        <v>north</v>
      </c>
      <c r="F907" s="46" t="s">
        <v>213</v>
      </c>
      <c r="G907" s="37" t="str">
        <f t="shared" si="225"/>
        <v>dtdc</v>
      </c>
      <c r="H907" s="46" t="s">
        <v>147</v>
      </c>
      <c r="I907" s="37" t="str">
        <f t="shared" si="226"/>
        <v>road</v>
      </c>
      <c r="J907" s="46" t="s">
        <v>205</v>
      </c>
      <c r="K907" s="37" t="str">
        <f t="shared" si="227"/>
        <v>furniture</v>
      </c>
      <c r="L907" s="46" t="s">
        <v>92</v>
      </c>
      <c r="M907" s="37" t="str">
        <f t="shared" si="228"/>
        <v>east</v>
      </c>
      <c r="N907" s="46" t="s">
        <v>126</v>
      </c>
      <c r="O907" s="41" t="str">
        <f t="shared" si="229"/>
        <v>Yes</v>
      </c>
      <c r="P907" s="49">
        <v>76.1</v>
      </c>
      <c r="Q907" s="51">
        <v>1188</v>
      </c>
      <c r="R907" s="42">
        <f t="shared" si="230"/>
        <v>15.611038107753</v>
      </c>
      <c r="S907" s="46">
        <v>8</v>
      </c>
      <c r="T907" s="46" t="s">
        <v>2179</v>
      </c>
      <c r="U907" s="43" t="str">
        <f t="shared" si="231"/>
        <v>22-may-2024</v>
      </c>
      <c r="V907" s="43">
        <f t="shared" si="232"/>
        <v>45434</v>
      </c>
      <c r="W907" s="44">
        <f t="array" ref="W907">_xlfn.IFS(TRIM(C907)="","",TRIM(V907)="","",TRUE,V907-C907)</f>
        <v>14</v>
      </c>
      <c r="X907" s="37">
        <f t="shared" si="233"/>
        <v>6</v>
      </c>
      <c r="Y907" s="46" t="s">
        <v>337</v>
      </c>
      <c r="Z907" s="37" t="str">
        <f t="shared" si="234"/>
        <v>damaged</v>
      </c>
      <c r="AA907" s="37" t="str">
        <f t="shared" si="235"/>
        <v>Late</v>
      </c>
      <c r="AB907" s="37" t="str">
        <f t="shared" si="238"/>
        <v>1</v>
      </c>
      <c r="AC907" s="37">
        <f t="shared" si="239"/>
        <v>1</v>
      </c>
      <c r="AD907" s="45">
        <f t="shared" si="237"/>
        <v>0.507982583454282</v>
      </c>
      <c r="AE907" s="46"/>
      <c r="AF907" s="46" t="s">
        <v>152</v>
      </c>
      <c r="AG907" s="37" t="str">
        <f t="shared" si="236"/>
        <v>no</v>
      </c>
      <c r="AH907" s="37" t="str">
        <f t="array" ref="AH907">_xlfn.IFS(LOWER(AG907)="n","no",LOWER(AG907)="y","yes",TRUE,LOWER(AG907))</f>
        <v>no</v>
      </c>
      <c r="AI907" s="46" t="s">
        <v>132</v>
      </c>
    </row>
    <row r="908" spans="1:35">
      <c r="A908" s="37" t="s">
        <v>3187</v>
      </c>
      <c r="B908" s="38">
        <v>45359</v>
      </c>
      <c r="C908" s="39">
        <f t="shared" si="224"/>
        <v>45359</v>
      </c>
      <c r="D908" s="40" t="s">
        <v>424</v>
      </c>
      <c r="E908" s="37" t="str" cm="1">
        <f t="array" ref="E908">_xlfn.IFS(D908="delhi","north",D908="mumbai","west",D908="bengaluru","south",D908="chennai","south",D908="kolkata","east",TRUE,"west")</f>
        <v>south</v>
      </c>
      <c r="F908" s="37" t="s">
        <v>204</v>
      </c>
      <c r="G908" s="37" t="str">
        <f t="shared" si="225"/>
        <v>delhivery</v>
      </c>
      <c r="H908" s="37" t="s">
        <v>185</v>
      </c>
      <c r="I908" s="37" t="str">
        <f t="shared" si="226"/>
        <v>surface</v>
      </c>
      <c r="J908" s="37" t="s">
        <v>368</v>
      </c>
      <c r="K908" s="37" t="str">
        <f t="shared" si="227"/>
        <v>furniture</v>
      </c>
      <c r="L908" s="37" t="s">
        <v>418</v>
      </c>
      <c r="M908" s="37" t="str">
        <f t="shared" si="228"/>
        <v>south</v>
      </c>
      <c r="N908" s="37" t="s">
        <v>90</v>
      </c>
      <c r="O908" s="41" t="str">
        <f t="shared" si="229"/>
        <v>Yes</v>
      </c>
      <c r="P908" s="41">
        <v>22.6</v>
      </c>
      <c r="Q908" s="41">
        <v>552</v>
      </c>
      <c r="R908" s="42">
        <f t="shared" si="230"/>
        <v>24.4247787610619</v>
      </c>
      <c r="S908" s="37">
        <v>4</v>
      </c>
      <c r="T908" s="37" t="s">
        <v>1175</v>
      </c>
      <c r="U908" s="43" t="str">
        <f t="shared" si="231"/>
        <v>2024-03-12</v>
      </c>
      <c r="V908" s="43">
        <f t="shared" si="232"/>
        <v>45363</v>
      </c>
      <c r="W908" s="44">
        <f t="array" ref="W908">_xlfn.IFS(TRIM(C908)="","",TRIM(V908)="","",TRUE,V908-C908)</f>
        <v>4</v>
      </c>
      <c r="X908" s="37">
        <f t="shared" si="233"/>
        <v>0</v>
      </c>
      <c r="Y908" s="37" t="s">
        <v>105</v>
      </c>
      <c r="Z908" s="37" t="str">
        <f t="shared" si="234"/>
        <v>delivered</v>
      </c>
      <c r="AA908" s="37" t="str">
        <f t="shared" si="235"/>
        <v>On Time</v>
      </c>
      <c r="AB908" s="37" t="str">
        <f t="shared" si="238"/>
        <v>0</v>
      </c>
      <c r="AC908" s="37">
        <f t="shared" si="239"/>
        <v>0</v>
      </c>
      <c r="AD908" s="45">
        <f t="shared" si="237"/>
        <v>0.507267441860465</v>
      </c>
      <c r="AE908" s="37">
        <v>2</v>
      </c>
      <c r="AF908" s="37" t="s">
        <v>181</v>
      </c>
      <c r="AG908" s="37" t="str">
        <f t="shared" si="236"/>
        <v>y</v>
      </c>
      <c r="AH908" s="37" t="str">
        <f t="array" ref="AH908">_xlfn.IFS(LOWER(AG908)="n","no",LOWER(AG908)="y","yes",TRUE,LOWER(AG908))</f>
        <v>yes</v>
      </c>
      <c r="AI908" s="37" t="s">
        <v>4692</v>
      </c>
    </row>
    <row r="909" spans="1:35">
      <c r="A909" s="46" t="s">
        <v>3190</v>
      </c>
      <c r="B909" s="47">
        <v>45318</v>
      </c>
      <c r="C909" s="39">
        <f t="shared" si="224"/>
        <v>45318</v>
      </c>
      <c r="D909" s="48" t="s">
        <v>633</v>
      </c>
      <c r="E909" s="37" t="str" cm="1">
        <f t="array" ref="E909">_xlfn.IFS(D909="delhi","north",D909="mumbai","west",D909="bengaluru","south",D909="chennai","south",D909="kolkata","east",TRUE,"west")</f>
        <v>south</v>
      </c>
      <c r="F909" s="46" t="s">
        <v>175</v>
      </c>
      <c r="G909" s="37" t="str">
        <f t="shared" si="225"/>
        <v>ecomexpress</v>
      </c>
      <c r="H909" s="46" t="s">
        <v>123</v>
      </c>
      <c r="I909" s="37" t="str">
        <f t="shared" si="226"/>
        <v>air</v>
      </c>
      <c r="J909" s="46" t="s">
        <v>277</v>
      </c>
      <c r="K909" s="37" t="str">
        <f t="shared" si="227"/>
        <v>apparel</v>
      </c>
      <c r="L909" s="46" t="s">
        <v>125</v>
      </c>
      <c r="M909" s="37" t="str">
        <f t="shared" si="228"/>
        <v>east</v>
      </c>
      <c r="N909" s="46" t="s">
        <v>126</v>
      </c>
      <c r="O909" s="41" t="str">
        <f t="shared" si="229"/>
        <v>Yes</v>
      </c>
      <c r="P909" s="49">
        <v>1.4</v>
      </c>
      <c r="Q909" s="49">
        <v>234</v>
      </c>
      <c r="R909" s="42">
        <f t="shared" si="230"/>
        <v>167.142857142857</v>
      </c>
      <c r="S909" s="46">
        <v>4</v>
      </c>
      <c r="T909" s="46" t="s">
        <v>1386</v>
      </c>
      <c r="U909" s="43" t="str">
        <f t="shared" si="231"/>
        <v>2024-02-01</v>
      </c>
      <c r="V909" s="43">
        <f t="shared" si="232"/>
        <v>45323</v>
      </c>
      <c r="W909" s="44">
        <f t="array" ref="W909">_xlfn.IFS(TRIM(C909)="","",TRIM(V909)="","",TRUE,V909-C909)</f>
        <v>5</v>
      </c>
      <c r="X909" s="37">
        <f t="shared" si="233"/>
        <v>1</v>
      </c>
      <c r="Y909" s="46" t="s">
        <v>72</v>
      </c>
      <c r="Z909" s="37" t="str">
        <f t="shared" si="234"/>
        <v>delayed</v>
      </c>
      <c r="AA909" s="37" t="str">
        <f t="shared" si="235"/>
        <v>Late</v>
      </c>
      <c r="AB909" s="37" t="str">
        <f t="shared" si="238"/>
        <v>1</v>
      </c>
      <c r="AC909" s="37">
        <f t="shared" si="239"/>
        <v>1</v>
      </c>
      <c r="AD909" s="45">
        <f t="shared" si="237"/>
        <v>0.508005822416303</v>
      </c>
      <c r="AE909" s="46">
        <v>2</v>
      </c>
      <c r="AF909" s="46" t="s">
        <v>286</v>
      </c>
      <c r="AG909" s="37" t="str">
        <f t="shared" si="236"/>
        <v>yes</v>
      </c>
      <c r="AH909" s="37" t="str">
        <f t="array" ref="AH909">_xlfn.IFS(LOWER(AG909)="n","no",LOWER(AG909)="y","yes",TRUE,LOWER(AG909))</f>
        <v>yes</v>
      </c>
      <c r="AI909" s="46" t="s">
        <v>4692</v>
      </c>
    </row>
    <row r="910" spans="1:35">
      <c r="A910" s="37" t="s">
        <v>3191</v>
      </c>
      <c r="B910" s="38" t="s">
        <v>4834</v>
      </c>
      <c r="C910" s="39">
        <f t="shared" si="224"/>
        <v>45415</v>
      </c>
      <c r="D910" s="40" t="s">
        <v>4704</v>
      </c>
      <c r="E910" s="37" t="str" cm="1">
        <f t="array" ref="E910">_xlfn.IFS(D910="delhi","north",D910="mumbai","west",D910="bengaluru","south",D910="chennai","south",D910="kolkata","east",TRUE,"west")</f>
        <v>west</v>
      </c>
      <c r="F910" s="37" t="s">
        <v>352</v>
      </c>
      <c r="G910" s="37" t="str">
        <f t="shared" si="225"/>
        <v>delhivery</v>
      </c>
      <c r="H910" s="37" t="s">
        <v>147</v>
      </c>
      <c r="I910" s="37" t="str">
        <f t="shared" si="226"/>
        <v>road</v>
      </c>
      <c r="J910" s="37" t="s">
        <v>186</v>
      </c>
      <c r="K910" s="37" t="str">
        <f t="shared" si="227"/>
        <v>automotiveparts</v>
      </c>
      <c r="L910" s="37" t="s">
        <v>101</v>
      </c>
      <c r="M910" s="37" t="str">
        <f t="shared" si="228"/>
        <v>west</v>
      </c>
      <c r="N910" s="37" t="s">
        <v>187</v>
      </c>
      <c r="O910" s="41" t="str">
        <f t="shared" si="229"/>
        <v>Yes</v>
      </c>
      <c r="P910" s="41">
        <v>7.1</v>
      </c>
      <c r="Q910" s="41" t="s">
        <v>472</v>
      </c>
      <c r="R910" s="42">
        <f t="shared" si="230"/>
        <v>41.6901408450704</v>
      </c>
      <c r="S910" s="37">
        <v>8</v>
      </c>
      <c r="T910" s="37" t="s">
        <v>410</v>
      </c>
      <c r="U910" s="43" t="str">
        <f t="shared" si="231"/>
        <v>12/05/2024</v>
      </c>
      <c r="V910" s="43">
        <f t="shared" si="232"/>
        <v>45424</v>
      </c>
      <c r="W910" s="44">
        <f t="array" ref="W910">_xlfn.IFS(TRIM(C910)="","",TRIM(V910)="","",TRUE,V910-C910)</f>
        <v>9</v>
      </c>
      <c r="X910" s="37">
        <f t="shared" si="233"/>
        <v>1</v>
      </c>
      <c r="Y910" s="37" t="s">
        <v>172</v>
      </c>
      <c r="Z910" s="37" t="str">
        <f t="shared" si="234"/>
        <v>delayed</v>
      </c>
      <c r="AA910" s="37" t="str">
        <f t="shared" si="235"/>
        <v>Late</v>
      </c>
      <c r="AB910" s="37" t="str">
        <f t="shared" si="238"/>
        <v>1</v>
      </c>
      <c r="AC910" s="37">
        <f t="shared" si="239"/>
        <v>1</v>
      </c>
      <c r="AD910" s="45">
        <f t="shared" si="237"/>
        <v>0.507288629737609</v>
      </c>
      <c r="AE910" s="37">
        <v>2</v>
      </c>
      <c r="AF910" s="37" t="s">
        <v>131</v>
      </c>
      <c r="AG910" s="37" t="str">
        <f t="shared" si="236"/>
        <v>n</v>
      </c>
      <c r="AH910" s="37" t="str">
        <f t="array" ref="AH910">_xlfn.IFS(LOWER(AG910)="n","no",LOWER(AG910)="y","yes",TRUE,LOWER(AG910))</f>
        <v>no</v>
      </c>
      <c r="AI910" s="37" t="s">
        <v>4692</v>
      </c>
    </row>
    <row r="911" spans="1:35">
      <c r="A911" s="46" t="s">
        <v>3194</v>
      </c>
      <c r="B911" s="47" t="s">
        <v>4740</v>
      </c>
      <c r="C911" s="39">
        <f t="shared" si="224"/>
        <v>45448</v>
      </c>
      <c r="D911" s="48" t="s">
        <v>340</v>
      </c>
      <c r="E911" s="37" t="str" cm="1">
        <f t="array" ref="E911">_xlfn.IFS(D911="delhi","north",D911="mumbai","west",D911="bengaluru","south",D911="chennai","south",D911="kolkata","east",TRUE,"west")</f>
        <v>north</v>
      </c>
      <c r="F911" s="46" t="s">
        <v>544</v>
      </c>
      <c r="G911" s="37" t="str">
        <f t="shared" si="225"/>
        <v>bluedart</v>
      </c>
      <c r="H911" s="46" t="s">
        <v>440</v>
      </c>
      <c r="I911" s="37" t="str">
        <f t="shared" si="226"/>
        <v>road</v>
      </c>
      <c r="J911" s="46" t="s">
        <v>148</v>
      </c>
      <c r="K911" s="37" t="str">
        <f t="shared" si="227"/>
        <v>electronics</v>
      </c>
      <c r="L911" s="46" t="s">
        <v>264</v>
      </c>
      <c r="M911" s="37" t="str">
        <f t="shared" si="228"/>
        <v>west</v>
      </c>
      <c r="N911" s="46" t="s">
        <v>187</v>
      </c>
      <c r="O911" s="41" t="str">
        <f t="shared" si="229"/>
        <v>Yes</v>
      </c>
      <c r="P911" s="49" t="s">
        <v>534</v>
      </c>
      <c r="Q911" s="49" t="s">
        <v>3195</v>
      </c>
      <c r="R911" s="42">
        <f t="shared" si="230"/>
        <v>53.3333333333333</v>
      </c>
      <c r="S911" s="46">
        <v>8</v>
      </c>
      <c r="T911" s="46" t="s">
        <v>1860</v>
      </c>
      <c r="U911" s="43" t="str">
        <f t="shared" si="231"/>
        <v>12/06/2024</v>
      </c>
      <c r="V911" s="43">
        <f t="shared" si="232"/>
        <v>45455</v>
      </c>
      <c r="W911" s="44">
        <f t="array" ref="W911">_xlfn.IFS(TRIM(C911)="","",TRIM(V911)="","",TRUE,V911-C911)</f>
        <v>7</v>
      </c>
      <c r="X911" s="37">
        <f t="shared" si="233"/>
        <v>-1</v>
      </c>
      <c r="Y911" s="46" t="s">
        <v>117</v>
      </c>
      <c r="Z911" s="37" t="str">
        <f t="shared" si="234"/>
        <v>delivered</v>
      </c>
      <c r="AA911" s="37" t="str">
        <f t="shared" si="235"/>
        <v>On Time</v>
      </c>
      <c r="AB911" s="37" t="str">
        <f t="shared" si="238"/>
        <v>0</v>
      </c>
      <c r="AC911" s="37">
        <f t="shared" si="239"/>
        <v>0</v>
      </c>
      <c r="AD911" s="45">
        <f t="shared" si="237"/>
        <v>0.506569343065693</v>
      </c>
      <c r="AE911" s="46">
        <v>1</v>
      </c>
      <c r="AF911" s="46" t="s">
        <v>152</v>
      </c>
      <c r="AG911" s="37" t="str">
        <f t="shared" si="236"/>
        <v>no</v>
      </c>
      <c r="AH911" s="37" t="str">
        <f t="array" ref="AH911">_xlfn.IFS(LOWER(AG911)="n","no",LOWER(AG911)="y","yes",TRUE,LOWER(AG911))</f>
        <v>no</v>
      </c>
      <c r="AI911" s="46" t="s">
        <v>4692</v>
      </c>
    </row>
    <row r="912" spans="1:35">
      <c r="A912" s="37" t="s">
        <v>3196</v>
      </c>
      <c r="B912" s="38" t="s">
        <v>4749</v>
      </c>
      <c r="C912" s="39">
        <f t="shared" si="224"/>
        <v>45376</v>
      </c>
      <c r="D912" s="40" t="s">
        <v>212</v>
      </c>
      <c r="E912" s="37" t="str" cm="1">
        <f t="array" ref="E912">_xlfn.IFS(D912="delhi","north",D912="mumbai","west",D912="bengaluru","south",D912="chennai","south",D912="kolkata","east",TRUE,"west")</f>
        <v>west</v>
      </c>
      <c r="F912" s="37" t="s">
        <v>213</v>
      </c>
      <c r="G912" s="37" t="str">
        <f t="shared" si="225"/>
        <v>dtdc</v>
      </c>
      <c r="H912" s="37" t="s">
        <v>123</v>
      </c>
      <c r="I912" s="37" t="str">
        <f t="shared" si="226"/>
        <v>air</v>
      </c>
      <c r="J912" s="37" t="s">
        <v>205</v>
      </c>
      <c r="K912" s="37" t="str">
        <f t="shared" si="227"/>
        <v>furniture</v>
      </c>
      <c r="L912" s="37" t="s">
        <v>197</v>
      </c>
      <c r="M912" s="37" t="str">
        <f t="shared" si="228"/>
        <v>south</v>
      </c>
      <c r="N912" s="37" t="s">
        <v>327</v>
      </c>
      <c r="O912" s="41" t="str">
        <f t="shared" si="229"/>
        <v>Yes</v>
      </c>
      <c r="P912" s="41">
        <v>39.9</v>
      </c>
      <c r="Q912" s="41" t="s">
        <v>3198</v>
      </c>
      <c r="R912" s="42">
        <f t="shared" si="230"/>
        <v>48.3458646616541</v>
      </c>
      <c r="S912" s="37">
        <v>4</v>
      </c>
      <c r="T912" s="37" t="s">
        <v>2419</v>
      </c>
      <c r="U912" s="43" t="str">
        <f t="shared" si="231"/>
        <v>04-apr-2024</v>
      </c>
      <c r="V912" s="43">
        <f t="shared" si="232"/>
        <v>45386</v>
      </c>
      <c r="W912" s="44">
        <f t="array" ref="W912">_xlfn.IFS(TRIM(C912)="","",TRIM(V912)="","",TRUE,V912-C912)</f>
        <v>10</v>
      </c>
      <c r="X912" s="37">
        <f t="shared" si="233"/>
        <v>6</v>
      </c>
      <c r="Y912" s="37" t="s">
        <v>143</v>
      </c>
      <c r="Z912" s="37" t="str">
        <f t="shared" si="234"/>
        <v>delayed</v>
      </c>
      <c r="AA912" s="37" t="str">
        <f t="shared" si="235"/>
        <v>Late</v>
      </c>
      <c r="AB912" s="37" t="str">
        <f t="shared" si="238"/>
        <v>1</v>
      </c>
      <c r="AC912" s="37">
        <f t="shared" si="239"/>
        <v>1</v>
      </c>
      <c r="AD912" s="45">
        <f t="shared" si="237"/>
        <v>0.507309941520468</v>
      </c>
      <c r="AE912" s="37">
        <v>3</v>
      </c>
      <c r="AF912" s="37" t="s">
        <v>191</v>
      </c>
      <c r="AG912" s="37" t="str">
        <f t="shared" si="236"/>
        <v>no</v>
      </c>
      <c r="AH912" s="37" t="str">
        <f t="array" ref="AH912">_xlfn.IFS(LOWER(AG912)="n","no",LOWER(AG912)="y","yes",TRUE,LOWER(AG912))</f>
        <v>no</v>
      </c>
      <c r="AI912" s="37" t="s">
        <v>4692</v>
      </c>
    </row>
    <row r="913" spans="1:35">
      <c r="A913" s="46" t="s">
        <v>3199</v>
      </c>
      <c r="B913" s="47">
        <v>45400</v>
      </c>
      <c r="C913" s="39">
        <f t="shared" si="224"/>
        <v>45400</v>
      </c>
      <c r="D913" s="48" t="s">
        <v>424</v>
      </c>
      <c r="E913" s="37" t="str" cm="1">
        <f t="array" ref="E913">_xlfn.IFS(D913="delhi","north",D913="mumbai","west",D913="bengaluru","south",D913="chennai","south",D913="kolkata","east",TRUE,"west")</f>
        <v>south</v>
      </c>
      <c r="F913" s="46" t="s">
        <v>204</v>
      </c>
      <c r="G913" s="37" t="str">
        <f t="shared" si="225"/>
        <v>delhivery</v>
      </c>
      <c r="H913" s="46" t="s">
        <v>99</v>
      </c>
      <c r="I913" s="37" t="str">
        <f t="shared" si="226"/>
        <v>air</v>
      </c>
      <c r="J913" s="46" t="s">
        <v>47</v>
      </c>
      <c r="K913" s="37" t="str">
        <f t="shared" si="227"/>
        <v>electronics</v>
      </c>
      <c r="L913" s="46" t="s">
        <v>401</v>
      </c>
      <c r="M913" s="37" t="str">
        <f t="shared" si="228"/>
        <v>south</v>
      </c>
      <c r="N913" s="46" t="s">
        <v>54</v>
      </c>
      <c r="O913" s="41" t="str">
        <f t="shared" si="229"/>
        <v>Yes</v>
      </c>
      <c r="P913" s="49">
        <v>12.1</v>
      </c>
      <c r="Q913" s="49" t="s">
        <v>3201</v>
      </c>
      <c r="R913" s="42">
        <f t="shared" si="230"/>
        <v>49.0082644628099</v>
      </c>
      <c r="S913" s="46">
        <v>2</v>
      </c>
      <c r="T913" s="46" t="s">
        <v>891</v>
      </c>
      <c r="U913" s="43" t="str">
        <f t="shared" si="231"/>
        <v>20/04/2024</v>
      </c>
      <c r="V913" s="43">
        <f t="shared" si="232"/>
        <v>45402</v>
      </c>
      <c r="W913" s="44">
        <f t="array" ref="W913">_xlfn.IFS(TRIM(C913)="","",TRIM(V913)="","",TRUE,V913-C913)</f>
        <v>2</v>
      </c>
      <c r="X913" s="37">
        <f t="shared" si="233"/>
        <v>0</v>
      </c>
      <c r="Y913" s="46" t="s">
        <v>117</v>
      </c>
      <c r="Z913" s="37" t="str">
        <f t="shared" si="234"/>
        <v>delivered</v>
      </c>
      <c r="AA913" s="37" t="str">
        <f t="shared" si="235"/>
        <v>On Time</v>
      </c>
      <c r="AB913" s="37" t="str">
        <f t="shared" si="238"/>
        <v>0</v>
      </c>
      <c r="AC913" s="37">
        <f t="shared" si="239"/>
        <v>0</v>
      </c>
      <c r="AD913" s="45">
        <f t="shared" si="237"/>
        <v>0.506588579795022</v>
      </c>
      <c r="AE913" s="46">
        <v>4</v>
      </c>
      <c r="AF913" s="46" t="s">
        <v>152</v>
      </c>
      <c r="AG913" s="37" t="str">
        <f t="shared" si="236"/>
        <v>no</v>
      </c>
      <c r="AH913" s="37" t="str">
        <f t="array" ref="AH913">_xlfn.IFS(LOWER(AG913)="n","no",LOWER(AG913)="y","yes",TRUE,LOWER(AG913))</f>
        <v>no</v>
      </c>
      <c r="AI913" s="46" t="s">
        <v>4692</v>
      </c>
    </row>
    <row r="914" spans="1:35">
      <c r="A914" s="37" t="s">
        <v>3202</v>
      </c>
      <c r="B914" s="38">
        <v>45300</v>
      </c>
      <c r="C914" s="39">
        <f t="shared" si="224"/>
        <v>45300</v>
      </c>
      <c r="D914" s="40" t="s">
        <v>212</v>
      </c>
      <c r="E914" s="37" t="str" cm="1">
        <f t="array" ref="E914">_xlfn.IFS(D914="delhi","north",D914="mumbai","west",D914="bengaluru","south",D914="chennai","south",D914="kolkata","east",TRUE,"west")</f>
        <v>west</v>
      </c>
      <c r="F914" s="37" t="s">
        <v>544</v>
      </c>
      <c r="G914" s="37" t="str">
        <f t="shared" si="225"/>
        <v>bluedart</v>
      </c>
      <c r="H914" s="37" t="s">
        <v>195</v>
      </c>
      <c r="I914" s="37" t="str">
        <f t="shared" si="226"/>
        <v>road</v>
      </c>
      <c r="J914" s="37" t="s">
        <v>271</v>
      </c>
      <c r="K914" s="37" t="str">
        <f t="shared" si="227"/>
        <v>electronics</v>
      </c>
      <c r="L914" s="37" t="s">
        <v>125</v>
      </c>
      <c r="M914" s="37" t="str">
        <f t="shared" si="228"/>
        <v>east</v>
      </c>
      <c r="N914" s="37" t="s">
        <v>396</v>
      </c>
      <c r="O914" s="41" t="str">
        <f t="shared" si="229"/>
        <v>Yes</v>
      </c>
      <c r="P914" s="41">
        <v>14.6</v>
      </c>
      <c r="Q914" s="41">
        <v>393</v>
      </c>
      <c r="R914" s="42">
        <f t="shared" si="230"/>
        <v>26.9178082191781</v>
      </c>
      <c r="S914" s="37">
        <v>8</v>
      </c>
      <c r="T914" s="37" t="s">
        <v>1405</v>
      </c>
      <c r="U914" s="43" t="str">
        <f t="shared" si="231"/>
        <v>2024-01-16</v>
      </c>
      <c r="V914" s="43">
        <f t="shared" si="232"/>
        <v>45307</v>
      </c>
      <c r="W914" s="44">
        <f t="array" ref="W914">_xlfn.IFS(TRIM(C914)="","",TRIM(V914)="","",TRUE,V914-C914)</f>
        <v>7</v>
      </c>
      <c r="X914" s="37">
        <f t="shared" si="233"/>
        <v>-1</v>
      </c>
      <c r="Y914" s="37" t="s">
        <v>105</v>
      </c>
      <c r="Z914" s="37" t="str">
        <f t="shared" si="234"/>
        <v>delivered</v>
      </c>
      <c r="AA914" s="37" t="str">
        <f t="shared" si="235"/>
        <v>On Time</v>
      </c>
      <c r="AB914" s="37" t="str">
        <f t="shared" si="238"/>
        <v>0</v>
      </c>
      <c r="AC914" s="37">
        <f t="shared" si="239"/>
        <v>0</v>
      </c>
      <c r="AD914" s="45">
        <f t="shared" si="237"/>
        <v>0.50733137829912</v>
      </c>
      <c r="AE914" s="37">
        <v>4</v>
      </c>
      <c r="AF914" s="37" t="s">
        <v>191</v>
      </c>
      <c r="AG914" s="37" t="str">
        <f t="shared" si="236"/>
        <v>no</v>
      </c>
      <c r="AH914" s="37" t="str">
        <f t="array" ref="AH914">_xlfn.IFS(LOWER(AG914)="n","no",LOWER(AG914)="y","yes",TRUE,LOWER(AG914))</f>
        <v>no</v>
      </c>
      <c r="AI914" s="37" t="s">
        <v>4692</v>
      </c>
    </row>
    <row r="915" spans="1:35">
      <c r="A915" s="46" t="s">
        <v>3206</v>
      </c>
      <c r="B915" s="47" t="s">
        <v>4811</v>
      </c>
      <c r="C915" s="39">
        <f t="shared" si="224"/>
        <v>45374</v>
      </c>
      <c r="D915" s="48" t="s">
        <v>212</v>
      </c>
      <c r="E915" s="37" t="str" cm="1">
        <f t="array" ref="E915">_xlfn.IFS(D915="delhi","north",D915="mumbai","west",D915="bengaluru","south",D915="chennai","south",D915="kolkata","east",TRUE,"west")</f>
        <v>west</v>
      </c>
      <c r="F915" s="46" t="s">
        <v>136</v>
      </c>
      <c r="G915" s="37" t="str">
        <f t="shared" si="225"/>
        <v>bluedart</v>
      </c>
      <c r="H915" s="46" t="s">
        <v>137</v>
      </c>
      <c r="I915" s="37" t="str">
        <f t="shared" si="226"/>
        <v>road</v>
      </c>
      <c r="J915" s="46" t="s">
        <v>664</v>
      </c>
      <c r="K915" s="37" t="str">
        <f t="shared" si="227"/>
        <v>grocery&amp;fmcg</v>
      </c>
      <c r="L915" s="46" t="s">
        <v>401</v>
      </c>
      <c r="M915" s="37" t="str">
        <f t="shared" si="228"/>
        <v>south</v>
      </c>
      <c r="N915" s="46" t="s">
        <v>327</v>
      </c>
      <c r="O915" s="41" t="str">
        <f t="shared" si="229"/>
        <v>Yes</v>
      </c>
      <c r="P915" s="49" t="s">
        <v>2903</v>
      </c>
      <c r="Q915" s="49" t="s">
        <v>3207</v>
      </c>
      <c r="R915" s="42">
        <f t="shared" si="230"/>
        <v>21.7721518987342</v>
      </c>
      <c r="S915" s="46">
        <v>8</v>
      </c>
      <c r="T915" s="46" t="s">
        <v>2132</v>
      </c>
      <c r="U915" s="43" t="str">
        <f t="shared" si="231"/>
        <v>30-mar-2024</v>
      </c>
      <c r="V915" s="43">
        <f t="shared" si="232"/>
        <v>45381</v>
      </c>
      <c r="W915" s="44">
        <f t="array" ref="W915">_xlfn.IFS(TRIM(C915)="","",TRIM(V915)="","",TRUE,V915-C915)</f>
        <v>7</v>
      </c>
      <c r="X915" s="37">
        <f t="shared" si="233"/>
        <v>-1</v>
      </c>
      <c r="Y915" s="46" t="s">
        <v>163</v>
      </c>
      <c r="Z915" s="37" t="str">
        <f t="shared" si="234"/>
        <v>delivered</v>
      </c>
      <c r="AA915" s="37" t="str">
        <f t="shared" si="235"/>
        <v>On Time</v>
      </c>
      <c r="AB915" s="37" t="str">
        <f t="shared" si="238"/>
        <v>0</v>
      </c>
      <c r="AC915" s="37">
        <f t="shared" si="239"/>
        <v>0</v>
      </c>
      <c r="AD915" s="45">
        <f t="shared" si="237"/>
        <v>0.508076358296623</v>
      </c>
      <c r="AE915" s="46">
        <v>5</v>
      </c>
      <c r="AF915" s="46" t="s">
        <v>191</v>
      </c>
      <c r="AG915" s="37" t="str">
        <f t="shared" si="236"/>
        <v>no</v>
      </c>
      <c r="AH915" s="37" t="str">
        <f t="array" ref="AH915">_xlfn.IFS(LOWER(AG915)="n","no",LOWER(AG915)="y","yes",TRUE,LOWER(AG915))</f>
        <v>no</v>
      </c>
      <c r="AI915" s="46" t="s">
        <v>4692</v>
      </c>
    </row>
    <row r="916" spans="1:35">
      <c r="A916" s="37" t="s">
        <v>3208</v>
      </c>
      <c r="B916" s="38">
        <v>45340</v>
      </c>
      <c r="C916" s="39">
        <f t="shared" si="224"/>
        <v>45340</v>
      </c>
      <c r="D916" s="40" t="s">
        <v>109</v>
      </c>
      <c r="E916" s="37" t="str" cm="1">
        <f t="array" ref="E916">_xlfn.IFS(D916="delhi","north",D916="mumbai","west",D916="bengaluru","south",D916="chennai","south",D916="kolkata","east",TRUE,"west")</f>
        <v>west</v>
      </c>
      <c r="F916" s="37" t="s">
        <v>194</v>
      </c>
      <c r="G916" s="37" t="str">
        <f t="shared" si="225"/>
        <v>xpressbees</v>
      </c>
      <c r="H916" s="37" t="s">
        <v>345</v>
      </c>
      <c r="I916" s="37" t="str">
        <f t="shared" si="226"/>
        <v>surface</v>
      </c>
      <c r="J916" s="37" t="s">
        <v>205</v>
      </c>
      <c r="K916" s="37" t="str">
        <f t="shared" si="227"/>
        <v>furniture</v>
      </c>
      <c r="L916" s="37" t="s">
        <v>346</v>
      </c>
      <c r="M916" s="37" t="str">
        <f t="shared" si="228"/>
        <v>north</v>
      </c>
      <c r="N916" s="37" t="s">
        <v>32</v>
      </c>
      <c r="O916" s="41" t="str">
        <f t="shared" si="229"/>
        <v>Yes</v>
      </c>
      <c r="P916" s="41" t="s">
        <v>3209</v>
      </c>
      <c r="Q916" s="41">
        <v>798</v>
      </c>
      <c r="R916" s="42">
        <f t="shared" si="230"/>
        <v>28.8086642599278</v>
      </c>
      <c r="S916" s="37">
        <v>6</v>
      </c>
      <c r="T916" s="37" t="s">
        <v>1801</v>
      </c>
      <c r="U916" s="43" t="str">
        <f t="shared" si="231"/>
        <v>2024-03-03</v>
      </c>
      <c r="V916" s="43">
        <f t="shared" si="232"/>
        <v>45354</v>
      </c>
      <c r="W916" s="44">
        <f t="array" ref="W916">_xlfn.IFS(TRIM(C916)="","",TRIM(V916)="","",TRUE,V916-C916)</f>
        <v>14</v>
      </c>
      <c r="X916" s="37">
        <f t="shared" si="233"/>
        <v>8</v>
      </c>
      <c r="Y916" s="37" t="s">
        <v>200</v>
      </c>
      <c r="Z916" s="37" t="str">
        <f t="shared" si="234"/>
        <v>delayed</v>
      </c>
      <c r="AA916" s="37" t="str">
        <f t="shared" si="235"/>
        <v>Late</v>
      </c>
      <c r="AB916" s="37" t="str">
        <f t="shared" si="238"/>
        <v>1</v>
      </c>
      <c r="AC916" s="37">
        <f t="shared" si="239"/>
        <v>1</v>
      </c>
      <c r="AD916" s="45">
        <f t="shared" si="237"/>
        <v>0.508823529411765</v>
      </c>
      <c r="AE916" s="37">
        <v>2</v>
      </c>
      <c r="AF916" s="37" t="s">
        <v>152</v>
      </c>
      <c r="AG916" s="37" t="str">
        <f t="shared" si="236"/>
        <v>no</v>
      </c>
      <c r="AH916" s="37" t="str">
        <f t="array" ref="AH916">_xlfn.IFS(LOWER(AG916)="n","no",LOWER(AG916)="y","yes",TRUE,LOWER(AG916))</f>
        <v>no</v>
      </c>
      <c r="AI916" s="37" t="s">
        <v>4692</v>
      </c>
    </row>
    <row r="917" spans="1:35">
      <c r="A917" s="46" t="s">
        <v>3211</v>
      </c>
      <c r="B917" s="47">
        <v>45394</v>
      </c>
      <c r="C917" s="39">
        <f t="shared" si="224"/>
        <v>45394</v>
      </c>
      <c r="D917" s="48" t="s">
        <v>212</v>
      </c>
      <c r="E917" s="37" t="str" cm="1">
        <f t="array" ref="E917">_xlfn.IFS(D917="delhi","north",D917="mumbai","west",D917="bengaluru","south",D917="chennai","south",D917="kolkata","east",TRUE,"west")</f>
        <v>west</v>
      </c>
      <c r="F917" s="46" t="s">
        <v>136</v>
      </c>
      <c r="G917" s="37" t="str">
        <f t="shared" si="225"/>
        <v>bluedart</v>
      </c>
      <c r="H917" s="46" t="s">
        <v>325</v>
      </c>
      <c r="I917" s="37" t="str">
        <f t="shared" si="226"/>
        <v>air</v>
      </c>
      <c r="J917" s="46" t="s">
        <v>283</v>
      </c>
      <c r="K917" s="37" t="str">
        <f t="shared" si="227"/>
        <v>pharma</v>
      </c>
      <c r="L917" s="46" t="s">
        <v>92</v>
      </c>
      <c r="M917" s="37" t="str">
        <f t="shared" si="228"/>
        <v>east</v>
      </c>
      <c r="N917" s="46" t="s">
        <v>396</v>
      </c>
      <c r="O917" s="41" t="str">
        <f t="shared" si="229"/>
        <v>Yes</v>
      </c>
      <c r="P917" s="49" t="s">
        <v>577</v>
      </c>
      <c r="Q917" s="49">
        <v>292</v>
      </c>
      <c r="R917" s="42">
        <f t="shared" si="230"/>
        <v>146</v>
      </c>
      <c r="S917" s="46">
        <v>4</v>
      </c>
      <c r="T917" s="46" t="s">
        <v>1301</v>
      </c>
      <c r="U917" s="43" t="str">
        <f t="shared" si="231"/>
        <v>15/04/2024</v>
      </c>
      <c r="V917" s="43">
        <f t="shared" si="232"/>
        <v>45397</v>
      </c>
      <c r="W917" s="44">
        <f t="array" ref="W917">_xlfn.IFS(TRIM(C917)="","",TRIM(V917)="","",TRUE,V917-C917)</f>
        <v>3</v>
      </c>
      <c r="X917" s="37">
        <f t="shared" si="233"/>
        <v>-1</v>
      </c>
      <c r="Y917" s="46" t="s">
        <v>219</v>
      </c>
      <c r="Z917" s="37" t="str">
        <f t="shared" si="234"/>
        <v>delivered</v>
      </c>
      <c r="AA917" s="37" t="str">
        <f t="shared" si="235"/>
        <v>On Time</v>
      </c>
      <c r="AB917" s="37" t="str">
        <f t="shared" si="238"/>
        <v>0</v>
      </c>
      <c r="AC917" s="37">
        <f t="shared" si="239"/>
        <v>0</v>
      </c>
      <c r="AD917" s="45">
        <f t="shared" si="237"/>
        <v>0.508100147275405</v>
      </c>
      <c r="AE917" s="46">
        <v>4</v>
      </c>
      <c r="AF917" s="46" t="s">
        <v>191</v>
      </c>
      <c r="AG917" s="37" t="str">
        <f t="shared" si="236"/>
        <v>no</v>
      </c>
      <c r="AH917" s="37" t="str">
        <f t="array" ref="AH917">_xlfn.IFS(LOWER(AG917)="n","no",LOWER(AG917)="y","yes",TRUE,LOWER(AG917))</f>
        <v>no</v>
      </c>
      <c r="AI917" s="46" t="s">
        <v>4692</v>
      </c>
    </row>
    <row r="918" spans="1:35">
      <c r="A918" s="37" t="s">
        <v>3212</v>
      </c>
      <c r="B918" s="38">
        <v>45385</v>
      </c>
      <c r="C918" s="39">
        <f t="shared" si="224"/>
        <v>45385</v>
      </c>
      <c r="D918" s="40" t="s">
        <v>243</v>
      </c>
      <c r="E918" s="37" t="str" cm="1">
        <f t="array" ref="E918">_xlfn.IFS(D918="delhi","north",D918="mumbai","west",D918="bengaluru","south",D918="chennai","south",D918="kolkata","east",TRUE,"west")</f>
        <v>west</v>
      </c>
      <c r="F918" s="37" t="s">
        <v>270</v>
      </c>
      <c r="G918" s="37" t="str">
        <f t="shared" si="225"/>
        <v>ecomexpress</v>
      </c>
      <c r="H918" s="37" t="s">
        <v>110</v>
      </c>
      <c r="I918" s="37" t="str">
        <f t="shared" si="226"/>
        <v>surface</v>
      </c>
      <c r="J918" s="37" t="s">
        <v>353</v>
      </c>
      <c r="K918" s="37" t="str">
        <f t="shared" si="227"/>
        <v>automotiveparts</v>
      </c>
      <c r="L918" s="37" t="s">
        <v>346</v>
      </c>
      <c r="M918" s="37" t="str">
        <f t="shared" si="228"/>
        <v>north</v>
      </c>
      <c r="N918" s="37" t="s">
        <v>215</v>
      </c>
      <c r="O918" s="41" t="str">
        <f t="shared" si="229"/>
        <v>Yes</v>
      </c>
      <c r="P918" s="41">
        <v>15.3</v>
      </c>
      <c r="Q918" s="41" t="s">
        <v>3214</v>
      </c>
      <c r="R918" s="42">
        <f t="shared" si="230"/>
        <v>33.5294117647059</v>
      </c>
      <c r="S918" s="37">
        <v>6</v>
      </c>
      <c r="T918" s="37" t="s">
        <v>1739</v>
      </c>
      <c r="U918" s="43" t="str">
        <f t="shared" si="231"/>
        <v>2024-04-10</v>
      </c>
      <c r="V918" s="43">
        <f t="shared" si="232"/>
        <v>45392</v>
      </c>
      <c r="W918" s="44">
        <f t="array" ref="W918">_xlfn.IFS(TRIM(C918)="","",TRIM(V918)="","",TRUE,V918-C918)</f>
        <v>7</v>
      </c>
      <c r="X918" s="37">
        <f t="shared" si="233"/>
        <v>1</v>
      </c>
      <c r="Y918" s="37" t="s">
        <v>172</v>
      </c>
      <c r="Z918" s="37" t="str">
        <f t="shared" si="234"/>
        <v>delayed</v>
      </c>
      <c r="AA918" s="37" t="str">
        <f t="shared" si="235"/>
        <v>Late</v>
      </c>
      <c r="AB918" s="37" t="str">
        <f t="shared" si="238"/>
        <v>1</v>
      </c>
      <c r="AC918" s="37">
        <f t="shared" si="239"/>
        <v>1</v>
      </c>
      <c r="AD918" s="45">
        <f t="shared" si="237"/>
        <v>0.508849557522124</v>
      </c>
      <c r="AE918" s="37">
        <v>4</v>
      </c>
      <c r="AF918" s="37" t="s">
        <v>118</v>
      </c>
      <c r="AG918" s="37" t="str">
        <f t="shared" si="236"/>
        <v>no</v>
      </c>
      <c r="AH918" s="37" t="str">
        <f t="array" ref="AH918">_xlfn.IFS(LOWER(AG918)="n","no",LOWER(AG918)="y","yes",TRUE,LOWER(AG918))</f>
        <v>no</v>
      </c>
      <c r="AI918" s="37" t="s">
        <v>4692</v>
      </c>
    </row>
    <row r="919" spans="1:35">
      <c r="A919" s="46" t="s">
        <v>3215</v>
      </c>
      <c r="B919" s="47">
        <v>45423</v>
      </c>
      <c r="C919" s="39">
        <f t="shared" si="224"/>
        <v>45423</v>
      </c>
      <c r="D919" s="48" t="s">
        <v>340</v>
      </c>
      <c r="E919" s="37" t="str" cm="1">
        <f t="array" ref="E919">_xlfn.IFS(D919="delhi","north",D919="mumbai","west",D919="bengaluru","south",D919="chennai","south",D919="kolkata","east",TRUE,"west")</f>
        <v>north</v>
      </c>
      <c r="F919" s="46" t="s">
        <v>270</v>
      </c>
      <c r="G919" s="37" t="str">
        <f t="shared" si="225"/>
        <v>ecomexpress</v>
      </c>
      <c r="H919" s="46" t="s">
        <v>185</v>
      </c>
      <c r="I919" s="37" t="str">
        <f t="shared" si="226"/>
        <v>surface</v>
      </c>
      <c r="J919" s="46" t="s">
        <v>326</v>
      </c>
      <c r="K919" s="37" t="str">
        <f t="shared" si="227"/>
        <v>apparel</v>
      </c>
      <c r="L919" s="46" t="s">
        <v>257</v>
      </c>
      <c r="M919" s="37" t="str">
        <f t="shared" si="228"/>
        <v>west</v>
      </c>
      <c r="N919" s="46" t="s">
        <v>187</v>
      </c>
      <c r="O919" s="41" t="str">
        <f t="shared" si="229"/>
        <v>Yes</v>
      </c>
      <c r="P919" s="49">
        <v>5.7</v>
      </c>
      <c r="Q919" s="49">
        <v>302</v>
      </c>
      <c r="R919" s="42">
        <f t="shared" si="230"/>
        <v>52.9824561403509</v>
      </c>
      <c r="S919" s="46">
        <v>6</v>
      </c>
      <c r="T919" s="46" t="s">
        <v>2347</v>
      </c>
      <c r="U919" s="43" t="str">
        <f t="shared" si="231"/>
        <v>24/05/2024</v>
      </c>
      <c r="V919" s="43">
        <f t="shared" si="232"/>
        <v>45436</v>
      </c>
      <c r="W919" s="44">
        <f t="array" ref="W919">_xlfn.IFS(TRIM(C919)="","",TRIM(V919)="","",TRUE,V919-C919)</f>
        <v>13</v>
      </c>
      <c r="X919" s="37">
        <f t="shared" si="233"/>
        <v>7</v>
      </c>
      <c r="Y919" s="46" t="s">
        <v>172</v>
      </c>
      <c r="Z919" s="37" t="str">
        <f t="shared" si="234"/>
        <v>delayed</v>
      </c>
      <c r="AA919" s="37" t="str">
        <f t="shared" si="235"/>
        <v>Late</v>
      </c>
      <c r="AB919" s="37" t="str">
        <f t="shared" si="238"/>
        <v>1</v>
      </c>
      <c r="AC919" s="37">
        <f t="shared" si="239"/>
        <v>1</v>
      </c>
      <c r="AD919" s="45">
        <f t="shared" si="237"/>
        <v>0.508124076809453</v>
      </c>
      <c r="AE919" s="46">
        <v>3</v>
      </c>
      <c r="AF919" s="46" t="s">
        <v>118</v>
      </c>
      <c r="AG919" s="37" t="str">
        <f t="shared" si="236"/>
        <v>no</v>
      </c>
      <c r="AH919" s="37" t="str">
        <f t="array" ref="AH919">_xlfn.IFS(LOWER(AG919)="n","no",LOWER(AG919)="y","yes",TRUE,LOWER(AG919))</f>
        <v>no</v>
      </c>
      <c r="AI919" s="46" t="s">
        <v>4692</v>
      </c>
    </row>
    <row r="920" spans="1:35">
      <c r="A920" s="37" t="s">
        <v>3218</v>
      </c>
      <c r="B920" s="38">
        <v>45299</v>
      </c>
      <c r="C920" s="39">
        <f t="shared" si="224"/>
        <v>45299</v>
      </c>
      <c r="D920" s="40" t="s">
        <v>340</v>
      </c>
      <c r="E920" s="37" t="str" cm="1">
        <f t="array" ref="E920">_xlfn.IFS(D920="delhi","north",D920="mumbai","west",D920="bengaluru","south",D920="chennai","south",D920="kolkata","east",TRUE,"west")</f>
        <v>north</v>
      </c>
      <c r="F920" s="37" t="s">
        <v>156</v>
      </c>
      <c r="G920" s="37" t="str">
        <f t="shared" si="225"/>
        <v>xpressbees</v>
      </c>
      <c r="H920" s="37" t="s">
        <v>42</v>
      </c>
      <c r="I920" s="37" t="str">
        <f t="shared" si="226"/>
        <v>surface</v>
      </c>
      <c r="J920" s="37" t="s">
        <v>319</v>
      </c>
      <c r="K920" s="37" t="str">
        <f t="shared" si="227"/>
        <v>electronics</v>
      </c>
      <c r="L920" s="37" t="s">
        <v>470</v>
      </c>
      <c r="M920" s="37" t="str">
        <f t="shared" si="228"/>
        <v>east</v>
      </c>
      <c r="N920" s="37" t="s">
        <v>91</v>
      </c>
      <c r="O920" s="41" t="str">
        <f t="shared" si="229"/>
        <v>Yes</v>
      </c>
      <c r="P920" s="41">
        <v>9.6</v>
      </c>
      <c r="Q920" s="41" t="s">
        <v>3220</v>
      </c>
      <c r="R920" s="42">
        <f t="shared" si="230"/>
        <v>38.0208333333333</v>
      </c>
      <c r="S920" s="37">
        <v>6</v>
      </c>
      <c r="T920" s="37" t="s">
        <v>579</v>
      </c>
      <c r="U920" s="43" t="str">
        <f t="shared" si="231"/>
        <v>13-jan-2024</v>
      </c>
      <c r="V920" s="43">
        <f t="shared" si="232"/>
        <v>45304</v>
      </c>
      <c r="W920" s="44">
        <f t="array" ref="W920">_xlfn.IFS(TRIM(C920)="","",TRIM(V920)="","",TRUE,V920-C920)</f>
        <v>5</v>
      </c>
      <c r="X920" s="37">
        <f t="shared" si="233"/>
        <v>-1</v>
      </c>
      <c r="Y920" s="37" t="s">
        <v>105</v>
      </c>
      <c r="Z920" s="37" t="str">
        <f t="shared" si="234"/>
        <v>delivered</v>
      </c>
      <c r="AA920" s="37" t="str">
        <f t="shared" si="235"/>
        <v>On Time</v>
      </c>
      <c r="AB920" s="37" t="str">
        <f t="shared" si="238"/>
        <v>0</v>
      </c>
      <c r="AC920" s="37">
        <f t="shared" si="239"/>
        <v>0</v>
      </c>
      <c r="AD920" s="45">
        <f t="shared" si="237"/>
        <v>0.507396449704142</v>
      </c>
      <c r="AE920" s="37">
        <v>5</v>
      </c>
      <c r="AF920" s="37" t="s">
        <v>181</v>
      </c>
      <c r="AG920" s="37" t="str">
        <f t="shared" si="236"/>
        <v>y</v>
      </c>
      <c r="AH920" s="37" t="str">
        <f t="array" ref="AH920">_xlfn.IFS(LOWER(AG920)="n","no",LOWER(AG920)="y","yes",TRUE,LOWER(AG920))</f>
        <v>yes</v>
      </c>
      <c r="AI920" s="37" t="s">
        <v>4692</v>
      </c>
    </row>
    <row r="921" spans="1:35">
      <c r="A921" s="46" t="s">
        <v>3221</v>
      </c>
      <c r="B921" s="47">
        <v>45295</v>
      </c>
      <c r="C921" s="39">
        <f t="shared" si="224"/>
        <v>45295</v>
      </c>
      <c r="D921" s="48" t="s">
        <v>300</v>
      </c>
      <c r="E921" s="37" t="str" cm="1">
        <f t="array" ref="E921">_xlfn.IFS(D921="delhi","north",D921="mumbai","west",D921="bengaluru","south",D921="chennai","south",D921="kolkata","east",TRUE,"west")</f>
        <v>west</v>
      </c>
      <c r="F921" s="46" t="s">
        <v>312</v>
      </c>
      <c r="G921" s="37" t="str">
        <f t="shared" si="225"/>
        <v>bluedart</v>
      </c>
      <c r="H921" s="46" t="s">
        <v>224</v>
      </c>
      <c r="I921" s="37" t="str">
        <f t="shared" si="226"/>
        <v>air</v>
      </c>
      <c r="J921" s="46" t="s">
        <v>205</v>
      </c>
      <c r="K921" s="37" t="str">
        <f t="shared" si="227"/>
        <v>furniture</v>
      </c>
      <c r="L921" s="46" t="s">
        <v>89</v>
      </c>
      <c r="M921" s="37" t="str">
        <f t="shared" si="228"/>
        <v>west</v>
      </c>
      <c r="N921" s="46" t="s">
        <v>206</v>
      </c>
      <c r="O921" s="41" t="str">
        <f t="shared" si="229"/>
        <v>Yes</v>
      </c>
      <c r="P921" s="49">
        <v>77.3</v>
      </c>
      <c r="Q921" s="49" t="s">
        <v>3223</v>
      </c>
      <c r="R921" s="42">
        <f t="shared" si="230"/>
        <v>46.9987063389392</v>
      </c>
      <c r="S921" s="46">
        <v>4</v>
      </c>
      <c r="T921" s="46" t="s">
        <v>2225</v>
      </c>
      <c r="U921" s="43" t="str">
        <f t="shared" si="231"/>
        <v>09/01/2024</v>
      </c>
      <c r="V921" s="43">
        <f t="shared" si="232"/>
        <v>45300</v>
      </c>
      <c r="W921" s="44">
        <f t="array" ref="W921">_xlfn.IFS(TRIM(C921)="","",TRIM(V921)="","",TRUE,V921-C921)</f>
        <v>5</v>
      </c>
      <c r="X921" s="37">
        <f t="shared" si="233"/>
        <v>1</v>
      </c>
      <c r="Y921" s="46" t="s">
        <v>172</v>
      </c>
      <c r="Z921" s="37" t="str">
        <f t="shared" si="234"/>
        <v>delayed</v>
      </c>
      <c r="AA921" s="37" t="str">
        <f t="shared" si="235"/>
        <v>Late</v>
      </c>
      <c r="AB921" s="37" t="str">
        <f t="shared" si="238"/>
        <v>1</v>
      </c>
      <c r="AC921" s="37">
        <f t="shared" si="239"/>
        <v>1</v>
      </c>
      <c r="AD921" s="45">
        <f t="shared" si="237"/>
        <v>0.508148148148148</v>
      </c>
      <c r="AE921" s="46">
        <v>3</v>
      </c>
      <c r="AF921" s="46" t="s">
        <v>106</v>
      </c>
      <c r="AG921" s="37" t="str">
        <f t="shared" si="236"/>
        <v>yes</v>
      </c>
      <c r="AH921" s="37" t="str">
        <f t="array" ref="AH921">_xlfn.IFS(LOWER(AG921)="n","no",LOWER(AG921)="y","yes",TRUE,LOWER(AG921))</f>
        <v>yes</v>
      </c>
      <c r="AI921" s="46" t="s">
        <v>4692</v>
      </c>
    </row>
    <row r="922" spans="1:35">
      <c r="A922" s="37" t="s">
        <v>3224</v>
      </c>
      <c r="B922" s="38">
        <v>45327</v>
      </c>
      <c r="C922" s="39">
        <f t="shared" si="224"/>
        <v>45327</v>
      </c>
      <c r="D922" s="40" t="s">
        <v>366</v>
      </c>
      <c r="E922" s="37" t="str" cm="1">
        <f t="array" ref="E922">_xlfn.IFS(D922="delhi","north",D922="mumbai","west",D922="bengaluru","south",D922="chennai","south",D922="kolkata","east",TRUE,"west")</f>
        <v>east</v>
      </c>
      <c r="F922" s="37" t="s">
        <v>136</v>
      </c>
      <c r="G922" s="37" t="str">
        <f t="shared" si="225"/>
        <v>bluedart</v>
      </c>
      <c r="H922" s="37" t="s">
        <v>99</v>
      </c>
      <c r="I922" s="37" t="str">
        <f t="shared" si="226"/>
        <v>air</v>
      </c>
      <c r="J922" s="37" t="s">
        <v>353</v>
      </c>
      <c r="K922" s="37" t="str">
        <f t="shared" si="227"/>
        <v>automotiveparts</v>
      </c>
      <c r="L922" s="37" t="s">
        <v>264</v>
      </c>
      <c r="M922" s="37" t="str">
        <f t="shared" si="228"/>
        <v>west</v>
      </c>
      <c r="N922" s="37" t="s">
        <v>88</v>
      </c>
      <c r="O922" s="41" t="str">
        <f t="shared" si="229"/>
        <v>Yes</v>
      </c>
      <c r="P922" s="41">
        <v>30.7</v>
      </c>
      <c r="Q922" s="41">
        <v>1521</v>
      </c>
      <c r="R922" s="42">
        <f t="shared" si="230"/>
        <v>49.5439739413681</v>
      </c>
      <c r="S922" s="37">
        <v>4</v>
      </c>
      <c r="T922" s="37" t="s">
        <v>518</v>
      </c>
      <c r="U922" s="43" t="str">
        <f t="shared" si="231"/>
        <v>09/02/2024</v>
      </c>
      <c r="V922" s="43">
        <f t="shared" si="232"/>
        <v>45331</v>
      </c>
      <c r="W922" s="44">
        <f t="array" ref="W922">_xlfn.IFS(TRIM(C922)="","",TRIM(V922)="","",TRUE,V922-C922)</f>
        <v>4</v>
      </c>
      <c r="X922" s="37">
        <f t="shared" si="233"/>
        <v>0</v>
      </c>
      <c r="Y922" s="37" t="s">
        <v>163</v>
      </c>
      <c r="Z922" s="37" t="str">
        <f t="shared" si="234"/>
        <v>delivered</v>
      </c>
      <c r="AA922" s="37" t="str">
        <f t="shared" si="235"/>
        <v>On Time</v>
      </c>
      <c r="AB922" s="37" t="str">
        <f t="shared" si="238"/>
        <v>0</v>
      </c>
      <c r="AC922" s="37">
        <f t="shared" si="239"/>
        <v>0</v>
      </c>
      <c r="AD922" s="45">
        <f t="shared" si="237"/>
        <v>0.507418397626113</v>
      </c>
      <c r="AE922" s="37">
        <v>2</v>
      </c>
      <c r="AF922" s="37" t="s">
        <v>286</v>
      </c>
      <c r="AG922" s="37" t="str">
        <f t="shared" si="236"/>
        <v>yes</v>
      </c>
      <c r="AH922" s="37" t="str">
        <f t="array" ref="AH922">_xlfn.IFS(LOWER(AG922)="n","no",LOWER(AG922)="y","yes",TRUE,LOWER(AG922))</f>
        <v>yes</v>
      </c>
      <c r="AI922" s="37" t="s">
        <v>4692</v>
      </c>
    </row>
    <row r="923" spans="1:35">
      <c r="A923" s="46" t="s">
        <v>3227</v>
      </c>
      <c r="B923" s="47" t="s">
        <v>4807</v>
      </c>
      <c r="C923" s="39">
        <f t="shared" si="224"/>
        <v>45424</v>
      </c>
      <c r="D923" s="48" t="s">
        <v>212</v>
      </c>
      <c r="E923" s="37" t="str" cm="1">
        <f t="array" ref="E923">_xlfn.IFS(D923="delhi","north",D923="mumbai","west",D923="bengaluru","south",D923="chennai","south",D923="kolkata","east",TRUE,"west")</f>
        <v>west</v>
      </c>
      <c r="F923" s="46" t="s">
        <v>333</v>
      </c>
      <c r="G923" s="37" t="str">
        <f t="shared" si="225"/>
        <v>delhivery</v>
      </c>
      <c r="H923" s="46" t="s">
        <v>147</v>
      </c>
      <c r="I923" s="37" t="str">
        <f t="shared" si="226"/>
        <v>road</v>
      </c>
      <c r="J923" s="46" t="s">
        <v>177</v>
      </c>
      <c r="K923" s="37" t="str">
        <f t="shared" si="227"/>
        <v>pharma</v>
      </c>
      <c r="L923" s="46" t="s">
        <v>89</v>
      </c>
      <c r="M923" s="37" t="str">
        <f t="shared" si="228"/>
        <v>west</v>
      </c>
      <c r="N923" s="46" t="s">
        <v>206</v>
      </c>
      <c r="O923" s="41" t="str">
        <f t="shared" si="229"/>
        <v>Yes</v>
      </c>
      <c r="P923" s="49">
        <v>0.9</v>
      </c>
      <c r="Q923" s="49">
        <v>80</v>
      </c>
      <c r="R923" s="42">
        <f t="shared" si="230"/>
        <v>88.8888888888889</v>
      </c>
      <c r="S923" s="46">
        <v>6</v>
      </c>
      <c r="T923" s="46" t="s">
        <v>3228</v>
      </c>
      <c r="U923" s="43" t="str">
        <f t="shared" si="231"/>
        <v>18/05/2024</v>
      </c>
      <c r="V923" s="43">
        <f t="shared" si="232"/>
        <v>45430</v>
      </c>
      <c r="W923" s="44">
        <f t="array" ref="W923">_xlfn.IFS(TRIM(C923)="","",TRIM(V923)="","",TRUE,V923-C923)</f>
        <v>6</v>
      </c>
      <c r="X923" s="37">
        <f t="shared" si="233"/>
        <v>0</v>
      </c>
      <c r="Y923" s="46" t="s">
        <v>117</v>
      </c>
      <c r="Z923" s="37" t="str">
        <f t="shared" si="234"/>
        <v>delivered</v>
      </c>
      <c r="AA923" s="37" t="str">
        <f t="shared" si="235"/>
        <v>On Time</v>
      </c>
      <c r="AB923" s="37" t="str">
        <f t="shared" si="238"/>
        <v>0</v>
      </c>
      <c r="AC923" s="37">
        <f t="shared" si="239"/>
        <v>0</v>
      </c>
      <c r="AD923" s="45">
        <f t="shared" si="237"/>
        <v>0.508172362555721</v>
      </c>
      <c r="AE923" s="46">
        <v>5</v>
      </c>
      <c r="AF923" s="46" t="s">
        <v>118</v>
      </c>
      <c r="AG923" s="37" t="str">
        <f t="shared" si="236"/>
        <v>no</v>
      </c>
      <c r="AH923" s="37" t="str">
        <f t="array" ref="AH923">_xlfn.IFS(LOWER(AG923)="n","no",LOWER(AG923)="y","yes",TRUE,LOWER(AG923))</f>
        <v>no</v>
      </c>
      <c r="AI923" s="46" t="s">
        <v>4692</v>
      </c>
    </row>
    <row r="924" spans="1:35">
      <c r="A924" s="37" t="s">
        <v>3229</v>
      </c>
      <c r="B924" s="38">
        <v>45356</v>
      </c>
      <c r="C924" s="39">
        <f t="shared" si="224"/>
        <v>45356</v>
      </c>
      <c r="D924" s="40" t="s">
        <v>4712</v>
      </c>
      <c r="E924" s="37" t="str" cm="1">
        <f t="array" ref="E924">_xlfn.IFS(D924="delhi","north",D924="mumbai","west",D924="bengaluru","south",D924="chennai","south",D924="kolkata","east",TRUE,"west")</f>
        <v>west</v>
      </c>
      <c r="F924" s="37" t="s">
        <v>352</v>
      </c>
      <c r="G924" s="37" t="str">
        <f t="shared" si="225"/>
        <v>delhivery</v>
      </c>
      <c r="H924" s="37" t="s">
        <v>157</v>
      </c>
      <c r="I924" s="37" t="str">
        <f t="shared" si="226"/>
        <v>surface</v>
      </c>
      <c r="J924" s="37" t="s">
        <v>368</v>
      </c>
      <c r="K924" s="37" t="str">
        <f t="shared" si="227"/>
        <v>furniture</v>
      </c>
      <c r="L924" s="37" t="s">
        <v>418</v>
      </c>
      <c r="M924" s="37" t="str">
        <f t="shared" si="228"/>
        <v>south</v>
      </c>
      <c r="N924" s="37" t="s">
        <v>93</v>
      </c>
      <c r="O924" s="41" t="str">
        <f t="shared" si="229"/>
        <v>Yes</v>
      </c>
      <c r="P924" s="41" t="s">
        <v>2769</v>
      </c>
      <c r="Q924" s="50">
        <v>1705</v>
      </c>
      <c r="R924" s="42">
        <f t="shared" si="230"/>
        <v>21.7474489795918</v>
      </c>
      <c r="S924" s="37">
        <v>4</v>
      </c>
      <c r="T924" s="37" t="s">
        <v>1294</v>
      </c>
      <c r="U924" s="43" t="str">
        <f t="shared" si="231"/>
        <v>09/03/2024</v>
      </c>
      <c r="V924" s="43">
        <f t="shared" si="232"/>
        <v>45360</v>
      </c>
      <c r="W924" s="44">
        <f t="array" ref="W924">_xlfn.IFS(TRIM(C924)="","",TRIM(V924)="","",TRUE,V924-C924)</f>
        <v>4</v>
      </c>
      <c r="X924" s="37">
        <f t="shared" si="233"/>
        <v>0</v>
      </c>
      <c r="Y924" s="37" t="s">
        <v>219</v>
      </c>
      <c r="Z924" s="37" t="str">
        <f t="shared" si="234"/>
        <v>delivered</v>
      </c>
      <c r="AA924" s="37" t="str">
        <f t="shared" si="235"/>
        <v>On Time</v>
      </c>
      <c r="AB924" s="37" t="str">
        <f t="shared" si="238"/>
        <v>0</v>
      </c>
      <c r="AC924" s="37">
        <f t="shared" si="239"/>
        <v>0</v>
      </c>
      <c r="AD924" s="45">
        <f t="shared" si="237"/>
        <v>0.508928571428571</v>
      </c>
      <c r="AE924" s="37">
        <v>5</v>
      </c>
      <c r="AF924" s="37" t="s">
        <v>79</v>
      </c>
      <c r="AG924" s="37" t="str">
        <f t="shared" si="236"/>
        <v>yes</v>
      </c>
      <c r="AH924" s="37" t="str">
        <f t="array" ref="AH924">_xlfn.IFS(LOWER(AG924)="n","no",LOWER(AG924)="y","yes",TRUE,LOWER(AG924))</f>
        <v>yes</v>
      </c>
      <c r="AI924" s="37" t="s">
        <v>4692</v>
      </c>
    </row>
    <row r="925" spans="1:35">
      <c r="A925" s="46" t="s">
        <v>3231</v>
      </c>
      <c r="B925" s="47">
        <v>45424</v>
      </c>
      <c r="C925" s="39">
        <f t="shared" si="224"/>
        <v>45424</v>
      </c>
      <c r="D925" s="48" t="s">
        <v>212</v>
      </c>
      <c r="E925" s="37" t="str" cm="1">
        <f t="array" ref="E925">_xlfn.IFS(D925="delhi","north",D925="mumbai","west",D925="bengaluru","south",D925="chennai","south",D925="kolkata","east",TRUE,"west")</f>
        <v>west</v>
      </c>
      <c r="F925" s="46" t="s">
        <v>37</v>
      </c>
      <c r="G925" s="37" t="str">
        <f t="shared" si="225"/>
        <v>bluedart</v>
      </c>
      <c r="H925" s="46" t="s">
        <v>195</v>
      </c>
      <c r="I925" s="37" t="str">
        <f t="shared" si="226"/>
        <v>road</v>
      </c>
      <c r="J925" s="46" t="s">
        <v>47</v>
      </c>
      <c r="K925" s="37" t="str">
        <f t="shared" si="227"/>
        <v>electronics</v>
      </c>
      <c r="L925" s="46" t="s">
        <v>334</v>
      </c>
      <c r="M925" s="37" t="str">
        <f t="shared" si="228"/>
        <v>north</v>
      </c>
      <c r="N925" s="46" t="s">
        <v>113</v>
      </c>
      <c r="O925" s="41" t="str">
        <f t="shared" si="229"/>
        <v>Yes</v>
      </c>
      <c r="P925" s="49">
        <v>1.6</v>
      </c>
      <c r="Q925" s="49">
        <v>172</v>
      </c>
      <c r="R925" s="42">
        <f t="shared" si="230"/>
        <v>107.5</v>
      </c>
      <c r="S925" s="46">
        <v>8</v>
      </c>
      <c r="T925" s="46" t="s">
        <v>379</v>
      </c>
      <c r="U925" s="43" t="str">
        <f t="shared" si="231"/>
        <v>21/05/2024</v>
      </c>
      <c r="V925" s="43">
        <f t="shared" si="232"/>
        <v>45433</v>
      </c>
      <c r="W925" s="44">
        <f t="array" ref="W925">_xlfn.IFS(TRIM(C925)="","",TRIM(V925)="","",TRUE,V925-C925)</f>
        <v>9</v>
      </c>
      <c r="X925" s="37">
        <f t="shared" si="233"/>
        <v>1</v>
      </c>
      <c r="Y925" s="46" t="s">
        <v>200</v>
      </c>
      <c r="Z925" s="37" t="str">
        <f t="shared" si="234"/>
        <v>delayed</v>
      </c>
      <c r="AA925" s="37" t="str">
        <f t="shared" si="235"/>
        <v>Late</v>
      </c>
      <c r="AB925" s="37" t="str">
        <f t="shared" si="238"/>
        <v>1</v>
      </c>
      <c r="AC925" s="37">
        <f t="shared" si="239"/>
        <v>1</v>
      </c>
      <c r="AD925" s="45">
        <f t="shared" si="237"/>
        <v>0.509687034277198</v>
      </c>
      <c r="AE925" s="46">
        <v>4</v>
      </c>
      <c r="AF925" s="46" t="s">
        <v>106</v>
      </c>
      <c r="AG925" s="37" t="str">
        <f t="shared" si="236"/>
        <v>yes</v>
      </c>
      <c r="AH925" s="37" t="str">
        <f t="array" ref="AH925">_xlfn.IFS(LOWER(AG925)="n","no",LOWER(AG925)="y","yes",TRUE,LOWER(AG925))</f>
        <v>yes</v>
      </c>
      <c r="AI925" s="46" t="s">
        <v>4692</v>
      </c>
    </row>
    <row r="926" spans="1:35">
      <c r="A926" s="37" t="s">
        <v>3233</v>
      </c>
      <c r="B926" s="38" t="s">
        <v>4730</v>
      </c>
      <c r="C926" s="39">
        <f t="shared" si="224"/>
        <v>45314</v>
      </c>
      <c r="D926" s="40" t="s">
        <v>212</v>
      </c>
      <c r="E926" s="37" t="str" cm="1">
        <f t="array" ref="E926">_xlfn.IFS(D926="delhi","north",D926="mumbai","west",D926="bengaluru","south",D926="chennai","south",D926="kolkata","east",TRUE,"west")</f>
        <v>west</v>
      </c>
      <c r="F926" s="37" t="s">
        <v>919</v>
      </c>
      <c r="G926" s="37" t="str">
        <f t="shared" si="225"/>
        <v>xpressbees</v>
      </c>
      <c r="H926" s="37" t="s">
        <v>123</v>
      </c>
      <c r="I926" s="37" t="str">
        <f t="shared" si="226"/>
        <v>air</v>
      </c>
      <c r="J926" s="37" t="s">
        <v>385</v>
      </c>
      <c r="K926" s="37" t="str">
        <f t="shared" si="227"/>
        <v>furniture</v>
      </c>
      <c r="L926" s="37" t="s">
        <v>470</v>
      </c>
      <c r="M926" s="37" t="str">
        <f t="shared" si="228"/>
        <v>east</v>
      </c>
      <c r="N926" s="37" t="s">
        <v>396</v>
      </c>
      <c r="O926" s="41" t="str">
        <f t="shared" si="229"/>
        <v>Yes</v>
      </c>
      <c r="P926" s="41">
        <v>19.7</v>
      </c>
      <c r="Q926" s="50">
        <v>1089</v>
      </c>
      <c r="R926" s="42">
        <f t="shared" si="230"/>
        <v>55.2791878172589</v>
      </c>
      <c r="S926" s="37">
        <v>4</v>
      </c>
      <c r="T926" s="37" t="s">
        <v>1034</v>
      </c>
      <c r="U926" s="43" t="str">
        <f t="shared" si="231"/>
        <v>27/01/2024</v>
      </c>
      <c r="V926" s="43">
        <f t="shared" si="232"/>
        <v>45318</v>
      </c>
      <c r="W926" s="44">
        <f t="array" ref="W926">_xlfn.IFS(TRIM(C926)="","",TRIM(V926)="","",TRUE,V926-C926)</f>
        <v>4</v>
      </c>
      <c r="X926" s="37">
        <f t="shared" si="233"/>
        <v>0</v>
      </c>
      <c r="Y926" s="37" t="s">
        <v>105</v>
      </c>
      <c r="Z926" s="37" t="str">
        <f t="shared" si="234"/>
        <v>delivered</v>
      </c>
      <c r="AA926" s="37" t="str">
        <f t="shared" si="235"/>
        <v>On Time</v>
      </c>
      <c r="AB926" s="37" t="str">
        <f t="shared" si="238"/>
        <v>0</v>
      </c>
      <c r="AC926" s="37">
        <f t="shared" si="239"/>
        <v>0</v>
      </c>
      <c r="AD926" s="45">
        <f t="shared" si="237"/>
        <v>0.508955223880597</v>
      </c>
      <c r="AE926" s="37">
        <v>1</v>
      </c>
      <c r="AF926" s="37" t="s">
        <v>106</v>
      </c>
      <c r="AG926" s="37" t="str">
        <f t="shared" si="236"/>
        <v>yes</v>
      </c>
      <c r="AH926" s="37" t="str">
        <f t="array" ref="AH926">_xlfn.IFS(LOWER(AG926)="n","no",LOWER(AG926)="y","yes",TRUE,LOWER(AG926))</f>
        <v>yes</v>
      </c>
      <c r="AI926" s="37" t="s">
        <v>4692</v>
      </c>
    </row>
    <row r="927" spans="1:35">
      <c r="A927" s="46" t="s">
        <v>3236</v>
      </c>
      <c r="B927" s="47">
        <v>45447</v>
      </c>
      <c r="C927" s="39">
        <f t="shared" si="224"/>
        <v>45447</v>
      </c>
      <c r="D927" s="48" t="s">
        <v>135</v>
      </c>
      <c r="E927" s="37" t="str" cm="1">
        <f t="array" ref="E927">_xlfn.IFS(D927="delhi","north",D927="mumbai","west",D927="bengaluru","south",D927="chennai","south",D927="kolkata","east",TRUE,"west")</f>
        <v>west</v>
      </c>
      <c r="F927" s="46" t="s">
        <v>146</v>
      </c>
      <c r="G927" s="37" t="str">
        <f t="shared" si="225"/>
        <v>ecomexpress</v>
      </c>
      <c r="H927" s="46" t="s">
        <v>244</v>
      </c>
      <c r="I927" s="37" t="str">
        <f t="shared" si="226"/>
        <v>air</v>
      </c>
      <c r="J927" s="46" t="s">
        <v>582</v>
      </c>
      <c r="K927" s="37" t="str">
        <f t="shared" si="227"/>
        <v>grocery&amp;fmcg</v>
      </c>
      <c r="L927" s="46" t="s">
        <v>51</v>
      </c>
      <c r="M927" s="37" t="str">
        <f t="shared" si="228"/>
        <v>south</v>
      </c>
      <c r="N927" s="46" t="s">
        <v>93</v>
      </c>
      <c r="O927" s="41" t="str">
        <f t="shared" si="229"/>
        <v>Yes</v>
      </c>
      <c r="P927" s="49">
        <v>16.4</v>
      </c>
      <c r="Q927" s="49">
        <v>907</v>
      </c>
      <c r="R927" s="42">
        <f t="shared" si="230"/>
        <v>55.3048780487805</v>
      </c>
      <c r="S927" s="46">
        <v>4</v>
      </c>
      <c r="T927" s="46" t="s">
        <v>1814</v>
      </c>
      <c r="U927" s="43" t="str">
        <f t="shared" si="231"/>
        <v>09-jun-2024</v>
      </c>
      <c r="V927" s="43">
        <f t="shared" si="232"/>
        <v>45452</v>
      </c>
      <c r="W927" s="44">
        <f t="array" ref="W927">_xlfn.IFS(TRIM(C927)="","",TRIM(V927)="","",TRUE,V927-C927)</f>
        <v>5</v>
      </c>
      <c r="X927" s="37">
        <f t="shared" si="233"/>
        <v>1</v>
      </c>
      <c r="Y927" s="46" t="s">
        <v>143</v>
      </c>
      <c r="Z927" s="37" t="str">
        <f t="shared" si="234"/>
        <v>delayed</v>
      </c>
      <c r="AA927" s="37" t="str">
        <f t="shared" si="235"/>
        <v>Late</v>
      </c>
      <c r="AB927" s="37" t="str">
        <f t="shared" si="238"/>
        <v>1</v>
      </c>
      <c r="AC927" s="37">
        <f t="shared" si="239"/>
        <v>1</v>
      </c>
      <c r="AD927" s="45">
        <f t="shared" si="237"/>
        <v>0.509715994020927</v>
      </c>
      <c r="AE927" s="46">
        <v>3</v>
      </c>
      <c r="AF927" s="46" t="s">
        <v>152</v>
      </c>
      <c r="AG927" s="37" t="str">
        <f t="shared" si="236"/>
        <v>no</v>
      </c>
      <c r="AH927" s="37" t="str">
        <f t="array" ref="AH927">_xlfn.IFS(LOWER(AG927)="n","no",LOWER(AG927)="y","yes",TRUE,LOWER(AG927))</f>
        <v>no</v>
      </c>
      <c r="AI927" s="46" t="s">
        <v>4692</v>
      </c>
    </row>
    <row r="928" spans="1:35">
      <c r="A928" s="37" t="s">
        <v>3239</v>
      </c>
      <c r="B928" s="38">
        <v>45343</v>
      </c>
      <c r="C928" s="39">
        <f t="shared" si="224"/>
        <v>45343</v>
      </c>
      <c r="D928" s="40" t="s">
        <v>366</v>
      </c>
      <c r="E928" s="37" t="str" cm="1">
        <f t="array" ref="E928">_xlfn.IFS(D928="delhi","north",D928="mumbai","west",D928="bengaluru","south",D928="chennai","south",D928="kolkata","east",TRUE,"west")</f>
        <v>east</v>
      </c>
      <c r="F928" s="37" t="s">
        <v>37</v>
      </c>
      <c r="G928" s="37" t="str">
        <f t="shared" si="225"/>
        <v>bluedart</v>
      </c>
      <c r="H928" s="37" t="s">
        <v>195</v>
      </c>
      <c r="I928" s="37" t="str">
        <f t="shared" si="226"/>
        <v>road</v>
      </c>
      <c r="J928" s="37" t="s">
        <v>271</v>
      </c>
      <c r="K928" s="37" t="str">
        <f t="shared" si="227"/>
        <v>electronics</v>
      </c>
      <c r="L928" s="37" t="s">
        <v>346</v>
      </c>
      <c r="M928" s="37" t="str">
        <f t="shared" si="228"/>
        <v>north</v>
      </c>
      <c r="N928" s="37" t="s">
        <v>32</v>
      </c>
      <c r="O928" s="41" t="str">
        <f t="shared" si="229"/>
        <v>Yes</v>
      </c>
      <c r="P928" s="41">
        <v>10.5</v>
      </c>
      <c r="Q928" s="41" t="s">
        <v>2408</v>
      </c>
      <c r="R928" s="42">
        <f t="shared" si="230"/>
        <v>30</v>
      </c>
      <c r="S928" s="37">
        <v>8</v>
      </c>
      <c r="T928" s="37" t="s">
        <v>899</v>
      </c>
      <c r="U928" s="43" t="str">
        <f t="shared" si="231"/>
        <v>28/02/2024</v>
      </c>
      <c r="V928" s="43">
        <f t="shared" si="232"/>
        <v>45350</v>
      </c>
      <c r="W928" s="44">
        <f t="array" ref="W928">_xlfn.IFS(TRIM(C928)="","",TRIM(V928)="","",TRUE,V928-C928)</f>
        <v>7</v>
      </c>
      <c r="X928" s="37">
        <f t="shared" si="233"/>
        <v>-1</v>
      </c>
      <c r="Y928" s="37" t="s">
        <v>117</v>
      </c>
      <c r="Z928" s="37" t="str">
        <f t="shared" si="234"/>
        <v>delivered</v>
      </c>
      <c r="AA928" s="37" t="str">
        <f t="shared" si="235"/>
        <v>On Time</v>
      </c>
      <c r="AB928" s="37" t="str">
        <f t="shared" si="238"/>
        <v>0</v>
      </c>
      <c r="AC928" s="37">
        <f t="shared" si="239"/>
        <v>0</v>
      </c>
      <c r="AD928" s="45">
        <f t="shared" si="237"/>
        <v>0.508982035928144</v>
      </c>
      <c r="AE928" s="37">
        <v>5</v>
      </c>
      <c r="AF928" s="37" t="s">
        <v>131</v>
      </c>
      <c r="AG928" s="37" t="str">
        <f t="shared" si="236"/>
        <v>n</v>
      </c>
      <c r="AH928" s="37" t="str">
        <f t="array" ref="AH928">_xlfn.IFS(LOWER(AG928)="n","no",LOWER(AG928)="y","yes",TRUE,LOWER(AG928))</f>
        <v>no</v>
      </c>
      <c r="AI928" s="37" t="s">
        <v>4692</v>
      </c>
    </row>
    <row r="929" spans="1:35">
      <c r="A929" s="46" t="s">
        <v>3241</v>
      </c>
      <c r="B929" s="47">
        <v>45315</v>
      </c>
      <c r="C929" s="39">
        <f t="shared" si="224"/>
        <v>45315</v>
      </c>
      <c r="D929" s="48" t="s">
        <v>212</v>
      </c>
      <c r="E929" s="37" t="str" cm="1">
        <f t="array" ref="E929">_xlfn.IFS(D929="delhi","north",D929="mumbai","west",D929="bengaluru","south",D929="chennai","south",D929="kolkata","east",TRUE,"west")</f>
        <v>west</v>
      </c>
      <c r="F929" s="46" t="s">
        <v>156</v>
      </c>
      <c r="G929" s="37" t="str">
        <f t="shared" si="225"/>
        <v>xpressbees</v>
      </c>
      <c r="H929" s="46" t="s">
        <v>224</v>
      </c>
      <c r="I929" s="37" t="str">
        <f t="shared" si="226"/>
        <v>air</v>
      </c>
      <c r="J929" s="46" t="s">
        <v>148</v>
      </c>
      <c r="K929" s="37" t="str">
        <f t="shared" si="227"/>
        <v>electronics</v>
      </c>
      <c r="L929" s="46" t="s">
        <v>334</v>
      </c>
      <c r="M929" s="37" t="str">
        <f t="shared" si="228"/>
        <v>north</v>
      </c>
      <c r="N929" s="46" t="s">
        <v>215</v>
      </c>
      <c r="O929" s="41" t="str">
        <f t="shared" si="229"/>
        <v>Yes</v>
      </c>
      <c r="P929" s="49">
        <v>14.5</v>
      </c>
      <c r="Q929" s="49">
        <v>860</v>
      </c>
      <c r="R929" s="42">
        <f t="shared" si="230"/>
        <v>59.3103448275862</v>
      </c>
      <c r="S929" s="46">
        <v>4</v>
      </c>
      <c r="T929" s="46" t="s">
        <v>285</v>
      </c>
      <c r="U929" s="43" t="str">
        <f t="shared" si="231"/>
        <v>27/01/2024</v>
      </c>
      <c r="V929" s="43">
        <f t="shared" si="232"/>
        <v>45318</v>
      </c>
      <c r="W929" s="44">
        <f t="array" ref="W929">_xlfn.IFS(TRIM(C929)="","",TRIM(V929)="","",TRUE,V929-C929)</f>
        <v>3</v>
      </c>
      <c r="X929" s="37">
        <f t="shared" si="233"/>
        <v>-1</v>
      </c>
      <c r="Y929" s="46" t="s">
        <v>117</v>
      </c>
      <c r="Z929" s="37" t="str">
        <f t="shared" si="234"/>
        <v>delivered</v>
      </c>
      <c r="AA929" s="37" t="str">
        <f t="shared" si="235"/>
        <v>On Time</v>
      </c>
      <c r="AB929" s="37" t="str">
        <f t="shared" si="238"/>
        <v>0</v>
      </c>
      <c r="AC929" s="37">
        <f t="shared" si="239"/>
        <v>0</v>
      </c>
      <c r="AD929" s="45">
        <f t="shared" si="237"/>
        <v>0.509745127436282</v>
      </c>
      <c r="AE929" s="46">
        <v>1</v>
      </c>
      <c r="AF929" s="46" t="s">
        <v>191</v>
      </c>
      <c r="AG929" s="37" t="str">
        <f t="shared" si="236"/>
        <v>no</v>
      </c>
      <c r="AH929" s="37" t="str">
        <f t="array" ref="AH929">_xlfn.IFS(LOWER(AG929)="n","no",LOWER(AG929)="y","yes",TRUE,LOWER(AG929))</f>
        <v>no</v>
      </c>
      <c r="AI929" s="46" t="s">
        <v>4692</v>
      </c>
    </row>
    <row r="930" spans="1:35">
      <c r="A930" s="37" t="s">
        <v>3243</v>
      </c>
      <c r="B930" s="38">
        <v>45391</v>
      </c>
      <c r="C930" s="39">
        <f t="shared" si="224"/>
        <v>45391</v>
      </c>
      <c r="D930" s="40" t="s">
        <v>366</v>
      </c>
      <c r="E930" s="37" t="str" cm="1">
        <f t="array" ref="E930">_xlfn.IFS(D930="delhi","north",D930="mumbai","west",D930="bengaluru","south",D930="chennai","south",D930="kolkata","east",TRUE,"west")</f>
        <v>east</v>
      </c>
      <c r="F930" s="37" t="s">
        <v>333</v>
      </c>
      <c r="G930" s="37" t="str">
        <f t="shared" si="225"/>
        <v>delhivery</v>
      </c>
      <c r="H930" s="37" t="s">
        <v>224</v>
      </c>
      <c r="I930" s="37" t="str">
        <f t="shared" si="226"/>
        <v>air</v>
      </c>
      <c r="J930" s="37" t="s">
        <v>458</v>
      </c>
      <c r="K930" s="37" t="str">
        <f t="shared" si="227"/>
        <v>electronics</v>
      </c>
      <c r="L930" s="37" t="s">
        <v>401</v>
      </c>
      <c r="M930" s="37" t="str">
        <f t="shared" si="228"/>
        <v>south</v>
      </c>
      <c r="N930" s="37" t="s">
        <v>327</v>
      </c>
      <c r="O930" s="41" t="str">
        <f t="shared" si="229"/>
        <v>Yes</v>
      </c>
      <c r="P930" s="41">
        <v>2.9</v>
      </c>
      <c r="Q930" s="41">
        <v>297</v>
      </c>
      <c r="R930" s="42">
        <f t="shared" si="230"/>
        <v>102.413793103448</v>
      </c>
      <c r="S930" s="37">
        <v>4</v>
      </c>
      <c r="T930" s="37" t="s">
        <v>145</v>
      </c>
      <c r="U930" s="43" t="str">
        <f t="shared" si="231"/>
        <v>16-apr-2024</v>
      </c>
      <c r="V930" s="43">
        <f t="shared" si="232"/>
        <v>45398</v>
      </c>
      <c r="W930" s="44">
        <f t="array" ref="W930">_xlfn.IFS(TRIM(C930)="","",TRIM(V930)="","",TRUE,V930-C930)</f>
        <v>7</v>
      </c>
      <c r="X930" s="37">
        <f t="shared" si="233"/>
        <v>3</v>
      </c>
      <c r="Y930" s="37" t="s">
        <v>200</v>
      </c>
      <c r="Z930" s="37" t="str">
        <f t="shared" si="234"/>
        <v>delayed</v>
      </c>
      <c r="AA930" s="37" t="str">
        <f t="shared" si="235"/>
        <v>Late</v>
      </c>
      <c r="AB930" s="37" t="str">
        <f t="shared" si="238"/>
        <v>1</v>
      </c>
      <c r="AC930" s="37">
        <f t="shared" si="239"/>
        <v>1</v>
      </c>
      <c r="AD930" s="45">
        <f t="shared" si="237"/>
        <v>0.510510510510511</v>
      </c>
      <c r="AE930" s="37">
        <v>3</v>
      </c>
      <c r="AF930" s="37" t="s">
        <v>79</v>
      </c>
      <c r="AG930" s="37" t="str">
        <f t="shared" si="236"/>
        <v>yes</v>
      </c>
      <c r="AH930" s="37" t="str">
        <f t="array" ref="AH930">_xlfn.IFS(LOWER(AG930)="n","no",LOWER(AG930)="y","yes",TRUE,LOWER(AG930))</f>
        <v>yes</v>
      </c>
      <c r="AI930" s="37" t="s">
        <v>4692</v>
      </c>
    </row>
    <row r="931" spans="1:35">
      <c r="A931" s="46" t="s">
        <v>3245</v>
      </c>
      <c r="B931" s="47">
        <v>45329</v>
      </c>
      <c r="C931" s="39">
        <f t="shared" si="224"/>
        <v>45329</v>
      </c>
      <c r="D931" s="48" t="s">
        <v>633</v>
      </c>
      <c r="E931" s="37" t="str" cm="1">
        <f t="array" ref="E931">_xlfn.IFS(D931="delhi","north",D931="mumbai","west",D931="bengaluru","south",D931="chennai","south",D931="kolkata","east",TRUE,"west")</f>
        <v>south</v>
      </c>
      <c r="F931" s="46" t="s">
        <v>352</v>
      </c>
      <c r="G931" s="37" t="str">
        <f t="shared" si="225"/>
        <v>delhivery</v>
      </c>
      <c r="H931" s="46" t="s">
        <v>224</v>
      </c>
      <c r="I931" s="37" t="str">
        <f t="shared" si="226"/>
        <v>air</v>
      </c>
      <c r="J931" s="46" t="s">
        <v>271</v>
      </c>
      <c r="K931" s="37" t="str">
        <f t="shared" si="227"/>
        <v>electronics</v>
      </c>
      <c r="L931" s="46" t="s">
        <v>197</v>
      </c>
      <c r="M931" s="37" t="str">
        <f t="shared" si="228"/>
        <v>south</v>
      </c>
      <c r="N931" s="46" t="s">
        <v>54</v>
      </c>
      <c r="O931" s="41" t="str">
        <f t="shared" si="229"/>
        <v>Yes</v>
      </c>
      <c r="P931" s="49">
        <v>1.3</v>
      </c>
      <c r="Q931" s="49">
        <v>80</v>
      </c>
      <c r="R931" s="42">
        <f t="shared" si="230"/>
        <v>61.5384615384615</v>
      </c>
      <c r="S931" s="46">
        <v>2</v>
      </c>
      <c r="T931" s="46" t="s">
        <v>2670</v>
      </c>
      <c r="U931" s="43" t="str">
        <f t="shared" si="231"/>
        <v>08/02/2024</v>
      </c>
      <c r="V931" s="43">
        <f t="shared" si="232"/>
        <v>45330</v>
      </c>
      <c r="W931" s="44">
        <f t="array" ref="W931">_xlfn.IFS(TRIM(C931)="","",TRIM(V931)="","",TRUE,V931-C931)</f>
        <v>1</v>
      </c>
      <c r="X931" s="37">
        <f t="shared" si="233"/>
        <v>-1</v>
      </c>
      <c r="Y931" s="46" t="s">
        <v>117</v>
      </c>
      <c r="Z931" s="37" t="str">
        <f t="shared" si="234"/>
        <v>delivered</v>
      </c>
      <c r="AA931" s="37" t="str">
        <f t="shared" si="235"/>
        <v>On Time</v>
      </c>
      <c r="AB931" s="37" t="str">
        <f t="shared" si="238"/>
        <v>0</v>
      </c>
      <c r="AC931" s="37">
        <f t="shared" si="239"/>
        <v>0</v>
      </c>
      <c r="AD931" s="45">
        <f t="shared" si="237"/>
        <v>0.509774436090226</v>
      </c>
      <c r="AE931" s="46">
        <v>4</v>
      </c>
      <c r="AF931" s="46" t="s">
        <v>131</v>
      </c>
      <c r="AG931" s="37" t="str">
        <f t="shared" si="236"/>
        <v>n</v>
      </c>
      <c r="AH931" s="37" t="str">
        <f t="array" ref="AH931">_xlfn.IFS(LOWER(AG931)="n","no",LOWER(AG931)="y","yes",TRUE,LOWER(AG931))</f>
        <v>no</v>
      </c>
      <c r="AI931" s="46" t="s">
        <v>4692</v>
      </c>
    </row>
    <row r="932" spans="1:35">
      <c r="A932" s="37" t="s">
        <v>3247</v>
      </c>
      <c r="B932" s="38" t="s">
        <v>4785</v>
      </c>
      <c r="C932" s="39">
        <f t="shared" si="224"/>
        <v>45292</v>
      </c>
      <c r="D932" s="40" t="s">
        <v>340</v>
      </c>
      <c r="E932" s="37" t="str" cm="1">
        <f t="array" ref="E932">_xlfn.IFS(D932="delhi","north",D932="mumbai","west",D932="bengaluru","south",D932="chennai","south",D932="kolkata","east",TRUE,"west")</f>
        <v>north</v>
      </c>
      <c r="F932" s="37" t="s">
        <v>37</v>
      </c>
      <c r="G932" s="37" t="str">
        <f t="shared" si="225"/>
        <v>bluedart</v>
      </c>
      <c r="H932" s="37" t="s">
        <v>195</v>
      </c>
      <c r="I932" s="37" t="str">
        <f t="shared" si="226"/>
        <v>road</v>
      </c>
      <c r="J932" s="37" t="s">
        <v>237</v>
      </c>
      <c r="K932" s="37" t="str">
        <f t="shared" si="227"/>
        <v>automotiveparts</v>
      </c>
      <c r="L932" s="37" t="s">
        <v>125</v>
      </c>
      <c r="M932" s="37" t="str">
        <f t="shared" si="228"/>
        <v>east</v>
      </c>
      <c r="N932" s="37" t="s">
        <v>126</v>
      </c>
      <c r="O932" s="41" t="str">
        <f t="shared" si="229"/>
        <v>Yes</v>
      </c>
      <c r="P932" s="41">
        <v>21.2</v>
      </c>
      <c r="Q932" s="41">
        <v>432</v>
      </c>
      <c r="R932" s="42">
        <f t="shared" si="230"/>
        <v>20.377358490566</v>
      </c>
      <c r="S932" s="37">
        <v>8</v>
      </c>
      <c r="T932" s="37" t="s">
        <v>652</v>
      </c>
      <c r="U932" s="43" t="str">
        <f t="shared" si="231"/>
        <v>08-jan-2024</v>
      </c>
      <c r="V932" s="43">
        <f t="shared" si="232"/>
        <v>45299</v>
      </c>
      <c r="W932" s="44">
        <f t="array" ref="W932">_xlfn.IFS(TRIM(C932)="","",TRIM(V932)="","",TRUE,V932-C932)</f>
        <v>7</v>
      </c>
      <c r="X932" s="37">
        <f t="shared" si="233"/>
        <v>-1</v>
      </c>
      <c r="Y932" s="37" t="s">
        <v>624</v>
      </c>
      <c r="Z932" s="37" t="str">
        <f t="shared" si="234"/>
        <v>returned</v>
      </c>
      <c r="AA932" s="37" t="str">
        <f t="shared" si="235"/>
        <v>On Time</v>
      </c>
      <c r="AB932" s="37" t="str">
        <f t="shared" si="238"/>
        <v>0</v>
      </c>
      <c r="AC932" s="37">
        <f t="shared" si="239"/>
        <v>0</v>
      </c>
      <c r="AD932" s="45">
        <f t="shared" si="237"/>
        <v>0.510542168674699</v>
      </c>
      <c r="AE932" s="37"/>
      <c r="AF932" s="37" t="s">
        <v>106</v>
      </c>
      <c r="AG932" s="37" t="str">
        <f t="shared" si="236"/>
        <v>yes</v>
      </c>
      <c r="AH932" s="37" t="str">
        <f t="array" ref="AH932">_xlfn.IFS(LOWER(AG932)="n","no",LOWER(AG932)="y","yes",TRUE,LOWER(AG932))</f>
        <v>yes</v>
      </c>
      <c r="AI932" s="37" t="s">
        <v>83</v>
      </c>
    </row>
    <row r="933" spans="1:35">
      <c r="A933" s="46" t="s">
        <v>3250</v>
      </c>
      <c r="B933" s="47">
        <v>45303</v>
      </c>
      <c r="C933" s="39">
        <f t="shared" si="224"/>
        <v>45303</v>
      </c>
      <c r="D933" s="48" t="s">
        <v>212</v>
      </c>
      <c r="E933" s="37" t="str" cm="1">
        <f t="array" ref="E933">_xlfn.IFS(D933="delhi","north",D933="mumbai","west",D933="bengaluru","south",D933="chennai","south",D933="kolkata","east",TRUE,"west")</f>
        <v>west</v>
      </c>
      <c r="F933" s="46" t="s">
        <v>213</v>
      </c>
      <c r="G933" s="37" t="str">
        <f t="shared" si="225"/>
        <v>dtdc</v>
      </c>
      <c r="H933" s="46" t="s">
        <v>137</v>
      </c>
      <c r="I933" s="37" t="str">
        <f t="shared" si="226"/>
        <v>road</v>
      </c>
      <c r="J933" s="46" t="s">
        <v>843</v>
      </c>
      <c r="K933" s="37" t="str">
        <f t="shared" si="227"/>
        <v>automotiveparts</v>
      </c>
      <c r="L933" s="46" t="s">
        <v>168</v>
      </c>
      <c r="M933" s="37" t="str">
        <f t="shared" si="228"/>
        <v>west</v>
      </c>
      <c r="N933" s="46" t="s">
        <v>278</v>
      </c>
      <c r="O933" s="41" t="str">
        <f t="shared" si="229"/>
        <v>Yes</v>
      </c>
      <c r="P933" s="49">
        <v>39.6</v>
      </c>
      <c r="Q933" s="49">
        <v>612</v>
      </c>
      <c r="R933" s="42">
        <f t="shared" si="230"/>
        <v>15.4545454545455</v>
      </c>
      <c r="S933" s="46">
        <v>6</v>
      </c>
      <c r="T933" s="46" t="s">
        <v>274</v>
      </c>
      <c r="U933" s="43" t="str">
        <f t="shared" si="231"/>
        <v>2024-01-18</v>
      </c>
      <c r="V933" s="43">
        <f t="shared" si="232"/>
        <v>45309</v>
      </c>
      <c r="W933" s="44">
        <f t="array" ref="W933">_xlfn.IFS(TRIM(C933)="","",TRIM(V933)="","",TRUE,V933-C933)</f>
        <v>6</v>
      </c>
      <c r="X933" s="37">
        <f t="shared" si="233"/>
        <v>0</v>
      </c>
      <c r="Y933" s="46" t="s">
        <v>163</v>
      </c>
      <c r="Z933" s="37" t="str">
        <f t="shared" si="234"/>
        <v>delivered</v>
      </c>
      <c r="AA933" s="37" t="str">
        <f t="shared" si="235"/>
        <v>On Time</v>
      </c>
      <c r="AB933" s="37" t="str">
        <f t="shared" si="238"/>
        <v>0</v>
      </c>
      <c r="AC933" s="37">
        <f t="shared" si="239"/>
        <v>0</v>
      </c>
      <c r="AD933" s="45">
        <f t="shared" si="237"/>
        <v>0.51131221719457</v>
      </c>
      <c r="AE933" s="46">
        <v>5</v>
      </c>
      <c r="AF933" s="46" t="s">
        <v>152</v>
      </c>
      <c r="AG933" s="37" t="str">
        <f t="shared" si="236"/>
        <v>no</v>
      </c>
      <c r="AH933" s="37" t="str">
        <f t="array" ref="AH933">_xlfn.IFS(LOWER(AG933)="n","no",LOWER(AG933)="y","yes",TRUE,LOWER(AG933))</f>
        <v>no</v>
      </c>
      <c r="AI933" s="46" t="s">
        <v>4692</v>
      </c>
    </row>
    <row r="934" spans="1:35">
      <c r="A934" s="37" t="s">
        <v>3253</v>
      </c>
      <c r="B934" s="38">
        <v>45357</v>
      </c>
      <c r="C934" s="39">
        <f t="shared" si="224"/>
        <v>45357</v>
      </c>
      <c r="D934" s="40" t="s">
        <v>424</v>
      </c>
      <c r="E934" s="37" t="str" cm="1">
        <f t="array" ref="E934">_xlfn.IFS(D934="delhi","north",D934="mumbai","west",D934="bengaluru","south",D934="chennai","south",D934="kolkata","east",TRUE,"west")</f>
        <v>south</v>
      </c>
      <c r="F934" s="37" t="s">
        <v>367</v>
      </c>
      <c r="G934" s="37" t="str">
        <f t="shared" si="225"/>
        <v>dtdc</v>
      </c>
      <c r="H934" s="37" t="s">
        <v>110</v>
      </c>
      <c r="I934" s="37" t="str">
        <f t="shared" si="226"/>
        <v>surface</v>
      </c>
      <c r="J934" s="37" t="s">
        <v>186</v>
      </c>
      <c r="K934" s="37" t="str">
        <f t="shared" si="227"/>
        <v>automotiveparts</v>
      </c>
      <c r="L934" s="37" t="s">
        <v>87</v>
      </c>
      <c r="M934" s="37" t="str">
        <f t="shared" si="228"/>
        <v>north</v>
      </c>
      <c r="N934" s="37" t="s">
        <v>32</v>
      </c>
      <c r="O934" s="41" t="str">
        <f t="shared" si="229"/>
        <v>Yes</v>
      </c>
      <c r="P934" s="41" t="s">
        <v>493</v>
      </c>
      <c r="Q934" s="41">
        <v>242</v>
      </c>
      <c r="R934" s="42">
        <f t="shared" si="230"/>
        <v>48.4</v>
      </c>
      <c r="S934" s="37">
        <v>6</v>
      </c>
      <c r="T934" s="37" t="s">
        <v>1377</v>
      </c>
      <c r="U934" s="43" t="str">
        <f t="shared" si="231"/>
        <v>12/03/2024</v>
      </c>
      <c r="V934" s="43">
        <f t="shared" si="232"/>
        <v>45363</v>
      </c>
      <c r="W934" s="44">
        <f t="array" ref="W934">_xlfn.IFS(TRIM(C934)="","",TRIM(V934)="","",TRUE,V934-C934)</f>
        <v>6</v>
      </c>
      <c r="X934" s="37">
        <f t="shared" si="233"/>
        <v>0</v>
      </c>
      <c r="Y934" s="37" t="s">
        <v>105</v>
      </c>
      <c r="Z934" s="37" t="str">
        <f t="shared" si="234"/>
        <v>delivered</v>
      </c>
      <c r="AA934" s="37" t="str">
        <f t="shared" si="235"/>
        <v>On Time</v>
      </c>
      <c r="AB934" s="37" t="str">
        <f t="shared" si="238"/>
        <v>0</v>
      </c>
      <c r="AC934" s="37">
        <f t="shared" si="239"/>
        <v>0</v>
      </c>
      <c r="AD934" s="45">
        <f t="shared" si="237"/>
        <v>0.512084592145015</v>
      </c>
      <c r="AE934" s="37">
        <v>5</v>
      </c>
      <c r="AF934" s="37" t="s">
        <v>152</v>
      </c>
      <c r="AG934" s="37" t="str">
        <f t="shared" si="236"/>
        <v>no</v>
      </c>
      <c r="AH934" s="37" t="str">
        <f t="array" ref="AH934">_xlfn.IFS(LOWER(AG934)="n","no",LOWER(AG934)="y","yes",TRUE,LOWER(AG934))</f>
        <v>no</v>
      </c>
      <c r="AI934" s="37" t="s">
        <v>4692</v>
      </c>
    </row>
    <row r="935" spans="1:35">
      <c r="A935" s="46" t="s">
        <v>3255</v>
      </c>
      <c r="B935" s="47">
        <v>45332</v>
      </c>
      <c r="C935" s="39">
        <f t="shared" si="224"/>
        <v>45332</v>
      </c>
      <c r="D935" s="48" t="s">
        <v>109</v>
      </c>
      <c r="E935" s="37" t="str" cm="1">
        <f t="array" ref="E935">_xlfn.IFS(D935="delhi","north",D935="mumbai","west",D935="bengaluru","south",D935="chennai","south",D935="kolkata","east",TRUE,"west")</f>
        <v>west</v>
      </c>
      <c r="F935" s="46" t="s">
        <v>367</v>
      </c>
      <c r="G935" s="37" t="str">
        <f t="shared" si="225"/>
        <v>dtdc</v>
      </c>
      <c r="H935" s="46" t="s">
        <v>325</v>
      </c>
      <c r="I935" s="37" t="str">
        <f t="shared" si="226"/>
        <v>air</v>
      </c>
      <c r="J935" s="46" t="s">
        <v>301</v>
      </c>
      <c r="K935" s="37" t="str">
        <f t="shared" si="227"/>
        <v>furniture</v>
      </c>
      <c r="L935" s="46" t="s">
        <v>401</v>
      </c>
      <c r="M935" s="37" t="str">
        <f t="shared" si="228"/>
        <v>south</v>
      </c>
      <c r="N935" s="46" t="s">
        <v>54</v>
      </c>
      <c r="O935" s="41" t="str">
        <f t="shared" si="229"/>
        <v>Yes</v>
      </c>
      <c r="P935" s="49">
        <v>15.9</v>
      </c>
      <c r="Q935" s="49">
        <v>915</v>
      </c>
      <c r="R935" s="42">
        <f t="shared" si="230"/>
        <v>57.5471698113208</v>
      </c>
      <c r="S935" s="46">
        <v>4</v>
      </c>
      <c r="T935" s="46" t="s">
        <v>3257</v>
      </c>
      <c r="U935" s="43" t="str">
        <f t="shared" si="231"/>
        <v>15/02/2024</v>
      </c>
      <c r="V935" s="43">
        <f t="shared" si="232"/>
        <v>45337</v>
      </c>
      <c r="W935" s="44">
        <f t="array" ref="W935">_xlfn.IFS(TRIM(C935)="","",TRIM(V935)="","",TRUE,V935-C935)</f>
        <v>5</v>
      </c>
      <c r="X935" s="37">
        <f t="shared" si="233"/>
        <v>1</v>
      </c>
      <c r="Y935" s="46" t="s">
        <v>200</v>
      </c>
      <c r="Z935" s="37" t="str">
        <f t="shared" si="234"/>
        <v>delayed</v>
      </c>
      <c r="AA935" s="37" t="str">
        <f t="shared" si="235"/>
        <v>Late</v>
      </c>
      <c r="AB935" s="37" t="str">
        <f t="shared" si="238"/>
        <v>1</v>
      </c>
      <c r="AC935" s="37">
        <f t="shared" si="239"/>
        <v>1</v>
      </c>
      <c r="AD935" s="45">
        <f t="shared" si="237"/>
        <v>0.51285930408472</v>
      </c>
      <c r="AE935" s="46">
        <v>4</v>
      </c>
      <c r="AF935" s="46" t="s">
        <v>152</v>
      </c>
      <c r="AG935" s="37" t="str">
        <f t="shared" si="236"/>
        <v>no</v>
      </c>
      <c r="AH935" s="37" t="str">
        <f t="array" ref="AH935">_xlfn.IFS(LOWER(AG935)="n","no",LOWER(AG935)="y","yes",TRUE,LOWER(AG935))</f>
        <v>no</v>
      </c>
      <c r="AI935" s="46" t="s">
        <v>4692</v>
      </c>
    </row>
    <row r="936" spans="1:35">
      <c r="A936" s="37" t="s">
        <v>3258</v>
      </c>
      <c r="B936" s="38">
        <v>45373</v>
      </c>
      <c r="C936" s="39">
        <f t="shared" si="224"/>
        <v>45373</v>
      </c>
      <c r="D936" s="40" t="s">
        <v>212</v>
      </c>
      <c r="E936" s="37" t="str" cm="1">
        <f t="array" ref="E936">_xlfn.IFS(D936="delhi","north",D936="mumbai","west",D936="bengaluru","south",D936="chennai","south",D936="kolkata","east",TRUE,"west")</f>
        <v>west</v>
      </c>
      <c r="F936" s="37" t="s">
        <v>136</v>
      </c>
      <c r="G936" s="37" t="str">
        <f t="shared" si="225"/>
        <v>bluedart</v>
      </c>
      <c r="H936" s="37" t="s">
        <v>110</v>
      </c>
      <c r="I936" s="37" t="str">
        <f t="shared" si="226"/>
        <v>surface</v>
      </c>
      <c r="J936" s="37" t="s">
        <v>385</v>
      </c>
      <c r="K936" s="37" t="str">
        <f t="shared" si="227"/>
        <v>furniture</v>
      </c>
      <c r="L936" s="37" t="s">
        <v>112</v>
      </c>
      <c r="M936" s="37" t="str">
        <f t="shared" si="228"/>
        <v>north</v>
      </c>
      <c r="N936" s="37" t="s">
        <v>32</v>
      </c>
      <c r="O936" s="41" t="str">
        <f t="shared" si="229"/>
        <v>Yes</v>
      </c>
      <c r="P936" s="41">
        <v>74.9</v>
      </c>
      <c r="Q936" s="41">
        <v>1788</v>
      </c>
      <c r="R936" s="42">
        <f t="shared" si="230"/>
        <v>23.871829105474</v>
      </c>
      <c r="S936" s="37">
        <v>6</v>
      </c>
      <c r="T936" s="37" t="s">
        <v>162</v>
      </c>
      <c r="U936" s="43" t="str">
        <f t="shared" si="231"/>
        <v>28/03/2024</v>
      </c>
      <c r="V936" s="43">
        <f t="shared" si="232"/>
        <v>45379</v>
      </c>
      <c r="W936" s="44">
        <f t="array" ref="W936">_xlfn.IFS(TRIM(C936)="","",TRIM(V936)="","",TRUE,V936-C936)</f>
        <v>6</v>
      </c>
      <c r="X936" s="37">
        <f t="shared" si="233"/>
        <v>0</v>
      </c>
      <c r="Y936" s="37" t="s">
        <v>337</v>
      </c>
      <c r="Z936" s="37" t="str">
        <f t="shared" si="234"/>
        <v>damaged</v>
      </c>
      <c r="AA936" s="37" t="str">
        <f t="shared" si="235"/>
        <v>On Time</v>
      </c>
      <c r="AB936" s="37" t="str">
        <f t="shared" si="238"/>
        <v>0</v>
      </c>
      <c r="AC936" s="37">
        <f t="shared" si="239"/>
        <v>0</v>
      </c>
      <c r="AD936" s="45">
        <f t="shared" si="237"/>
        <v>0.512121212121212</v>
      </c>
      <c r="AE936" s="37"/>
      <c r="AF936" s="37" t="s">
        <v>191</v>
      </c>
      <c r="AG936" s="37" t="str">
        <f t="shared" si="236"/>
        <v>no</v>
      </c>
      <c r="AH936" s="37" t="str">
        <f t="array" ref="AH936">_xlfn.IFS(LOWER(AG936)="n","no",LOWER(AG936)="y","yes",TRUE,LOWER(AG936))</f>
        <v>no</v>
      </c>
      <c r="AI936" s="37" t="s">
        <v>759</v>
      </c>
    </row>
    <row r="937" spans="1:35">
      <c r="A937" s="46" t="s">
        <v>3261</v>
      </c>
      <c r="B937" s="47" t="s">
        <v>4734</v>
      </c>
      <c r="C937" s="39">
        <f t="shared" si="224"/>
        <v>45454</v>
      </c>
      <c r="D937" s="48" t="s">
        <v>424</v>
      </c>
      <c r="E937" s="37" t="str" cm="1">
        <f t="array" ref="E937">_xlfn.IFS(D937="delhi","north",D937="mumbai","west",D937="bengaluru","south",D937="chennai","south",D937="kolkata","east",TRUE,"west")</f>
        <v>south</v>
      </c>
      <c r="F937" s="46" t="s">
        <v>98</v>
      </c>
      <c r="G937" s="37" t="str">
        <f t="shared" si="225"/>
        <v>dtdc</v>
      </c>
      <c r="H937" s="46" t="s">
        <v>137</v>
      </c>
      <c r="I937" s="37" t="str">
        <f t="shared" si="226"/>
        <v>road</v>
      </c>
      <c r="J937" s="46" t="s">
        <v>498</v>
      </c>
      <c r="K937" s="37" t="str">
        <f t="shared" si="227"/>
        <v>apparel</v>
      </c>
      <c r="L937" s="46" t="s">
        <v>346</v>
      </c>
      <c r="M937" s="37" t="str">
        <f t="shared" si="228"/>
        <v>north</v>
      </c>
      <c r="N937" s="46" t="s">
        <v>32</v>
      </c>
      <c r="O937" s="41" t="str">
        <f t="shared" si="229"/>
        <v>Yes</v>
      </c>
      <c r="P937" s="49">
        <v>7.6</v>
      </c>
      <c r="Q937" s="49">
        <v>300</v>
      </c>
      <c r="R937" s="42">
        <f t="shared" si="230"/>
        <v>39.4736842105263</v>
      </c>
      <c r="S937" s="46">
        <v>8</v>
      </c>
      <c r="T937" s="46" t="s">
        <v>1550</v>
      </c>
      <c r="U937" s="43" t="str">
        <f t="shared" si="231"/>
        <v>18-jun-2024</v>
      </c>
      <c r="V937" s="43">
        <f t="shared" si="232"/>
        <v>45461</v>
      </c>
      <c r="W937" s="44">
        <f t="array" ref="W937">_xlfn.IFS(TRIM(C937)="","",TRIM(V937)="","",TRUE,V937-C937)</f>
        <v>7</v>
      </c>
      <c r="X937" s="37">
        <f t="shared" si="233"/>
        <v>-1</v>
      </c>
      <c r="Y937" s="46" t="s">
        <v>817</v>
      </c>
      <c r="Z937" s="37" t="str">
        <f t="shared" si="234"/>
        <v>returned</v>
      </c>
      <c r="AA937" s="37" t="str">
        <f t="shared" si="235"/>
        <v>On Time</v>
      </c>
      <c r="AB937" s="37" t="str">
        <f t="shared" si="238"/>
        <v>0</v>
      </c>
      <c r="AC937" s="37">
        <f t="shared" si="239"/>
        <v>0</v>
      </c>
      <c r="AD937" s="45">
        <f t="shared" si="237"/>
        <v>0.512898330804249</v>
      </c>
      <c r="AE937" s="46"/>
      <c r="AF937" s="46" t="s">
        <v>79</v>
      </c>
      <c r="AG937" s="37" t="str">
        <f t="shared" si="236"/>
        <v>yes</v>
      </c>
      <c r="AH937" s="37" t="str">
        <f t="array" ref="AH937">_xlfn.IFS(LOWER(AG937)="n","no",LOWER(AG937)="y","yes",TRUE,LOWER(AG937))</f>
        <v>yes</v>
      </c>
      <c r="AI937" s="46" t="s">
        <v>818</v>
      </c>
    </row>
    <row r="938" spans="1:35">
      <c r="A938" s="37" t="s">
        <v>3263</v>
      </c>
      <c r="B938" s="38">
        <v>45369</v>
      </c>
      <c r="C938" s="39">
        <f t="shared" si="224"/>
        <v>45369</v>
      </c>
      <c r="D938" s="40" t="s">
        <v>4694</v>
      </c>
      <c r="E938" s="37" t="str" cm="1">
        <f t="array" ref="E938">_xlfn.IFS(D938="delhi","north",D938="mumbai","west",D938="bengaluru","south",D938="chennai","south",D938="kolkata","east",TRUE,"west")</f>
        <v>west</v>
      </c>
      <c r="F938" s="37" t="s">
        <v>156</v>
      </c>
      <c r="G938" s="37" t="str">
        <f t="shared" si="225"/>
        <v>xpressbees</v>
      </c>
      <c r="H938" s="37" t="s">
        <v>147</v>
      </c>
      <c r="I938" s="37" t="str">
        <f t="shared" si="226"/>
        <v>road</v>
      </c>
      <c r="J938" s="37" t="s">
        <v>283</v>
      </c>
      <c r="K938" s="37" t="str">
        <f t="shared" si="227"/>
        <v>pharma</v>
      </c>
      <c r="L938" s="37" t="s">
        <v>346</v>
      </c>
      <c r="M938" s="37" t="str">
        <f t="shared" si="228"/>
        <v>north</v>
      </c>
      <c r="N938" s="37" t="s">
        <v>215</v>
      </c>
      <c r="O938" s="41" t="str">
        <f t="shared" si="229"/>
        <v>Yes</v>
      </c>
      <c r="P938" s="41" t="s">
        <v>3264</v>
      </c>
      <c r="Q938" s="41">
        <v>207</v>
      </c>
      <c r="R938" s="42">
        <f t="shared" si="230"/>
        <v>76.6666666666667</v>
      </c>
      <c r="S938" s="37">
        <v>8</v>
      </c>
      <c r="T938" s="37" t="s">
        <v>699</v>
      </c>
      <c r="U938" s="43" t="str">
        <f t="shared" si="231"/>
        <v>02/04/2024</v>
      </c>
      <c r="V938" s="43">
        <f t="shared" si="232"/>
        <v>45384</v>
      </c>
      <c r="W938" s="44">
        <f t="array" ref="W938">_xlfn.IFS(TRIM(C938)="","",TRIM(V938)="","",TRUE,V938-C938)</f>
        <v>15</v>
      </c>
      <c r="X938" s="37">
        <f t="shared" si="233"/>
        <v>7</v>
      </c>
      <c r="Y938" s="37" t="s">
        <v>172</v>
      </c>
      <c r="Z938" s="37" t="str">
        <f t="shared" si="234"/>
        <v>delayed</v>
      </c>
      <c r="AA938" s="37" t="str">
        <f t="shared" si="235"/>
        <v>Late</v>
      </c>
      <c r="AB938" s="37" t="str">
        <f t="shared" si="238"/>
        <v>1</v>
      </c>
      <c r="AC938" s="37">
        <f t="shared" si="239"/>
        <v>1</v>
      </c>
      <c r="AD938" s="45">
        <f t="shared" si="237"/>
        <v>0.513677811550152</v>
      </c>
      <c r="AE938" s="37">
        <v>3</v>
      </c>
      <c r="AF938" s="37" t="s">
        <v>131</v>
      </c>
      <c r="AG938" s="37" t="str">
        <f t="shared" si="236"/>
        <v>n</v>
      </c>
      <c r="AH938" s="37" t="str">
        <f t="array" ref="AH938">_xlfn.IFS(LOWER(AG938)="n","no",LOWER(AG938)="y","yes",TRUE,LOWER(AG938))</f>
        <v>no</v>
      </c>
      <c r="AI938" s="37" t="s">
        <v>4692</v>
      </c>
    </row>
    <row r="939" spans="1:35">
      <c r="A939" s="46" t="s">
        <v>3265</v>
      </c>
      <c r="B939" s="47">
        <v>45366</v>
      </c>
      <c r="C939" s="39">
        <f t="shared" si="224"/>
        <v>45366</v>
      </c>
      <c r="D939" s="48" t="s">
        <v>4704</v>
      </c>
      <c r="E939" s="37" t="str" cm="1">
        <f t="array" ref="E939">_xlfn.IFS(D939="delhi","north",D939="mumbai","west",D939="bengaluru","south",D939="chennai","south",D939="kolkata","east",TRUE,"west")</f>
        <v>west</v>
      </c>
      <c r="F939" s="46" t="s">
        <v>544</v>
      </c>
      <c r="G939" s="37" t="str">
        <f t="shared" si="225"/>
        <v>bluedart</v>
      </c>
      <c r="H939" s="46" t="s">
        <v>147</v>
      </c>
      <c r="I939" s="37" t="str">
        <f t="shared" si="226"/>
        <v>road</v>
      </c>
      <c r="J939" s="46" t="s">
        <v>319</v>
      </c>
      <c r="K939" s="37" t="str">
        <f t="shared" si="227"/>
        <v>electronics</v>
      </c>
      <c r="L939" s="46" t="s">
        <v>139</v>
      </c>
      <c r="M939" s="37" t="str">
        <f t="shared" si="228"/>
        <v>north</v>
      </c>
      <c r="N939" s="46" t="s">
        <v>215</v>
      </c>
      <c r="O939" s="41" t="str">
        <f t="shared" si="229"/>
        <v>Yes</v>
      </c>
      <c r="P939" s="49">
        <v>11.3</v>
      </c>
      <c r="Q939" s="49">
        <v>351</v>
      </c>
      <c r="R939" s="42">
        <f t="shared" si="230"/>
        <v>31.0619469026549</v>
      </c>
      <c r="S939" s="46">
        <v>8</v>
      </c>
      <c r="T939" s="46" t="s">
        <v>808</v>
      </c>
      <c r="U939" s="43" t="str">
        <f t="shared" si="231"/>
        <v>2024-03-22</v>
      </c>
      <c r="V939" s="43">
        <f t="shared" si="232"/>
        <v>45373</v>
      </c>
      <c r="W939" s="44">
        <f t="array" ref="W939">_xlfn.IFS(TRIM(C939)="","",TRIM(V939)="","",TRUE,V939-C939)</f>
        <v>7</v>
      </c>
      <c r="X939" s="37">
        <f t="shared" si="233"/>
        <v>-1</v>
      </c>
      <c r="Y939" s="46" t="s">
        <v>624</v>
      </c>
      <c r="Z939" s="37" t="str">
        <f t="shared" si="234"/>
        <v>returned</v>
      </c>
      <c r="AA939" s="37" t="str">
        <f t="shared" si="235"/>
        <v>On Time</v>
      </c>
      <c r="AB939" s="37" t="str">
        <f t="shared" si="238"/>
        <v>0</v>
      </c>
      <c r="AC939" s="37">
        <f t="shared" si="239"/>
        <v>0</v>
      </c>
      <c r="AD939" s="45">
        <f t="shared" si="237"/>
        <v>0.512937595129376</v>
      </c>
      <c r="AE939" s="46"/>
      <c r="AF939" s="46" t="s">
        <v>106</v>
      </c>
      <c r="AG939" s="37" t="str">
        <f t="shared" si="236"/>
        <v>yes</v>
      </c>
      <c r="AH939" s="37" t="str">
        <f t="array" ref="AH939">_xlfn.IFS(LOWER(AG939)="n","no",LOWER(AG939)="y","yes",TRUE,LOWER(AG939))</f>
        <v>yes</v>
      </c>
      <c r="AI939" s="46" t="s">
        <v>83</v>
      </c>
    </row>
    <row r="940" spans="1:35">
      <c r="A940" s="37" t="s">
        <v>3267</v>
      </c>
      <c r="B940" s="38">
        <v>45292</v>
      </c>
      <c r="C940" s="39">
        <f t="shared" si="224"/>
        <v>45292</v>
      </c>
      <c r="D940" s="40" t="s">
        <v>340</v>
      </c>
      <c r="E940" s="37" t="str" cm="1">
        <f t="array" ref="E940">_xlfn.IFS(D940="delhi","north",D940="mumbai","west",D940="bengaluru","south",D940="chennai","south",D940="kolkata","east",TRUE,"west")</f>
        <v>north</v>
      </c>
      <c r="F940" s="37" t="s">
        <v>122</v>
      </c>
      <c r="G940" s="37" t="str">
        <f t="shared" si="225"/>
        <v>delhivery</v>
      </c>
      <c r="H940" s="37" t="s">
        <v>110</v>
      </c>
      <c r="I940" s="37" t="str">
        <f t="shared" si="226"/>
        <v>surface</v>
      </c>
      <c r="J940" s="37" t="s">
        <v>430</v>
      </c>
      <c r="K940" s="37" t="str">
        <f t="shared" si="227"/>
        <v>pharma</v>
      </c>
      <c r="L940" s="37" t="s">
        <v>112</v>
      </c>
      <c r="M940" s="37" t="str">
        <f t="shared" si="228"/>
        <v>north</v>
      </c>
      <c r="N940" s="37" t="s">
        <v>113</v>
      </c>
      <c r="O940" s="41" t="str">
        <f t="shared" si="229"/>
        <v>Yes</v>
      </c>
      <c r="P940" s="41" t="s">
        <v>1633</v>
      </c>
      <c r="Q940" s="41">
        <v>80</v>
      </c>
      <c r="R940" s="42">
        <f t="shared" si="230"/>
        <v>42.1052631578947</v>
      </c>
      <c r="S940" s="37">
        <v>4</v>
      </c>
      <c r="T940" s="37" t="s">
        <v>2219</v>
      </c>
      <c r="U940" s="43" t="str">
        <f t="shared" si="231"/>
        <v>06/01/2024</v>
      </c>
      <c r="V940" s="43">
        <f t="shared" si="232"/>
        <v>45297</v>
      </c>
      <c r="W940" s="44">
        <f t="array" ref="W940">_xlfn.IFS(TRIM(C940)="","",TRIM(V940)="","",TRUE,V940-C940)</f>
        <v>5</v>
      </c>
      <c r="X940" s="37">
        <f t="shared" si="233"/>
        <v>1</v>
      </c>
      <c r="Y940" s="37" t="s">
        <v>143</v>
      </c>
      <c r="Z940" s="37" t="str">
        <f t="shared" si="234"/>
        <v>delayed</v>
      </c>
      <c r="AA940" s="37" t="str">
        <f t="shared" si="235"/>
        <v>Late</v>
      </c>
      <c r="AB940" s="37" t="str">
        <f t="shared" si="238"/>
        <v>1</v>
      </c>
      <c r="AC940" s="37">
        <f t="shared" si="239"/>
        <v>1</v>
      </c>
      <c r="AD940" s="45">
        <f t="shared" si="237"/>
        <v>0.513719512195122</v>
      </c>
      <c r="AE940" s="37">
        <v>1</v>
      </c>
      <c r="AF940" s="37" t="s">
        <v>191</v>
      </c>
      <c r="AG940" s="37" t="str">
        <f t="shared" si="236"/>
        <v>no</v>
      </c>
      <c r="AH940" s="37" t="str">
        <f t="array" ref="AH940">_xlfn.IFS(LOWER(AG940)="n","no",LOWER(AG940)="y","yes",TRUE,LOWER(AG940))</f>
        <v>no</v>
      </c>
      <c r="AI940" s="37" t="s">
        <v>4692</v>
      </c>
    </row>
    <row r="941" spans="1:35">
      <c r="A941" s="46" t="s">
        <v>3269</v>
      </c>
      <c r="B941" s="47">
        <v>45345</v>
      </c>
      <c r="C941" s="39">
        <f t="shared" si="224"/>
        <v>45345</v>
      </c>
      <c r="D941" s="48" t="s">
        <v>4704</v>
      </c>
      <c r="E941" s="37" t="str" cm="1">
        <f t="array" ref="E941">_xlfn.IFS(D941="delhi","north",D941="mumbai","west",D941="bengaluru","south",D941="chennai","south",D941="kolkata","east",TRUE,"west")</f>
        <v>west</v>
      </c>
      <c r="F941" s="46" t="s">
        <v>213</v>
      </c>
      <c r="G941" s="37" t="str">
        <f t="shared" si="225"/>
        <v>dtdc</v>
      </c>
      <c r="H941" s="46" t="s">
        <v>195</v>
      </c>
      <c r="I941" s="37" t="str">
        <f t="shared" si="226"/>
        <v>road</v>
      </c>
      <c r="J941" s="46" t="s">
        <v>301</v>
      </c>
      <c r="K941" s="37" t="str">
        <f t="shared" si="227"/>
        <v>furniture</v>
      </c>
      <c r="L941" s="46" t="s">
        <v>346</v>
      </c>
      <c r="M941" s="37" t="str">
        <f t="shared" si="228"/>
        <v>north</v>
      </c>
      <c r="N941" s="46" t="s">
        <v>354</v>
      </c>
      <c r="O941" s="41" t="str">
        <f t="shared" si="229"/>
        <v>Yes</v>
      </c>
      <c r="P941" s="49">
        <v>60.7</v>
      </c>
      <c r="Q941" s="49" t="s">
        <v>3271</v>
      </c>
      <c r="R941" s="42">
        <f t="shared" si="230"/>
        <v>16.0626029654036</v>
      </c>
      <c r="S941" s="46">
        <v>8</v>
      </c>
      <c r="T941" s="46" t="s">
        <v>1597</v>
      </c>
      <c r="U941" s="43" t="str">
        <f t="shared" si="231"/>
        <v>09/03/2024</v>
      </c>
      <c r="V941" s="43">
        <f t="shared" si="232"/>
        <v>45360</v>
      </c>
      <c r="W941" s="44">
        <f t="array" ref="W941">_xlfn.IFS(TRIM(C941)="","",TRIM(V941)="","",TRUE,V941-C941)</f>
        <v>15</v>
      </c>
      <c r="X941" s="37">
        <f t="shared" si="233"/>
        <v>7</v>
      </c>
      <c r="Y941" s="46" t="s">
        <v>72</v>
      </c>
      <c r="Z941" s="37" t="str">
        <f t="shared" si="234"/>
        <v>delayed</v>
      </c>
      <c r="AA941" s="37" t="str">
        <f t="shared" si="235"/>
        <v>Late</v>
      </c>
      <c r="AB941" s="37" t="str">
        <f t="shared" si="238"/>
        <v>1</v>
      </c>
      <c r="AC941" s="37">
        <f t="shared" si="239"/>
        <v>1</v>
      </c>
      <c r="AD941" s="45">
        <f t="shared" si="237"/>
        <v>0.512977099236641</v>
      </c>
      <c r="AE941" s="46">
        <v>1</v>
      </c>
      <c r="AF941" s="46" t="s">
        <v>191</v>
      </c>
      <c r="AG941" s="37" t="str">
        <f t="shared" si="236"/>
        <v>no</v>
      </c>
      <c r="AH941" s="37" t="str">
        <f t="array" ref="AH941">_xlfn.IFS(LOWER(AG941)="n","no",LOWER(AG941)="y","yes",TRUE,LOWER(AG941))</f>
        <v>no</v>
      </c>
      <c r="AI941" s="46" t="s">
        <v>4692</v>
      </c>
    </row>
    <row r="942" spans="1:35">
      <c r="A942" s="37" t="s">
        <v>3272</v>
      </c>
      <c r="B942" s="38">
        <v>45360</v>
      </c>
      <c r="C942" s="39">
        <f t="shared" si="224"/>
        <v>45360</v>
      </c>
      <c r="D942" s="40" t="s">
        <v>212</v>
      </c>
      <c r="E942" s="37" t="str" cm="1">
        <f t="array" ref="E942">_xlfn.IFS(D942="delhi","north",D942="mumbai","west",D942="bengaluru","south",D942="chennai","south",D942="kolkata","east",TRUE,"west")</f>
        <v>west</v>
      </c>
      <c r="F942" s="37" t="s">
        <v>213</v>
      </c>
      <c r="G942" s="37" t="str">
        <f t="shared" si="225"/>
        <v>dtdc</v>
      </c>
      <c r="H942" s="37" t="s">
        <v>147</v>
      </c>
      <c r="I942" s="37" t="str">
        <f t="shared" si="226"/>
        <v>road</v>
      </c>
      <c r="J942" s="37" t="s">
        <v>177</v>
      </c>
      <c r="K942" s="37" t="str">
        <f t="shared" si="227"/>
        <v>pharma</v>
      </c>
      <c r="L942" s="37" t="s">
        <v>257</v>
      </c>
      <c r="M942" s="37" t="str">
        <f t="shared" si="228"/>
        <v>west</v>
      </c>
      <c r="N942" s="37" t="s">
        <v>88</v>
      </c>
      <c r="O942" s="41" t="str">
        <f t="shared" si="229"/>
        <v>Yes</v>
      </c>
      <c r="P942" s="41">
        <v>0.6</v>
      </c>
      <c r="Q942" s="41">
        <v>80</v>
      </c>
      <c r="R942" s="42">
        <f t="shared" si="230"/>
        <v>133.333333333333</v>
      </c>
      <c r="S942" s="37">
        <v>6</v>
      </c>
      <c r="T942" s="37" t="s">
        <v>165</v>
      </c>
      <c r="U942" s="43" t="str">
        <f t="shared" si="231"/>
        <v>14-mar-2024</v>
      </c>
      <c r="V942" s="43">
        <f t="shared" si="232"/>
        <v>45365</v>
      </c>
      <c r="W942" s="44">
        <f t="array" ref="W942">_xlfn.IFS(TRIM(C942)="","",TRIM(V942)="","",TRUE,V942-C942)</f>
        <v>5</v>
      </c>
      <c r="X942" s="37">
        <f t="shared" si="233"/>
        <v>-1</v>
      </c>
      <c r="Y942" s="37" t="s">
        <v>105</v>
      </c>
      <c r="Z942" s="37" t="str">
        <f t="shared" si="234"/>
        <v>delivered</v>
      </c>
      <c r="AA942" s="37" t="str">
        <f t="shared" si="235"/>
        <v>On Time</v>
      </c>
      <c r="AB942" s="37" t="str">
        <f t="shared" si="238"/>
        <v>0</v>
      </c>
      <c r="AC942" s="37">
        <f t="shared" si="239"/>
        <v>0</v>
      </c>
      <c r="AD942" s="45">
        <f t="shared" si="237"/>
        <v>0.512232415902141</v>
      </c>
      <c r="AE942" s="37">
        <v>5</v>
      </c>
      <c r="AF942" s="37" t="s">
        <v>79</v>
      </c>
      <c r="AG942" s="37" t="str">
        <f t="shared" si="236"/>
        <v>yes</v>
      </c>
      <c r="AH942" s="37" t="str">
        <f t="array" ref="AH942">_xlfn.IFS(LOWER(AG942)="n","no",LOWER(AG942)="y","yes",TRUE,LOWER(AG942))</f>
        <v>yes</v>
      </c>
      <c r="AI942" s="37" t="s">
        <v>4692</v>
      </c>
    </row>
    <row r="943" spans="1:35">
      <c r="A943" s="46" t="s">
        <v>3273</v>
      </c>
      <c r="B943" s="47" t="s">
        <v>4787</v>
      </c>
      <c r="C943" s="39">
        <f t="shared" si="224"/>
        <v>45436</v>
      </c>
      <c r="D943" s="48" t="s">
        <v>109</v>
      </c>
      <c r="E943" s="37" t="str" cm="1">
        <f t="array" ref="E943">_xlfn.IFS(D943="delhi","north",D943="mumbai","west",D943="bengaluru","south",D943="chennai","south",D943="kolkata","east",TRUE,"west")</f>
        <v>west</v>
      </c>
      <c r="F943" s="46" t="s">
        <v>156</v>
      </c>
      <c r="G943" s="37" t="str">
        <f t="shared" si="225"/>
        <v>xpressbees</v>
      </c>
      <c r="H943" s="46" t="s">
        <v>157</v>
      </c>
      <c r="I943" s="37" t="str">
        <f t="shared" si="226"/>
        <v>surface</v>
      </c>
      <c r="J943" s="46" t="s">
        <v>533</v>
      </c>
      <c r="K943" s="37" t="str">
        <f t="shared" si="227"/>
        <v>pharma</v>
      </c>
      <c r="L943" s="46" t="s">
        <v>87</v>
      </c>
      <c r="M943" s="37" t="str">
        <f t="shared" si="228"/>
        <v>north</v>
      </c>
      <c r="N943" s="46" t="s">
        <v>215</v>
      </c>
      <c r="O943" s="41" t="str">
        <f t="shared" si="229"/>
        <v>Yes</v>
      </c>
      <c r="P943" s="49">
        <v>2.1</v>
      </c>
      <c r="Q943" s="49">
        <v>255</v>
      </c>
      <c r="R943" s="42">
        <f t="shared" si="230"/>
        <v>121.428571428571</v>
      </c>
      <c r="S943" s="46">
        <v>6</v>
      </c>
      <c r="T943" s="46" t="s">
        <v>2349</v>
      </c>
      <c r="U943" s="43" t="str">
        <f t="shared" si="231"/>
        <v>03/06/2024</v>
      </c>
      <c r="V943" s="43">
        <f t="shared" si="232"/>
        <v>45446</v>
      </c>
      <c r="W943" s="44">
        <f t="array" ref="W943">_xlfn.IFS(TRIM(C943)="","",TRIM(V943)="","",TRUE,V943-C943)</f>
        <v>10</v>
      </c>
      <c r="X943" s="37">
        <f t="shared" si="233"/>
        <v>4</v>
      </c>
      <c r="Y943" s="46" t="s">
        <v>72</v>
      </c>
      <c r="Z943" s="37" t="str">
        <f t="shared" si="234"/>
        <v>delayed</v>
      </c>
      <c r="AA943" s="37" t="str">
        <f t="shared" si="235"/>
        <v>Late</v>
      </c>
      <c r="AB943" s="37" t="str">
        <f t="shared" si="238"/>
        <v>1</v>
      </c>
      <c r="AC943" s="37">
        <f t="shared" si="239"/>
        <v>1</v>
      </c>
      <c r="AD943" s="45">
        <f t="shared" si="237"/>
        <v>0.51301684532925</v>
      </c>
      <c r="AE943" s="46">
        <v>1</v>
      </c>
      <c r="AF943" s="46" t="s">
        <v>106</v>
      </c>
      <c r="AG943" s="37" t="str">
        <f t="shared" si="236"/>
        <v>yes</v>
      </c>
      <c r="AH943" s="37" t="str">
        <f t="array" ref="AH943">_xlfn.IFS(LOWER(AG943)="n","no",LOWER(AG943)="y","yes",TRUE,LOWER(AG943))</f>
        <v>yes</v>
      </c>
      <c r="AI943" s="46" t="s">
        <v>4692</v>
      </c>
    </row>
    <row r="944" spans="1:35">
      <c r="A944" s="37" t="s">
        <v>3274</v>
      </c>
      <c r="B944" s="38">
        <v>45417</v>
      </c>
      <c r="C944" s="39">
        <f t="shared" si="224"/>
        <v>45417</v>
      </c>
      <c r="D944" s="40" t="s">
        <v>109</v>
      </c>
      <c r="E944" s="37" t="str" cm="1">
        <f t="array" ref="E944">_xlfn.IFS(D944="delhi","north",D944="mumbai","west",D944="bengaluru","south",D944="chennai","south",D944="kolkata","east",TRUE,"west")</f>
        <v>west</v>
      </c>
      <c r="F944" s="37" t="s">
        <v>333</v>
      </c>
      <c r="G944" s="37" t="str">
        <f t="shared" si="225"/>
        <v>delhivery</v>
      </c>
      <c r="H944" s="37" t="s">
        <v>147</v>
      </c>
      <c r="I944" s="37" t="str">
        <f t="shared" si="226"/>
        <v>road</v>
      </c>
      <c r="J944" s="37" t="s">
        <v>360</v>
      </c>
      <c r="K944" s="37" t="str">
        <f t="shared" si="227"/>
        <v>furniture</v>
      </c>
      <c r="L944" s="37" t="s">
        <v>139</v>
      </c>
      <c r="M944" s="37" t="str">
        <f t="shared" si="228"/>
        <v>north</v>
      </c>
      <c r="N944" s="37" t="s">
        <v>354</v>
      </c>
      <c r="O944" s="41" t="str">
        <f t="shared" si="229"/>
        <v>Yes</v>
      </c>
      <c r="P944" s="41" t="s">
        <v>2736</v>
      </c>
      <c r="Q944" s="41">
        <v>645</v>
      </c>
      <c r="R944" s="42">
        <f t="shared" si="230"/>
        <v>18.9149560117302</v>
      </c>
      <c r="S944" s="37">
        <v>8</v>
      </c>
      <c r="T944" s="37" t="s">
        <v>3036</v>
      </c>
      <c r="U944" s="43" t="str">
        <f t="shared" si="231"/>
        <v>16/05/2024</v>
      </c>
      <c r="V944" s="43">
        <f t="shared" si="232"/>
        <v>45428</v>
      </c>
      <c r="W944" s="44">
        <f t="array" ref="W944">_xlfn.IFS(TRIM(C944)="","",TRIM(V944)="","",TRUE,V944-C944)</f>
        <v>11</v>
      </c>
      <c r="X944" s="37">
        <f t="shared" si="233"/>
        <v>3</v>
      </c>
      <c r="Y944" s="37" t="s">
        <v>200</v>
      </c>
      <c r="Z944" s="37" t="str">
        <f t="shared" si="234"/>
        <v>delayed</v>
      </c>
      <c r="AA944" s="37" t="str">
        <f t="shared" si="235"/>
        <v>Late</v>
      </c>
      <c r="AB944" s="37" t="str">
        <f t="shared" si="238"/>
        <v>1</v>
      </c>
      <c r="AC944" s="37">
        <f t="shared" si="239"/>
        <v>1</v>
      </c>
      <c r="AD944" s="45">
        <f t="shared" si="237"/>
        <v>0.512269938650307</v>
      </c>
      <c r="AE944" s="37">
        <v>1</v>
      </c>
      <c r="AF944" s="37" t="s">
        <v>191</v>
      </c>
      <c r="AG944" s="37" t="str">
        <f t="shared" si="236"/>
        <v>no</v>
      </c>
      <c r="AH944" s="37" t="str">
        <f t="array" ref="AH944">_xlfn.IFS(LOWER(AG944)="n","no",LOWER(AG944)="y","yes",TRUE,LOWER(AG944))</f>
        <v>no</v>
      </c>
      <c r="AI944" s="37" t="s">
        <v>4692</v>
      </c>
    </row>
    <row r="945" spans="1:35">
      <c r="A945" s="46" t="s">
        <v>3276</v>
      </c>
      <c r="B945" s="47" t="s">
        <v>4720</v>
      </c>
      <c r="C945" s="39">
        <f t="shared" si="224"/>
        <v>45377</v>
      </c>
      <c r="D945" s="48" t="s">
        <v>109</v>
      </c>
      <c r="E945" s="37" t="str" cm="1">
        <f t="array" ref="E945">_xlfn.IFS(D945="delhi","north",D945="mumbai","west",D945="bengaluru","south",D945="chennai","south",D945="kolkata","east",TRUE,"west")</f>
        <v>west</v>
      </c>
      <c r="F945" s="46" t="s">
        <v>37</v>
      </c>
      <c r="G945" s="37" t="str">
        <f t="shared" si="225"/>
        <v>bluedart</v>
      </c>
      <c r="H945" s="46" t="s">
        <v>137</v>
      </c>
      <c r="I945" s="37" t="str">
        <f t="shared" si="226"/>
        <v>road</v>
      </c>
      <c r="J945" s="46" t="s">
        <v>245</v>
      </c>
      <c r="K945" s="37" t="str">
        <f t="shared" si="227"/>
        <v>electronics</v>
      </c>
      <c r="L945" s="46" t="s">
        <v>197</v>
      </c>
      <c r="M945" s="37" t="str">
        <f t="shared" si="228"/>
        <v>south</v>
      </c>
      <c r="N945" s="46" t="s">
        <v>54</v>
      </c>
      <c r="O945" s="41" t="str">
        <f t="shared" si="229"/>
        <v>Yes</v>
      </c>
      <c r="P945" s="49">
        <v>7.2</v>
      </c>
      <c r="Q945" s="49">
        <v>267</v>
      </c>
      <c r="R945" s="42">
        <f t="shared" si="230"/>
        <v>37.0833333333333</v>
      </c>
      <c r="S945" s="46">
        <v>8</v>
      </c>
      <c r="T945" s="46" t="s">
        <v>1768</v>
      </c>
      <c r="U945" s="43" t="str">
        <f t="shared" si="231"/>
        <v>2024-04-04</v>
      </c>
      <c r="V945" s="43">
        <f t="shared" si="232"/>
        <v>45386</v>
      </c>
      <c r="W945" s="44">
        <f t="array" ref="W945">_xlfn.IFS(TRIM(C945)="","",TRIM(V945)="","",TRUE,V945-C945)</f>
        <v>9</v>
      </c>
      <c r="X945" s="37">
        <f t="shared" si="233"/>
        <v>1</v>
      </c>
      <c r="Y945" s="46" t="s">
        <v>172</v>
      </c>
      <c r="Z945" s="37" t="str">
        <f t="shared" si="234"/>
        <v>delayed</v>
      </c>
      <c r="AA945" s="37" t="str">
        <f t="shared" si="235"/>
        <v>Late</v>
      </c>
      <c r="AB945" s="37" t="str">
        <f t="shared" si="238"/>
        <v>1</v>
      </c>
      <c r="AC945" s="37">
        <f t="shared" si="239"/>
        <v>1</v>
      </c>
      <c r="AD945" s="45">
        <f t="shared" si="237"/>
        <v>0.511520737327189</v>
      </c>
      <c r="AE945" s="46">
        <v>5</v>
      </c>
      <c r="AF945" s="46" t="s">
        <v>118</v>
      </c>
      <c r="AG945" s="37" t="str">
        <f t="shared" si="236"/>
        <v>no</v>
      </c>
      <c r="AH945" s="37" t="str">
        <f t="array" ref="AH945">_xlfn.IFS(LOWER(AG945)="n","no",LOWER(AG945)="y","yes",TRUE,LOWER(AG945))</f>
        <v>no</v>
      </c>
      <c r="AI945" s="46" t="s">
        <v>4692</v>
      </c>
    </row>
    <row r="946" spans="1:35">
      <c r="A946" s="37" t="s">
        <v>3279</v>
      </c>
      <c r="B946" s="38">
        <v>45465</v>
      </c>
      <c r="C946" s="39">
        <f t="shared" si="224"/>
        <v>45465</v>
      </c>
      <c r="D946" s="40" t="s">
        <v>4695</v>
      </c>
      <c r="E946" s="37" t="str" cm="1">
        <f t="array" ref="E946">_xlfn.IFS(D946="delhi","north",D946="mumbai","west",D946="bengaluru","south",D946="chennai","south",D946="kolkata","east",TRUE,"west")</f>
        <v>west</v>
      </c>
      <c r="F946" s="37" t="s">
        <v>270</v>
      </c>
      <c r="G946" s="37" t="str">
        <f t="shared" si="225"/>
        <v>ecomexpress</v>
      </c>
      <c r="H946" s="37" t="s">
        <v>244</v>
      </c>
      <c r="I946" s="37" t="str">
        <f t="shared" si="226"/>
        <v>air</v>
      </c>
      <c r="J946" s="37" t="s">
        <v>186</v>
      </c>
      <c r="K946" s="37" t="str">
        <f t="shared" si="227"/>
        <v>automotiveparts</v>
      </c>
      <c r="L946" s="37" t="s">
        <v>159</v>
      </c>
      <c r="M946" s="37" t="str">
        <f t="shared" si="228"/>
        <v>south</v>
      </c>
      <c r="N946" s="37" t="s">
        <v>90</v>
      </c>
      <c r="O946" s="41" t="str">
        <f t="shared" si="229"/>
        <v>Yes</v>
      </c>
      <c r="P946" s="41">
        <v>5.3</v>
      </c>
      <c r="Q946" s="41" t="s">
        <v>1930</v>
      </c>
      <c r="R946" s="42">
        <f t="shared" si="230"/>
        <v>83.0188679245283</v>
      </c>
      <c r="S946" s="37">
        <v>4</v>
      </c>
      <c r="T946" s="37" t="s">
        <v>936</v>
      </c>
      <c r="U946" s="43" t="str">
        <f t="shared" si="231"/>
        <v>25-jun-2024</v>
      </c>
      <c r="V946" s="43">
        <f t="shared" si="232"/>
        <v>45468</v>
      </c>
      <c r="W946" s="44">
        <f t="array" ref="W946">_xlfn.IFS(TRIM(C946)="","",TRIM(V946)="","",TRUE,V946-C946)</f>
        <v>3</v>
      </c>
      <c r="X946" s="37">
        <f t="shared" si="233"/>
        <v>-1</v>
      </c>
      <c r="Y946" s="37" t="s">
        <v>219</v>
      </c>
      <c r="Z946" s="37" t="str">
        <f t="shared" si="234"/>
        <v>delivered</v>
      </c>
      <c r="AA946" s="37" t="str">
        <f t="shared" si="235"/>
        <v>On Time</v>
      </c>
      <c r="AB946" s="37" t="str">
        <f t="shared" si="238"/>
        <v>0</v>
      </c>
      <c r="AC946" s="37">
        <f t="shared" si="239"/>
        <v>0</v>
      </c>
      <c r="AD946" s="45">
        <f t="shared" si="237"/>
        <v>0.510769230769231</v>
      </c>
      <c r="AE946" s="37">
        <v>4</v>
      </c>
      <c r="AF946" s="37" t="s">
        <v>191</v>
      </c>
      <c r="AG946" s="37" t="str">
        <f t="shared" si="236"/>
        <v>no</v>
      </c>
      <c r="AH946" s="37" t="str">
        <f t="array" ref="AH946">_xlfn.IFS(LOWER(AG946)="n","no",LOWER(AG946)="y","yes",TRUE,LOWER(AG946))</f>
        <v>no</v>
      </c>
      <c r="AI946" s="37" t="s">
        <v>4692</v>
      </c>
    </row>
    <row r="947" spans="1:35">
      <c r="A947" s="46" t="s">
        <v>3281</v>
      </c>
      <c r="B947" s="47" t="s">
        <v>4759</v>
      </c>
      <c r="C947" s="39">
        <f t="shared" si="224"/>
        <v>45458</v>
      </c>
      <c r="D947" s="48" t="s">
        <v>212</v>
      </c>
      <c r="E947" s="37" t="str" cm="1">
        <f t="array" ref="E947">_xlfn.IFS(D947="delhi","north",D947="mumbai","west",D947="bengaluru","south",D947="chennai","south",D947="kolkata","east",TRUE,"west")</f>
        <v>west</v>
      </c>
      <c r="F947" s="46" t="s">
        <v>98</v>
      </c>
      <c r="G947" s="37" t="str">
        <f t="shared" si="225"/>
        <v>dtdc</v>
      </c>
      <c r="H947" s="46" t="s">
        <v>99</v>
      </c>
      <c r="I947" s="37" t="str">
        <f t="shared" si="226"/>
        <v>air</v>
      </c>
      <c r="J947" s="46" t="s">
        <v>205</v>
      </c>
      <c r="K947" s="37" t="str">
        <f t="shared" si="227"/>
        <v>furniture</v>
      </c>
      <c r="L947" s="46" t="s">
        <v>89</v>
      </c>
      <c r="M947" s="37" t="str">
        <f t="shared" si="228"/>
        <v>west</v>
      </c>
      <c r="N947" s="46" t="s">
        <v>88</v>
      </c>
      <c r="O947" s="41" t="str">
        <f t="shared" si="229"/>
        <v>Yes</v>
      </c>
      <c r="P947" s="49" t="s">
        <v>3282</v>
      </c>
      <c r="Q947" s="49">
        <v>2965</v>
      </c>
      <c r="R947" s="42">
        <f t="shared" si="230"/>
        <v>45.2671755725191</v>
      </c>
      <c r="S947" s="46">
        <v>2</v>
      </c>
      <c r="T947" s="46" t="s">
        <v>1619</v>
      </c>
      <c r="U947" s="43" t="str">
        <f t="shared" si="231"/>
        <v>16-jun-2024</v>
      </c>
      <c r="V947" s="43">
        <f t="shared" si="232"/>
        <v>45459</v>
      </c>
      <c r="W947" s="44">
        <f t="array" ref="W947">_xlfn.IFS(TRIM(C947)="","",TRIM(V947)="","",TRUE,V947-C947)</f>
        <v>1</v>
      </c>
      <c r="X947" s="37">
        <f t="shared" si="233"/>
        <v>-1</v>
      </c>
      <c r="Y947" s="46" t="s">
        <v>105</v>
      </c>
      <c r="Z947" s="37" t="str">
        <f t="shared" si="234"/>
        <v>delivered</v>
      </c>
      <c r="AA947" s="37" t="str">
        <f t="shared" si="235"/>
        <v>On Time</v>
      </c>
      <c r="AB947" s="37" t="str">
        <f t="shared" si="238"/>
        <v>0</v>
      </c>
      <c r="AC947" s="37">
        <f t="shared" si="239"/>
        <v>0</v>
      </c>
      <c r="AD947" s="45">
        <f t="shared" si="237"/>
        <v>0.5115562403698</v>
      </c>
      <c r="AE947" s="46">
        <v>5</v>
      </c>
      <c r="AF947" s="46" t="s">
        <v>286</v>
      </c>
      <c r="AG947" s="37" t="str">
        <f t="shared" si="236"/>
        <v>yes</v>
      </c>
      <c r="AH947" s="37" t="str">
        <f t="array" ref="AH947">_xlfn.IFS(LOWER(AG947)="n","no",LOWER(AG947)="y","yes",TRUE,LOWER(AG947))</f>
        <v>yes</v>
      </c>
      <c r="AI947" s="46" t="s">
        <v>4692</v>
      </c>
    </row>
    <row r="948" spans="1:35">
      <c r="A948" s="37" t="s">
        <v>3284</v>
      </c>
      <c r="B948" s="38" t="s">
        <v>4834</v>
      </c>
      <c r="C948" s="39">
        <f t="shared" si="224"/>
        <v>45415</v>
      </c>
      <c r="D948" s="40" t="s">
        <v>212</v>
      </c>
      <c r="E948" s="37" t="str" cm="1">
        <f t="array" ref="E948">_xlfn.IFS(D948="delhi","north",D948="mumbai","west",D948="bengaluru","south",D948="chennai","south",D948="kolkata","east",TRUE,"west")</f>
        <v>west</v>
      </c>
      <c r="F948" s="37" t="s">
        <v>156</v>
      </c>
      <c r="G948" s="37" t="str">
        <f t="shared" si="225"/>
        <v>xpressbees</v>
      </c>
      <c r="H948" s="37" t="s">
        <v>110</v>
      </c>
      <c r="I948" s="37" t="str">
        <f t="shared" si="226"/>
        <v>surface</v>
      </c>
      <c r="J948" s="37" t="s">
        <v>353</v>
      </c>
      <c r="K948" s="37" t="str">
        <f t="shared" si="227"/>
        <v>automotiveparts</v>
      </c>
      <c r="L948" s="37" t="s">
        <v>125</v>
      </c>
      <c r="M948" s="37" t="str">
        <f t="shared" si="228"/>
        <v>east</v>
      </c>
      <c r="N948" s="37" t="s">
        <v>126</v>
      </c>
      <c r="O948" s="41" t="str">
        <f t="shared" si="229"/>
        <v>Yes</v>
      </c>
      <c r="P948" s="41">
        <v>27.6</v>
      </c>
      <c r="Q948" s="41" t="s">
        <v>348</v>
      </c>
      <c r="R948" s="42">
        <f t="shared" si="230"/>
        <v>28.3695652173913</v>
      </c>
      <c r="S948" s="37">
        <v>6</v>
      </c>
      <c r="T948" s="37" t="s">
        <v>410</v>
      </c>
      <c r="U948" s="43" t="str">
        <f t="shared" si="231"/>
        <v>12/05/2024</v>
      </c>
      <c r="V948" s="43">
        <f t="shared" si="232"/>
        <v>45424</v>
      </c>
      <c r="W948" s="44">
        <f t="array" ref="W948">_xlfn.IFS(TRIM(C948)="","",TRIM(V948)="","",TRUE,V948-C948)</f>
        <v>9</v>
      </c>
      <c r="X948" s="37">
        <f t="shared" si="233"/>
        <v>3</v>
      </c>
      <c r="Y948" s="37" t="s">
        <v>72</v>
      </c>
      <c r="Z948" s="37" t="str">
        <f t="shared" si="234"/>
        <v>delayed</v>
      </c>
      <c r="AA948" s="37" t="str">
        <f t="shared" si="235"/>
        <v>Late</v>
      </c>
      <c r="AB948" s="37" t="str">
        <f t="shared" si="238"/>
        <v>1</v>
      </c>
      <c r="AC948" s="37">
        <f t="shared" si="239"/>
        <v>1</v>
      </c>
      <c r="AD948" s="45">
        <f t="shared" si="237"/>
        <v>0.512345679012346</v>
      </c>
      <c r="AE948" s="37">
        <v>4</v>
      </c>
      <c r="AF948" s="37" t="s">
        <v>106</v>
      </c>
      <c r="AG948" s="37" t="str">
        <f t="shared" si="236"/>
        <v>yes</v>
      </c>
      <c r="AH948" s="37" t="str">
        <f t="array" ref="AH948">_xlfn.IFS(LOWER(AG948)="n","no",LOWER(AG948)="y","yes",TRUE,LOWER(AG948))</f>
        <v>yes</v>
      </c>
      <c r="AI948" s="37" t="s">
        <v>4692</v>
      </c>
    </row>
    <row r="949" spans="1:35">
      <c r="A949" s="46" t="s">
        <v>3286</v>
      </c>
      <c r="B949" s="47">
        <v>45435</v>
      </c>
      <c r="C949" s="39">
        <f t="shared" si="224"/>
        <v>45435</v>
      </c>
      <c r="D949" s="48" t="s">
        <v>109</v>
      </c>
      <c r="E949" s="37" t="str" cm="1">
        <f t="array" ref="E949">_xlfn.IFS(D949="delhi","north",D949="mumbai","west",D949="bengaluru","south",D949="chennai","south",D949="kolkata","east",TRUE,"west")</f>
        <v>west</v>
      </c>
      <c r="F949" s="46" t="s">
        <v>98</v>
      </c>
      <c r="G949" s="37" t="str">
        <f t="shared" si="225"/>
        <v>dtdc</v>
      </c>
      <c r="H949" s="46" t="s">
        <v>345</v>
      </c>
      <c r="I949" s="37" t="str">
        <f t="shared" si="226"/>
        <v>surface</v>
      </c>
      <c r="J949" s="46" t="s">
        <v>301</v>
      </c>
      <c r="K949" s="37" t="str">
        <f t="shared" si="227"/>
        <v>furniture</v>
      </c>
      <c r="L949" s="46" t="s">
        <v>168</v>
      </c>
      <c r="M949" s="37" t="str">
        <f t="shared" si="228"/>
        <v>west</v>
      </c>
      <c r="N949" s="46" t="s">
        <v>88</v>
      </c>
      <c r="O949" s="41" t="str">
        <f t="shared" si="229"/>
        <v>Yes</v>
      </c>
      <c r="P949" s="49">
        <v>21.7</v>
      </c>
      <c r="Q949" s="49">
        <v>515</v>
      </c>
      <c r="R949" s="42">
        <f t="shared" si="230"/>
        <v>23.7327188940092</v>
      </c>
      <c r="S949" s="46">
        <v>4</v>
      </c>
      <c r="T949" s="46" t="s">
        <v>1361</v>
      </c>
      <c r="U949" s="43" t="str">
        <f t="shared" si="231"/>
        <v>27/05/2024</v>
      </c>
      <c r="V949" s="43">
        <f t="shared" si="232"/>
        <v>45439</v>
      </c>
      <c r="W949" s="44">
        <f t="array" ref="W949">_xlfn.IFS(TRIM(C949)="","",TRIM(V949)="","",TRUE,V949-C949)</f>
        <v>4</v>
      </c>
      <c r="X949" s="37">
        <f t="shared" si="233"/>
        <v>0</v>
      </c>
      <c r="Y949" s="46" t="s">
        <v>105</v>
      </c>
      <c r="Z949" s="37" t="str">
        <f t="shared" si="234"/>
        <v>delivered</v>
      </c>
      <c r="AA949" s="37" t="str">
        <f t="shared" si="235"/>
        <v>On Time</v>
      </c>
      <c r="AB949" s="37" t="str">
        <f t="shared" si="238"/>
        <v>0</v>
      </c>
      <c r="AC949" s="37">
        <f t="shared" si="239"/>
        <v>0</v>
      </c>
      <c r="AD949" s="45">
        <f t="shared" si="237"/>
        <v>0.511591962905719</v>
      </c>
      <c r="AE949" s="46">
        <v>5</v>
      </c>
      <c r="AF949" s="46" t="s">
        <v>118</v>
      </c>
      <c r="AG949" s="37" t="str">
        <f t="shared" si="236"/>
        <v>no</v>
      </c>
      <c r="AH949" s="37" t="str">
        <f t="array" ref="AH949">_xlfn.IFS(LOWER(AG949)="n","no",LOWER(AG949)="y","yes",TRUE,LOWER(AG949))</f>
        <v>no</v>
      </c>
      <c r="AI949" s="46" t="s">
        <v>4692</v>
      </c>
    </row>
    <row r="950" spans="1:35">
      <c r="A950" s="37" t="s">
        <v>3288</v>
      </c>
      <c r="B950" s="38">
        <v>45355</v>
      </c>
      <c r="C950" s="39">
        <f t="shared" si="224"/>
        <v>45355</v>
      </c>
      <c r="D950" s="40" t="s">
        <v>109</v>
      </c>
      <c r="E950" s="37" t="str" cm="1">
        <f t="array" ref="E950">_xlfn.IFS(D950="delhi","north",D950="mumbai","west",D950="bengaluru","south",D950="chennai","south",D950="kolkata","east",TRUE,"west")</f>
        <v>west</v>
      </c>
      <c r="F950" s="37" t="s">
        <v>122</v>
      </c>
      <c r="G950" s="37" t="str">
        <f t="shared" si="225"/>
        <v>delhivery</v>
      </c>
      <c r="H950" s="37" t="s">
        <v>42</v>
      </c>
      <c r="I950" s="37" t="str">
        <f t="shared" si="226"/>
        <v>surface</v>
      </c>
      <c r="J950" s="37" t="s">
        <v>498</v>
      </c>
      <c r="K950" s="37" t="str">
        <f t="shared" si="227"/>
        <v>apparel</v>
      </c>
      <c r="L950" s="37" t="s">
        <v>168</v>
      </c>
      <c r="M950" s="37" t="str">
        <f t="shared" si="228"/>
        <v>west</v>
      </c>
      <c r="N950" s="37" t="s">
        <v>187</v>
      </c>
      <c r="O950" s="41" t="str">
        <f t="shared" si="229"/>
        <v>Yes</v>
      </c>
      <c r="P950" s="41" t="s">
        <v>3289</v>
      </c>
      <c r="Q950" s="41">
        <v>216</v>
      </c>
      <c r="R950" s="42">
        <f t="shared" si="230"/>
        <v>30.4225352112676</v>
      </c>
      <c r="S950" s="37">
        <v>4</v>
      </c>
      <c r="T950" s="37" t="s">
        <v>1021</v>
      </c>
      <c r="U950" s="43" t="str">
        <f t="shared" si="231"/>
        <v>13-mar-2024</v>
      </c>
      <c r="V950" s="43">
        <f t="shared" si="232"/>
        <v>45364</v>
      </c>
      <c r="W950" s="44">
        <f t="array" ref="W950">_xlfn.IFS(TRIM(C950)="","",TRIM(V950)="","",TRUE,V950-C950)</f>
        <v>9</v>
      </c>
      <c r="X950" s="37">
        <f t="shared" si="233"/>
        <v>5</v>
      </c>
      <c r="Y950" s="37" t="s">
        <v>200</v>
      </c>
      <c r="Z950" s="37" t="str">
        <f t="shared" si="234"/>
        <v>delayed</v>
      </c>
      <c r="AA950" s="37" t="str">
        <f t="shared" si="235"/>
        <v>Late</v>
      </c>
      <c r="AB950" s="37" t="str">
        <f t="shared" si="238"/>
        <v>1</v>
      </c>
      <c r="AC950" s="37">
        <f t="shared" si="239"/>
        <v>1</v>
      </c>
      <c r="AD950" s="45">
        <f t="shared" si="237"/>
        <v>0.512383900928793</v>
      </c>
      <c r="AE950" s="37">
        <v>2</v>
      </c>
      <c r="AF950" s="37" t="s">
        <v>118</v>
      </c>
      <c r="AG950" s="37" t="str">
        <f t="shared" si="236"/>
        <v>no</v>
      </c>
      <c r="AH950" s="37" t="str">
        <f t="array" ref="AH950">_xlfn.IFS(LOWER(AG950)="n","no",LOWER(AG950)="y","yes",TRUE,LOWER(AG950))</f>
        <v>no</v>
      </c>
      <c r="AI950" s="37" t="s">
        <v>4692</v>
      </c>
    </row>
    <row r="951" spans="1:35">
      <c r="A951" s="46" t="s">
        <v>3290</v>
      </c>
      <c r="B951" s="47">
        <v>45467</v>
      </c>
      <c r="C951" s="39">
        <f t="shared" si="224"/>
        <v>45467</v>
      </c>
      <c r="D951" s="48" t="s">
        <v>424</v>
      </c>
      <c r="E951" s="37" t="str" cm="1">
        <f t="array" ref="E951">_xlfn.IFS(D951="delhi","north",D951="mumbai","west",D951="bengaluru","south",D951="chennai","south",D951="kolkata","east",TRUE,"west")</f>
        <v>south</v>
      </c>
      <c r="F951" s="46" t="s">
        <v>367</v>
      </c>
      <c r="G951" s="37" t="str">
        <f t="shared" si="225"/>
        <v>dtdc</v>
      </c>
      <c r="H951" s="46" t="s">
        <v>244</v>
      </c>
      <c r="I951" s="37" t="str">
        <f t="shared" si="226"/>
        <v>air</v>
      </c>
      <c r="J951" s="46" t="s">
        <v>277</v>
      </c>
      <c r="K951" s="37" t="str">
        <f t="shared" si="227"/>
        <v>apparel</v>
      </c>
      <c r="L951" s="46" t="s">
        <v>168</v>
      </c>
      <c r="M951" s="37" t="str">
        <f t="shared" si="228"/>
        <v>west</v>
      </c>
      <c r="N951" s="46" t="s">
        <v>187</v>
      </c>
      <c r="O951" s="41" t="str">
        <f t="shared" si="229"/>
        <v>Yes</v>
      </c>
      <c r="P951" s="49" t="s">
        <v>1382</v>
      </c>
      <c r="Q951" s="49">
        <v>447</v>
      </c>
      <c r="R951" s="42">
        <f t="shared" si="230"/>
        <v>67.7272727272727</v>
      </c>
      <c r="S951" s="46">
        <v>4</v>
      </c>
      <c r="T951" s="46" t="s">
        <v>1120</v>
      </c>
      <c r="U951" s="43" t="str">
        <f t="shared" si="231"/>
        <v>03/07/2024</v>
      </c>
      <c r="V951" s="43">
        <f t="shared" si="232"/>
        <v>45476</v>
      </c>
      <c r="W951" s="44">
        <f t="array" ref="W951">_xlfn.IFS(TRIM(C951)="","",TRIM(V951)="","",TRUE,V951-C951)</f>
        <v>9</v>
      </c>
      <c r="X951" s="37">
        <f t="shared" si="233"/>
        <v>5</v>
      </c>
      <c r="Y951" s="46" t="s">
        <v>200</v>
      </c>
      <c r="Z951" s="37" t="str">
        <f t="shared" si="234"/>
        <v>delayed</v>
      </c>
      <c r="AA951" s="37" t="str">
        <f t="shared" si="235"/>
        <v>Late</v>
      </c>
      <c r="AB951" s="37" t="str">
        <f t="shared" si="238"/>
        <v>1</v>
      </c>
      <c r="AC951" s="37">
        <f t="shared" si="239"/>
        <v>1</v>
      </c>
      <c r="AD951" s="45">
        <f t="shared" si="237"/>
        <v>0.511627906976744</v>
      </c>
      <c r="AE951" s="46">
        <v>5</v>
      </c>
      <c r="AF951" s="46" t="s">
        <v>152</v>
      </c>
      <c r="AG951" s="37" t="str">
        <f t="shared" si="236"/>
        <v>no</v>
      </c>
      <c r="AH951" s="37" t="str">
        <f t="array" ref="AH951">_xlfn.IFS(LOWER(AG951)="n","no",LOWER(AG951)="y","yes",TRUE,LOWER(AG951))</f>
        <v>no</v>
      </c>
      <c r="AI951" s="46" t="s">
        <v>4692</v>
      </c>
    </row>
    <row r="952" spans="1:35">
      <c r="A952" s="37" t="s">
        <v>3293</v>
      </c>
      <c r="B952" s="38">
        <v>45451</v>
      </c>
      <c r="C952" s="39">
        <f t="shared" si="224"/>
        <v>45451</v>
      </c>
      <c r="D952" s="40" t="s">
        <v>212</v>
      </c>
      <c r="E952" s="37" t="str" cm="1">
        <f t="array" ref="E952">_xlfn.IFS(D952="delhi","north",D952="mumbai","west",D952="bengaluru","south",D952="chennai","south",D952="kolkata","east",TRUE,"west")</f>
        <v>west</v>
      </c>
      <c r="F952" s="37" t="s">
        <v>146</v>
      </c>
      <c r="G952" s="37" t="str">
        <f t="shared" si="225"/>
        <v>ecomexpress</v>
      </c>
      <c r="H952" s="37" t="s">
        <v>440</v>
      </c>
      <c r="I952" s="37" t="str">
        <f t="shared" si="226"/>
        <v>road</v>
      </c>
      <c r="J952" s="37" t="s">
        <v>664</v>
      </c>
      <c r="K952" s="37" t="str">
        <f t="shared" si="227"/>
        <v>grocery&amp;fmcg</v>
      </c>
      <c r="L952" s="37" t="s">
        <v>92</v>
      </c>
      <c r="M952" s="37" t="str">
        <f t="shared" si="228"/>
        <v>east</v>
      </c>
      <c r="N952" s="37" t="s">
        <v>294</v>
      </c>
      <c r="O952" s="41" t="str">
        <f t="shared" si="229"/>
        <v>Yes</v>
      </c>
      <c r="P952" s="41">
        <v>2.5</v>
      </c>
      <c r="Q952" s="41">
        <v>190</v>
      </c>
      <c r="R952" s="42">
        <f t="shared" si="230"/>
        <v>76</v>
      </c>
      <c r="S952" s="37">
        <v>8</v>
      </c>
      <c r="T952" s="37" t="s">
        <v>1917</v>
      </c>
      <c r="U952" s="43" t="str">
        <f t="shared" si="231"/>
        <v>2024-06-17</v>
      </c>
      <c r="V952" s="43">
        <f t="shared" si="232"/>
        <v>45460</v>
      </c>
      <c r="W952" s="44">
        <f t="array" ref="W952">_xlfn.IFS(TRIM(C952)="","",TRIM(V952)="","",TRUE,V952-C952)</f>
        <v>9</v>
      </c>
      <c r="X952" s="37">
        <f t="shared" si="233"/>
        <v>1</v>
      </c>
      <c r="Y952" s="37" t="s">
        <v>143</v>
      </c>
      <c r="Z952" s="37" t="str">
        <f t="shared" si="234"/>
        <v>delayed</v>
      </c>
      <c r="AA952" s="37" t="str">
        <f t="shared" si="235"/>
        <v>Late</v>
      </c>
      <c r="AB952" s="37" t="str">
        <f t="shared" si="238"/>
        <v>1</v>
      </c>
      <c r="AC952" s="37">
        <f t="shared" si="239"/>
        <v>1</v>
      </c>
      <c r="AD952" s="45">
        <f t="shared" si="237"/>
        <v>0.510869565217391</v>
      </c>
      <c r="AE952" s="37">
        <v>3</v>
      </c>
      <c r="AF952" s="37" t="s">
        <v>181</v>
      </c>
      <c r="AG952" s="37" t="str">
        <f t="shared" si="236"/>
        <v>y</v>
      </c>
      <c r="AH952" s="37" t="str">
        <f t="array" ref="AH952">_xlfn.IFS(LOWER(AG952)="n","no",LOWER(AG952)="y","yes",TRUE,LOWER(AG952))</f>
        <v>yes</v>
      </c>
      <c r="AI952" s="37" t="s">
        <v>4692</v>
      </c>
    </row>
    <row r="953" spans="1:35">
      <c r="A953" s="46" t="s">
        <v>3294</v>
      </c>
      <c r="B953" s="47" t="s">
        <v>4706</v>
      </c>
      <c r="C953" s="39">
        <f t="shared" si="224"/>
        <v>45408</v>
      </c>
      <c r="D953" s="48" t="s">
        <v>633</v>
      </c>
      <c r="E953" s="37" t="str" cm="1">
        <f t="array" ref="E953">_xlfn.IFS(D953="delhi","north",D953="mumbai","west",D953="bengaluru","south",D953="chennai","south",D953="kolkata","east",TRUE,"west")</f>
        <v>south</v>
      </c>
      <c r="F953" s="46" t="s">
        <v>230</v>
      </c>
      <c r="G953" s="37" t="str">
        <f t="shared" si="225"/>
        <v>dtdc</v>
      </c>
      <c r="H953" s="46" t="s">
        <v>157</v>
      </c>
      <c r="I953" s="37" t="str">
        <f t="shared" si="226"/>
        <v>surface</v>
      </c>
      <c r="J953" s="46" t="s">
        <v>205</v>
      </c>
      <c r="K953" s="37" t="str">
        <f t="shared" si="227"/>
        <v>furniture</v>
      </c>
      <c r="L953" s="46" t="s">
        <v>470</v>
      </c>
      <c r="M953" s="37" t="str">
        <f t="shared" si="228"/>
        <v>east</v>
      </c>
      <c r="N953" s="46" t="s">
        <v>91</v>
      </c>
      <c r="O953" s="41" t="str">
        <f t="shared" si="229"/>
        <v>Yes</v>
      </c>
      <c r="P953" s="49">
        <v>58.5</v>
      </c>
      <c r="Q953" s="49">
        <v>1469</v>
      </c>
      <c r="R953" s="42">
        <f t="shared" si="230"/>
        <v>25.1111111111111</v>
      </c>
      <c r="S953" s="46">
        <v>6</v>
      </c>
      <c r="T953" s="46" t="s">
        <v>1358</v>
      </c>
      <c r="U953" s="43" t="str">
        <f t="shared" si="231"/>
        <v>02-may-2024</v>
      </c>
      <c r="V953" s="43">
        <f t="shared" si="232"/>
        <v>45414</v>
      </c>
      <c r="W953" s="44">
        <f t="array" ref="W953">_xlfn.IFS(TRIM(C953)="","",TRIM(V953)="","",TRUE,V953-C953)</f>
        <v>6</v>
      </c>
      <c r="X953" s="37">
        <f t="shared" si="233"/>
        <v>0</v>
      </c>
      <c r="Y953" s="46" t="s">
        <v>163</v>
      </c>
      <c r="Z953" s="37" t="str">
        <f t="shared" si="234"/>
        <v>delivered</v>
      </c>
      <c r="AA953" s="37" t="str">
        <f t="shared" si="235"/>
        <v>On Time</v>
      </c>
      <c r="AB953" s="37" t="str">
        <f t="shared" si="238"/>
        <v>0</v>
      </c>
      <c r="AC953" s="37">
        <f t="shared" si="239"/>
        <v>0</v>
      </c>
      <c r="AD953" s="45">
        <f t="shared" si="237"/>
        <v>0.510108864696734</v>
      </c>
      <c r="AE953" s="46">
        <v>4</v>
      </c>
      <c r="AF953" s="46" t="s">
        <v>191</v>
      </c>
      <c r="AG953" s="37" t="str">
        <f t="shared" si="236"/>
        <v>no</v>
      </c>
      <c r="AH953" s="37" t="str">
        <f t="array" ref="AH953">_xlfn.IFS(LOWER(AG953)="n","no",LOWER(AG953)="y","yes",TRUE,LOWER(AG953))</f>
        <v>no</v>
      </c>
      <c r="AI953" s="46" t="s">
        <v>4692</v>
      </c>
    </row>
    <row r="954" spans="1:35">
      <c r="A954" s="37" t="s">
        <v>3297</v>
      </c>
      <c r="B954" s="38" t="s">
        <v>4835</v>
      </c>
      <c r="C954" s="39">
        <f t="shared" si="224"/>
        <v>45327</v>
      </c>
      <c r="D954" s="40" t="s">
        <v>340</v>
      </c>
      <c r="E954" s="37" t="str" cm="1">
        <f t="array" ref="E954">_xlfn.IFS(D954="delhi","north",D954="mumbai","west",D954="bengaluru","south",D954="chennai","south",D954="kolkata","east",TRUE,"west")</f>
        <v>north</v>
      </c>
      <c r="F954" s="37" t="s">
        <v>312</v>
      </c>
      <c r="G954" s="37" t="str">
        <f t="shared" si="225"/>
        <v>bluedart</v>
      </c>
      <c r="H954" s="37" t="s">
        <v>42</v>
      </c>
      <c r="I954" s="37" t="str">
        <f t="shared" si="226"/>
        <v>surface</v>
      </c>
      <c r="J954" s="37" t="s">
        <v>283</v>
      </c>
      <c r="K954" s="37" t="str">
        <f t="shared" si="227"/>
        <v>pharma</v>
      </c>
      <c r="L954" s="37" t="s">
        <v>92</v>
      </c>
      <c r="M954" s="37" t="str">
        <f t="shared" si="228"/>
        <v>east</v>
      </c>
      <c r="N954" s="37" t="s">
        <v>91</v>
      </c>
      <c r="O954" s="41" t="str">
        <f t="shared" si="229"/>
        <v>Yes</v>
      </c>
      <c r="P954" s="41">
        <v>1.2</v>
      </c>
      <c r="Q954" s="41">
        <v>173</v>
      </c>
      <c r="R954" s="42">
        <f t="shared" si="230"/>
        <v>144.166666666667</v>
      </c>
      <c r="S954" s="37">
        <v>6</v>
      </c>
      <c r="T954" s="37" t="s">
        <v>3299</v>
      </c>
      <c r="U954" s="43" t="str">
        <f t="shared" si="231"/>
        <v>11-feb-2024</v>
      </c>
      <c r="V954" s="43">
        <f t="shared" si="232"/>
        <v>45333</v>
      </c>
      <c r="W954" s="44">
        <f t="array" ref="W954">_xlfn.IFS(TRIM(C954)="","",TRIM(V954)="","",TRUE,V954-C954)</f>
        <v>6</v>
      </c>
      <c r="X954" s="37">
        <f t="shared" si="233"/>
        <v>0</v>
      </c>
      <c r="Y954" s="37" t="s">
        <v>163</v>
      </c>
      <c r="Z954" s="37" t="str">
        <f t="shared" si="234"/>
        <v>delivered</v>
      </c>
      <c r="AA954" s="37" t="str">
        <f t="shared" si="235"/>
        <v>On Time</v>
      </c>
      <c r="AB954" s="37" t="str">
        <f t="shared" si="238"/>
        <v>0</v>
      </c>
      <c r="AC954" s="37">
        <f t="shared" si="239"/>
        <v>0</v>
      </c>
      <c r="AD954" s="45">
        <f t="shared" si="237"/>
        <v>0.510903426791277</v>
      </c>
      <c r="AE954" s="37">
        <v>4</v>
      </c>
      <c r="AF954" s="37" t="s">
        <v>181</v>
      </c>
      <c r="AG954" s="37" t="str">
        <f t="shared" si="236"/>
        <v>y</v>
      </c>
      <c r="AH954" s="37" t="str">
        <f t="array" ref="AH954">_xlfn.IFS(LOWER(AG954)="n","no",LOWER(AG954)="y","yes",TRUE,LOWER(AG954))</f>
        <v>yes</v>
      </c>
      <c r="AI954" s="37" t="s">
        <v>4692</v>
      </c>
    </row>
    <row r="955" spans="1:35">
      <c r="A955" s="46" t="s">
        <v>3300</v>
      </c>
      <c r="B955" s="47">
        <v>45438</v>
      </c>
      <c r="C955" s="39">
        <f t="shared" si="224"/>
        <v>45438</v>
      </c>
      <c r="D955" s="48" t="s">
        <v>4705</v>
      </c>
      <c r="E955" s="37" t="str" cm="1">
        <f t="array" ref="E955">_xlfn.IFS(D955="delhi","north",D955="mumbai","west",D955="bengaluru","south",D955="chennai","south",D955="kolkata","east",TRUE,"west")</f>
        <v>west</v>
      </c>
      <c r="F955" s="46" t="s">
        <v>213</v>
      </c>
      <c r="G955" s="37" t="str">
        <f t="shared" si="225"/>
        <v>dtdc</v>
      </c>
      <c r="H955" s="46" t="s">
        <v>147</v>
      </c>
      <c r="I955" s="37" t="str">
        <f t="shared" si="226"/>
        <v>road</v>
      </c>
      <c r="J955" s="46" t="s">
        <v>214</v>
      </c>
      <c r="K955" s="37" t="str">
        <f t="shared" si="227"/>
        <v>grocery&amp;fmcg</v>
      </c>
      <c r="L955" s="46" t="s">
        <v>334</v>
      </c>
      <c r="M955" s="37" t="str">
        <f t="shared" si="228"/>
        <v>north</v>
      </c>
      <c r="N955" s="46" t="s">
        <v>354</v>
      </c>
      <c r="O955" s="41" t="str">
        <f t="shared" si="229"/>
        <v>Yes</v>
      </c>
      <c r="P955" s="49">
        <v>8.9</v>
      </c>
      <c r="Q955" s="49">
        <v>106</v>
      </c>
      <c r="R955" s="42">
        <f t="shared" si="230"/>
        <v>11.9101123595506</v>
      </c>
      <c r="S955" s="46">
        <v>6</v>
      </c>
      <c r="T955" s="46" t="s">
        <v>267</v>
      </c>
      <c r="U955" s="43" t="str">
        <f t="shared" si="231"/>
        <v>10-jun-2024</v>
      </c>
      <c r="V955" s="43">
        <f t="shared" si="232"/>
        <v>45453</v>
      </c>
      <c r="W955" s="44">
        <f t="array" ref="W955">_xlfn.IFS(TRIM(C955)="","",TRIM(V955)="","",TRUE,V955-C955)</f>
        <v>15</v>
      </c>
      <c r="X955" s="37">
        <f t="shared" si="233"/>
        <v>9</v>
      </c>
      <c r="Y955" s="46" t="s">
        <v>72</v>
      </c>
      <c r="Z955" s="37" t="str">
        <f t="shared" si="234"/>
        <v>delayed</v>
      </c>
      <c r="AA955" s="37" t="str">
        <f t="shared" si="235"/>
        <v>Late</v>
      </c>
      <c r="AB955" s="37" t="str">
        <f t="shared" si="238"/>
        <v>1</v>
      </c>
      <c r="AC955" s="37">
        <f t="shared" si="239"/>
        <v>1</v>
      </c>
      <c r="AD955" s="45">
        <f t="shared" si="237"/>
        <v>0.511700468018721</v>
      </c>
      <c r="AE955" s="46">
        <v>3</v>
      </c>
      <c r="AF955" s="46" t="s">
        <v>131</v>
      </c>
      <c r="AG955" s="37" t="str">
        <f t="shared" si="236"/>
        <v>n</v>
      </c>
      <c r="AH955" s="37" t="str">
        <f t="array" ref="AH955">_xlfn.IFS(LOWER(AG955)="n","no",LOWER(AG955)="y","yes",TRUE,LOWER(AG955))</f>
        <v>no</v>
      </c>
      <c r="AI955" s="46" t="s">
        <v>4692</v>
      </c>
    </row>
    <row r="956" spans="1:35">
      <c r="A956" s="37" t="s">
        <v>3302</v>
      </c>
      <c r="B956" s="38" t="s">
        <v>4836</v>
      </c>
      <c r="C956" s="39">
        <f t="shared" si="224"/>
        <v>45310</v>
      </c>
      <c r="D956" s="40" t="s">
        <v>340</v>
      </c>
      <c r="E956" s="37" t="str" cm="1">
        <f t="array" ref="E956">_xlfn.IFS(D956="delhi","north",D956="mumbai","west",D956="bengaluru","south",D956="chennai","south",D956="kolkata","east",TRUE,"west")</f>
        <v>north</v>
      </c>
      <c r="F956" s="37" t="s">
        <v>37</v>
      </c>
      <c r="G956" s="37" t="str">
        <f t="shared" si="225"/>
        <v>bluedart</v>
      </c>
      <c r="H956" s="37" t="s">
        <v>123</v>
      </c>
      <c r="I956" s="37" t="str">
        <f t="shared" si="226"/>
        <v>air</v>
      </c>
      <c r="J956" s="37" t="s">
        <v>158</v>
      </c>
      <c r="K956" s="37" t="str">
        <f t="shared" si="227"/>
        <v>pharma</v>
      </c>
      <c r="L956" s="37" t="s">
        <v>257</v>
      </c>
      <c r="M956" s="37" t="str">
        <f t="shared" si="228"/>
        <v>west</v>
      </c>
      <c r="N956" s="37" t="s">
        <v>88</v>
      </c>
      <c r="O956" s="41" t="str">
        <f t="shared" si="229"/>
        <v>Yes</v>
      </c>
      <c r="P956" s="41">
        <v>1.8</v>
      </c>
      <c r="Q956" s="41" t="s">
        <v>3303</v>
      </c>
      <c r="R956" s="42">
        <f t="shared" si="230"/>
        <v>126.111111111111</v>
      </c>
      <c r="S956" s="37">
        <v>4</v>
      </c>
      <c r="T956" s="37" t="s">
        <v>676</v>
      </c>
      <c r="U956" s="43" t="str">
        <f t="shared" si="231"/>
        <v>23/01/2024</v>
      </c>
      <c r="V956" s="43">
        <f t="shared" si="232"/>
        <v>45314</v>
      </c>
      <c r="W956" s="44">
        <f t="array" ref="W956">_xlfn.IFS(TRIM(C956)="","",TRIM(V956)="","",TRUE,V956-C956)</f>
        <v>4</v>
      </c>
      <c r="X956" s="37">
        <f t="shared" si="233"/>
        <v>0</v>
      </c>
      <c r="Y956" s="37" t="s">
        <v>117</v>
      </c>
      <c r="Z956" s="37" t="str">
        <f t="shared" si="234"/>
        <v>delivered</v>
      </c>
      <c r="AA956" s="37" t="str">
        <f t="shared" si="235"/>
        <v>On Time</v>
      </c>
      <c r="AB956" s="37" t="str">
        <f t="shared" si="238"/>
        <v>0</v>
      </c>
      <c r="AC956" s="37">
        <f t="shared" si="239"/>
        <v>0</v>
      </c>
      <c r="AD956" s="45">
        <f t="shared" si="237"/>
        <v>0.5109375</v>
      </c>
      <c r="AE956" s="37">
        <v>2</v>
      </c>
      <c r="AF956" s="37" t="s">
        <v>152</v>
      </c>
      <c r="AG956" s="37" t="str">
        <f t="shared" si="236"/>
        <v>no</v>
      </c>
      <c r="AH956" s="37" t="str">
        <f t="array" ref="AH956">_xlfn.IFS(LOWER(AG956)="n","no",LOWER(AG956)="y","yes",TRUE,LOWER(AG956))</f>
        <v>no</v>
      </c>
      <c r="AI956" s="37" t="s">
        <v>4692</v>
      </c>
    </row>
    <row r="957" spans="1:35">
      <c r="A957" s="46" t="s">
        <v>3304</v>
      </c>
      <c r="B957" s="47" t="s">
        <v>4722</v>
      </c>
      <c r="C957" s="39">
        <f t="shared" si="224"/>
        <v>45439</v>
      </c>
      <c r="D957" s="48" t="s">
        <v>633</v>
      </c>
      <c r="E957" s="37" t="str" cm="1">
        <f t="array" ref="E957">_xlfn.IFS(D957="delhi","north",D957="mumbai","west",D957="bengaluru","south",D957="chennai","south",D957="kolkata","east",TRUE,"west")</f>
        <v>south</v>
      </c>
      <c r="F957" s="46" t="s">
        <v>184</v>
      </c>
      <c r="G957" s="37" t="str">
        <f t="shared" si="225"/>
        <v>ecomexpress</v>
      </c>
      <c r="H957" s="46" t="s">
        <v>137</v>
      </c>
      <c r="I957" s="37" t="str">
        <f t="shared" si="226"/>
        <v>road</v>
      </c>
      <c r="J957" s="46" t="s">
        <v>277</v>
      </c>
      <c r="K957" s="37" t="str">
        <f t="shared" si="227"/>
        <v>apparel</v>
      </c>
      <c r="L957" s="46" t="s">
        <v>125</v>
      </c>
      <c r="M957" s="37" t="str">
        <f t="shared" si="228"/>
        <v>east</v>
      </c>
      <c r="N957" s="46" t="s">
        <v>126</v>
      </c>
      <c r="O957" s="41" t="str">
        <f t="shared" si="229"/>
        <v>Yes</v>
      </c>
      <c r="P957" s="49">
        <v>4</v>
      </c>
      <c r="Q957" s="49">
        <v>202</v>
      </c>
      <c r="R957" s="42">
        <f t="shared" si="230"/>
        <v>50.5</v>
      </c>
      <c r="S957" s="46">
        <v>8</v>
      </c>
      <c r="T957" s="46" t="s">
        <v>229</v>
      </c>
      <c r="U957" s="43" t="str">
        <f t="shared" si="231"/>
        <v>05/06/2024</v>
      </c>
      <c r="V957" s="43">
        <f t="shared" si="232"/>
        <v>45448</v>
      </c>
      <c r="W957" s="44">
        <f t="array" ref="W957">_xlfn.IFS(TRIM(C957)="","",TRIM(V957)="","",TRUE,V957-C957)</f>
        <v>9</v>
      </c>
      <c r="X957" s="37">
        <f t="shared" si="233"/>
        <v>1</v>
      </c>
      <c r="Y957" s="46" t="s">
        <v>172</v>
      </c>
      <c r="Z957" s="37" t="str">
        <f t="shared" si="234"/>
        <v>delayed</v>
      </c>
      <c r="AA957" s="37" t="str">
        <f t="shared" si="235"/>
        <v>Late</v>
      </c>
      <c r="AB957" s="37" t="str">
        <f t="shared" si="238"/>
        <v>1</v>
      </c>
      <c r="AC957" s="37">
        <f t="shared" si="239"/>
        <v>1</v>
      </c>
      <c r="AD957" s="45">
        <f t="shared" si="237"/>
        <v>0.511737089201878</v>
      </c>
      <c r="AE957" s="46">
        <v>4</v>
      </c>
      <c r="AF957" s="46" t="s">
        <v>131</v>
      </c>
      <c r="AG957" s="37" t="str">
        <f t="shared" si="236"/>
        <v>n</v>
      </c>
      <c r="AH957" s="37" t="str">
        <f t="array" ref="AH957">_xlfn.IFS(LOWER(AG957)="n","no",LOWER(AG957)="y","yes",TRUE,LOWER(AG957))</f>
        <v>no</v>
      </c>
      <c r="AI957" s="46" t="s">
        <v>4692</v>
      </c>
    </row>
    <row r="958" spans="1:35">
      <c r="A958" s="37" t="s">
        <v>3306</v>
      </c>
      <c r="B958" s="38">
        <v>45296</v>
      </c>
      <c r="C958" s="39">
        <f t="shared" si="224"/>
        <v>45296</v>
      </c>
      <c r="D958" s="40" t="s">
        <v>222</v>
      </c>
      <c r="E958" s="37" t="str" cm="1">
        <f t="array" ref="E958">_xlfn.IFS(D958="delhi","north",D958="mumbai","west",D958="bengaluru","south",D958="chennai","south",D958="kolkata","east",TRUE,"west")</f>
        <v>west</v>
      </c>
      <c r="F958" s="37" t="s">
        <v>156</v>
      </c>
      <c r="G958" s="37" t="str">
        <f t="shared" si="225"/>
        <v>xpressbees</v>
      </c>
      <c r="H958" s="37" t="s">
        <v>42</v>
      </c>
      <c r="I958" s="37" t="str">
        <f t="shared" si="226"/>
        <v>surface</v>
      </c>
      <c r="J958" s="37" t="s">
        <v>100</v>
      </c>
      <c r="K958" s="37" t="str">
        <f t="shared" si="227"/>
        <v>electronics</v>
      </c>
      <c r="L958" s="37" t="s">
        <v>470</v>
      </c>
      <c r="M958" s="37" t="str">
        <f t="shared" si="228"/>
        <v>east</v>
      </c>
      <c r="N958" s="37" t="s">
        <v>294</v>
      </c>
      <c r="O958" s="41" t="str">
        <f t="shared" si="229"/>
        <v>Yes</v>
      </c>
      <c r="P958" s="41" t="s">
        <v>2698</v>
      </c>
      <c r="Q958" s="41">
        <v>452</v>
      </c>
      <c r="R958" s="42">
        <f t="shared" si="230"/>
        <v>35.0387596899225</v>
      </c>
      <c r="S958" s="37">
        <v>6</v>
      </c>
      <c r="T958" s="37" t="s">
        <v>134</v>
      </c>
      <c r="U958" s="43" t="str">
        <f t="shared" si="231"/>
        <v>13/01/2024</v>
      </c>
      <c r="V958" s="43">
        <f t="shared" si="232"/>
        <v>45304</v>
      </c>
      <c r="W958" s="44">
        <f t="array" ref="W958">_xlfn.IFS(TRIM(C958)="","",TRIM(V958)="","",TRUE,V958-C958)</f>
        <v>8</v>
      </c>
      <c r="X958" s="37">
        <f t="shared" si="233"/>
        <v>2</v>
      </c>
      <c r="Y958" s="37" t="s">
        <v>72</v>
      </c>
      <c r="Z958" s="37" t="str">
        <f t="shared" si="234"/>
        <v>delayed</v>
      </c>
      <c r="AA958" s="37" t="str">
        <f t="shared" si="235"/>
        <v>Late</v>
      </c>
      <c r="AB958" s="37" t="str">
        <f t="shared" si="238"/>
        <v>1</v>
      </c>
      <c r="AC958" s="37">
        <f t="shared" si="239"/>
        <v>1</v>
      </c>
      <c r="AD958" s="45">
        <f t="shared" si="237"/>
        <v>0.510971786833856</v>
      </c>
      <c r="AE958" s="37">
        <v>3</v>
      </c>
      <c r="AF958" s="37" t="s">
        <v>118</v>
      </c>
      <c r="AG958" s="37" t="str">
        <f t="shared" si="236"/>
        <v>no</v>
      </c>
      <c r="AH958" s="37" t="str">
        <f t="array" ref="AH958">_xlfn.IFS(LOWER(AG958)="n","no",LOWER(AG958)="y","yes",TRUE,LOWER(AG958))</f>
        <v>no</v>
      </c>
      <c r="AI958" s="37" t="s">
        <v>4692</v>
      </c>
    </row>
    <row r="959" spans="1:35">
      <c r="A959" s="46" t="s">
        <v>3308</v>
      </c>
      <c r="B959" s="47">
        <v>45408</v>
      </c>
      <c r="C959" s="39">
        <f t="shared" si="224"/>
        <v>45408</v>
      </c>
      <c r="D959" s="48" t="s">
        <v>633</v>
      </c>
      <c r="E959" s="37" t="str" cm="1">
        <f t="array" ref="E959">_xlfn.IFS(D959="delhi","north",D959="mumbai","west",D959="bengaluru","south",D959="chennai","south",D959="kolkata","east",TRUE,"west")</f>
        <v>south</v>
      </c>
      <c r="F959" s="46" t="s">
        <v>230</v>
      </c>
      <c r="G959" s="37" t="str">
        <f t="shared" si="225"/>
        <v>dtdc</v>
      </c>
      <c r="H959" s="46" t="s">
        <v>440</v>
      </c>
      <c r="I959" s="37" t="str">
        <f t="shared" si="226"/>
        <v>road</v>
      </c>
      <c r="J959" s="46" t="s">
        <v>271</v>
      </c>
      <c r="K959" s="37" t="str">
        <f t="shared" si="227"/>
        <v>electronics</v>
      </c>
      <c r="L959" s="46" t="s">
        <v>125</v>
      </c>
      <c r="M959" s="37" t="str">
        <f t="shared" si="228"/>
        <v>east</v>
      </c>
      <c r="N959" s="46" t="s">
        <v>91</v>
      </c>
      <c r="O959" s="41" t="str">
        <f t="shared" si="229"/>
        <v>Yes</v>
      </c>
      <c r="P959" s="49">
        <v>8.3</v>
      </c>
      <c r="Q959" s="49" t="s">
        <v>2106</v>
      </c>
      <c r="R959" s="42">
        <f t="shared" si="230"/>
        <v>30.7228915662651</v>
      </c>
      <c r="S959" s="46">
        <v>8</v>
      </c>
      <c r="T959" s="46" t="s">
        <v>1297</v>
      </c>
      <c r="U959" s="43" t="str">
        <f t="shared" si="231"/>
        <v>2024-05-06</v>
      </c>
      <c r="V959" s="43">
        <f t="shared" si="232"/>
        <v>45418</v>
      </c>
      <c r="W959" s="44">
        <f t="array" ref="W959">_xlfn.IFS(TRIM(C959)="","",TRIM(V959)="","",TRUE,V959-C959)</f>
        <v>10</v>
      </c>
      <c r="X959" s="37">
        <f t="shared" si="233"/>
        <v>2</v>
      </c>
      <c r="Y959" s="46" t="s">
        <v>200</v>
      </c>
      <c r="Z959" s="37" t="str">
        <f t="shared" si="234"/>
        <v>delayed</v>
      </c>
      <c r="AA959" s="37" t="str">
        <f t="shared" si="235"/>
        <v>Late</v>
      </c>
      <c r="AB959" s="37" t="str">
        <f t="shared" si="238"/>
        <v>1</v>
      </c>
      <c r="AC959" s="37">
        <f t="shared" si="239"/>
        <v>1</v>
      </c>
      <c r="AD959" s="45">
        <f t="shared" si="237"/>
        <v>0.510204081632653</v>
      </c>
      <c r="AE959" s="46">
        <v>2</v>
      </c>
      <c r="AF959" s="46" t="s">
        <v>79</v>
      </c>
      <c r="AG959" s="37" t="str">
        <f t="shared" si="236"/>
        <v>yes</v>
      </c>
      <c r="AH959" s="37" t="str">
        <f t="array" ref="AH959">_xlfn.IFS(LOWER(AG959)="n","no",LOWER(AG959)="y","yes",TRUE,LOWER(AG959))</f>
        <v>yes</v>
      </c>
      <c r="AI959" s="46" t="s">
        <v>4692</v>
      </c>
    </row>
    <row r="960" spans="1:35">
      <c r="A960" s="37" t="s">
        <v>3310</v>
      </c>
      <c r="B960" s="38">
        <v>45309</v>
      </c>
      <c r="C960" s="39">
        <f t="shared" si="224"/>
        <v>45309</v>
      </c>
      <c r="D960" s="40" t="s">
        <v>340</v>
      </c>
      <c r="E960" s="37" t="str" cm="1">
        <f t="array" ref="E960">_xlfn.IFS(D960="delhi","north",D960="mumbai","west",D960="bengaluru","south",D960="chennai","south",D960="kolkata","east",TRUE,"west")</f>
        <v>north</v>
      </c>
      <c r="F960" s="37" t="s">
        <v>204</v>
      </c>
      <c r="G960" s="37" t="str">
        <f t="shared" si="225"/>
        <v>delhivery</v>
      </c>
      <c r="H960" s="37" t="s">
        <v>176</v>
      </c>
      <c r="I960" s="37" t="str">
        <f t="shared" si="226"/>
        <v>road</v>
      </c>
      <c r="J960" s="37" t="s">
        <v>138</v>
      </c>
      <c r="K960" s="37" t="str">
        <f t="shared" si="227"/>
        <v>apparel</v>
      </c>
      <c r="L960" s="37" t="s">
        <v>197</v>
      </c>
      <c r="M960" s="37" t="str">
        <f t="shared" si="228"/>
        <v>south</v>
      </c>
      <c r="N960" s="37" t="s">
        <v>93</v>
      </c>
      <c r="O960" s="41" t="str">
        <f t="shared" si="229"/>
        <v>Yes</v>
      </c>
      <c r="P960" s="41">
        <v>3.2</v>
      </c>
      <c r="Q960" s="41">
        <v>233</v>
      </c>
      <c r="R960" s="42">
        <f t="shared" si="230"/>
        <v>72.8125</v>
      </c>
      <c r="S960" s="37">
        <v>8</v>
      </c>
      <c r="T960" s="37" t="s">
        <v>1034</v>
      </c>
      <c r="U960" s="43" t="str">
        <f t="shared" si="231"/>
        <v>27/01/2024</v>
      </c>
      <c r="V960" s="43">
        <f t="shared" si="232"/>
        <v>45318</v>
      </c>
      <c r="W960" s="44">
        <f t="array" ref="W960">_xlfn.IFS(TRIM(C960)="","",TRIM(V960)="","",TRUE,V960-C960)</f>
        <v>9</v>
      </c>
      <c r="X960" s="37">
        <f t="shared" si="233"/>
        <v>1</v>
      </c>
      <c r="Y960" s="37" t="s">
        <v>817</v>
      </c>
      <c r="Z960" s="37" t="str">
        <f t="shared" si="234"/>
        <v>returned</v>
      </c>
      <c r="AA960" s="37" t="str">
        <f t="shared" si="235"/>
        <v>Late</v>
      </c>
      <c r="AB960" s="37" t="str">
        <f t="shared" si="238"/>
        <v>1</v>
      </c>
      <c r="AC960" s="37">
        <f t="shared" si="239"/>
        <v>1</v>
      </c>
      <c r="AD960" s="45">
        <f t="shared" si="237"/>
        <v>0.509433962264151</v>
      </c>
      <c r="AE960" s="37"/>
      <c r="AF960" s="37" t="s">
        <v>106</v>
      </c>
      <c r="AG960" s="37" t="str">
        <f t="shared" si="236"/>
        <v>yes</v>
      </c>
      <c r="AH960" s="37" t="str">
        <f t="array" ref="AH960">_xlfn.IFS(LOWER(AG960)="n","no",LOWER(AG960)="y","yes",TRUE,LOWER(AG960))</f>
        <v>yes</v>
      </c>
      <c r="AI960" s="37" t="s">
        <v>1478</v>
      </c>
    </row>
    <row r="961" spans="1:35">
      <c r="A961" s="46" t="s">
        <v>3311</v>
      </c>
      <c r="B961" s="47" t="s">
        <v>4769</v>
      </c>
      <c r="C961" s="39">
        <f t="shared" si="224"/>
        <v>45404</v>
      </c>
      <c r="D961" s="48" t="s">
        <v>109</v>
      </c>
      <c r="E961" s="37" t="str" cm="1">
        <f t="array" ref="E961">_xlfn.IFS(D961="delhi","north",D961="mumbai","west",D961="bengaluru","south",D961="chennai","south",D961="kolkata","east",TRUE,"west")</f>
        <v>west</v>
      </c>
      <c r="F961" s="46" t="s">
        <v>213</v>
      </c>
      <c r="G961" s="37" t="str">
        <f t="shared" si="225"/>
        <v>dtdc</v>
      </c>
      <c r="H961" s="46" t="s">
        <v>110</v>
      </c>
      <c r="I961" s="37" t="str">
        <f t="shared" si="226"/>
        <v>surface</v>
      </c>
      <c r="J961" s="46" t="s">
        <v>313</v>
      </c>
      <c r="K961" s="37" t="str">
        <f t="shared" si="227"/>
        <v>automotiveparts</v>
      </c>
      <c r="L961" s="46" t="s">
        <v>112</v>
      </c>
      <c r="M961" s="37" t="str">
        <f t="shared" si="228"/>
        <v>north</v>
      </c>
      <c r="N961" s="46" t="s">
        <v>354</v>
      </c>
      <c r="O961" s="41" t="str">
        <f t="shared" si="229"/>
        <v>Yes</v>
      </c>
      <c r="P961" s="49" t="s">
        <v>2733</v>
      </c>
      <c r="Q961" s="49">
        <v>309</v>
      </c>
      <c r="R961" s="42">
        <f t="shared" si="230"/>
        <v>40.1298701298701</v>
      </c>
      <c r="S961" s="46">
        <v>6</v>
      </c>
      <c r="T961" s="46" t="s">
        <v>2154</v>
      </c>
      <c r="U961" s="43" t="str">
        <f t="shared" si="231"/>
        <v>2024-04-27</v>
      </c>
      <c r="V961" s="43">
        <f t="shared" si="232"/>
        <v>45409</v>
      </c>
      <c r="W961" s="44">
        <f t="array" ref="W961">_xlfn.IFS(TRIM(C961)="","",TRIM(V961)="","",TRUE,V961-C961)</f>
        <v>5</v>
      </c>
      <c r="X961" s="37">
        <f t="shared" si="233"/>
        <v>-1</v>
      </c>
      <c r="Y961" s="46" t="s">
        <v>163</v>
      </c>
      <c r="Z961" s="37" t="str">
        <f t="shared" si="234"/>
        <v>delivered</v>
      </c>
      <c r="AA961" s="37" t="str">
        <f t="shared" si="235"/>
        <v>On Time</v>
      </c>
      <c r="AB961" s="37" t="str">
        <f t="shared" si="238"/>
        <v>0</v>
      </c>
      <c r="AC961" s="37">
        <f t="shared" si="239"/>
        <v>0</v>
      </c>
      <c r="AD961" s="45">
        <f t="shared" si="237"/>
        <v>0.508661417322835</v>
      </c>
      <c r="AE961" s="46">
        <v>3</v>
      </c>
      <c r="AF961" s="46" t="s">
        <v>79</v>
      </c>
      <c r="AG961" s="37" t="str">
        <f t="shared" si="236"/>
        <v>yes</v>
      </c>
      <c r="AH961" s="37" t="str">
        <f t="array" ref="AH961">_xlfn.IFS(LOWER(AG961)="n","no",LOWER(AG961)="y","yes",TRUE,LOWER(AG961))</f>
        <v>yes</v>
      </c>
      <c r="AI961" s="46" t="s">
        <v>4692</v>
      </c>
    </row>
    <row r="962" spans="1:35">
      <c r="A962" s="37" t="s">
        <v>3313</v>
      </c>
      <c r="B962" s="38">
        <v>45460</v>
      </c>
      <c r="C962" s="39">
        <f t="shared" ref="C962:C1025" si="240">IF(ISNUMBER(B962),B962,DATE(RIGHT(TRIM(B962),4),MID(TRIM(B962),4,2),LEFT(TRIM(B962),2)))</f>
        <v>45460</v>
      </c>
      <c r="D962" s="40" t="s">
        <v>166</v>
      </c>
      <c r="E962" s="37" t="str" cm="1">
        <f t="array" ref="E962">_xlfn.IFS(D962="delhi","north",D962="mumbai","west",D962="bengaluru","south",D962="chennai","south",D962="kolkata","east",TRUE,"west")</f>
        <v>west</v>
      </c>
      <c r="F962" s="37" t="s">
        <v>230</v>
      </c>
      <c r="G962" s="37" t="str">
        <f t="shared" ref="G962:G1025" si="241">SUBSTITUTE(LOWER(F962)," ","")</f>
        <v>dtdc</v>
      </c>
      <c r="H962" s="37" t="s">
        <v>440</v>
      </c>
      <c r="I962" s="37" t="str">
        <f t="shared" ref="I962:I1025" si="242">SUBSTITUTE(LOWER(H962)," ","")</f>
        <v>road</v>
      </c>
      <c r="J962" s="37" t="s">
        <v>138</v>
      </c>
      <c r="K962" s="37" t="str">
        <f t="shared" ref="K962:K1025" si="243">SUBSTITUTE(LOWER(J962)," ","")</f>
        <v>apparel</v>
      </c>
      <c r="L962" s="37" t="s">
        <v>168</v>
      </c>
      <c r="M962" s="37" t="str">
        <f t="shared" ref="M962:M1025" si="244">SUBSTITUTE(LOWER(L962)," ","")</f>
        <v>west</v>
      </c>
      <c r="N962" s="37" t="s">
        <v>187</v>
      </c>
      <c r="O962" s="41" t="str">
        <f t="shared" ref="O962:O1025" si="245">IF(OR(D962="",M962=""),"",IF(D962=M962,"No","Yes"))</f>
        <v>Yes</v>
      </c>
      <c r="P962" s="41" t="s">
        <v>583</v>
      </c>
      <c r="Q962" s="41">
        <v>254</v>
      </c>
      <c r="R962" s="42">
        <f t="shared" ref="R962:R1025" si="246">IF(OR(Q962="",P962="",P962=0),"",Q962/P962)</f>
        <v>37.3529411764706</v>
      </c>
      <c r="S962" s="37">
        <v>8</v>
      </c>
      <c r="T962" s="37" t="s">
        <v>3291</v>
      </c>
      <c r="U962" s="43" t="str">
        <f t="shared" ref="U962:U1025" si="247">SUBSTITUTE(LOWER(T962)," ","")</f>
        <v>24/06/2024</v>
      </c>
      <c r="V962" s="43">
        <f t="shared" ref="V962:V1025" si="248">DATEVALUE(TEXT(U962,"yyyy-mm-dd"))</f>
        <v>45467</v>
      </c>
      <c r="W962" s="44">
        <f t="array" ref="W962">_xlfn.IFS(TRIM(C962)="","",TRIM(V962)="","",TRUE,V962-C962)</f>
        <v>7</v>
      </c>
      <c r="X962" s="37">
        <f t="shared" ref="X962:X1025" si="249">IF(OR(W962="",S962=""),"",W962-S962)</f>
        <v>-1</v>
      </c>
      <c r="Y962" s="37" t="s">
        <v>105</v>
      </c>
      <c r="Z962" s="37" t="str">
        <f t="shared" ref="Z962:Z1025" si="250">SUBSTITUTE(LOWER(Y962)," ","")</f>
        <v>delivered</v>
      </c>
      <c r="AA962" s="37" t="str">
        <f t="shared" ref="AA962:AA1025" si="251">IF(Z962="In-Transit","N/A",IF(X962="","",IF(X962&gt;0,"Late","On Time")))</f>
        <v>On Time</v>
      </c>
      <c r="AB962" s="37" t="str">
        <f t="shared" si="238"/>
        <v>0</v>
      </c>
      <c r="AC962" s="37">
        <f t="shared" si="239"/>
        <v>0</v>
      </c>
      <c r="AD962" s="45">
        <f t="shared" si="237"/>
        <v>0.509463722397476</v>
      </c>
      <c r="AE962" s="37">
        <v>5</v>
      </c>
      <c r="AF962" s="37" t="s">
        <v>79</v>
      </c>
      <c r="AG962" s="37" t="str">
        <f t="shared" ref="AG962:AG1025" si="252">SUBSTITUTE(LOWER(AF962)," ","")</f>
        <v>yes</v>
      </c>
      <c r="AH962" s="37" t="str">
        <f t="array" ref="AH962">_xlfn.IFS(LOWER(AG962)="n","no",LOWER(AG962)="y","yes",TRUE,LOWER(AG962))</f>
        <v>yes</v>
      </c>
      <c r="AI962" s="37" t="s">
        <v>4692</v>
      </c>
    </row>
    <row r="963" spans="1:35">
      <c r="A963" s="46" t="s">
        <v>3315</v>
      </c>
      <c r="B963" s="47">
        <v>45446</v>
      </c>
      <c r="C963" s="39">
        <f t="shared" si="240"/>
        <v>45446</v>
      </c>
      <c r="D963" s="48" t="s">
        <v>4705</v>
      </c>
      <c r="E963" s="37" t="str" cm="1">
        <f t="array" ref="E963">_xlfn.IFS(D963="delhi","north",D963="mumbai","west",D963="bengaluru","south",D963="chennai","south",D963="kolkata","east",TRUE,"west")</f>
        <v>west</v>
      </c>
      <c r="F963" s="46" t="s">
        <v>98</v>
      </c>
      <c r="G963" s="37" t="str">
        <f t="shared" si="241"/>
        <v>dtdc</v>
      </c>
      <c r="H963" s="46" t="s">
        <v>244</v>
      </c>
      <c r="I963" s="37" t="str">
        <f t="shared" si="242"/>
        <v>air</v>
      </c>
      <c r="J963" s="46" t="s">
        <v>283</v>
      </c>
      <c r="K963" s="37" t="str">
        <f t="shared" si="243"/>
        <v>pharma</v>
      </c>
      <c r="L963" s="46" t="s">
        <v>89</v>
      </c>
      <c r="M963" s="37" t="str">
        <f t="shared" si="244"/>
        <v>west</v>
      </c>
      <c r="N963" s="46" t="s">
        <v>206</v>
      </c>
      <c r="O963" s="41" t="str">
        <f t="shared" si="245"/>
        <v>Yes</v>
      </c>
      <c r="P963" s="49">
        <v>3.3</v>
      </c>
      <c r="Q963" s="49" t="s">
        <v>3316</v>
      </c>
      <c r="R963" s="42">
        <f t="shared" si="246"/>
        <v>82.7272727272727</v>
      </c>
      <c r="S963" s="46">
        <v>4</v>
      </c>
      <c r="T963" s="46" t="s">
        <v>1638</v>
      </c>
      <c r="U963" s="43" t="str">
        <f t="shared" si="247"/>
        <v>16/06/2024</v>
      </c>
      <c r="V963" s="43">
        <f t="shared" si="248"/>
        <v>45459</v>
      </c>
      <c r="W963" s="44">
        <f t="array" ref="W963">_xlfn.IFS(TRIM(C963)="","",TRIM(V963)="","",TRUE,V963-C963)</f>
        <v>13</v>
      </c>
      <c r="X963" s="37">
        <f t="shared" si="249"/>
        <v>9</v>
      </c>
      <c r="Y963" s="46" t="s">
        <v>143</v>
      </c>
      <c r="Z963" s="37" t="str">
        <f t="shared" si="250"/>
        <v>delayed</v>
      </c>
      <c r="AA963" s="37" t="str">
        <f t="shared" si="251"/>
        <v>Late</v>
      </c>
      <c r="AB963" s="37" t="str">
        <f t="shared" si="238"/>
        <v>1</v>
      </c>
      <c r="AC963" s="37">
        <f t="shared" si="239"/>
        <v>1</v>
      </c>
      <c r="AD963" s="45">
        <f t="shared" ref="AD963:AD1026" si="253">COUNTIF(AC963:AC2562,1)/COUNT(AC963:AC2562)</f>
        <v>0.510268562401264</v>
      </c>
      <c r="AE963" s="46">
        <v>1</v>
      </c>
      <c r="AF963" s="46" t="s">
        <v>118</v>
      </c>
      <c r="AG963" s="37" t="str">
        <f t="shared" si="252"/>
        <v>no</v>
      </c>
      <c r="AH963" s="37" t="str">
        <f t="array" ref="AH963">_xlfn.IFS(LOWER(AG963)="n","no",LOWER(AG963)="y","yes",TRUE,LOWER(AG963))</f>
        <v>no</v>
      </c>
      <c r="AI963" s="46" t="s">
        <v>4692</v>
      </c>
    </row>
    <row r="964" spans="1:35">
      <c r="A964" s="37" t="s">
        <v>3317</v>
      </c>
      <c r="B964" s="38" t="s">
        <v>4837</v>
      </c>
      <c r="C964" s="39">
        <f t="shared" si="240"/>
        <v>45365</v>
      </c>
      <c r="D964" s="40" t="s">
        <v>212</v>
      </c>
      <c r="E964" s="37" t="str" cm="1">
        <f t="array" ref="E964">_xlfn.IFS(D964="delhi","north",D964="mumbai","west",D964="bengaluru","south",D964="chennai","south",D964="kolkata","east",TRUE,"west")</f>
        <v>west</v>
      </c>
      <c r="F964" s="37" t="s">
        <v>544</v>
      </c>
      <c r="G964" s="37" t="str">
        <f t="shared" si="241"/>
        <v>bluedart</v>
      </c>
      <c r="H964" s="37" t="s">
        <v>195</v>
      </c>
      <c r="I964" s="37" t="str">
        <f t="shared" si="242"/>
        <v>road</v>
      </c>
      <c r="J964" s="37" t="s">
        <v>319</v>
      </c>
      <c r="K964" s="37" t="str">
        <f t="shared" si="243"/>
        <v>electronics</v>
      </c>
      <c r="L964" s="37" t="s">
        <v>380</v>
      </c>
      <c r="M964" s="37" t="str">
        <f t="shared" si="244"/>
        <v>east</v>
      </c>
      <c r="N964" s="37" t="s">
        <v>396</v>
      </c>
      <c r="O964" s="41" t="str">
        <f t="shared" si="245"/>
        <v>Yes</v>
      </c>
      <c r="P964" s="41">
        <v>11.6</v>
      </c>
      <c r="Q964" s="41">
        <v>288</v>
      </c>
      <c r="R964" s="42">
        <f t="shared" si="246"/>
        <v>24.8275862068966</v>
      </c>
      <c r="S964" s="37">
        <v>8</v>
      </c>
      <c r="T964" s="37" t="s">
        <v>1243</v>
      </c>
      <c r="U964" s="43" t="str">
        <f t="shared" si="247"/>
        <v>21-mar-2024</v>
      </c>
      <c r="V964" s="43">
        <f t="shared" si="248"/>
        <v>45372</v>
      </c>
      <c r="W964" s="44">
        <f t="array" ref="W964">_xlfn.IFS(TRIM(C964)="","",TRIM(V964)="","",TRUE,V964-C964)</f>
        <v>7</v>
      </c>
      <c r="X964" s="37">
        <f t="shared" si="249"/>
        <v>-1</v>
      </c>
      <c r="Y964" s="37" t="s">
        <v>105</v>
      </c>
      <c r="Z964" s="37" t="str">
        <f t="shared" si="250"/>
        <v>delivered</v>
      </c>
      <c r="AA964" s="37" t="str">
        <f t="shared" si="251"/>
        <v>On Time</v>
      </c>
      <c r="AB964" s="37" t="str">
        <f t="shared" si="238"/>
        <v>0</v>
      </c>
      <c r="AC964" s="37">
        <f t="shared" si="239"/>
        <v>0</v>
      </c>
      <c r="AD964" s="45">
        <f t="shared" si="253"/>
        <v>0.509493670886076</v>
      </c>
      <c r="AE964" s="37">
        <v>3</v>
      </c>
      <c r="AF964" s="37" t="s">
        <v>191</v>
      </c>
      <c r="AG964" s="37" t="str">
        <f t="shared" si="252"/>
        <v>no</v>
      </c>
      <c r="AH964" s="37" t="str">
        <f t="array" ref="AH964">_xlfn.IFS(LOWER(AG964)="n","no",LOWER(AG964)="y","yes",TRUE,LOWER(AG964))</f>
        <v>no</v>
      </c>
      <c r="AI964" s="37" t="s">
        <v>4692</v>
      </c>
    </row>
    <row r="965" spans="1:35">
      <c r="A965" s="46" t="s">
        <v>3319</v>
      </c>
      <c r="B965" s="47">
        <v>45403</v>
      </c>
      <c r="C965" s="39">
        <f t="shared" si="240"/>
        <v>45403</v>
      </c>
      <c r="D965" s="48" t="s">
        <v>166</v>
      </c>
      <c r="E965" s="37" t="str" cm="1">
        <f t="array" ref="E965">_xlfn.IFS(D965="delhi","north",D965="mumbai","west",D965="bengaluru","south",D965="chennai","south",D965="kolkata","east",TRUE,"west")</f>
        <v>west</v>
      </c>
      <c r="F965" s="46" t="s">
        <v>367</v>
      </c>
      <c r="G965" s="37" t="str">
        <f t="shared" si="241"/>
        <v>dtdc</v>
      </c>
      <c r="H965" s="46" t="s">
        <v>345</v>
      </c>
      <c r="I965" s="37" t="str">
        <f t="shared" si="242"/>
        <v>surface</v>
      </c>
      <c r="J965" s="46" t="s">
        <v>138</v>
      </c>
      <c r="K965" s="37" t="str">
        <f t="shared" si="243"/>
        <v>apparel</v>
      </c>
      <c r="L965" s="46" t="s">
        <v>380</v>
      </c>
      <c r="M965" s="37" t="str">
        <f t="shared" si="244"/>
        <v>east</v>
      </c>
      <c r="N965" s="46" t="s">
        <v>294</v>
      </c>
      <c r="O965" s="41" t="str">
        <f t="shared" si="245"/>
        <v>Yes</v>
      </c>
      <c r="P965" s="49">
        <v>5.4</v>
      </c>
      <c r="Q965" s="49" t="s">
        <v>3321</v>
      </c>
      <c r="R965" s="42">
        <f t="shared" si="246"/>
        <v>19.2592592592593</v>
      </c>
      <c r="S965" s="46">
        <v>4</v>
      </c>
      <c r="T965" s="46" t="s">
        <v>250</v>
      </c>
      <c r="U965" s="43" t="str">
        <f t="shared" si="247"/>
        <v>02/05/2024</v>
      </c>
      <c r="V965" s="43">
        <f t="shared" si="248"/>
        <v>45414</v>
      </c>
      <c r="W965" s="44">
        <f t="array" ref="W965">_xlfn.IFS(TRIM(C965)="","",TRIM(V965)="","",TRUE,V965-C965)</f>
        <v>11</v>
      </c>
      <c r="X965" s="37">
        <f t="shared" si="249"/>
        <v>7</v>
      </c>
      <c r="Y965" s="46" t="s">
        <v>200</v>
      </c>
      <c r="Z965" s="37" t="str">
        <f t="shared" si="250"/>
        <v>delayed</v>
      </c>
      <c r="AA965" s="37" t="str">
        <f t="shared" si="251"/>
        <v>Late</v>
      </c>
      <c r="AB965" s="37" t="str">
        <f t="shared" si="238"/>
        <v>1</v>
      </c>
      <c r="AC965" s="37">
        <f t="shared" si="239"/>
        <v>1</v>
      </c>
      <c r="AD965" s="45">
        <f t="shared" si="253"/>
        <v>0.510301109350238</v>
      </c>
      <c r="AE965" s="46">
        <v>4</v>
      </c>
      <c r="AF965" s="46" t="s">
        <v>191</v>
      </c>
      <c r="AG965" s="37" t="str">
        <f t="shared" si="252"/>
        <v>no</v>
      </c>
      <c r="AH965" s="37" t="str">
        <f t="array" ref="AH965">_xlfn.IFS(LOWER(AG965)="n","no",LOWER(AG965)="y","yes",TRUE,LOWER(AG965))</f>
        <v>no</v>
      </c>
      <c r="AI965" s="46" t="s">
        <v>4692</v>
      </c>
    </row>
    <row r="966" spans="1:35">
      <c r="A966" s="37" t="s">
        <v>3322</v>
      </c>
      <c r="B966" s="38">
        <v>45369</v>
      </c>
      <c r="C966" s="39">
        <f t="shared" si="240"/>
        <v>45369</v>
      </c>
      <c r="D966" s="40" t="s">
        <v>109</v>
      </c>
      <c r="E966" s="37" t="str" cm="1">
        <f t="array" ref="E966">_xlfn.IFS(D966="delhi","north",D966="mumbai","west",D966="bengaluru","south",D966="chennai","south",D966="kolkata","east",TRUE,"west")</f>
        <v>west</v>
      </c>
      <c r="F966" s="37" t="s">
        <v>98</v>
      </c>
      <c r="G966" s="37" t="str">
        <f t="shared" si="241"/>
        <v>dtdc</v>
      </c>
      <c r="H966" s="37" t="s">
        <v>123</v>
      </c>
      <c r="I966" s="37" t="str">
        <f t="shared" si="242"/>
        <v>air</v>
      </c>
      <c r="J966" s="37" t="s">
        <v>582</v>
      </c>
      <c r="K966" s="37" t="str">
        <f t="shared" si="243"/>
        <v>grocery&amp;fmcg</v>
      </c>
      <c r="L966" s="37" t="s">
        <v>125</v>
      </c>
      <c r="M966" s="37" t="str">
        <f t="shared" si="244"/>
        <v>east</v>
      </c>
      <c r="N966" s="37" t="s">
        <v>294</v>
      </c>
      <c r="O966" s="41" t="str">
        <f t="shared" si="245"/>
        <v>Yes</v>
      </c>
      <c r="P966" s="41">
        <v>15.6</v>
      </c>
      <c r="Q966" s="41" t="s">
        <v>2904</v>
      </c>
      <c r="R966" s="42">
        <f t="shared" si="246"/>
        <v>57.1153846153846</v>
      </c>
      <c r="S966" s="37">
        <v>4</v>
      </c>
      <c r="T966" s="37" t="s">
        <v>2501</v>
      </c>
      <c r="U966" s="43" t="str">
        <f t="shared" si="247"/>
        <v>23/03/2024</v>
      </c>
      <c r="V966" s="43">
        <f t="shared" si="248"/>
        <v>45374</v>
      </c>
      <c r="W966" s="44">
        <f t="array" ref="W966">_xlfn.IFS(TRIM(C966)="","",TRIM(V966)="","",TRUE,V966-C966)</f>
        <v>5</v>
      </c>
      <c r="X966" s="37">
        <f t="shared" si="249"/>
        <v>1</v>
      </c>
      <c r="Y966" s="37" t="s">
        <v>172</v>
      </c>
      <c r="Z966" s="37" t="str">
        <f t="shared" si="250"/>
        <v>delayed</v>
      </c>
      <c r="AA966" s="37" t="str">
        <f t="shared" si="251"/>
        <v>Late</v>
      </c>
      <c r="AB966" s="37" t="str">
        <f t="shared" ref="AB966:AB1029" si="254">IF(Z966="In-Transit","N/A",IF(X966="","",IF(X966&gt;0,"1","0")))</f>
        <v>1</v>
      </c>
      <c r="AC966" s="37">
        <f t="shared" si="239"/>
        <v>1</v>
      </c>
      <c r="AD966" s="45">
        <f t="shared" si="253"/>
        <v>0.509523809523809</v>
      </c>
      <c r="AE966" s="37">
        <v>2</v>
      </c>
      <c r="AF966" s="37" t="s">
        <v>152</v>
      </c>
      <c r="AG966" s="37" t="str">
        <f t="shared" si="252"/>
        <v>no</v>
      </c>
      <c r="AH966" s="37" t="str">
        <f t="array" ref="AH966">_xlfn.IFS(LOWER(AG966)="n","no",LOWER(AG966)="y","yes",TRUE,LOWER(AG966))</f>
        <v>no</v>
      </c>
      <c r="AI966" s="37" t="s">
        <v>4692</v>
      </c>
    </row>
    <row r="967" spans="1:35">
      <c r="A967" s="46" t="s">
        <v>3324</v>
      </c>
      <c r="B967" s="47">
        <v>45338</v>
      </c>
      <c r="C967" s="39">
        <f t="shared" si="240"/>
        <v>45338</v>
      </c>
      <c r="D967" s="48" t="s">
        <v>366</v>
      </c>
      <c r="E967" s="37" t="str" cm="1">
        <f t="array" ref="E967">_xlfn.IFS(D967="delhi","north",D967="mumbai","west",D967="bengaluru","south",D967="chennai","south",D967="kolkata","east",TRUE,"west")</f>
        <v>east</v>
      </c>
      <c r="F967" s="46" t="s">
        <v>270</v>
      </c>
      <c r="G967" s="37" t="str">
        <f t="shared" si="241"/>
        <v>ecomexpress</v>
      </c>
      <c r="H967" s="46" t="s">
        <v>176</v>
      </c>
      <c r="I967" s="37" t="str">
        <f t="shared" si="242"/>
        <v>road</v>
      </c>
      <c r="J967" s="46" t="s">
        <v>612</v>
      </c>
      <c r="K967" s="37" t="str">
        <f t="shared" si="243"/>
        <v>grocery&amp;fmcg</v>
      </c>
      <c r="L967" s="46" t="s">
        <v>401</v>
      </c>
      <c r="M967" s="37" t="str">
        <f t="shared" si="244"/>
        <v>south</v>
      </c>
      <c r="N967" s="46" t="s">
        <v>90</v>
      </c>
      <c r="O967" s="41" t="str">
        <f t="shared" si="245"/>
        <v>Yes</v>
      </c>
      <c r="P967" s="49">
        <v>5.6</v>
      </c>
      <c r="Q967" s="49">
        <v>244</v>
      </c>
      <c r="R967" s="42">
        <f t="shared" si="246"/>
        <v>43.5714285714286</v>
      </c>
      <c r="S967" s="46">
        <v>8</v>
      </c>
      <c r="T967" s="46" t="s">
        <v>831</v>
      </c>
      <c r="U967" s="43" t="str">
        <f t="shared" si="247"/>
        <v>25/02/2024</v>
      </c>
      <c r="V967" s="43">
        <f t="shared" si="248"/>
        <v>45347</v>
      </c>
      <c r="W967" s="44">
        <f t="array" ref="W967">_xlfn.IFS(TRIM(C967)="","",TRIM(V967)="","",TRUE,V967-C967)</f>
        <v>9</v>
      </c>
      <c r="X967" s="37">
        <f t="shared" si="249"/>
        <v>1</v>
      </c>
      <c r="Y967" s="46" t="s">
        <v>72</v>
      </c>
      <c r="Z967" s="37" t="str">
        <f t="shared" si="250"/>
        <v>delayed</v>
      </c>
      <c r="AA967" s="37" t="str">
        <f t="shared" si="251"/>
        <v>Late</v>
      </c>
      <c r="AB967" s="37" t="str">
        <f t="shared" si="254"/>
        <v>1</v>
      </c>
      <c r="AC967" s="37">
        <f t="shared" ref="AC967:AC1030" si="255">IF(TRIM(AB967&amp;"")="","",VALUE(TRIM(AB967&amp;"")))</f>
        <v>1</v>
      </c>
      <c r="AD967" s="45">
        <f t="shared" si="253"/>
        <v>0.508744038155803</v>
      </c>
      <c r="AE967" s="46">
        <v>4</v>
      </c>
      <c r="AF967" s="46" t="s">
        <v>152</v>
      </c>
      <c r="AG967" s="37" t="str">
        <f t="shared" si="252"/>
        <v>no</v>
      </c>
      <c r="AH967" s="37" t="str">
        <f t="array" ref="AH967">_xlfn.IFS(LOWER(AG967)="n","no",LOWER(AG967)="y","yes",TRUE,LOWER(AG967))</f>
        <v>no</v>
      </c>
      <c r="AI967" s="46" t="s">
        <v>4692</v>
      </c>
    </row>
    <row r="968" spans="1:35">
      <c r="A968" s="37" t="s">
        <v>3325</v>
      </c>
      <c r="B968" s="38">
        <v>45328</v>
      </c>
      <c r="C968" s="39">
        <f t="shared" si="240"/>
        <v>45328</v>
      </c>
      <c r="D968" s="40" t="s">
        <v>633</v>
      </c>
      <c r="E968" s="37" t="str" cm="1">
        <f t="array" ref="E968">_xlfn.IFS(D968="delhi","north",D968="mumbai","west",D968="bengaluru","south",D968="chennai","south",D968="kolkata","east",TRUE,"west")</f>
        <v>south</v>
      </c>
      <c r="F968" s="37" t="s">
        <v>184</v>
      </c>
      <c r="G968" s="37" t="str">
        <f t="shared" si="241"/>
        <v>ecomexpress</v>
      </c>
      <c r="H968" s="37" t="s">
        <v>195</v>
      </c>
      <c r="I968" s="37" t="str">
        <f t="shared" si="242"/>
        <v>road</v>
      </c>
      <c r="J968" s="37" t="s">
        <v>1701</v>
      </c>
      <c r="K968" s="37" t="str">
        <f t="shared" si="243"/>
        <v>grocery&amp;fmcg</v>
      </c>
      <c r="L968" s="37" t="s">
        <v>101</v>
      </c>
      <c r="M968" s="37" t="str">
        <f t="shared" si="244"/>
        <v>west</v>
      </c>
      <c r="N968" s="37" t="s">
        <v>278</v>
      </c>
      <c r="O968" s="41" t="str">
        <f t="shared" si="245"/>
        <v>Yes</v>
      </c>
      <c r="P968" s="41">
        <v>11.9</v>
      </c>
      <c r="Q968" s="41">
        <v>295</v>
      </c>
      <c r="R968" s="42">
        <f t="shared" si="246"/>
        <v>24.7899159663866</v>
      </c>
      <c r="S968" s="37">
        <v>8</v>
      </c>
      <c r="T968" s="37" t="s">
        <v>737</v>
      </c>
      <c r="U968" s="43" t="str">
        <f t="shared" si="247"/>
        <v>15-feb-2024</v>
      </c>
      <c r="V968" s="43">
        <f t="shared" si="248"/>
        <v>45337</v>
      </c>
      <c r="W968" s="44">
        <f t="array" ref="W968">_xlfn.IFS(TRIM(C968)="","",TRIM(V968)="","",TRUE,V968-C968)</f>
        <v>9</v>
      </c>
      <c r="X968" s="37">
        <f t="shared" si="249"/>
        <v>1</v>
      </c>
      <c r="Y968" s="37" t="s">
        <v>337</v>
      </c>
      <c r="Z968" s="37" t="str">
        <f t="shared" si="250"/>
        <v>damaged</v>
      </c>
      <c r="AA968" s="37" t="str">
        <f t="shared" si="251"/>
        <v>Late</v>
      </c>
      <c r="AB968" s="37" t="str">
        <f t="shared" si="254"/>
        <v>1</v>
      </c>
      <c r="AC968" s="37">
        <f t="shared" si="255"/>
        <v>1</v>
      </c>
      <c r="AD968" s="45">
        <f t="shared" si="253"/>
        <v>0.50796178343949</v>
      </c>
      <c r="AE968" s="37"/>
      <c r="AF968" s="37" t="s">
        <v>118</v>
      </c>
      <c r="AG968" s="37" t="str">
        <f t="shared" si="252"/>
        <v>no</v>
      </c>
      <c r="AH968" s="37" t="str">
        <f t="array" ref="AH968">_xlfn.IFS(LOWER(AG968)="n","no",LOWER(AG968)="y","yes",TRUE,LOWER(AG968))</f>
        <v>no</v>
      </c>
      <c r="AI968" s="37" t="s">
        <v>759</v>
      </c>
    </row>
    <row r="969" spans="1:35">
      <c r="A969" s="46" t="s">
        <v>3327</v>
      </c>
      <c r="B969" s="47">
        <v>45349</v>
      </c>
      <c r="C969" s="39">
        <f t="shared" si="240"/>
        <v>45349</v>
      </c>
      <c r="D969" s="48" t="s">
        <v>4712</v>
      </c>
      <c r="E969" s="37" t="str" cm="1">
        <f t="array" ref="E969">_xlfn.IFS(D969="delhi","north",D969="mumbai","west",D969="bengaluru","south",D969="chennai","south",D969="kolkata","east",TRUE,"west")</f>
        <v>west</v>
      </c>
      <c r="F969" s="46" t="s">
        <v>98</v>
      </c>
      <c r="G969" s="37" t="str">
        <f t="shared" si="241"/>
        <v>dtdc</v>
      </c>
      <c r="H969" s="46" t="s">
        <v>110</v>
      </c>
      <c r="I969" s="37" t="str">
        <f t="shared" si="242"/>
        <v>surface</v>
      </c>
      <c r="J969" s="46" t="s">
        <v>1794</v>
      </c>
      <c r="K969" s="37" t="str">
        <f t="shared" si="243"/>
        <v>grocery&amp;fmcg</v>
      </c>
      <c r="L969" s="46" t="s">
        <v>418</v>
      </c>
      <c r="M969" s="37" t="str">
        <f t="shared" si="244"/>
        <v>south</v>
      </c>
      <c r="N969" s="46" t="s">
        <v>54</v>
      </c>
      <c r="O969" s="41" t="str">
        <f t="shared" si="245"/>
        <v>Yes</v>
      </c>
      <c r="P969" s="49">
        <v>2.9</v>
      </c>
      <c r="Q969" s="49">
        <v>80</v>
      </c>
      <c r="R969" s="42">
        <f t="shared" si="246"/>
        <v>27.5862068965517</v>
      </c>
      <c r="S969" s="46">
        <v>4</v>
      </c>
      <c r="T969" s="46" t="s">
        <v>2646</v>
      </c>
      <c r="U969" s="43" t="str">
        <f t="shared" si="247"/>
        <v>02/03/2024</v>
      </c>
      <c r="V969" s="43">
        <f t="shared" si="248"/>
        <v>45353</v>
      </c>
      <c r="W969" s="44">
        <f t="array" ref="W969">_xlfn.IFS(TRIM(C969)="","",TRIM(V969)="","",TRUE,V969-C969)</f>
        <v>4</v>
      </c>
      <c r="X969" s="37">
        <f t="shared" si="249"/>
        <v>0</v>
      </c>
      <c r="Y969" s="46" t="s">
        <v>163</v>
      </c>
      <c r="Z969" s="37" t="str">
        <f t="shared" si="250"/>
        <v>delivered</v>
      </c>
      <c r="AA969" s="37" t="str">
        <f t="shared" si="251"/>
        <v>On Time</v>
      </c>
      <c r="AB969" s="37" t="str">
        <f t="shared" si="254"/>
        <v>0</v>
      </c>
      <c r="AC969" s="37">
        <f t="shared" si="255"/>
        <v>0</v>
      </c>
      <c r="AD969" s="45">
        <f t="shared" si="253"/>
        <v>0.507177033492823</v>
      </c>
      <c r="AE969" s="46">
        <v>5</v>
      </c>
      <c r="AF969" s="46" t="s">
        <v>106</v>
      </c>
      <c r="AG969" s="37" t="str">
        <f t="shared" si="252"/>
        <v>yes</v>
      </c>
      <c r="AH969" s="37" t="str">
        <f t="array" ref="AH969">_xlfn.IFS(LOWER(AG969)="n","no",LOWER(AG969)="y","yes",TRUE,LOWER(AG969))</f>
        <v>yes</v>
      </c>
      <c r="AI969" s="46" t="s">
        <v>4692</v>
      </c>
    </row>
    <row r="970" spans="1:35">
      <c r="A970" s="37" t="s">
        <v>3329</v>
      </c>
      <c r="B970" s="38">
        <v>45429</v>
      </c>
      <c r="C970" s="39">
        <f t="shared" si="240"/>
        <v>45429</v>
      </c>
      <c r="D970" s="40" t="s">
        <v>212</v>
      </c>
      <c r="E970" s="37" t="str" cm="1">
        <f t="array" ref="E970">_xlfn.IFS(D970="delhi","north",D970="mumbai","west",D970="bengaluru","south",D970="chennai","south",D970="kolkata","east",TRUE,"west")</f>
        <v>west</v>
      </c>
      <c r="F970" s="37" t="s">
        <v>146</v>
      </c>
      <c r="G970" s="37" t="str">
        <f t="shared" si="241"/>
        <v>ecomexpress</v>
      </c>
      <c r="H970" s="37" t="s">
        <v>123</v>
      </c>
      <c r="I970" s="37" t="str">
        <f t="shared" si="242"/>
        <v>air</v>
      </c>
      <c r="J970" s="37" t="s">
        <v>430</v>
      </c>
      <c r="K970" s="37" t="str">
        <f t="shared" si="243"/>
        <v>pharma</v>
      </c>
      <c r="L970" s="37" t="s">
        <v>257</v>
      </c>
      <c r="M970" s="37" t="str">
        <f t="shared" si="244"/>
        <v>west</v>
      </c>
      <c r="N970" s="37" t="s">
        <v>88</v>
      </c>
      <c r="O970" s="41" t="str">
        <f t="shared" si="245"/>
        <v>Yes</v>
      </c>
      <c r="P970" s="41">
        <v>4.3</v>
      </c>
      <c r="Q970" s="41">
        <v>211</v>
      </c>
      <c r="R970" s="42">
        <f t="shared" si="246"/>
        <v>49.0697674418605</v>
      </c>
      <c r="S970" s="37">
        <v>2</v>
      </c>
      <c r="T970" s="37" t="s">
        <v>1729</v>
      </c>
      <c r="U970" s="43" t="str">
        <f t="shared" si="247"/>
        <v>2024-05-19</v>
      </c>
      <c r="V970" s="43">
        <f t="shared" si="248"/>
        <v>45431</v>
      </c>
      <c r="W970" s="44">
        <f t="array" ref="W970">_xlfn.IFS(TRIM(C970)="","",TRIM(V970)="","",TRUE,V970-C970)</f>
        <v>2</v>
      </c>
      <c r="X970" s="37">
        <f t="shared" si="249"/>
        <v>0</v>
      </c>
      <c r="Y970" s="37" t="s">
        <v>219</v>
      </c>
      <c r="Z970" s="37" t="str">
        <f t="shared" si="250"/>
        <v>delivered</v>
      </c>
      <c r="AA970" s="37" t="str">
        <f t="shared" si="251"/>
        <v>On Time</v>
      </c>
      <c r="AB970" s="37" t="str">
        <f t="shared" si="254"/>
        <v>0</v>
      </c>
      <c r="AC970" s="37">
        <f t="shared" si="255"/>
        <v>0</v>
      </c>
      <c r="AD970" s="45">
        <f t="shared" si="253"/>
        <v>0.507987220447284</v>
      </c>
      <c r="AE970" s="37">
        <v>5</v>
      </c>
      <c r="AF970" s="37" t="s">
        <v>181</v>
      </c>
      <c r="AG970" s="37" t="str">
        <f t="shared" si="252"/>
        <v>y</v>
      </c>
      <c r="AH970" s="37" t="str">
        <f t="array" ref="AH970">_xlfn.IFS(LOWER(AG970)="n","no",LOWER(AG970)="y","yes",TRUE,LOWER(AG970))</f>
        <v>yes</v>
      </c>
      <c r="AI970" s="37" t="s">
        <v>4692</v>
      </c>
    </row>
    <row r="971" spans="1:35">
      <c r="A971" s="46" t="s">
        <v>3332</v>
      </c>
      <c r="B971" s="47">
        <v>45401</v>
      </c>
      <c r="C971" s="39">
        <f t="shared" si="240"/>
        <v>45401</v>
      </c>
      <c r="D971" s="48" t="s">
        <v>340</v>
      </c>
      <c r="E971" s="37" t="str" cm="1">
        <f t="array" ref="E971">_xlfn.IFS(D971="delhi","north",D971="mumbai","west",D971="bengaluru","south",D971="chennai","south",D971="kolkata","east",TRUE,"west")</f>
        <v>north</v>
      </c>
      <c r="F971" s="46" t="s">
        <v>184</v>
      </c>
      <c r="G971" s="37" t="str">
        <f t="shared" si="241"/>
        <v>ecomexpress</v>
      </c>
      <c r="H971" s="46" t="s">
        <v>123</v>
      </c>
      <c r="I971" s="37" t="str">
        <f t="shared" si="242"/>
        <v>air</v>
      </c>
      <c r="J971" s="46" t="s">
        <v>1014</v>
      </c>
      <c r="K971" s="37" t="str">
        <f t="shared" si="243"/>
        <v>pharma</v>
      </c>
      <c r="L971" s="46" t="s">
        <v>418</v>
      </c>
      <c r="M971" s="37" t="str">
        <f t="shared" si="244"/>
        <v>south</v>
      </c>
      <c r="N971" s="46" t="s">
        <v>54</v>
      </c>
      <c r="O971" s="41" t="str">
        <f t="shared" si="245"/>
        <v>Yes</v>
      </c>
      <c r="P971" s="49">
        <v>3.4</v>
      </c>
      <c r="Q971" s="49">
        <v>310</v>
      </c>
      <c r="R971" s="42">
        <f t="shared" si="246"/>
        <v>91.1764705882353</v>
      </c>
      <c r="S971" s="46">
        <v>4</v>
      </c>
      <c r="T971" s="46" t="s">
        <v>2656</v>
      </c>
      <c r="U971" s="43" t="str">
        <f t="shared" si="247"/>
        <v>2024-04-22</v>
      </c>
      <c r="V971" s="43">
        <f t="shared" si="248"/>
        <v>45404</v>
      </c>
      <c r="W971" s="44">
        <f t="array" ref="W971">_xlfn.IFS(TRIM(C971)="","",TRIM(V971)="","",TRUE,V971-C971)</f>
        <v>3</v>
      </c>
      <c r="X971" s="37">
        <f t="shared" si="249"/>
        <v>-1</v>
      </c>
      <c r="Y971" s="46" t="s">
        <v>117</v>
      </c>
      <c r="Z971" s="37" t="str">
        <f t="shared" si="250"/>
        <v>delivered</v>
      </c>
      <c r="AA971" s="37" t="str">
        <f t="shared" si="251"/>
        <v>On Time</v>
      </c>
      <c r="AB971" s="37" t="str">
        <f t="shared" si="254"/>
        <v>0</v>
      </c>
      <c r="AC971" s="37">
        <f t="shared" si="255"/>
        <v>0</v>
      </c>
      <c r="AD971" s="45">
        <f t="shared" si="253"/>
        <v>0.5088</v>
      </c>
      <c r="AE971" s="46">
        <v>5</v>
      </c>
      <c r="AF971" s="46" t="s">
        <v>286</v>
      </c>
      <c r="AG971" s="37" t="str">
        <f t="shared" si="252"/>
        <v>yes</v>
      </c>
      <c r="AH971" s="37" t="str">
        <f t="array" ref="AH971">_xlfn.IFS(LOWER(AG971)="n","no",LOWER(AG971)="y","yes",TRUE,LOWER(AG971))</f>
        <v>yes</v>
      </c>
      <c r="AI971" s="46" t="s">
        <v>4692</v>
      </c>
    </row>
    <row r="972" spans="1:35">
      <c r="A972" s="37" t="s">
        <v>3334</v>
      </c>
      <c r="B972" s="38">
        <v>45384</v>
      </c>
      <c r="C972" s="39">
        <f t="shared" si="240"/>
        <v>45384</v>
      </c>
      <c r="D972" s="40" t="s">
        <v>166</v>
      </c>
      <c r="E972" s="37" t="str" cm="1">
        <f t="array" ref="E972">_xlfn.IFS(D972="delhi","north",D972="mumbai","west",D972="bengaluru","south",D972="chennai","south",D972="kolkata","east",TRUE,"west")</f>
        <v>west</v>
      </c>
      <c r="F972" s="37"/>
      <c r="G972" s="37" t="str">
        <f t="shared" si="241"/>
        <v/>
      </c>
      <c r="H972" s="37" t="s">
        <v>345</v>
      </c>
      <c r="I972" s="37" t="str">
        <f t="shared" si="242"/>
        <v>surface</v>
      </c>
      <c r="J972" s="37" t="s">
        <v>612</v>
      </c>
      <c r="K972" s="37" t="str">
        <f t="shared" si="243"/>
        <v>grocery&amp;fmcg</v>
      </c>
      <c r="L972" s="37" t="s">
        <v>87</v>
      </c>
      <c r="M972" s="37" t="str">
        <f t="shared" si="244"/>
        <v>north</v>
      </c>
      <c r="N972" s="37" t="s">
        <v>215</v>
      </c>
      <c r="O972" s="41" t="str">
        <f t="shared" si="245"/>
        <v>Yes</v>
      </c>
      <c r="P972" s="41" t="s">
        <v>3335</v>
      </c>
      <c r="Q972" s="41" t="s">
        <v>3336</v>
      </c>
      <c r="R972" s="42">
        <f t="shared" si="246"/>
        <v>48.59375</v>
      </c>
      <c r="S972" s="37">
        <v>6</v>
      </c>
      <c r="T972" s="37" t="s">
        <v>2731</v>
      </c>
      <c r="U972" s="43" t="str">
        <f t="shared" si="247"/>
        <v>14/04/2024</v>
      </c>
      <c r="V972" s="43">
        <f t="shared" si="248"/>
        <v>45396</v>
      </c>
      <c r="W972" s="44">
        <f t="array" ref="W972">_xlfn.IFS(TRIM(C972)="","",TRIM(V972)="","",TRUE,V972-C972)</f>
        <v>12</v>
      </c>
      <c r="X972" s="37">
        <f t="shared" si="249"/>
        <v>6</v>
      </c>
      <c r="Y972" s="37" t="s">
        <v>200</v>
      </c>
      <c r="Z972" s="37" t="str">
        <f t="shared" si="250"/>
        <v>delayed</v>
      </c>
      <c r="AA972" s="37" t="str">
        <f t="shared" si="251"/>
        <v>Late</v>
      </c>
      <c r="AB972" s="37" t="str">
        <f t="shared" si="254"/>
        <v>1</v>
      </c>
      <c r="AC972" s="37">
        <f t="shared" si="255"/>
        <v>1</v>
      </c>
      <c r="AD972" s="45">
        <f t="shared" si="253"/>
        <v>0.509615384615385</v>
      </c>
      <c r="AE972" s="37">
        <v>3</v>
      </c>
      <c r="AF972" s="37" t="s">
        <v>118</v>
      </c>
      <c r="AG972" s="37" t="str">
        <f t="shared" si="252"/>
        <v>no</v>
      </c>
      <c r="AH972" s="37" t="str">
        <f t="array" ref="AH972">_xlfn.IFS(LOWER(AG972)="n","no",LOWER(AG972)="y","yes",TRUE,LOWER(AG972))</f>
        <v>no</v>
      </c>
      <c r="AI972" s="37" t="s">
        <v>4692</v>
      </c>
    </row>
    <row r="973" spans="1:35">
      <c r="A973" s="46" t="s">
        <v>3337</v>
      </c>
      <c r="B973" s="47">
        <v>45383</v>
      </c>
      <c r="C973" s="39">
        <f t="shared" si="240"/>
        <v>45383</v>
      </c>
      <c r="D973" s="48" t="s">
        <v>340</v>
      </c>
      <c r="E973" s="37" t="str" cm="1">
        <f t="array" ref="E973">_xlfn.IFS(D973="delhi","north",D973="mumbai","west",D973="bengaluru","south",D973="chennai","south",D973="kolkata","east",TRUE,"west")</f>
        <v>north</v>
      </c>
      <c r="F973" s="46" t="s">
        <v>184</v>
      </c>
      <c r="G973" s="37" t="str">
        <f t="shared" si="241"/>
        <v>ecomexpress</v>
      </c>
      <c r="H973" s="46" t="s">
        <v>185</v>
      </c>
      <c r="I973" s="37" t="str">
        <f t="shared" si="242"/>
        <v>surface</v>
      </c>
      <c r="J973" s="46" t="s">
        <v>1112</v>
      </c>
      <c r="K973" s="37" t="str">
        <f t="shared" si="243"/>
        <v>automotiveparts</v>
      </c>
      <c r="L973" s="46" t="s">
        <v>264</v>
      </c>
      <c r="M973" s="37" t="str">
        <f t="shared" si="244"/>
        <v>west</v>
      </c>
      <c r="N973" s="46" t="s">
        <v>88</v>
      </c>
      <c r="O973" s="41" t="str">
        <f t="shared" si="245"/>
        <v>Yes</v>
      </c>
      <c r="P973" s="49">
        <v>26.4</v>
      </c>
      <c r="Q973" s="49">
        <v>712</v>
      </c>
      <c r="R973" s="42">
        <f t="shared" si="246"/>
        <v>26.969696969697</v>
      </c>
      <c r="S973" s="46">
        <v>6</v>
      </c>
      <c r="T973" s="46" t="s">
        <v>1456</v>
      </c>
      <c r="U973" s="43" t="str">
        <f t="shared" si="247"/>
        <v>2024-04-08</v>
      </c>
      <c r="V973" s="43">
        <f t="shared" si="248"/>
        <v>45390</v>
      </c>
      <c r="W973" s="44">
        <f t="array" ref="W973">_xlfn.IFS(TRIM(C973)="","",TRIM(V973)="","",TRUE,V973-C973)</f>
        <v>7</v>
      </c>
      <c r="X973" s="37">
        <f t="shared" si="249"/>
        <v>1</v>
      </c>
      <c r="Y973" s="46" t="s">
        <v>172</v>
      </c>
      <c r="Z973" s="37" t="str">
        <f t="shared" si="250"/>
        <v>delayed</v>
      </c>
      <c r="AA973" s="37" t="str">
        <f t="shared" si="251"/>
        <v>Late</v>
      </c>
      <c r="AB973" s="37" t="str">
        <f t="shared" si="254"/>
        <v>1</v>
      </c>
      <c r="AC973" s="37">
        <f t="shared" si="255"/>
        <v>1</v>
      </c>
      <c r="AD973" s="45">
        <f t="shared" si="253"/>
        <v>0.508828250401284</v>
      </c>
      <c r="AE973" s="46">
        <v>5</v>
      </c>
      <c r="AF973" s="46" t="s">
        <v>118</v>
      </c>
      <c r="AG973" s="37" t="str">
        <f t="shared" si="252"/>
        <v>no</v>
      </c>
      <c r="AH973" s="37" t="str">
        <f t="array" ref="AH973">_xlfn.IFS(LOWER(AG973)="n","no",LOWER(AG973)="y","yes",TRUE,LOWER(AG973))</f>
        <v>no</v>
      </c>
      <c r="AI973" s="46" t="s">
        <v>4692</v>
      </c>
    </row>
    <row r="974" spans="1:35">
      <c r="A974" s="37" t="s">
        <v>3340</v>
      </c>
      <c r="B974" s="38" t="s">
        <v>4761</v>
      </c>
      <c r="C974" s="39">
        <f t="shared" si="240"/>
        <v>45368</v>
      </c>
      <c r="D974" s="40" t="s">
        <v>424</v>
      </c>
      <c r="E974" s="37" t="str" cm="1">
        <f t="array" ref="E974">_xlfn.IFS(D974="delhi","north",D974="mumbai","west",D974="bengaluru","south",D974="chennai","south",D974="kolkata","east",TRUE,"west")</f>
        <v>south</v>
      </c>
      <c r="F974" s="37" t="s">
        <v>213</v>
      </c>
      <c r="G974" s="37" t="str">
        <f t="shared" si="241"/>
        <v>dtdc</v>
      </c>
      <c r="H974" s="37" t="s">
        <v>244</v>
      </c>
      <c r="I974" s="37" t="str">
        <f t="shared" si="242"/>
        <v>air</v>
      </c>
      <c r="J974" s="37" t="s">
        <v>231</v>
      </c>
      <c r="K974" s="37" t="str">
        <f t="shared" si="243"/>
        <v>furniture</v>
      </c>
      <c r="L974" s="37" t="s">
        <v>125</v>
      </c>
      <c r="M974" s="37" t="str">
        <f t="shared" si="244"/>
        <v>east</v>
      </c>
      <c r="N974" s="37" t="s">
        <v>396</v>
      </c>
      <c r="O974" s="41" t="str">
        <f t="shared" si="245"/>
        <v>Yes</v>
      </c>
      <c r="P974" s="41">
        <v>58.1</v>
      </c>
      <c r="Q974" s="50">
        <v>2811</v>
      </c>
      <c r="R974" s="42">
        <f t="shared" si="246"/>
        <v>48.382099827883</v>
      </c>
      <c r="S974" s="37">
        <v>4</v>
      </c>
      <c r="T974" s="37" t="s">
        <v>543</v>
      </c>
      <c r="U974" s="43" t="str">
        <f t="shared" si="247"/>
        <v>28/03/2024</v>
      </c>
      <c r="V974" s="43">
        <f t="shared" si="248"/>
        <v>45379</v>
      </c>
      <c r="W974" s="44">
        <f t="array" ref="W974">_xlfn.IFS(TRIM(C974)="","",TRIM(V974)="","",TRUE,V974-C974)</f>
        <v>11</v>
      </c>
      <c r="X974" s="37">
        <f t="shared" si="249"/>
        <v>7</v>
      </c>
      <c r="Y974" s="37" t="s">
        <v>143</v>
      </c>
      <c r="Z974" s="37" t="str">
        <f t="shared" si="250"/>
        <v>delayed</v>
      </c>
      <c r="AA974" s="37" t="str">
        <f t="shared" si="251"/>
        <v>Late</v>
      </c>
      <c r="AB974" s="37" t="str">
        <f t="shared" si="254"/>
        <v>1</v>
      </c>
      <c r="AC974" s="37">
        <f t="shared" si="255"/>
        <v>1</v>
      </c>
      <c r="AD974" s="45">
        <f t="shared" si="253"/>
        <v>0.508038585209003</v>
      </c>
      <c r="AE974" s="37">
        <v>3</v>
      </c>
      <c r="AF974" s="37" t="s">
        <v>152</v>
      </c>
      <c r="AG974" s="37" t="str">
        <f t="shared" si="252"/>
        <v>no</v>
      </c>
      <c r="AH974" s="37" t="str">
        <f t="array" ref="AH974">_xlfn.IFS(LOWER(AG974)="n","no",LOWER(AG974)="y","yes",TRUE,LOWER(AG974))</f>
        <v>no</v>
      </c>
      <c r="AI974" s="37" t="s">
        <v>4692</v>
      </c>
    </row>
    <row r="975" spans="1:35">
      <c r="A975" s="46" t="s">
        <v>3343</v>
      </c>
      <c r="B975" s="47">
        <v>45464</v>
      </c>
      <c r="C975" s="39">
        <f t="shared" si="240"/>
        <v>45464</v>
      </c>
      <c r="D975" s="48" t="s">
        <v>212</v>
      </c>
      <c r="E975" s="37" t="str" cm="1">
        <f t="array" ref="E975">_xlfn.IFS(D975="delhi","north",D975="mumbai","west",D975="bengaluru","south",D975="chennai","south",D975="kolkata","east",TRUE,"west")</f>
        <v>west</v>
      </c>
      <c r="F975" s="46" t="s">
        <v>352</v>
      </c>
      <c r="G975" s="37" t="str">
        <f t="shared" si="241"/>
        <v>delhivery</v>
      </c>
      <c r="H975" s="46" t="s">
        <v>123</v>
      </c>
      <c r="I975" s="37" t="str">
        <f t="shared" si="242"/>
        <v>air</v>
      </c>
      <c r="J975" s="46" t="s">
        <v>425</v>
      </c>
      <c r="K975" s="37" t="str">
        <f t="shared" si="243"/>
        <v>automotiveparts</v>
      </c>
      <c r="L975" s="46" t="s">
        <v>334</v>
      </c>
      <c r="M975" s="37" t="str">
        <f t="shared" si="244"/>
        <v>north</v>
      </c>
      <c r="N975" s="46" t="s">
        <v>215</v>
      </c>
      <c r="O975" s="41" t="str">
        <f t="shared" si="245"/>
        <v>Yes</v>
      </c>
      <c r="P975" s="49">
        <v>23.2</v>
      </c>
      <c r="Q975" s="51">
        <v>1184</v>
      </c>
      <c r="R975" s="42">
        <f t="shared" si="246"/>
        <v>51.0344827586207</v>
      </c>
      <c r="S975" s="46">
        <v>4</v>
      </c>
      <c r="T975" s="46" t="s">
        <v>574</v>
      </c>
      <c r="U975" s="43" t="str">
        <f t="shared" si="247"/>
        <v>26-jun-2024</v>
      </c>
      <c r="V975" s="43">
        <f t="shared" si="248"/>
        <v>45469</v>
      </c>
      <c r="W975" s="44">
        <f t="array" ref="W975">_xlfn.IFS(TRIM(C975)="","",TRIM(V975)="","",TRUE,V975-C975)</f>
        <v>5</v>
      </c>
      <c r="X975" s="37">
        <f t="shared" si="249"/>
        <v>1</v>
      </c>
      <c r="Y975" s="46" t="s">
        <v>72</v>
      </c>
      <c r="Z975" s="37" t="str">
        <f t="shared" si="250"/>
        <v>delayed</v>
      </c>
      <c r="AA975" s="37" t="str">
        <f t="shared" si="251"/>
        <v>Late</v>
      </c>
      <c r="AB975" s="37" t="str">
        <f t="shared" si="254"/>
        <v>1</v>
      </c>
      <c r="AC975" s="37">
        <f t="shared" si="255"/>
        <v>1</v>
      </c>
      <c r="AD975" s="45">
        <f t="shared" si="253"/>
        <v>0.507246376811594</v>
      </c>
      <c r="AE975" s="46">
        <v>5</v>
      </c>
      <c r="AF975" s="46" t="s">
        <v>79</v>
      </c>
      <c r="AG975" s="37" t="str">
        <f t="shared" si="252"/>
        <v>yes</v>
      </c>
      <c r="AH975" s="37" t="str">
        <f t="array" ref="AH975">_xlfn.IFS(LOWER(AG975)="n","no",LOWER(AG975)="y","yes",TRUE,LOWER(AG975))</f>
        <v>yes</v>
      </c>
      <c r="AI975" s="46" t="s">
        <v>4692</v>
      </c>
    </row>
    <row r="976" spans="1:35">
      <c r="A976" s="37" t="s">
        <v>3346</v>
      </c>
      <c r="B976" s="38" t="s">
        <v>4838</v>
      </c>
      <c r="C976" s="39">
        <f t="shared" si="240"/>
        <v>45339</v>
      </c>
      <c r="D976" s="40" t="s">
        <v>109</v>
      </c>
      <c r="E976" s="37" t="str" cm="1">
        <f t="array" ref="E976">_xlfn.IFS(D976="delhi","north",D976="mumbai","west",D976="bengaluru","south",D976="chennai","south",D976="kolkata","east",TRUE,"west")</f>
        <v>west</v>
      </c>
      <c r="F976" s="37" t="s">
        <v>544</v>
      </c>
      <c r="G976" s="37" t="str">
        <f t="shared" si="241"/>
        <v>bluedart</v>
      </c>
      <c r="H976" s="37" t="s">
        <v>110</v>
      </c>
      <c r="I976" s="37" t="str">
        <f t="shared" si="242"/>
        <v>surface</v>
      </c>
      <c r="J976" s="37" t="s">
        <v>664</v>
      </c>
      <c r="K976" s="37" t="str">
        <f t="shared" si="243"/>
        <v>grocery&amp;fmcg</v>
      </c>
      <c r="L976" s="37" t="s">
        <v>168</v>
      </c>
      <c r="M976" s="37" t="str">
        <f t="shared" si="244"/>
        <v>west</v>
      </c>
      <c r="N976" s="37" t="s">
        <v>187</v>
      </c>
      <c r="O976" s="41" t="str">
        <f t="shared" si="245"/>
        <v>Yes</v>
      </c>
      <c r="P976" s="41">
        <v>11.3</v>
      </c>
      <c r="Q976" s="41">
        <v>263</v>
      </c>
      <c r="R976" s="42">
        <f t="shared" si="246"/>
        <v>23.2743362831858</v>
      </c>
      <c r="S976" s="37">
        <v>4</v>
      </c>
      <c r="T976" s="37" t="s">
        <v>2920</v>
      </c>
      <c r="U976" s="43" t="str">
        <f t="shared" si="247"/>
        <v>21/02/2024</v>
      </c>
      <c r="V976" s="43">
        <f t="shared" si="248"/>
        <v>45343</v>
      </c>
      <c r="W976" s="44">
        <f t="array" ref="W976">_xlfn.IFS(TRIM(C976)="","",TRIM(V976)="","",TRUE,V976-C976)</f>
        <v>4</v>
      </c>
      <c r="X976" s="37">
        <f t="shared" si="249"/>
        <v>0</v>
      </c>
      <c r="Y976" s="37" t="s">
        <v>117</v>
      </c>
      <c r="Z976" s="37" t="str">
        <f t="shared" si="250"/>
        <v>delivered</v>
      </c>
      <c r="AA976" s="37" t="str">
        <f t="shared" si="251"/>
        <v>On Time</v>
      </c>
      <c r="AB976" s="37" t="str">
        <f t="shared" si="254"/>
        <v>0</v>
      </c>
      <c r="AC976" s="37">
        <f t="shared" si="255"/>
        <v>0</v>
      </c>
      <c r="AD976" s="45">
        <f t="shared" si="253"/>
        <v>0.506451612903226</v>
      </c>
      <c r="AE976" s="37">
        <v>4</v>
      </c>
      <c r="AF976" s="37" t="s">
        <v>131</v>
      </c>
      <c r="AG976" s="37" t="str">
        <f t="shared" si="252"/>
        <v>n</v>
      </c>
      <c r="AH976" s="37" t="str">
        <f t="array" ref="AH976">_xlfn.IFS(LOWER(AG976)="n","no",LOWER(AG976)="y","yes",TRUE,LOWER(AG976))</f>
        <v>no</v>
      </c>
      <c r="AI976" s="37" t="s">
        <v>4692</v>
      </c>
    </row>
    <row r="977" spans="1:35">
      <c r="A977" s="46" t="s">
        <v>3349</v>
      </c>
      <c r="B977" s="47">
        <v>45458</v>
      </c>
      <c r="C977" s="39">
        <f t="shared" si="240"/>
        <v>45458</v>
      </c>
      <c r="D977" s="48" t="s">
        <v>424</v>
      </c>
      <c r="E977" s="37" t="str" cm="1">
        <f t="array" ref="E977">_xlfn.IFS(D977="delhi","north",D977="mumbai","west",D977="bengaluru","south",D977="chennai","south",D977="kolkata","east",TRUE,"west")</f>
        <v>south</v>
      </c>
      <c r="F977" s="46" t="s">
        <v>122</v>
      </c>
      <c r="G977" s="37" t="str">
        <f t="shared" si="241"/>
        <v>delhivery</v>
      </c>
      <c r="H977" s="46" t="s">
        <v>224</v>
      </c>
      <c r="I977" s="37" t="str">
        <f t="shared" si="242"/>
        <v>air</v>
      </c>
      <c r="J977" s="46" t="s">
        <v>326</v>
      </c>
      <c r="K977" s="37" t="str">
        <f t="shared" si="243"/>
        <v>apparel</v>
      </c>
      <c r="L977" s="46" t="s">
        <v>89</v>
      </c>
      <c r="M977" s="37" t="str">
        <f t="shared" si="244"/>
        <v>west</v>
      </c>
      <c r="N977" s="46" t="s">
        <v>278</v>
      </c>
      <c r="O977" s="41" t="str">
        <f t="shared" si="245"/>
        <v>Yes</v>
      </c>
      <c r="P977" s="49">
        <v>5.3</v>
      </c>
      <c r="Q977" s="49">
        <v>389</v>
      </c>
      <c r="R977" s="42">
        <f t="shared" si="246"/>
        <v>73.3962264150943</v>
      </c>
      <c r="S977" s="46">
        <v>4</v>
      </c>
      <c r="T977" s="46" t="s">
        <v>1550</v>
      </c>
      <c r="U977" s="43" t="str">
        <f t="shared" si="247"/>
        <v>18-jun-2024</v>
      </c>
      <c r="V977" s="43">
        <f t="shared" si="248"/>
        <v>45461</v>
      </c>
      <c r="W977" s="44">
        <f t="array" ref="W977">_xlfn.IFS(TRIM(C977)="","",TRIM(V977)="","",TRUE,V977-C977)</f>
        <v>3</v>
      </c>
      <c r="X977" s="37">
        <f t="shared" si="249"/>
        <v>-1</v>
      </c>
      <c r="Y977" s="46" t="s">
        <v>105</v>
      </c>
      <c r="Z977" s="37" t="str">
        <f t="shared" si="250"/>
        <v>delivered</v>
      </c>
      <c r="AA977" s="37" t="str">
        <f t="shared" si="251"/>
        <v>On Time</v>
      </c>
      <c r="AB977" s="37" t="str">
        <f t="shared" si="254"/>
        <v>0</v>
      </c>
      <c r="AC977" s="37">
        <f t="shared" si="255"/>
        <v>0</v>
      </c>
      <c r="AD977" s="45">
        <f t="shared" si="253"/>
        <v>0.507269789983845</v>
      </c>
      <c r="AE977" s="46">
        <v>5</v>
      </c>
      <c r="AF977" s="46" t="s">
        <v>286</v>
      </c>
      <c r="AG977" s="37" t="str">
        <f t="shared" si="252"/>
        <v>yes</v>
      </c>
      <c r="AH977" s="37" t="str">
        <f t="array" ref="AH977">_xlfn.IFS(LOWER(AG977)="n","no",LOWER(AG977)="y","yes",TRUE,LOWER(AG977))</f>
        <v>yes</v>
      </c>
      <c r="AI977" s="46" t="s">
        <v>4692</v>
      </c>
    </row>
    <row r="978" spans="1:35">
      <c r="A978" s="37" t="s">
        <v>3351</v>
      </c>
      <c r="B978" s="38">
        <v>45315</v>
      </c>
      <c r="C978" s="39">
        <f t="shared" si="240"/>
        <v>45315</v>
      </c>
      <c r="D978" s="40" t="s">
        <v>4704</v>
      </c>
      <c r="E978" s="37" t="str" cm="1">
        <f t="array" ref="E978">_xlfn.IFS(D978="delhi","north",D978="mumbai","west",D978="bengaluru","south",D978="chennai","south",D978="kolkata","east",TRUE,"west")</f>
        <v>west</v>
      </c>
      <c r="F978" s="37" t="s">
        <v>98</v>
      </c>
      <c r="G978" s="37" t="str">
        <f t="shared" si="241"/>
        <v>dtdc</v>
      </c>
      <c r="H978" s="37" t="s">
        <v>99</v>
      </c>
      <c r="I978" s="37" t="str">
        <f t="shared" si="242"/>
        <v>air</v>
      </c>
      <c r="J978" s="37" t="s">
        <v>326</v>
      </c>
      <c r="K978" s="37" t="str">
        <f t="shared" si="243"/>
        <v>apparel</v>
      </c>
      <c r="L978" s="37" t="s">
        <v>401</v>
      </c>
      <c r="M978" s="37" t="str">
        <f t="shared" si="244"/>
        <v>south</v>
      </c>
      <c r="N978" s="37" t="s">
        <v>54</v>
      </c>
      <c r="O978" s="41" t="str">
        <f t="shared" si="245"/>
        <v>Yes</v>
      </c>
      <c r="P978" s="41">
        <v>2.4</v>
      </c>
      <c r="Q978" s="41">
        <v>292</v>
      </c>
      <c r="R978" s="42">
        <f t="shared" si="246"/>
        <v>121.666666666667</v>
      </c>
      <c r="S978" s="37">
        <v>4</v>
      </c>
      <c r="T978" s="37" t="s">
        <v>1034</v>
      </c>
      <c r="U978" s="43" t="str">
        <f t="shared" si="247"/>
        <v>27/01/2024</v>
      </c>
      <c r="V978" s="43">
        <f t="shared" si="248"/>
        <v>45318</v>
      </c>
      <c r="W978" s="44">
        <f t="array" ref="W978">_xlfn.IFS(TRIM(C978)="","",TRIM(V978)="","",TRUE,V978-C978)</f>
        <v>3</v>
      </c>
      <c r="X978" s="37">
        <f t="shared" si="249"/>
        <v>-1</v>
      </c>
      <c r="Y978" s="37" t="s">
        <v>219</v>
      </c>
      <c r="Z978" s="37" t="str">
        <f t="shared" si="250"/>
        <v>delivered</v>
      </c>
      <c r="AA978" s="37" t="str">
        <f t="shared" si="251"/>
        <v>On Time</v>
      </c>
      <c r="AB978" s="37" t="str">
        <f t="shared" si="254"/>
        <v>0</v>
      </c>
      <c r="AC978" s="37">
        <f t="shared" si="255"/>
        <v>0</v>
      </c>
      <c r="AD978" s="45">
        <f t="shared" si="253"/>
        <v>0.508090614886731</v>
      </c>
      <c r="AE978" s="37">
        <v>3</v>
      </c>
      <c r="AF978" s="37" t="s">
        <v>191</v>
      </c>
      <c r="AG978" s="37" t="str">
        <f t="shared" si="252"/>
        <v>no</v>
      </c>
      <c r="AH978" s="37" t="str">
        <f t="array" ref="AH978">_xlfn.IFS(LOWER(AG978)="n","no",LOWER(AG978)="y","yes",TRUE,LOWER(AG978))</f>
        <v>no</v>
      </c>
      <c r="AI978" s="37" t="s">
        <v>4692</v>
      </c>
    </row>
    <row r="979" spans="1:35">
      <c r="A979" s="46" t="s">
        <v>3352</v>
      </c>
      <c r="B979" s="47" t="s">
        <v>4764</v>
      </c>
      <c r="C979" s="39">
        <f t="shared" si="240"/>
        <v>45390</v>
      </c>
      <c r="D979" s="48" t="s">
        <v>366</v>
      </c>
      <c r="E979" s="37" t="str" cm="1">
        <f t="array" ref="E979">_xlfn.IFS(D979="delhi","north",D979="mumbai","west",D979="bengaluru","south",D979="chennai","south",D979="kolkata","east",TRUE,"west")</f>
        <v>east</v>
      </c>
      <c r="F979" s="46" t="s">
        <v>175</v>
      </c>
      <c r="G979" s="37" t="str">
        <f t="shared" si="241"/>
        <v>ecomexpress</v>
      </c>
      <c r="H979" s="46" t="s">
        <v>147</v>
      </c>
      <c r="I979" s="37" t="str">
        <f t="shared" si="242"/>
        <v>road</v>
      </c>
      <c r="J979" s="46" t="s">
        <v>177</v>
      </c>
      <c r="K979" s="37" t="str">
        <f t="shared" si="243"/>
        <v>pharma</v>
      </c>
      <c r="L979" s="46" t="s">
        <v>92</v>
      </c>
      <c r="M979" s="37" t="str">
        <f t="shared" si="244"/>
        <v>east</v>
      </c>
      <c r="N979" s="46" t="s">
        <v>396</v>
      </c>
      <c r="O979" s="41" t="str">
        <f t="shared" si="245"/>
        <v>Yes</v>
      </c>
      <c r="P979" s="49">
        <v>4.9</v>
      </c>
      <c r="Q979" s="49">
        <v>95</v>
      </c>
      <c r="R979" s="42">
        <f t="shared" si="246"/>
        <v>19.3877551020408</v>
      </c>
      <c r="S979" s="46">
        <v>6</v>
      </c>
      <c r="T979" s="46" t="s">
        <v>3354</v>
      </c>
      <c r="U979" s="43" t="str">
        <f t="shared" si="247"/>
        <v>13-apr-2024</v>
      </c>
      <c r="V979" s="43">
        <f t="shared" si="248"/>
        <v>45395</v>
      </c>
      <c r="W979" s="44">
        <f t="array" ref="W979">_xlfn.IFS(TRIM(C979)="","",TRIM(V979)="","",TRUE,V979-C979)</f>
        <v>5</v>
      </c>
      <c r="X979" s="37">
        <f t="shared" si="249"/>
        <v>-1</v>
      </c>
      <c r="Y979" s="46" t="s">
        <v>105</v>
      </c>
      <c r="Z979" s="37" t="str">
        <f t="shared" si="250"/>
        <v>delivered</v>
      </c>
      <c r="AA979" s="37" t="str">
        <f t="shared" si="251"/>
        <v>On Time</v>
      </c>
      <c r="AB979" s="37" t="str">
        <f t="shared" si="254"/>
        <v>0</v>
      </c>
      <c r="AC979" s="37">
        <f t="shared" si="255"/>
        <v>0</v>
      </c>
      <c r="AD979" s="45">
        <f t="shared" si="253"/>
        <v>0.508914100486224</v>
      </c>
      <c r="AE979" s="46">
        <v>4</v>
      </c>
      <c r="AF979" s="46" t="s">
        <v>191</v>
      </c>
      <c r="AG979" s="37" t="str">
        <f t="shared" si="252"/>
        <v>no</v>
      </c>
      <c r="AH979" s="37" t="str">
        <f t="array" ref="AH979">_xlfn.IFS(LOWER(AG979)="n","no",LOWER(AG979)="y","yes",TRUE,LOWER(AG979))</f>
        <v>no</v>
      </c>
      <c r="AI979" s="46" t="s">
        <v>4692</v>
      </c>
    </row>
    <row r="980" spans="1:35">
      <c r="A980" s="37" t="s">
        <v>3355</v>
      </c>
      <c r="B980" s="38" t="s">
        <v>4839</v>
      </c>
      <c r="C980" s="39">
        <f t="shared" si="240"/>
        <v>45372</v>
      </c>
      <c r="D980" s="40" t="s">
        <v>424</v>
      </c>
      <c r="E980" s="37" t="str" cm="1">
        <f t="array" ref="E980">_xlfn.IFS(D980="delhi","north",D980="mumbai","west",D980="bengaluru","south",D980="chennai","south",D980="kolkata","east",TRUE,"west")</f>
        <v>south</v>
      </c>
      <c r="F980" s="37" t="s">
        <v>213</v>
      </c>
      <c r="G980" s="37" t="str">
        <f t="shared" si="241"/>
        <v>dtdc</v>
      </c>
      <c r="H980" s="37" t="s">
        <v>195</v>
      </c>
      <c r="I980" s="37" t="str">
        <f t="shared" si="242"/>
        <v>road</v>
      </c>
      <c r="J980" s="37" t="s">
        <v>158</v>
      </c>
      <c r="K980" s="37" t="str">
        <f t="shared" si="243"/>
        <v>pharma</v>
      </c>
      <c r="L980" s="37" t="s">
        <v>139</v>
      </c>
      <c r="M980" s="37" t="str">
        <f t="shared" si="244"/>
        <v>north</v>
      </c>
      <c r="N980" s="37" t="s">
        <v>354</v>
      </c>
      <c r="O980" s="41" t="str">
        <f t="shared" si="245"/>
        <v>Yes</v>
      </c>
      <c r="P980" s="41">
        <v>1.7</v>
      </c>
      <c r="Q980" s="41" t="s">
        <v>3356</v>
      </c>
      <c r="R980" s="42">
        <f t="shared" si="246"/>
        <v>110</v>
      </c>
      <c r="S980" s="37">
        <v>8</v>
      </c>
      <c r="T980" s="37" t="s">
        <v>2494</v>
      </c>
      <c r="U980" s="43" t="str">
        <f t="shared" si="247"/>
        <v>2024-04-03</v>
      </c>
      <c r="V980" s="43">
        <f t="shared" si="248"/>
        <v>45385</v>
      </c>
      <c r="W980" s="44">
        <f t="array" ref="W980">_xlfn.IFS(TRIM(C980)="","",TRIM(V980)="","",TRUE,V980-C980)</f>
        <v>13</v>
      </c>
      <c r="X980" s="37">
        <f t="shared" si="249"/>
        <v>5</v>
      </c>
      <c r="Y980" s="37" t="s">
        <v>143</v>
      </c>
      <c r="Z980" s="37" t="str">
        <f t="shared" si="250"/>
        <v>delayed</v>
      </c>
      <c r="AA980" s="37" t="str">
        <f t="shared" si="251"/>
        <v>Late</v>
      </c>
      <c r="AB980" s="37" t="str">
        <f t="shared" si="254"/>
        <v>1</v>
      </c>
      <c r="AC980" s="37">
        <f t="shared" si="255"/>
        <v>1</v>
      </c>
      <c r="AD980" s="45">
        <f t="shared" si="253"/>
        <v>0.50974025974026</v>
      </c>
      <c r="AE980" s="37">
        <v>3</v>
      </c>
      <c r="AF980" s="37" t="s">
        <v>118</v>
      </c>
      <c r="AG980" s="37" t="str">
        <f t="shared" si="252"/>
        <v>no</v>
      </c>
      <c r="AH980" s="37" t="str">
        <f t="array" ref="AH980">_xlfn.IFS(LOWER(AG980)="n","no",LOWER(AG980)="y","yes",TRUE,LOWER(AG980))</f>
        <v>no</v>
      </c>
      <c r="AI980" s="37" t="s">
        <v>4692</v>
      </c>
    </row>
    <row r="981" spans="1:35">
      <c r="A981" s="46" t="s">
        <v>3357</v>
      </c>
      <c r="B981" s="47" t="s">
        <v>4717</v>
      </c>
      <c r="C981" s="39">
        <f t="shared" si="240"/>
        <v>45364</v>
      </c>
      <c r="D981" s="48" t="s">
        <v>366</v>
      </c>
      <c r="E981" s="37" t="str" cm="1">
        <f t="array" ref="E981">_xlfn.IFS(D981="delhi","north",D981="mumbai","west",D981="bengaluru","south",D981="chennai","south",D981="kolkata","east",TRUE,"west")</f>
        <v>east</v>
      </c>
      <c r="F981" s="46" t="s">
        <v>122</v>
      </c>
      <c r="G981" s="37" t="str">
        <f t="shared" si="241"/>
        <v>delhivery</v>
      </c>
      <c r="H981" s="46" t="s">
        <v>325</v>
      </c>
      <c r="I981" s="37" t="str">
        <f t="shared" si="242"/>
        <v>air</v>
      </c>
      <c r="J981" s="46" t="s">
        <v>385</v>
      </c>
      <c r="K981" s="37" t="str">
        <f t="shared" si="243"/>
        <v>furniture</v>
      </c>
      <c r="L981" s="46" t="s">
        <v>470</v>
      </c>
      <c r="M981" s="37" t="str">
        <f t="shared" si="244"/>
        <v>east</v>
      </c>
      <c r="N981" s="46" t="s">
        <v>126</v>
      </c>
      <c r="O981" s="41" t="str">
        <f t="shared" si="245"/>
        <v>Yes</v>
      </c>
      <c r="P981" s="49">
        <v>74.7</v>
      </c>
      <c r="Q981" s="49">
        <v>3376</v>
      </c>
      <c r="R981" s="42">
        <f t="shared" si="246"/>
        <v>45.194109772423</v>
      </c>
      <c r="S981" s="46">
        <v>2</v>
      </c>
      <c r="T981" s="46" t="s">
        <v>165</v>
      </c>
      <c r="U981" s="43" t="str">
        <f t="shared" si="247"/>
        <v>14-mar-2024</v>
      </c>
      <c r="V981" s="43">
        <f t="shared" si="248"/>
        <v>45365</v>
      </c>
      <c r="W981" s="44">
        <f t="array" ref="W981">_xlfn.IFS(TRIM(C981)="","",TRIM(V981)="","",TRUE,V981-C981)</f>
        <v>1</v>
      </c>
      <c r="X981" s="37">
        <f t="shared" si="249"/>
        <v>-1</v>
      </c>
      <c r="Y981" s="46" t="s">
        <v>117</v>
      </c>
      <c r="Z981" s="37" t="str">
        <f t="shared" si="250"/>
        <v>delivered</v>
      </c>
      <c r="AA981" s="37" t="str">
        <f t="shared" si="251"/>
        <v>On Time</v>
      </c>
      <c r="AB981" s="37" t="str">
        <f t="shared" si="254"/>
        <v>0</v>
      </c>
      <c r="AC981" s="37">
        <f t="shared" si="255"/>
        <v>0</v>
      </c>
      <c r="AD981" s="45">
        <f t="shared" si="253"/>
        <v>0.508943089430894</v>
      </c>
      <c r="AE981" s="46">
        <v>5</v>
      </c>
      <c r="AF981" s="46" t="s">
        <v>79</v>
      </c>
      <c r="AG981" s="37" t="str">
        <f t="shared" si="252"/>
        <v>yes</v>
      </c>
      <c r="AH981" s="37" t="str">
        <f t="array" ref="AH981">_xlfn.IFS(LOWER(AG981)="n","no",LOWER(AG981)="y","yes",TRUE,LOWER(AG981))</f>
        <v>yes</v>
      </c>
      <c r="AI981" s="46" t="s">
        <v>4692</v>
      </c>
    </row>
    <row r="982" spans="1:35">
      <c r="A982" s="37" t="s">
        <v>3360</v>
      </c>
      <c r="B982" s="38">
        <v>45413</v>
      </c>
      <c r="C982" s="39">
        <f t="shared" si="240"/>
        <v>45413</v>
      </c>
      <c r="D982" s="40" t="s">
        <v>121</v>
      </c>
      <c r="E982" s="37" t="str" cm="1">
        <f t="array" ref="E982">_xlfn.IFS(D982="delhi","north",D982="mumbai","west",D982="bengaluru","south",D982="chennai","south",D982="kolkata","east",TRUE,"west")</f>
        <v>west</v>
      </c>
      <c r="F982" s="37" t="s">
        <v>184</v>
      </c>
      <c r="G982" s="37" t="str">
        <f t="shared" si="241"/>
        <v>ecomexpress</v>
      </c>
      <c r="H982" s="37" t="s">
        <v>99</v>
      </c>
      <c r="I982" s="37" t="str">
        <f t="shared" si="242"/>
        <v>air</v>
      </c>
      <c r="J982" s="37" t="s">
        <v>138</v>
      </c>
      <c r="K982" s="37" t="str">
        <f t="shared" si="243"/>
        <v>apparel</v>
      </c>
      <c r="L982" s="37" t="s">
        <v>334</v>
      </c>
      <c r="M982" s="37" t="str">
        <f t="shared" si="244"/>
        <v>north</v>
      </c>
      <c r="N982" s="37" t="s">
        <v>354</v>
      </c>
      <c r="O982" s="41" t="str">
        <f t="shared" si="245"/>
        <v>Yes</v>
      </c>
      <c r="P982" s="41">
        <v>6.8</v>
      </c>
      <c r="Q982" s="41">
        <v>333</v>
      </c>
      <c r="R982" s="42">
        <f t="shared" si="246"/>
        <v>48.9705882352941</v>
      </c>
      <c r="S982" s="37">
        <v>2</v>
      </c>
      <c r="T982" s="37" t="s">
        <v>1758</v>
      </c>
      <c r="U982" s="43" t="str">
        <f t="shared" si="247"/>
        <v>05/05/2024</v>
      </c>
      <c r="V982" s="43">
        <f t="shared" si="248"/>
        <v>45417</v>
      </c>
      <c r="W982" s="44">
        <f t="array" ref="W982">_xlfn.IFS(TRIM(C982)="","",TRIM(V982)="","",TRUE,V982-C982)</f>
        <v>4</v>
      </c>
      <c r="X982" s="37">
        <f t="shared" si="249"/>
        <v>2</v>
      </c>
      <c r="Y982" s="37" t="s">
        <v>72</v>
      </c>
      <c r="Z982" s="37" t="str">
        <f t="shared" si="250"/>
        <v>delayed</v>
      </c>
      <c r="AA982" s="37" t="str">
        <f t="shared" si="251"/>
        <v>Late</v>
      </c>
      <c r="AB982" s="37" t="str">
        <f t="shared" si="254"/>
        <v>1</v>
      </c>
      <c r="AC982" s="37">
        <f t="shared" si="255"/>
        <v>1</v>
      </c>
      <c r="AD982" s="45">
        <f t="shared" si="253"/>
        <v>0.509771986970684</v>
      </c>
      <c r="AE982" s="37">
        <v>5</v>
      </c>
      <c r="AF982" s="37" t="s">
        <v>79</v>
      </c>
      <c r="AG982" s="37" t="str">
        <f t="shared" si="252"/>
        <v>yes</v>
      </c>
      <c r="AH982" s="37" t="str">
        <f t="array" ref="AH982">_xlfn.IFS(LOWER(AG982)="n","no",LOWER(AG982)="y","yes",TRUE,LOWER(AG982))</f>
        <v>yes</v>
      </c>
      <c r="AI982" s="37" t="s">
        <v>4692</v>
      </c>
    </row>
    <row r="983" spans="1:35">
      <c r="A983" s="46" t="s">
        <v>3364</v>
      </c>
      <c r="B983" s="47">
        <v>45346</v>
      </c>
      <c r="C983" s="39">
        <f t="shared" si="240"/>
        <v>45346</v>
      </c>
      <c r="D983" s="48" t="s">
        <v>4694</v>
      </c>
      <c r="E983" s="37" t="str" cm="1">
        <f t="array" ref="E983">_xlfn.IFS(D983="delhi","north",D983="mumbai","west",D983="bengaluru","south",D983="chennai","south",D983="kolkata","east",TRUE,"west")</f>
        <v>west</v>
      </c>
      <c r="F983" s="46" t="s">
        <v>213</v>
      </c>
      <c r="G983" s="37" t="str">
        <f t="shared" si="241"/>
        <v>dtdc</v>
      </c>
      <c r="H983" s="46" t="s">
        <v>176</v>
      </c>
      <c r="I983" s="37" t="str">
        <f t="shared" si="242"/>
        <v>road</v>
      </c>
      <c r="J983" s="46" t="s">
        <v>263</v>
      </c>
      <c r="K983" s="37" t="str">
        <f t="shared" si="243"/>
        <v>apparel</v>
      </c>
      <c r="L983" s="46" t="s">
        <v>264</v>
      </c>
      <c r="M983" s="37" t="str">
        <f t="shared" si="244"/>
        <v>west</v>
      </c>
      <c r="N983" s="46" t="s">
        <v>187</v>
      </c>
      <c r="O983" s="41" t="str">
        <f t="shared" si="245"/>
        <v>Yes</v>
      </c>
      <c r="P983" s="49">
        <v>3.3</v>
      </c>
      <c r="Q983" s="49" t="s">
        <v>2896</v>
      </c>
      <c r="R983" s="42">
        <f t="shared" si="246"/>
        <v>59.6969696969697</v>
      </c>
      <c r="S983" s="46">
        <v>8</v>
      </c>
      <c r="T983" s="46" t="s">
        <v>1337</v>
      </c>
      <c r="U983" s="43" t="str">
        <f t="shared" si="247"/>
        <v>2024-03-02</v>
      </c>
      <c r="V983" s="43">
        <f t="shared" si="248"/>
        <v>45353</v>
      </c>
      <c r="W983" s="44">
        <f t="array" ref="W983">_xlfn.IFS(TRIM(C983)="","",TRIM(V983)="","",TRUE,V983-C983)</f>
        <v>7</v>
      </c>
      <c r="X983" s="37">
        <f t="shared" si="249"/>
        <v>-1</v>
      </c>
      <c r="Y983" s="46" t="s">
        <v>163</v>
      </c>
      <c r="Z983" s="37" t="str">
        <f t="shared" si="250"/>
        <v>delivered</v>
      </c>
      <c r="AA983" s="37" t="str">
        <f t="shared" si="251"/>
        <v>On Time</v>
      </c>
      <c r="AB983" s="37" t="str">
        <f t="shared" si="254"/>
        <v>0</v>
      </c>
      <c r="AC983" s="37">
        <f t="shared" si="255"/>
        <v>0</v>
      </c>
      <c r="AD983" s="45">
        <f t="shared" si="253"/>
        <v>0.508972267536705</v>
      </c>
      <c r="AE983" s="46">
        <v>4</v>
      </c>
      <c r="AF983" s="46" t="s">
        <v>191</v>
      </c>
      <c r="AG983" s="37" t="str">
        <f t="shared" si="252"/>
        <v>no</v>
      </c>
      <c r="AH983" s="37" t="str">
        <f t="array" ref="AH983">_xlfn.IFS(LOWER(AG983)="n","no",LOWER(AG983)="y","yes",TRUE,LOWER(AG983))</f>
        <v>no</v>
      </c>
      <c r="AI983" s="46" t="s">
        <v>4692</v>
      </c>
    </row>
    <row r="984" spans="1:35">
      <c r="A984" s="37" t="s">
        <v>3367</v>
      </c>
      <c r="B984" s="38">
        <v>45316</v>
      </c>
      <c r="C984" s="39">
        <f t="shared" si="240"/>
        <v>45316</v>
      </c>
      <c r="D984" s="40" t="s">
        <v>633</v>
      </c>
      <c r="E984" s="37" t="str" cm="1">
        <f t="array" ref="E984">_xlfn.IFS(D984="delhi","north",D984="mumbai","west",D984="bengaluru","south",D984="chennai","south",D984="kolkata","east",TRUE,"west")</f>
        <v>south</v>
      </c>
      <c r="F984" s="37" t="s">
        <v>122</v>
      </c>
      <c r="G984" s="37" t="str">
        <f t="shared" si="241"/>
        <v>delhivery</v>
      </c>
      <c r="H984" s="37" t="s">
        <v>137</v>
      </c>
      <c r="I984" s="37" t="str">
        <f t="shared" si="242"/>
        <v>road</v>
      </c>
      <c r="J984" s="37" t="s">
        <v>186</v>
      </c>
      <c r="K984" s="37" t="str">
        <f t="shared" si="243"/>
        <v>automotiveparts</v>
      </c>
      <c r="L984" s="37" t="s">
        <v>139</v>
      </c>
      <c r="M984" s="37" t="str">
        <f t="shared" si="244"/>
        <v>north</v>
      </c>
      <c r="N984" s="37" t="s">
        <v>354</v>
      </c>
      <c r="O984" s="41" t="str">
        <f t="shared" si="245"/>
        <v>Yes</v>
      </c>
      <c r="P984" s="41">
        <v>35.3</v>
      </c>
      <c r="Q984" s="41" t="s">
        <v>3369</v>
      </c>
      <c r="R984" s="42">
        <f t="shared" si="246"/>
        <v>18.9518413597734</v>
      </c>
      <c r="S984" s="37">
        <v>8</v>
      </c>
      <c r="T984" s="37" t="s">
        <v>3048</v>
      </c>
      <c r="U984" s="43" t="str">
        <f t="shared" si="247"/>
        <v>02-feb-2024</v>
      </c>
      <c r="V984" s="43">
        <f t="shared" si="248"/>
        <v>45324</v>
      </c>
      <c r="W984" s="44">
        <f t="array" ref="W984">_xlfn.IFS(TRIM(C984)="","",TRIM(V984)="","",TRUE,V984-C984)</f>
        <v>8</v>
      </c>
      <c r="X984" s="37">
        <f t="shared" si="249"/>
        <v>0</v>
      </c>
      <c r="Y984" s="37" t="s">
        <v>163</v>
      </c>
      <c r="Z984" s="37" t="str">
        <f t="shared" si="250"/>
        <v>delivered</v>
      </c>
      <c r="AA984" s="37" t="str">
        <f t="shared" si="251"/>
        <v>On Time</v>
      </c>
      <c r="AB984" s="37" t="str">
        <f t="shared" si="254"/>
        <v>0</v>
      </c>
      <c r="AC984" s="37">
        <f t="shared" si="255"/>
        <v>0</v>
      </c>
      <c r="AD984" s="45">
        <f t="shared" si="253"/>
        <v>0.509803921568627</v>
      </c>
      <c r="AE984" s="37">
        <v>4</v>
      </c>
      <c r="AF984" s="37" t="s">
        <v>152</v>
      </c>
      <c r="AG984" s="37" t="str">
        <f t="shared" si="252"/>
        <v>no</v>
      </c>
      <c r="AH984" s="37" t="str">
        <f t="array" ref="AH984">_xlfn.IFS(LOWER(AG984)="n","no",LOWER(AG984)="y","yes",TRUE,LOWER(AG984))</f>
        <v>no</v>
      </c>
      <c r="AI984" s="37" t="s">
        <v>4692</v>
      </c>
    </row>
    <row r="985" spans="1:35">
      <c r="A985" s="46" t="s">
        <v>3370</v>
      </c>
      <c r="B985" s="47">
        <v>45433</v>
      </c>
      <c r="C985" s="39">
        <f t="shared" si="240"/>
        <v>45433</v>
      </c>
      <c r="D985" s="48" t="s">
        <v>4695</v>
      </c>
      <c r="E985" s="37" t="str" cm="1">
        <f t="array" ref="E985">_xlfn.IFS(D985="delhi","north",D985="mumbai","west",D985="bengaluru","south",D985="chennai","south",D985="kolkata","east",TRUE,"west")</f>
        <v>west</v>
      </c>
      <c r="F985" s="46" t="s">
        <v>367</v>
      </c>
      <c r="G985" s="37" t="str">
        <f t="shared" si="241"/>
        <v>dtdc</v>
      </c>
      <c r="H985" s="46" t="s">
        <v>99</v>
      </c>
      <c r="I985" s="37" t="str">
        <f t="shared" si="242"/>
        <v>air</v>
      </c>
      <c r="J985" s="46" t="s">
        <v>458</v>
      </c>
      <c r="K985" s="37" t="str">
        <f t="shared" si="243"/>
        <v>electronics</v>
      </c>
      <c r="L985" s="46" t="s">
        <v>89</v>
      </c>
      <c r="M985" s="37" t="str">
        <f t="shared" si="244"/>
        <v>west</v>
      </c>
      <c r="N985" s="46" t="s">
        <v>187</v>
      </c>
      <c r="O985" s="41" t="str">
        <f t="shared" si="245"/>
        <v>Yes</v>
      </c>
      <c r="P985" s="49">
        <v>2.3</v>
      </c>
      <c r="Q985" s="49">
        <v>107</v>
      </c>
      <c r="R985" s="42">
        <f t="shared" si="246"/>
        <v>46.5217391304348</v>
      </c>
      <c r="S985" s="46">
        <v>2</v>
      </c>
      <c r="T985" s="46" t="s">
        <v>1105</v>
      </c>
      <c r="U985" s="43" t="str">
        <f t="shared" si="247"/>
        <v>25-may-2024</v>
      </c>
      <c r="V985" s="43">
        <f t="shared" si="248"/>
        <v>45437</v>
      </c>
      <c r="W985" s="44">
        <f t="array" ref="W985">_xlfn.IFS(TRIM(C985)="","",TRIM(V985)="","",TRUE,V985-C985)</f>
        <v>4</v>
      </c>
      <c r="X985" s="37">
        <f t="shared" si="249"/>
        <v>2</v>
      </c>
      <c r="Y985" s="46" t="s">
        <v>172</v>
      </c>
      <c r="Z985" s="37" t="str">
        <f t="shared" si="250"/>
        <v>delayed</v>
      </c>
      <c r="AA985" s="37" t="str">
        <f t="shared" si="251"/>
        <v>Late</v>
      </c>
      <c r="AB985" s="37" t="str">
        <f t="shared" si="254"/>
        <v>1</v>
      </c>
      <c r="AC985" s="37">
        <f t="shared" si="255"/>
        <v>1</v>
      </c>
      <c r="AD985" s="45">
        <f t="shared" si="253"/>
        <v>0.51063829787234</v>
      </c>
      <c r="AE985" s="46">
        <v>3</v>
      </c>
      <c r="AF985" s="46" t="s">
        <v>191</v>
      </c>
      <c r="AG985" s="37" t="str">
        <f t="shared" si="252"/>
        <v>no</v>
      </c>
      <c r="AH985" s="37" t="str">
        <f t="array" ref="AH985">_xlfn.IFS(LOWER(AG985)="n","no",LOWER(AG985)="y","yes",TRUE,LOWER(AG985))</f>
        <v>no</v>
      </c>
      <c r="AI985" s="46" t="s">
        <v>4692</v>
      </c>
    </row>
    <row r="986" spans="1:35">
      <c r="A986" s="37" t="s">
        <v>3372</v>
      </c>
      <c r="B986" s="38">
        <v>45404</v>
      </c>
      <c r="C986" s="39">
        <f t="shared" si="240"/>
        <v>45404</v>
      </c>
      <c r="D986" s="40" t="s">
        <v>222</v>
      </c>
      <c r="E986" s="37" t="str" cm="1">
        <f t="array" ref="E986">_xlfn.IFS(D986="delhi","north",D986="mumbai","west",D986="bengaluru","south",D986="chennai","south",D986="kolkata","east",TRUE,"west")</f>
        <v>west</v>
      </c>
      <c r="F986" s="37" t="s">
        <v>544</v>
      </c>
      <c r="G986" s="37" t="str">
        <f t="shared" si="241"/>
        <v>bluedart</v>
      </c>
      <c r="H986" s="37" t="s">
        <v>110</v>
      </c>
      <c r="I986" s="37" t="str">
        <f t="shared" si="242"/>
        <v>surface</v>
      </c>
      <c r="J986" s="37" t="s">
        <v>319</v>
      </c>
      <c r="K986" s="37" t="str">
        <f t="shared" si="243"/>
        <v>electronics</v>
      </c>
      <c r="L986" s="37" t="s">
        <v>101</v>
      </c>
      <c r="M986" s="37" t="str">
        <f t="shared" si="244"/>
        <v>west</v>
      </c>
      <c r="N986" s="37" t="s">
        <v>278</v>
      </c>
      <c r="O986" s="41" t="str">
        <f t="shared" si="245"/>
        <v>Yes</v>
      </c>
      <c r="P986" s="41">
        <v>8</v>
      </c>
      <c r="Q986" s="41" t="s">
        <v>3374</v>
      </c>
      <c r="R986" s="42">
        <f t="shared" si="246"/>
        <v>20.5</v>
      </c>
      <c r="S986" s="37">
        <v>4</v>
      </c>
      <c r="T986" s="37" t="s">
        <v>151</v>
      </c>
      <c r="U986" s="43" t="str">
        <f t="shared" si="247"/>
        <v>25/04/2024</v>
      </c>
      <c r="V986" s="43">
        <f t="shared" si="248"/>
        <v>45407</v>
      </c>
      <c r="W986" s="44">
        <f t="array" ref="W986">_xlfn.IFS(TRIM(C986)="","",TRIM(V986)="","",TRUE,V986-C986)</f>
        <v>3</v>
      </c>
      <c r="X986" s="37">
        <f t="shared" si="249"/>
        <v>-1</v>
      </c>
      <c r="Y986" s="37" t="s">
        <v>105</v>
      </c>
      <c r="Z986" s="37" t="str">
        <f t="shared" si="250"/>
        <v>delivered</v>
      </c>
      <c r="AA986" s="37" t="str">
        <f t="shared" si="251"/>
        <v>On Time</v>
      </c>
      <c r="AB986" s="37" t="str">
        <f t="shared" si="254"/>
        <v>0</v>
      </c>
      <c r="AC986" s="37">
        <f t="shared" si="255"/>
        <v>0</v>
      </c>
      <c r="AD986" s="45">
        <f t="shared" si="253"/>
        <v>0.50983606557377</v>
      </c>
      <c r="AE986" s="37">
        <v>3</v>
      </c>
      <c r="AF986" s="37" t="s">
        <v>152</v>
      </c>
      <c r="AG986" s="37" t="str">
        <f t="shared" si="252"/>
        <v>no</v>
      </c>
      <c r="AH986" s="37" t="str">
        <f t="array" ref="AH986">_xlfn.IFS(LOWER(AG986)="n","no",LOWER(AG986)="y","yes",TRUE,LOWER(AG986))</f>
        <v>no</v>
      </c>
      <c r="AI986" s="37" t="s">
        <v>4692</v>
      </c>
    </row>
    <row r="987" spans="1:35">
      <c r="A987" s="46" t="s">
        <v>3375</v>
      </c>
      <c r="B987" s="47" t="s">
        <v>4696</v>
      </c>
      <c r="C987" s="39">
        <f t="shared" si="240"/>
        <v>45293</v>
      </c>
      <c r="D987" s="48" t="s">
        <v>633</v>
      </c>
      <c r="E987" s="37" t="str" cm="1">
        <f t="array" ref="E987">_xlfn.IFS(D987="delhi","north",D987="mumbai","west",D987="bengaluru","south",D987="chennai","south",D987="kolkata","east",TRUE,"west")</f>
        <v>south</v>
      </c>
      <c r="F987" s="46" t="s">
        <v>230</v>
      </c>
      <c r="G987" s="37" t="str">
        <f t="shared" si="241"/>
        <v>dtdc</v>
      </c>
      <c r="H987" s="46" t="s">
        <v>147</v>
      </c>
      <c r="I987" s="37" t="str">
        <f t="shared" si="242"/>
        <v>road</v>
      </c>
      <c r="J987" s="46" t="s">
        <v>277</v>
      </c>
      <c r="K987" s="37" t="str">
        <f t="shared" si="243"/>
        <v>apparel</v>
      </c>
      <c r="L987" s="46" t="s">
        <v>302</v>
      </c>
      <c r="M987" s="37" t="str">
        <f t="shared" si="244"/>
        <v>east</v>
      </c>
      <c r="N987" s="46" t="s">
        <v>294</v>
      </c>
      <c r="O987" s="41" t="str">
        <f t="shared" si="245"/>
        <v>Yes</v>
      </c>
      <c r="P987" s="49">
        <v>1.3</v>
      </c>
      <c r="Q987" s="49">
        <v>214</v>
      </c>
      <c r="R987" s="42">
        <f t="shared" si="246"/>
        <v>164.615384615385</v>
      </c>
      <c r="S987" s="46">
        <v>8</v>
      </c>
      <c r="T987" s="46" t="s">
        <v>3377</v>
      </c>
      <c r="U987" s="43" t="str">
        <f t="shared" si="247"/>
        <v>18/01/2024</v>
      </c>
      <c r="V987" s="43">
        <f t="shared" si="248"/>
        <v>45309</v>
      </c>
      <c r="W987" s="44">
        <f t="array" ref="W987">_xlfn.IFS(TRIM(C987)="","",TRIM(V987)="","",TRUE,V987-C987)</f>
        <v>16</v>
      </c>
      <c r="X987" s="37">
        <f t="shared" si="249"/>
        <v>8</v>
      </c>
      <c r="Y987" s="46" t="s">
        <v>172</v>
      </c>
      <c r="Z987" s="37" t="str">
        <f t="shared" si="250"/>
        <v>delayed</v>
      </c>
      <c r="AA987" s="37" t="str">
        <f t="shared" si="251"/>
        <v>Late</v>
      </c>
      <c r="AB987" s="37" t="str">
        <f t="shared" si="254"/>
        <v>1</v>
      </c>
      <c r="AC987" s="37">
        <f t="shared" si="255"/>
        <v>1</v>
      </c>
      <c r="AD987" s="45">
        <f t="shared" si="253"/>
        <v>0.510673234811166</v>
      </c>
      <c r="AE987" s="46">
        <v>2</v>
      </c>
      <c r="AF987" s="46" t="s">
        <v>152</v>
      </c>
      <c r="AG987" s="37" t="str">
        <f t="shared" si="252"/>
        <v>no</v>
      </c>
      <c r="AH987" s="37" t="str">
        <f t="array" ref="AH987">_xlfn.IFS(LOWER(AG987)="n","no",LOWER(AG987)="y","yes",TRUE,LOWER(AG987))</f>
        <v>no</v>
      </c>
      <c r="AI987" s="46" t="s">
        <v>4692</v>
      </c>
    </row>
    <row r="988" spans="1:35">
      <c r="A988" s="37" t="s">
        <v>3378</v>
      </c>
      <c r="B988" s="38">
        <v>45396</v>
      </c>
      <c r="C988" s="39">
        <f t="shared" si="240"/>
        <v>45396</v>
      </c>
      <c r="D988" s="40" t="s">
        <v>166</v>
      </c>
      <c r="E988" s="37" t="str" cm="1">
        <f t="array" ref="E988">_xlfn.IFS(D988="delhi","north",D988="mumbai","west",D988="bengaluru","south",D988="chennai","south",D988="kolkata","east",TRUE,"west")</f>
        <v>west</v>
      </c>
      <c r="F988" s="37" t="s">
        <v>98</v>
      </c>
      <c r="G988" s="37" t="str">
        <f t="shared" si="241"/>
        <v>dtdc</v>
      </c>
      <c r="H988" s="37" t="s">
        <v>110</v>
      </c>
      <c r="I988" s="37" t="str">
        <f t="shared" si="242"/>
        <v>surface</v>
      </c>
      <c r="J988" s="37" t="s">
        <v>158</v>
      </c>
      <c r="K988" s="37" t="str">
        <f t="shared" si="243"/>
        <v>pharma</v>
      </c>
      <c r="L988" s="37" t="s">
        <v>159</v>
      </c>
      <c r="M988" s="37" t="str">
        <f t="shared" si="244"/>
        <v>south</v>
      </c>
      <c r="N988" s="37" t="s">
        <v>327</v>
      </c>
      <c r="O988" s="41" t="str">
        <f t="shared" si="245"/>
        <v>Yes</v>
      </c>
      <c r="P988" s="41" t="s">
        <v>2560</v>
      </c>
      <c r="Q988" s="41" t="s">
        <v>1082</v>
      </c>
      <c r="R988" s="42">
        <f t="shared" si="246"/>
        <v>73.5</v>
      </c>
      <c r="S988" s="37">
        <v>6</v>
      </c>
      <c r="T988" s="37" t="s">
        <v>891</v>
      </c>
      <c r="U988" s="43" t="str">
        <f t="shared" si="247"/>
        <v>20/04/2024</v>
      </c>
      <c r="V988" s="43">
        <f t="shared" si="248"/>
        <v>45402</v>
      </c>
      <c r="W988" s="44">
        <f t="array" ref="W988">_xlfn.IFS(TRIM(C988)="","",TRIM(V988)="","",TRUE,V988-C988)</f>
        <v>6</v>
      </c>
      <c r="X988" s="37">
        <f t="shared" si="249"/>
        <v>0</v>
      </c>
      <c r="Y988" s="37" t="s">
        <v>163</v>
      </c>
      <c r="Z988" s="37" t="str">
        <f t="shared" si="250"/>
        <v>delivered</v>
      </c>
      <c r="AA988" s="37" t="str">
        <f t="shared" si="251"/>
        <v>On Time</v>
      </c>
      <c r="AB988" s="37" t="str">
        <f t="shared" si="254"/>
        <v>0</v>
      </c>
      <c r="AC988" s="37">
        <f t="shared" si="255"/>
        <v>0</v>
      </c>
      <c r="AD988" s="45">
        <f t="shared" si="253"/>
        <v>0.509868421052632</v>
      </c>
      <c r="AE988" s="37">
        <v>5</v>
      </c>
      <c r="AF988" s="37" t="s">
        <v>79</v>
      </c>
      <c r="AG988" s="37" t="str">
        <f t="shared" si="252"/>
        <v>yes</v>
      </c>
      <c r="AH988" s="37" t="str">
        <f t="array" ref="AH988">_xlfn.IFS(LOWER(AG988)="n","no",LOWER(AG988)="y","yes",TRUE,LOWER(AG988))</f>
        <v>yes</v>
      </c>
      <c r="AI988" s="37" t="s">
        <v>4692</v>
      </c>
    </row>
    <row r="989" spans="1:35">
      <c r="A989" s="46" t="s">
        <v>3379</v>
      </c>
      <c r="B989" s="47">
        <v>45314</v>
      </c>
      <c r="C989" s="39">
        <f t="shared" si="240"/>
        <v>45314</v>
      </c>
      <c r="D989" s="48" t="s">
        <v>135</v>
      </c>
      <c r="E989" s="37" t="str" cm="1">
        <f t="array" ref="E989">_xlfn.IFS(D989="delhi","north",D989="mumbai","west",D989="bengaluru","south",D989="chennai","south",D989="kolkata","east",TRUE,"west")</f>
        <v>west</v>
      </c>
      <c r="F989" s="46" t="s">
        <v>213</v>
      </c>
      <c r="G989" s="37" t="str">
        <f t="shared" si="241"/>
        <v>dtdc</v>
      </c>
      <c r="H989" s="46" t="s">
        <v>195</v>
      </c>
      <c r="I989" s="37" t="str">
        <f t="shared" si="242"/>
        <v>road</v>
      </c>
      <c r="J989" s="46" t="s">
        <v>283</v>
      </c>
      <c r="K989" s="37" t="str">
        <f t="shared" si="243"/>
        <v>pharma</v>
      </c>
      <c r="L989" s="46" t="s">
        <v>51</v>
      </c>
      <c r="M989" s="37" t="str">
        <f t="shared" si="244"/>
        <v>south</v>
      </c>
      <c r="N989" s="46" t="s">
        <v>93</v>
      </c>
      <c r="O989" s="41" t="str">
        <f t="shared" si="245"/>
        <v>Yes</v>
      </c>
      <c r="P989" s="49">
        <v>2.6</v>
      </c>
      <c r="Q989" s="49">
        <v>186</v>
      </c>
      <c r="R989" s="42">
        <f t="shared" si="246"/>
        <v>71.5384615384615</v>
      </c>
      <c r="S989" s="46">
        <v>8</v>
      </c>
      <c r="T989" s="46" t="s">
        <v>1386</v>
      </c>
      <c r="U989" s="43" t="str">
        <f t="shared" si="247"/>
        <v>2024-02-01</v>
      </c>
      <c r="V989" s="43">
        <f t="shared" si="248"/>
        <v>45323</v>
      </c>
      <c r="W989" s="44">
        <f t="array" ref="W989">_xlfn.IFS(TRIM(C989)="","",TRIM(V989)="","",TRUE,V989-C989)</f>
        <v>9</v>
      </c>
      <c r="X989" s="37">
        <f t="shared" si="249"/>
        <v>1</v>
      </c>
      <c r="Y989" s="46" t="s">
        <v>172</v>
      </c>
      <c r="Z989" s="37" t="str">
        <f t="shared" si="250"/>
        <v>delayed</v>
      </c>
      <c r="AA989" s="37" t="str">
        <f t="shared" si="251"/>
        <v>Late</v>
      </c>
      <c r="AB989" s="37" t="str">
        <f t="shared" si="254"/>
        <v>1</v>
      </c>
      <c r="AC989" s="37">
        <f t="shared" si="255"/>
        <v>1</v>
      </c>
      <c r="AD989" s="45">
        <f t="shared" si="253"/>
        <v>0.510708401976936</v>
      </c>
      <c r="AE989" s="46">
        <v>4</v>
      </c>
      <c r="AF989" s="46" t="s">
        <v>191</v>
      </c>
      <c r="AG989" s="37" t="str">
        <f t="shared" si="252"/>
        <v>no</v>
      </c>
      <c r="AH989" s="37" t="str">
        <f t="array" ref="AH989">_xlfn.IFS(LOWER(AG989)="n","no",LOWER(AG989)="y","yes",TRUE,LOWER(AG989))</f>
        <v>no</v>
      </c>
      <c r="AI989" s="46" t="s">
        <v>4692</v>
      </c>
    </row>
    <row r="990" spans="1:35">
      <c r="A990" s="37" t="s">
        <v>3381</v>
      </c>
      <c r="B990" s="38">
        <v>45302</v>
      </c>
      <c r="C990" s="39">
        <f t="shared" si="240"/>
        <v>45302</v>
      </c>
      <c r="D990" s="40" t="s">
        <v>109</v>
      </c>
      <c r="E990" s="37" t="str" cm="1">
        <f t="array" ref="E990">_xlfn.IFS(D990="delhi","north",D990="mumbai","west",D990="bengaluru","south",D990="chennai","south",D990="kolkata","east",TRUE,"west")</f>
        <v>west</v>
      </c>
      <c r="F990" s="37" t="s">
        <v>333</v>
      </c>
      <c r="G990" s="37" t="str">
        <f t="shared" si="241"/>
        <v>delhivery</v>
      </c>
      <c r="H990" s="37" t="s">
        <v>440</v>
      </c>
      <c r="I990" s="37" t="str">
        <f t="shared" si="242"/>
        <v>road</v>
      </c>
      <c r="J990" s="37" t="s">
        <v>177</v>
      </c>
      <c r="K990" s="37" t="str">
        <f t="shared" si="243"/>
        <v>pharma</v>
      </c>
      <c r="L990" s="37" t="s">
        <v>380</v>
      </c>
      <c r="M990" s="37" t="str">
        <f t="shared" si="244"/>
        <v>east</v>
      </c>
      <c r="N990" s="37" t="s">
        <v>396</v>
      </c>
      <c r="O990" s="41" t="str">
        <f t="shared" si="245"/>
        <v>Yes</v>
      </c>
      <c r="P990" s="41">
        <v>2.7</v>
      </c>
      <c r="Q990" s="41">
        <v>218</v>
      </c>
      <c r="R990" s="42">
        <f t="shared" si="246"/>
        <v>80.7407407407407</v>
      </c>
      <c r="S990" s="37">
        <v>8</v>
      </c>
      <c r="T990" s="37" t="s">
        <v>506</v>
      </c>
      <c r="U990" s="43" t="str">
        <f t="shared" si="247"/>
        <v>19-jan-2024</v>
      </c>
      <c r="V990" s="43">
        <f t="shared" si="248"/>
        <v>45310</v>
      </c>
      <c r="W990" s="44">
        <f t="array" ref="W990">_xlfn.IFS(TRIM(C990)="","",TRIM(V990)="","",TRUE,V990-C990)</f>
        <v>8</v>
      </c>
      <c r="X990" s="37">
        <f t="shared" si="249"/>
        <v>0</v>
      </c>
      <c r="Y990" s="37" t="s">
        <v>163</v>
      </c>
      <c r="Z990" s="37" t="str">
        <f t="shared" si="250"/>
        <v>delivered</v>
      </c>
      <c r="AA990" s="37" t="str">
        <f t="shared" si="251"/>
        <v>On Time</v>
      </c>
      <c r="AB990" s="37" t="str">
        <f t="shared" si="254"/>
        <v>0</v>
      </c>
      <c r="AC990" s="37">
        <f t="shared" si="255"/>
        <v>0</v>
      </c>
      <c r="AD990" s="45">
        <f t="shared" si="253"/>
        <v>0.50990099009901</v>
      </c>
      <c r="AE990" s="37">
        <v>5</v>
      </c>
      <c r="AF990" s="37" t="s">
        <v>191</v>
      </c>
      <c r="AG990" s="37" t="str">
        <f t="shared" si="252"/>
        <v>no</v>
      </c>
      <c r="AH990" s="37" t="str">
        <f t="array" ref="AH990">_xlfn.IFS(LOWER(AG990)="n","no",LOWER(AG990)="y","yes",TRUE,LOWER(AG990))</f>
        <v>no</v>
      </c>
      <c r="AI990" s="37" t="s">
        <v>4692</v>
      </c>
    </row>
    <row r="991" spans="1:35">
      <c r="A991" s="46" t="s">
        <v>3383</v>
      </c>
      <c r="B991" s="47">
        <v>45324</v>
      </c>
      <c r="C991" s="39">
        <f t="shared" si="240"/>
        <v>45324</v>
      </c>
      <c r="D991" s="48" t="s">
        <v>633</v>
      </c>
      <c r="E991" s="37" t="str" cm="1">
        <f t="array" ref="E991">_xlfn.IFS(D991="delhi","north",D991="mumbai","west",D991="bengaluru","south",D991="chennai","south",D991="kolkata","east",TRUE,"west")</f>
        <v>south</v>
      </c>
      <c r="F991" s="46" t="s">
        <v>204</v>
      </c>
      <c r="G991" s="37" t="str">
        <f t="shared" si="241"/>
        <v>delhivery</v>
      </c>
      <c r="H991" s="46" t="s">
        <v>224</v>
      </c>
      <c r="I991" s="37" t="str">
        <f t="shared" si="242"/>
        <v>air</v>
      </c>
      <c r="J991" s="46" t="s">
        <v>277</v>
      </c>
      <c r="K991" s="37" t="str">
        <f t="shared" si="243"/>
        <v>apparel</v>
      </c>
      <c r="L991" s="46" t="s">
        <v>92</v>
      </c>
      <c r="M991" s="37" t="str">
        <f t="shared" si="244"/>
        <v>east</v>
      </c>
      <c r="N991" s="46" t="s">
        <v>396</v>
      </c>
      <c r="O991" s="41" t="str">
        <f t="shared" si="245"/>
        <v>Yes</v>
      </c>
      <c r="P991" s="49">
        <v>7.9</v>
      </c>
      <c r="Q991" s="49" t="s">
        <v>3385</v>
      </c>
      <c r="R991" s="42">
        <f t="shared" si="246"/>
        <v>62.7848101265823</v>
      </c>
      <c r="S991" s="46">
        <v>4</v>
      </c>
      <c r="T991" s="46" t="s">
        <v>1961</v>
      </c>
      <c r="U991" s="43" t="str">
        <f t="shared" si="247"/>
        <v>07/02/2024</v>
      </c>
      <c r="V991" s="43">
        <f t="shared" si="248"/>
        <v>45329</v>
      </c>
      <c r="W991" s="44">
        <f t="array" ref="W991">_xlfn.IFS(TRIM(C991)="","",TRIM(V991)="","",TRUE,V991-C991)</f>
        <v>5</v>
      </c>
      <c r="X991" s="37">
        <f t="shared" si="249"/>
        <v>1</v>
      </c>
      <c r="Y991" s="46" t="s">
        <v>172</v>
      </c>
      <c r="Z991" s="37" t="str">
        <f t="shared" si="250"/>
        <v>delayed</v>
      </c>
      <c r="AA991" s="37" t="str">
        <f t="shared" si="251"/>
        <v>Late</v>
      </c>
      <c r="AB991" s="37" t="str">
        <f t="shared" si="254"/>
        <v>1</v>
      </c>
      <c r="AC991" s="37">
        <f t="shared" si="255"/>
        <v>1</v>
      </c>
      <c r="AD991" s="45">
        <f t="shared" si="253"/>
        <v>0.510743801652893</v>
      </c>
      <c r="AE991" s="46">
        <v>1</v>
      </c>
      <c r="AF991" s="46" t="s">
        <v>181</v>
      </c>
      <c r="AG991" s="37" t="str">
        <f t="shared" si="252"/>
        <v>y</v>
      </c>
      <c r="AH991" s="37" t="str">
        <f t="array" ref="AH991">_xlfn.IFS(LOWER(AG991)="n","no",LOWER(AG991)="y","yes",TRUE,LOWER(AG991))</f>
        <v>yes</v>
      </c>
      <c r="AI991" s="46" t="s">
        <v>4692</v>
      </c>
    </row>
    <row r="992" spans="1:35">
      <c r="A992" s="37" t="s">
        <v>3386</v>
      </c>
      <c r="B992" s="38">
        <v>45377</v>
      </c>
      <c r="C992" s="39">
        <f t="shared" si="240"/>
        <v>45377</v>
      </c>
      <c r="D992" s="40" t="s">
        <v>121</v>
      </c>
      <c r="E992" s="37" t="str" cm="1">
        <f t="array" ref="E992">_xlfn.IFS(D992="delhi","north",D992="mumbai","west",D992="bengaluru","south",D992="chennai","south",D992="kolkata","east",TRUE,"west")</f>
        <v>west</v>
      </c>
      <c r="F992" s="37" t="s">
        <v>204</v>
      </c>
      <c r="G992" s="37" t="str">
        <f t="shared" si="241"/>
        <v>delhivery</v>
      </c>
      <c r="H992" s="37" t="s">
        <v>99</v>
      </c>
      <c r="I992" s="37" t="str">
        <f t="shared" si="242"/>
        <v>air</v>
      </c>
      <c r="J992" s="37" t="s">
        <v>231</v>
      </c>
      <c r="K992" s="37" t="str">
        <f t="shared" si="243"/>
        <v>furniture</v>
      </c>
      <c r="L992" s="37" t="s">
        <v>125</v>
      </c>
      <c r="M992" s="37" t="str">
        <f t="shared" si="244"/>
        <v>east</v>
      </c>
      <c r="N992" s="37" t="s">
        <v>91</v>
      </c>
      <c r="O992" s="41" t="str">
        <f t="shared" si="245"/>
        <v>Yes</v>
      </c>
      <c r="P992" s="41">
        <v>41.6</v>
      </c>
      <c r="Q992" s="41" t="s">
        <v>3388</v>
      </c>
      <c r="R992" s="42">
        <f t="shared" si="246"/>
        <v>49.8798076923077</v>
      </c>
      <c r="S992" s="37">
        <v>4</v>
      </c>
      <c r="T992" s="37" t="s">
        <v>3389</v>
      </c>
      <c r="U992" s="43" t="str">
        <f t="shared" si="247"/>
        <v>31/03/2024</v>
      </c>
      <c r="V992" s="43">
        <f t="shared" si="248"/>
        <v>45382</v>
      </c>
      <c r="W992" s="44">
        <f t="array" ref="W992">_xlfn.IFS(TRIM(C992)="","",TRIM(V992)="","",TRUE,V992-C992)</f>
        <v>5</v>
      </c>
      <c r="X992" s="37">
        <f t="shared" si="249"/>
        <v>1</v>
      </c>
      <c r="Y992" s="37" t="s">
        <v>72</v>
      </c>
      <c r="Z992" s="37" t="str">
        <f t="shared" si="250"/>
        <v>delayed</v>
      </c>
      <c r="AA992" s="37" t="str">
        <f t="shared" si="251"/>
        <v>Late</v>
      </c>
      <c r="AB992" s="37" t="str">
        <f t="shared" si="254"/>
        <v>1</v>
      </c>
      <c r="AC992" s="37">
        <f t="shared" si="255"/>
        <v>1</v>
      </c>
      <c r="AD992" s="45">
        <f t="shared" si="253"/>
        <v>0.509933774834437</v>
      </c>
      <c r="AE992" s="37">
        <v>2</v>
      </c>
      <c r="AF992" s="37" t="s">
        <v>191</v>
      </c>
      <c r="AG992" s="37" t="str">
        <f t="shared" si="252"/>
        <v>no</v>
      </c>
      <c r="AH992" s="37" t="str">
        <f t="array" ref="AH992">_xlfn.IFS(LOWER(AG992)="n","no",LOWER(AG992)="y","yes",TRUE,LOWER(AG992))</f>
        <v>no</v>
      </c>
      <c r="AI992" s="37" t="s">
        <v>4692</v>
      </c>
    </row>
    <row r="993" spans="1:35">
      <c r="A993" s="46" t="s">
        <v>3390</v>
      </c>
      <c r="B993" s="47">
        <v>45387</v>
      </c>
      <c r="C993" s="39">
        <f t="shared" si="240"/>
        <v>45387</v>
      </c>
      <c r="D993" s="48" t="s">
        <v>366</v>
      </c>
      <c r="E993" s="37" t="str" cm="1">
        <f t="array" ref="E993">_xlfn.IFS(D993="delhi","north",D993="mumbai","west",D993="bengaluru","south",D993="chennai","south",D993="kolkata","east",TRUE,"west")</f>
        <v>east</v>
      </c>
      <c r="F993" s="46" t="s">
        <v>352</v>
      </c>
      <c r="G993" s="37" t="str">
        <f t="shared" si="241"/>
        <v>delhivery</v>
      </c>
      <c r="H993" s="46" t="s">
        <v>157</v>
      </c>
      <c r="I993" s="37" t="str">
        <f t="shared" si="242"/>
        <v>surface</v>
      </c>
      <c r="J993" s="46" t="s">
        <v>47</v>
      </c>
      <c r="K993" s="37" t="str">
        <f t="shared" si="243"/>
        <v>electronics</v>
      </c>
      <c r="L993" s="46" t="s">
        <v>112</v>
      </c>
      <c r="M993" s="37" t="str">
        <f t="shared" si="244"/>
        <v>north</v>
      </c>
      <c r="N993" s="46" t="s">
        <v>354</v>
      </c>
      <c r="O993" s="41" t="str">
        <f t="shared" si="245"/>
        <v>Yes</v>
      </c>
      <c r="P993" s="49">
        <v>6.7</v>
      </c>
      <c r="Q993" s="49" t="s">
        <v>3391</v>
      </c>
      <c r="R993" s="42">
        <f t="shared" si="246"/>
        <v>43.2835820895522</v>
      </c>
      <c r="S993" s="46">
        <v>6</v>
      </c>
      <c r="T993" s="46" t="s">
        <v>316</v>
      </c>
      <c r="U993" s="43" t="str">
        <f t="shared" si="247"/>
        <v>10/04/2024</v>
      </c>
      <c r="V993" s="43">
        <f t="shared" si="248"/>
        <v>45392</v>
      </c>
      <c r="W993" s="44">
        <f t="array" ref="W993">_xlfn.IFS(TRIM(C993)="","",TRIM(V993)="","",TRUE,V993-C993)</f>
        <v>5</v>
      </c>
      <c r="X993" s="37">
        <f t="shared" si="249"/>
        <v>-1</v>
      </c>
      <c r="Y993" s="46" t="s">
        <v>105</v>
      </c>
      <c r="Z993" s="37" t="str">
        <f t="shared" si="250"/>
        <v>delivered</v>
      </c>
      <c r="AA993" s="37" t="str">
        <f t="shared" si="251"/>
        <v>On Time</v>
      </c>
      <c r="AB993" s="37" t="str">
        <f t="shared" si="254"/>
        <v>0</v>
      </c>
      <c r="AC993" s="37">
        <f t="shared" si="255"/>
        <v>0</v>
      </c>
      <c r="AD993" s="45">
        <f t="shared" si="253"/>
        <v>0.509121061359867</v>
      </c>
      <c r="AE993" s="46">
        <v>4</v>
      </c>
      <c r="AF993" s="46" t="s">
        <v>191</v>
      </c>
      <c r="AG993" s="37" t="str">
        <f t="shared" si="252"/>
        <v>no</v>
      </c>
      <c r="AH993" s="37" t="str">
        <f t="array" ref="AH993">_xlfn.IFS(LOWER(AG993)="n","no",LOWER(AG993)="y","yes",TRUE,LOWER(AG993))</f>
        <v>no</v>
      </c>
      <c r="AI993" s="46" t="s">
        <v>4692</v>
      </c>
    </row>
    <row r="994" spans="1:35">
      <c r="A994" s="37" t="s">
        <v>3392</v>
      </c>
      <c r="B994" s="38">
        <v>45448</v>
      </c>
      <c r="C994" s="39">
        <f t="shared" si="240"/>
        <v>45448</v>
      </c>
      <c r="D994" s="40" t="s">
        <v>212</v>
      </c>
      <c r="E994" s="37" t="str" cm="1">
        <f t="array" ref="E994">_xlfn.IFS(D994="delhi","north",D994="mumbai","west",D994="bengaluru","south",D994="chennai","south",D994="kolkata","east",TRUE,"west")</f>
        <v>west</v>
      </c>
      <c r="F994" s="37" t="s">
        <v>230</v>
      </c>
      <c r="G994" s="37" t="str">
        <f t="shared" si="241"/>
        <v>dtdc</v>
      </c>
      <c r="H994" s="37" t="s">
        <v>345</v>
      </c>
      <c r="I994" s="37" t="str">
        <f t="shared" si="242"/>
        <v>surface</v>
      </c>
      <c r="J994" s="37" t="s">
        <v>533</v>
      </c>
      <c r="K994" s="37" t="str">
        <f t="shared" si="243"/>
        <v>pharma</v>
      </c>
      <c r="L994" s="37" t="s">
        <v>380</v>
      </c>
      <c r="M994" s="37" t="str">
        <f t="shared" si="244"/>
        <v>east</v>
      </c>
      <c r="N994" s="37" t="s">
        <v>126</v>
      </c>
      <c r="O994" s="41" t="str">
        <f t="shared" si="245"/>
        <v>Yes</v>
      </c>
      <c r="P994" s="41" t="s">
        <v>858</v>
      </c>
      <c r="Q994" s="41">
        <v>163</v>
      </c>
      <c r="R994" s="42">
        <f t="shared" si="246"/>
        <v>125.384615384615</v>
      </c>
      <c r="S994" s="37">
        <v>6</v>
      </c>
      <c r="T994" s="37" t="s">
        <v>267</v>
      </c>
      <c r="U994" s="43" t="str">
        <f t="shared" si="247"/>
        <v>10-jun-2024</v>
      </c>
      <c r="V994" s="43">
        <f t="shared" si="248"/>
        <v>45453</v>
      </c>
      <c r="W994" s="44">
        <f t="array" ref="W994">_xlfn.IFS(TRIM(C994)="","",TRIM(V994)="","",TRUE,V994-C994)</f>
        <v>5</v>
      </c>
      <c r="X994" s="37">
        <f t="shared" si="249"/>
        <v>-1</v>
      </c>
      <c r="Y994" s="37" t="s">
        <v>105</v>
      </c>
      <c r="Z994" s="37" t="str">
        <f t="shared" si="250"/>
        <v>delivered</v>
      </c>
      <c r="AA994" s="37" t="str">
        <f t="shared" si="251"/>
        <v>On Time</v>
      </c>
      <c r="AB994" s="37" t="str">
        <f t="shared" si="254"/>
        <v>0</v>
      </c>
      <c r="AC994" s="37">
        <f t="shared" si="255"/>
        <v>0</v>
      </c>
      <c r="AD994" s="45">
        <f t="shared" si="253"/>
        <v>0.509966777408638</v>
      </c>
      <c r="AE994" s="37">
        <v>4</v>
      </c>
      <c r="AF994" s="37" t="s">
        <v>79</v>
      </c>
      <c r="AG994" s="37" t="str">
        <f t="shared" si="252"/>
        <v>yes</v>
      </c>
      <c r="AH994" s="37" t="str">
        <f t="array" ref="AH994">_xlfn.IFS(LOWER(AG994)="n","no",LOWER(AG994)="y","yes",TRUE,LOWER(AG994))</f>
        <v>yes</v>
      </c>
      <c r="AI994" s="37" t="s">
        <v>4692</v>
      </c>
    </row>
    <row r="995" spans="1:35">
      <c r="A995" s="46" t="s">
        <v>3393</v>
      </c>
      <c r="B995" s="47">
        <v>45435</v>
      </c>
      <c r="C995" s="39">
        <f t="shared" si="240"/>
        <v>45435</v>
      </c>
      <c r="D995" s="48" t="s">
        <v>121</v>
      </c>
      <c r="E995" s="37" t="str" cm="1">
        <f t="array" ref="E995">_xlfn.IFS(D995="delhi","north",D995="mumbai","west",D995="bengaluru","south",D995="chennai","south",D995="kolkata","east",TRUE,"west")</f>
        <v>west</v>
      </c>
      <c r="F995" s="46" t="s">
        <v>367</v>
      </c>
      <c r="G995" s="37" t="str">
        <f t="shared" si="241"/>
        <v>dtdc</v>
      </c>
      <c r="H995" s="46" t="s">
        <v>440</v>
      </c>
      <c r="I995" s="37" t="str">
        <f t="shared" si="242"/>
        <v>road</v>
      </c>
      <c r="J995" s="46" t="s">
        <v>277</v>
      </c>
      <c r="K995" s="37" t="str">
        <f t="shared" si="243"/>
        <v>apparel</v>
      </c>
      <c r="L995" s="46" t="s">
        <v>346</v>
      </c>
      <c r="M995" s="37" t="str">
        <f t="shared" si="244"/>
        <v>north</v>
      </c>
      <c r="N995" s="46" t="s">
        <v>32</v>
      </c>
      <c r="O995" s="41" t="str">
        <f t="shared" si="245"/>
        <v>Yes</v>
      </c>
      <c r="P995" s="49">
        <v>3.2</v>
      </c>
      <c r="Q995" s="49">
        <v>89</v>
      </c>
      <c r="R995" s="42">
        <f t="shared" si="246"/>
        <v>27.8125</v>
      </c>
      <c r="S995" s="46">
        <v>6</v>
      </c>
      <c r="T995" s="46" t="s">
        <v>1236</v>
      </c>
      <c r="U995" s="43" t="str">
        <f t="shared" si="247"/>
        <v>30-may-2024</v>
      </c>
      <c r="V995" s="43">
        <f t="shared" si="248"/>
        <v>45442</v>
      </c>
      <c r="W995" s="44">
        <f t="array" ref="W995">_xlfn.IFS(TRIM(C995)="","",TRIM(V995)="","",TRUE,V995-C995)</f>
        <v>7</v>
      </c>
      <c r="X995" s="37">
        <f t="shared" si="249"/>
        <v>1</v>
      </c>
      <c r="Y995" s="46" t="s">
        <v>172</v>
      </c>
      <c r="Z995" s="37" t="str">
        <f t="shared" si="250"/>
        <v>delayed</v>
      </c>
      <c r="AA995" s="37" t="str">
        <f t="shared" si="251"/>
        <v>Late</v>
      </c>
      <c r="AB995" s="37" t="str">
        <f t="shared" si="254"/>
        <v>1</v>
      </c>
      <c r="AC995" s="37">
        <f t="shared" si="255"/>
        <v>1</v>
      </c>
      <c r="AD995" s="45">
        <f t="shared" si="253"/>
        <v>0.510815307820299</v>
      </c>
      <c r="AE995" s="46">
        <v>3</v>
      </c>
      <c r="AF995" s="46" t="s">
        <v>106</v>
      </c>
      <c r="AG995" s="37" t="str">
        <f t="shared" si="252"/>
        <v>yes</v>
      </c>
      <c r="AH995" s="37" t="str">
        <f t="array" ref="AH995">_xlfn.IFS(LOWER(AG995)="n","no",LOWER(AG995)="y","yes",TRUE,LOWER(AG995))</f>
        <v>yes</v>
      </c>
      <c r="AI995" s="46" t="s">
        <v>4692</v>
      </c>
    </row>
    <row r="996" spans="1:35">
      <c r="A996" s="37" t="s">
        <v>3395</v>
      </c>
      <c r="B996" s="38">
        <v>45403</v>
      </c>
      <c r="C996" s="39">
        <f t="shared" si="240"/>
        <v>45403</v>
      </c>
      <c r="D996" s="40" t="s">
        <v>4695</v>
      </c>
      <c r="E996" s="37" t="str" cm="1">
        <f t="array" ref="E996">_xlfn.IFS(D996="delhi","north",D996="mumbai","west",D996="bengaluru","south",D996="chennai","south",D996="kolkata","east",TRUE,"west")</f>
        <v>west</v>
      </c>
      <c r="F996" s="37" t="s">
        <v>146</v>
      </c>
      <c r="G996" s="37" t="str">
        <f t="shared" si="241"/>
        <v>ecomexpress</v>
      </c>
      <c r="H996" s="37" t="s">
        <v>244</v>
      </c>
      <c r="I996" s="37" t="str">
        <f t="shared" si="242"/>
        <v>air</v>
      </c>
      <c r="J996" s="37" t="s">
        <v>47</v>
      </c>
      <c r="K996" s="37" t="str">
        <f t="shared" si="243"/>
        <v>electronics</v>
      </c>
      <c r="L996" s="37" t="s">
        <v>470</v>
      </c>
      <c r="M996" s="37" t="str">
        <f t="shared" si="244"/>
        <v>east</v>
      </c>
      <c r="N996" s="37" t="s">
        <v>126</v>
      </c>
      <c r="O996" s="41" t="str">
        <f t="shared" si="245"/>
        <v>Yes</v>
      </c>
      <c r="P996" s="41">
        <v>8.2</v>
      </c>
      <c r="Q996" s="41">
        <v>531</v>
      </c>
      <c r="R996" s="42">
        <f t="shared" si="246"/>
        <v>64.7560975609756</v>
      </c>
      <c r="S996" s="37">
        <v>4</v>
      </c>
      <c r="T996" s="37" t="s">
        <v>2429</v>
      </c>
      <c r="U996" s="43" t="str">
        <f t="shared" si="247"/>
        <v>25-apr-2024</v>
      </c>
      <c r="V996" s="43">
        <f t="shared" si="248"/>
        <v>45407</v>
      </c>
      <c r="W996" s="44">
        <f t="array" ref="W996">_xlfn.IFS(TRIM(C996)="","",TRIM(V996)="","",TRUE,V996-C996)</f>
        <v>4</v>
      </c>
      <c r="X996" s="37">
        <f t="shared" si="249"/>
        <v>0</v>
      </c>
      <c r="Y996" s="37" t="s">
        <v>105</v>
      </c>
      <c r="Z996" s="37" t="str">
        <f t="shared" si="250"/>
        <v>delivered</v>
      </c>
      <c r="AA996" s="37" t="str">
        <f t="shared" si="251"/>
        <v>On Time</v>
      </c>
      <c r="AB996" s="37" t="str">
        <f t="shared" si="254"/>
        <v>0</v>
      </c>
      <c r="AC996" s="37">
        <f t="shared" si="255"/>
        <v>0</v>
      </c>
      <c r="AD996" s="45">
        <f t="shared" si="253"/>
        <v>0.51</v>
      </c>
      <c r="AE996" s="37">
        <v>4</v>
      </c>
      <c r="AF996" s="37" t="s">
        <v>131</v>
      </c>
      <c r="AG996" s="37" t="str">
        <f t="shared" si="252"/>
        <v>n</v>
      </c>
      <c r="AH996" s="37" t="str">
        <f t="array" ref="AH996">_xlfn.IFS(LOWER(AG996)="n","no",LOWER(AG996)="y","yes",TRUE,LOWER(AG996))</f>
        <v>no</v>
      </c>
      <c r="AI996" s="37" t="s">
        <v>4692</v>
      </c>
    </row>
    <row r="997" spans="1:35">
      <c r="A997" s="46" t="s">
        <v>3397</v>
      </c>
      <c r="B997" s="47">
        <v>45463</v>
      </c>
      <c r="C997" s="39">
        <f t="shared" si="240"/>
        <v>45463</v>
      </c>
      <c r="D997" s="48" t="s">
        <v>243</v>
      </c>
      <c r="E997" s="37" t="str" cm="1">
        <f t="array" ref="E997">_xlfn.IFS(D997="delhi","north",D997="mumbai","west",D997="bengaluru","south",D997="chennai","south",D997="kolkata","east",TRUE,"west")</f>
        <v>west</v>
      </c>
      <c r="F997" s="46" t="s">
        <v>270</v>
      </c>
      <c r="G997" s="37" t="str">
        <f t="shared" si="241"/>
        <v>ecomexpress</v>
      </c>
      <c r="H997" s="46" t="s">
        <v>110</v>
      </c>
      <c r="I997" s="37" t="str">
        <f t="shared" si="242"/>
        <v>surface</v>
      </c>
      <c r="J997" s="46" t="s">
        <v>664</v>
      </c>
      <c r="K997" s="37" t="str">
        <f t="shared" si="243"/>
        <v>grocery&amp;fmcg</v>
      </c>
      <c r="L997" s="46" t="s">
        <v>346</v>
      </c>
      <c r="M997" s="37" t="str">
        <f t="shared" si="244"/>
        <v>north</v>
      </c>
      <c r="N997" s="46" t="s">
        <v>32</v>
      </c>
      <c r="O997" s="41" t="str">
        <f t="shared" si="245"/>
        <v>Yes</v>
      </c>
      <c r="P997" s="49">
        <v>18.5</v>
      </c>
      <c r="Q997" s="49">
        <v>589</v>
      </c>
      <c r="R997" s="42">
        <f t="shared" si="246"/>
        <v>31.8378378378378</v>
      </c>
      <c r="S997" s="46">
        <v>6</v>
      </c>
      <c r="T997" s="46" t="s">
        <v>1485</v>
      </c>
      <c r="U997" s="43" t="str">
        <f t="shared" si="247"/>
        <v>26/06/2024</v>
      </c>
      <c r="V997" s="43">
        <f t="shared" si="248"/>
        <v>45469</v>
      </c>
      <c r="W997" s="44">
        <f t="array" ref="W997">_xlfn.IFS(TRIM(C997)="","",TRIM(V997)="","",TRUE,V997-C997)</f>
        <v>6</v>
      </c>
      <c r="X997" s="37">
        <f t="shared" si="249"/>
        <v>0</v>
      </c>
      <c r="Y997" s="46" t="s">
        <v>163</v>
      </c>
      <c r="Z997" s="37" t="str">
        <f t="shared" si="250"/>
        <v>delivered</v>
      </c>
      <c r="AA997" s="37" t="str">
        <f t="shared" si="251"/>
        <v>On Time</v>
      </c>
      <c r="AB997" s="37" t="str">
        <f t="shared" si="254"/>
        <v>0</v>
      </c>
      <c r="AC997" s="37">
        <f t="shared" si="255"/>
        <v>0</v>
      </c>
      <c r="AD997" s="45">
        <f t="shared" si="253"/>
        <v>0.510851419031719</v>
      </c>
      <c r="AE997" s="46">
        <v>3</v>
      </c>
      <c r="AF997" s="46" t="s">
        <v>79</v>
      </c>
      <c r="AG997" s="37" t="str">
        <f t="shared" si="252"/>
        <v>yes</v>
      </c>
      <c r="AH997" s="37" t="str">
        <f t="array" ref="AH997">_xlfn.IFS(LOWER(AG997)="n","no",LOWER(AG997)="y","yes",TRUE,LOWER(AG997))</f>
        <v>yes</v>
      </c>
      <c r="AI997" s="46" t="s">
        <v>4692</v>
      </c>
    </row>
    <row r="998" spans="1:35">
      <c r="A998" s="37" t="s">
        <v>3400</v>
      </c>
      <c r="B998" s="38">
        <v>45427</v>
      </c>
      <c r="C998" s="39">
        <f t="shared" si="240"/>
        <v>45427</v>
      </c>
      <c r="D998" s="40" t="s">
        <v>300</v>
      </c>
      <c r="E998" s="37" t="str" cm="1">
        <f t="array" ref="E998">_xlfn.IFS(D998="delhi","north",D998="mumbai","west",D998="bengaluru","south",D998="chennai","south",D998="kolkata","east",TRUE,"west")</f>
        <v>west</v>
      </c>
      <c r="F998" s="37" t="s">
        <v>223</v>
      </c>
      <c r="G998" s="37" t="str">
        <f t="shared" si="241"/>
        <v>xpressbees</v>
      </c>
      <c r="H998" s="37" t="s">
        <v>176</v>
      </c>
      <c r="I998" s="37" t="str">
        <f t="shared" si="242"/>
        <v>road</v>
      </c>
      <c r="J998" s="37" t="s">
        <v>283</v>
      </c>
      <c r="K998" s="37" t="str">
        <f t="shared" si="243"/>
        <v>pharma</v>
      </c>
      <c r="L998" s="37" t="s">
        <v>89</v>
      </c>
      <c r="M998" s="37" t="str">
        <f t="shared" si="244"/>
        <v>west</v>
      </c>
      <c r="N998" s="37" t="s">
        <v>88</v>
      </c>
      <c r="O998" s="41" t="str">
        <f t="shared" si="245"/>
        <v>Yes</v>
      </c>
      <c r="P998" s="41">
        <v>2.3</v>
      </c>
      <c r="Q998" s="41" t="s">
        <v>3195</v>
      </c>
      <c r="R998" s="42">
        <f t="shared" si="246"/>
        <v>90.4347826086957</v>
      </c>
      <c r="S998" s="37">
        <v>8</v>
      </c>
      <c r="T998" s="37" t="s">
        <v>714</v>
      </c>
      <c r="U998" s="43" t="str">
        <f t="shared" si="247"/>
        <v>27/05/2024</v>
      </c>
      <c r="V998" s="43">
        <f t="shared" si="248"/>
        <v>45439</v>
      </c>
      <c r="W998" s="44">
        <f t="array" ref="W998">_xlfn.IFS(TRIM(C998)="","",TRIM(V998)="","",TRUE,V998-C998)</f>
        <v>12</v>
      </c>
      <c r="X998" s="37">
        <f t="shared" si="249"/>
        <v>4</v>
      </c>
      <c r="Y998" s="37" t="s">
        <v>172</v>
      </c>
      <c r="Z998" s="37" t="str">
        <f t="shared" si="250"/>
        <v>delayed</v>
      </c>
      <c r="AA998" s="37" t="str">
        <f t="shared" si="251"/>
        <v>Late</v>
      </c>
      <c r="AB998" s="37" t="str">
        <f t="shared" si="254"/>
        <v>1</v>
      </c>
      <c r="AC998" s="37">
        <f t="shared" si="255"/>
        <v>1</v>
      </c>
      <c r="AD998" s="45">
        <f t="shared" si="253"/>
        <v>0.511705685618729</v>
      </c>
      <c r="AE998" s="37">
        <v>4</v>
      </c>
      <c r="AF998" s="37" t="s">
        <v>118</v>
      </c>
      <c r="AG998" s="37" t="str">
        <f t="shared" si="252"/>
        <v>no</v>
      </c>
      <c r="AH998" s="37" t="str">
        <f t="array" ref="AH998">_xlfn.IFS(LOWER(AG998)="n","no",LOWER(AG998)="y","yes",TRUE,LOWER(AG998))</f>
        <v>no</v>
      </c>
      <c r="AI998" s="37" t="s">
        <v>4692</v>
      </c>
    </row>
    <row r="999" spans="1:35">
      <c r="A999" s="46" t="s">
        <v>3402</v>
      </c>
      <c r="B999" s="47" t="s">
        <v>4772</v>
      </c>
      <c r="C999" s="39">
        <f t="shared" si="240"/>
        <v>45420</v>
      </c>
      <c r="D999" s="48" t="s">
        <v>633</v>
      </c>
      <c r="E999" s="37" t="str" cm="1">
        <f t="array" ref="E999">_xlfn.IFS(D999="delhi","north",D999="mumbai","west",D999="bengaluru","south",D999="chennai","south",D999="kolkata","east",TRUE,"west")</f>
        <v>south</v>
      </c>
      <c r="F999" s="46" t="s">
        <v>223</v>
      </c>
      <c r="G999" s="37" t="str">
        <f t="shared" si="241"/>
        <v>xpressbees</v>
      </c>
      <c r="H999" s="46" t="s">
        <v>110</v>
      </c>
      <c r="I999" s="37" t="str">
        <f t="shared" si="242"/>
        <v>surface</v>
      </c>
      <c r="J999" s="46" t="s">
        <v>100</v>
      </c>
      <c r="K999" s="37" t="str">
        <f t="shared" si="243"/>
        <v>electronics</v>
      </c>
      <c r="L999" s="46" t="s">
        <v>470</v>
      </c>
      <c r="M999" s="37" t="str">
        <f t="shared" si="244"/>
        <v>east</v>
      </c>
      <c r="N999" s="46" t="s">
        <v>126</v>
      </c>
      <c r="O999" s="41" t="str">
        <f t="shared" si="245"/>
        <v>Yes</v>
      </c>
      <c r="P999" s="49">
        <v>3.3</v>
      </c>
      <c r="Q999" s="49">
        <v>210</v>
      </c>
      <c r="R999" s="42">
        <f t="shared" si="246"/>
        <v>63.6363636363636</v>
      </c>
      <c r="S999" s="46">
        <v>6</v>
      </c>
      <c r="T999" s="46" t="s">
        <v>1588</v>
      </c>
      <c r="U999" s="43" t="str">
        <f t="shared" si="247"/>
        <v>14-may-2024</v>
      </c>
      <c r="V999" s="43">
        <f t="shared" si="248"/>
        <v>45426</v>
      </c>
      <c r="W999" s="44">
        <f t="array" ref="W999">_xlfn.IFS(TRIM(C999)="","",TRIM(V999)="","",TRUE,V999-C999)</f>
        <v>6</v>
      </c>
      <c r="X999" s="37">
        <f t="shared" si="249"/>
        <v>0</v>
      </c>
      <c r="Y999" s="46" t="s">
        <v>163</v>
      </c>
      <c r="Z999" s="37" t="str">
        <f t="shared" si="250"/>
        <v>delivered</v>
      </c>
      <c r="AA999" s="37" t="str">
        <f t="shared" si="251"/>
        <v>On Time</v>
      </c>
      <c r="AB999" s="37" t="str">
        <f t="shared" si="254"/>
        <v>0</v>
      </c>
      <c r="AC999" s="37">
        <f t="shared" si="255"/>
        <v>0</v>
      </c>
      <c r="AD999" s="45">
        <f t="shared" si="253"/>
        <v>0.510887772194305</v>
      </c>
      <c r="AE999" s="46">
        <v>2</v>
      </c>
      <c r="AF999" s="46" t="s">
        <v>106</v>
      </c>
      <c r="AG999" s="37" t="str">
        <f t="shared" si="252"/>
        <v>yes</v>
      </c>
      <c r="AH999" s="37" t="str">
        <f t="array" ref="AH999">_xlfn.IFS(LOWER(AG999)="n","no",LOWER(AG999)="y","yes",TRUE,LOWER(AG999))</f>
        <v>yes</v>
      </c>
      <c r="AI999" s="46" t="s">
        <v>4692</v>
      </c>
    </row>
    <row r="1000" spans="1:35">
      <c r="A1000" s="37" t="s">
        <v>3404</v>
      </c>
      <c r="B1000" s="38">
        <v>45395</v>
      </c>
      <c r="C1000" s="39">
        <f t="shared" si="240"/>
        <v>45395</v>
      </c>
      <c r="D1000" s="40" t="s">
        <v>424</v>
      </c>
      <c r="E1000" s="37" t="str" cm="1">
        <f t="array" ref="E1000">_xlfn.IFS(D1000="delhi","north",D1000="mumbai","west",D1000="bengaluru","south",D1000="chennai","south",D1000="kolkata","east",TRUE,"west")</f>
        <v>south</v>
      </c>
      <c r="F1000" s="37" t="s">
        <v>146</v>
      </c>
      <c r="G1000" s="37" t="str">
        <f t="shared" si="241"/>
        <v>ecomexpress</v>
      </c>
      <c r="H1000" s="37" t="s">
        <v>157</v>
      </c>
      <c r="I1000" s="37" t="str">
        <f t="shared" si="242"/>
        <v>surface</v>
      </c>
      <c r="J1000" s="37" t="s">
        <v>277</v>
      </c>
      <c r="K1000" s="37" t="str">
        <f t="shared" si="243"/>
        <v>apparel</v>
      </c>
      <c r="L1000" s="37" t="s">
        <v>51</v>
      </c>
      <c r="M1000" s="37" t="str">
        <f t="shared" si="244"/>
        <v>south</v>
      </c>
      <c r="N1000" s="37" t="s">
        <v>54</v>
      </c>
      <c r="O1000" s="41" t="str">
        <f t="shared" si="245"/>
        <v>Yes</v>
      </c>
      <c r="P1000" s="41">
        <v>0.8</v>
      </c>
      <c r="Q1000" s="41" t="s">
        <v>432</v>
      </c>
      <c r="R1000" s="42">
        <f t="shared" si="246"/>
        <v>100</v>
      </c>
      <c r="S1000" s="37">
        <v>4</v>
      </c>
      <c r="T1000" s="37" t="s">
        <v>145</v>
      </c>
      <c r="U1000" s="43" t="str">
        <f t="shared" si="247"/>
        <v>16-apr-2024</v>
      </c>
      <c r="V1000" s="43">
        <f t="shared" si="248"/>
        <v>45398</v>
      </c>
      <c r="W1000" s="44">
        <f t="array" ref="W1000">_xlfn.IFS(TRIM(C1000)="","",TRIM(V1000)="","",TRUE,V1000-C1000)</f>
        <v>3</v>
      </c>
      <c r="X1000" s="37">
        <f t="shared" si="249"/>
        <v>-1</v>
      </c>
      <c r="Y1000" s="37" t="s">
        <v>219</v>
      </c>
      <c r="Z1000" s="37" t="str">
        <f t="shared" si="250"/>
        <v>delivered</v>
      </c>
      <c r="AA1000" s="37" t="str">
        <f t="shared" si="251"/>
        <v>On Time</v>
      </c>
      <c r="AB1000" s="37" t="str">
        <f t="shared" si="254"/>
        <v>0</v>
      </c>
      <c r="AC1000" s="37">
        <f t="shared" si="255"/>
        <v>0</v>
      </c>
      <c r="AD1000" s="45">
        <f t="shared" si="253"/>
        <v>0.511744966442953</v>
      </c>
      <c r="AE1000" s="37">
        <v>2</v>
      </c>
      <c r="AF1000" s="37" t="s">
        <v>191</v>
      </c>
      <c r="AG1000" s="37" t="str">
        <f t="shared" si="252"/>
        <v>no</v>
      </c>
      <c r="AH1000" s="37" t="str">
        <f t="array" ref="AH1000">_xlfn.IFS(LOWER(AG1000)="n","no",LOWER(AG1000)="y","yes",TRUE,LOWER(AG1000))</f>
        <v>no</v>
      </c>
      <c r="AI1000" s="37" t="s">
        <v>4692</v>
      </c>
    </row>
    <row r="1001" spans="1:35">
      <c r="A1001" s="46" t="s">
        <v>3405</v>
      </c>
      <c r="B1001" s="47" t="s">
        <v>4811</v>
      </c>
      <c r="C1001" s="39">
        <f t="shared" si="240"/>
        <v>45374</v>
      </c>
      <c r="D1001" s="48" t="s">
        <v>212</v>
      </c>
      <c r="E1001" s="37" t="str" cm="1">
        <f t="array" ref="E1001">_xlfn.IFS(D1001="delhi","north",D1001="mumbai","west",D1001="bengaluru","south",D1001="chennai","south",D1001="kolkata","east",TRUE,"west")</f>
        <v>west</v>
      </c>
      <c r="F1001" s="46" t="s">
        <v>544</v>
      </c>
      <c r="G1001" s="37" t="str">
        <f t="shared" si="241"/>
        <v>bluedart</v>
      </c>
      <c r="H1001" s="46" t="s">
        <v>147</v>
      </c>
      <c r="I1001" s="37" t="str">
        <f t="shared" si="242"/>
        <v>road</v>
      </c>
      <c r="J1001" s="46" t="s">
        <v>283</v>
      </c>
      <c r="K1001" s="37" t="str">
        <f t="shared" si="243"/>
        <v>pharma</v>
      </c>
      <c r="L1001" s="46" t="s">
        <v>92</v>
      </c>
      <c r="M1001" s="37" t="str">
        <f t="shared" si="244"/>
        <v>east</v>
      </c>
      <c r="N1001" s="46" t="s">
        <v>126</v>
      </c>
      <c r="O1001" s="41" t="str">
        <f t="shared" si="245"/>
        <v>Yes</v>
      </c>
      <c r="P1001" s="49">
        <v>2.2</v>
      </c>
      <c r="Q1001" s="49">
        <v>209</v>
      </c>
      <c r="R1001" s="42">
        <f t="shared" si="246"/>
        <v>95</v>
      </c>
      <c r="S1001" s="46">
        <v>8</v>
      </c>
      <c r="T1001" s="46" t="s">
        <v>2132</v>
      </c>
      <c r="U1001" s="43" t="str">
        <f t="shared" si="247"/>
        <v>30-mar-2024</v>
      </c>
      <c r="V1001" s="43">
        <f t="shared" si="248"/>
        <v>45381</v>
      </c>
      <c r="W1001" s="44">
        <f t="array" ref="W1001">_xlfn.IFS(TRIM(C1001)="","",TRIM(V1001)="","",TRUE,V1001-C1001)</f>
        <v>7</v>
      </c>
      <c r="X1001" s="37">
        <f t="shared" si="249"/>
        <v>-1</v>
      </c>
      <c r="Y1001" s="46" t="s">
        <v>117</v>
      </c>
      <c r="Z1001" s="37" t="str">
        <f t="shared" si="250"/>
        <v>delivered</v>
      </c>
      <c r="AA1001" s="37" t="str">
        <f t="shared" si="251"/>
        <v>On Time</v>
      </c>
      <c r="AB1001" s="37" t="str">
        <f t="shared" si="254"/>
        <v>0</v>
      </c>
      <c r="AC1001" s="37">
        <f t="shared" si="255"/>
        <v>0</v>
      </c>
      <c r="AD1001" s="45">
        <f t="shared" si="253"/>
        <v>0.512605042016807</v>
      </c>
      <c r="AE1001" s="46">
        <v>4</v>
      </c>
      <c r="AF1001" s="46" t="s">
        <v>191</v>
      </c>
      <c r="AG1001" s="37" t="str">
        <f t="shared" si="252"/>
        <v>no</v>
      </c>
      <c r="AH1001" s="37" t="str">
        <f t="array" ref="AH1001">_xlfn.IFS(LOWER(AG1001)="n","no",LOWER(AG1001)="y","yes",TRUE,LOWER(AG1001))</f>
        <v>no</v>
      </c>
      <c r="AI1001" s="46" t="s">
        <v>4692</v>
      </c>
    </row>
    <row r="1002" spans="1:35">
      <c r="A1002" s="37" t="s">
        <v>3406</v>
      </c>
      <c r="B1002" s="38" t="s">
        <v>4797</v>
      </c>
      <c r="C1002" s="39">
        <f t="shared" si="240"/>
        <v>45416</v>
      </c>
      <c r="D1002" s="40" t="s">
        <v>340</v>
      </c>
      <c r="E1002" s="37" t="str" cm="1">
        <f t="array" ref="E1002">_xlfn.IFS(D1002="delhi","north",D1002="mumbai","west",D1002="bengaluru","south",D1002="chennai","south",D1002="kolkata","east",TRUE,"west")</f>
        <v>north</v>
      </c>
      <c r="F1002" s="37" t="s">
        <v>367</v>
      </c>
      <c r="G1002" s="37" t="str">
        <f t="shared" si="241"/>
        <v>dtdc</v>
      </c>
      <c r="H1002" s="37" t="s">
        <v>123</v>
      </c>
      <c r="I1002" s="37" t="str">
        <f t="shared" si="242"/>
        <v>air</v>
      </c>
      <c r="J1002" s="37" t="s">
        <v>664</v>
      </c>
      <c r="K1002" s="37" t="str">
        <f t="shared" si="243"/>
        <v>grocery&amp;fmcg</v>
      </c>
      <c r="L1002" s="37" t="s">
        <v>139</v>
      </c>
      <c r="M1002" s="37" t="str">
        <f t="shared" si="244"/>
        <v>north</v>
      </c>
      <c r="N1002" s="37" t="s">
        <v>113</v>
      </c>
      <c r="O1002" s="41" t="str">
        <f t="shared" si="245"/>
        <v>Yes</v>
      </c>
      <c r="P1002" s="41">
        <v>15.9</v>
      </c>
      <c r="Q1002" s="41" t="s">
        <v>3407</v>
      </c>
      <c r="R1002" s="42">
        <f t="shared" si="246"/>
        <v>47.6729559748428</v>
      </c>
      <c r="S1002" s="37">
        <v>2</v>
      </c>
      <c r="T1002" s="37" t="s">
        <v>1716</v>
      </c>
      <c r="U1002" s="43" t="str">
        <f t="shared" si="247"/>
        <v>05-may-2024</v>
      </c>
      <c r="V1002" s="43">
        <f t="shared" si="248"/>
        <v>45417</v>
      </c>
      <c r="W1002" s="44">
        <f t="array" ref="W1002">_xlfn.IFS(TRIM(C1002)="","",TRIM(V1002)="","",TRUE,V1002-C1002)</f>
        <v>1</v>
      </c>
      <c r="X1002" s="37">
        <f t="shared" si="249"/>
        <v>-1</v>
      </c>
      <c r="Y1002" s="37" t="s">
        <v>117</v>
      </c>
      <c r="Z1002" s="37" t="str">
        <f t="shared" si="250"/>
        <v>delivered</v>
      </c>
      <c r="AA1002" s="37" t="str">
        <f t="shared" si="251"/>
        <v>On Time</v>
      </c>
      <c r="AB1002" s="37" t="str">
        <f t="shared" si="254"/>
        <v>0</v>
      </c>
      <c r="AC1002" s="37">
        <f t="shared" si="255"/>
        <v>0</v>
      </c>
      <c r="AD1002" s="45">
        <f t="shared" si="253"/>
        <v>0.513468013468014</v>
      </c>
      <c r="AE1002" s="37">
        <v>3</v>
      </c>
      <c r="AF1002" s="37" t="s">
        <v>118</v>
      </c>
      <c r="AG1002" s="37" t="str">
        <f t="shared" si="252"/>
        <v>no</v>
      </c>
      <c r="AH1002" s="37" t="str">
        <f t="array" ref="AH1002">_xlfn.IFS(LOWER(AG1002)="n","no",LOWER(AG1002)="y","yes",TRUE,LOWER(AG1002))</f>
        <v>no</v>
      </c>
      <c r="AI1002" s="37" t="s">
        <v>4692</v>
      </c>
    </row>
    <row r="1003" spans="1:35">
      <c r="A1003" s="46" t="s">
        <v>3408</v>
      </c>
      <c r="B1003" s="47" t="s">
        <v>4770</v>
      </c>
      <c r="C1003" s="39">
        <f t="shared" si="240"/>
        <v>45426</v>
      </c>
      <c r="D1003" s="48" t="s">
        <v>109</v>
      </c>
      <c r="E1003" s="37" t="str" cm="1">
        <f t="array" ref="E1003">_xlfn.IFS(D1003="delhi","north",D1003="mumbai","west",D1003="bengaluru","south",D1003="chennai","south",D1003="kolkata","east",TRUE,"west")</f>
        <v>west</v>
      </c>
      <c r="F1003" s="46" t="s">
        <v>352</v>
      </c>
      <c r="G1003" s="37" t="str">
        <f t="shared" si="241"/>
        <v>delhivery</v>
      </c>
      <c r="H1003" s="46" t="s">
        <v>42</v>
      </c>
      <c r="I1003" s="37" t="str">
        <f t="shared" si="242"/>
        <v>surface</v>
      </c>
      <c r="J1003" s="46" t="s">
        <v>843</v>
      </c>
      <c r="K1003" s="37" t="str">
        <f t="shared" si="243"/>
        <v>automotiveparts</v>
      </c>
      <c r="L1003" s="46" t="s">
        <v>302</v>
      </c>
      <c r="M1003" s="37" t="str">
        <f t="shared" si="244"/>
        <v>east</v>
      </c>
      <c r="N1003" s="46" t="s">
        <v>91</v>
      </c>
      <c r="O1003" s="41" t="str">
        <f t="shared" si="245"/>
        <v>Yes</v>
      </c>
      <c r="P1003" s="49">
        <v>32.9</v>
      </c>
      <c r="Q1003" s="49">
        <v>858</v>
      </c>
      <c r="R1003" s="42">
        <f t="shared" si="246"/>
        <v>26.0790273556231</v>
      </c>
      <c r="S1003" s="46">
        <v>6</v>
      </c>
      <c r="T1003" s="46" t="s">
        <v>423</v>
      </c>
      <c r="U1003" s="43" t="str">
        <f t="shared" si="247"/>
        <v>20-may-2024</v>
      </c>
      <c r="V1003" s="43">
        <f t="shared" si="248"/>
        <v>45432</v>
      </c>
      <c r="W1003" s="44">
        <f t="array" ref="W1003">_xlfn.IFS(TRIM(C1003)="","",TRIM(V1003)="","",TRUE,V1003-C1003)</f>
        <v>6</v>
      </c>
      <c r="X1003" s="37">
        <f t="shared" si="249"/>
        <v>0</v>
      </c>
      <c r="Y1003" s="46" t="s">
        <v>117</v>
      </c>
      <c r="Z1003" s="37" t="str">
        <f t="shared" si="250"/>
        <v>delivered</v>
      </c>
      <c r="AA1003" s="37" t="str">
        <f t="shared" si="251"/>
        <v>On Time</v>
      </c>
      <c r="AB1003" s="37" t="str">
        <f t="shared" si="254"/>
        <v>0</v>
      </c>
      <c r="AC1003" s="37">
        <f t="shared" si="255"/>
        <v>0</v>
      </c>
      <c r="AD1003" s="45">
        <f t="shared" si="253"/>
        <v>0.51433389544688</v>
      </c>
      <c r="AE1003" s="46">
        <v>4</v>
      </c>
      <c r="AF1003" s="46" t="s">
        <v>191</v>
      </c>
      <c r="AG1003" s="37" t="str">
        <f t="shared" si="252"/>
        <v>no</v>
      </c>
      <c r="AH1003" s="37" t="str">
        <f t="array" ref="AH1003">_xlfn.IFS(LOWER(AG1003)="n","no",LOWER(AG1003)="y","yes",TRUE,LOWER(AG1003))</f>
        <v>no</v>
      </c>
      <c r="AI1003" s="46" t="s">
        <v>4692</v>
      </c>
    </row>
    <row r="1004" spans="1:35">
      <c r="A1004" s="37" t="s">
        <v>3411</v>
      </c>
      <c r="B1004" s="38" t="s">
        <v>4803</v>
      </c>
      <c r="C1004" s="39">
        <f t="shared" si="240"/>
        <v>45308</v>
      </c>
      <c r="D1004" s="40" t="s">
        <v>212</v>
      </c>
      <c r="E1004" s="37" t="str" cm="1">
        <f t="array" ref="E1004">_xlfn.IFS(D1004="delhi","north",D1004="mumbai","west",D1004="bengaluru","south",D1004="chennai","south",D1004="kolkata","east",TRUE,"west")</f>
        <v>west</v>
      </c>
      <c r="F1004" s="37" t="s">
        <v>333</v>
      </c>
      <c r="G1004" s="37" t="str">
        <f t="shared" si="241"/>
        <v>delhivery</v>
      </c>
      <c r="H1004" s="37" t="s">
        <v>110</v>
      </c>
      <c r="I1004" s="37" t="str">
        <f t="shared" si="242"/>
        <v>surface</v>
      </c>
      <c r="J1004" s="37" t="s">
        <v>231</v>
      </c>
      <c r="K1004" s="37" t="str">
        <f t="shared" si="243"/>
        <v>furniture</v>
      </c>
      <c r="L1004" s="37" t="s">
        <v>139</v>
      </c>
      <c r="M1004" s="37" t="str">
        <f t="shared" si="244"/>
        <v>north</v>
      </c>
      <c r="N1004" s="37" t="s">
        <v>354</v>
      </c>
      <c r="O1004" s="41" t="str">
        <f t="shared" si="245"/>
        <v>Yes</v>
      </c>
      <c r="P1004" s="41">
        <v>62.5</v>
      </c>
      <c r="Q1004" s="50">
        <v>1547</v>
      </c>
      <c r="R1004" s="42">
        <f t="shared" si="246"/>
        <v>24.752</v>
      </c>
      <c r="S1004" s="37">
        <v>6</v>
      </c>
      <c r="T1004" s="37" t="s">
        <v>763</v>
      </c>
      <c r="U1004" s="43" t="str">
        <f t="shared" si="247"/>
        <v>23/01/2024</v>
      </c>
      <c r="V1004" s="43">
        <f t="shared" si="248"/>
        <v>45314</v>
      </c>
      <c r="W1004" s="44">
        <f t="array" ref="W1004">_xlfn.IFS(TRIM(C1004)="","",TRIM(V1004)="","",TRUE,V1004-C1004)</f>
        <v>6</v>
      </c>
      <c r="X1004" s="37">
        <f t="shared" si="249"/>
        <v>0</v>
      </c>
      <c r="Y1004" s="37" t="s">
        <v>117</v>
      </c>
      <c r="Z1004" s="37" t="str">
        <f t="shared" si="250"/>
        <v>delivered</v>
      </c>
      <c r="AA1004" s="37" t="str">
        <f t="shared" si="251"/>
        <v>On Time</v>
      </c>
      <c r="AB1004" s="37" t="str">
        <f t="shared" si="254"/>
        <v>0</v>
      </c>
      <c r="AC1004" s="37">
        <f t="shared" si="255"/>
        <v>0</v>
      </c>
      <c r="AD1004" s="45">
        <f t="shared" si="253"/>
        <v>0.515202702702703</v>
      </c>
      <c r="AE1004" s="37">
        <v>4</v>
      </c>
      <c r="AF1004" s="37" t="s">
        <v>286</v>
      </c>
      <c r="AG1004" s="37" t="str">
        <f t="shared" si="252"/>
        <v>yes</v>
      </c>
      <c r="AH1004" s="37" t="str">
        <f t="array" ref="AH1004">_xlfn.IFS(LOWER(AG1004)="n","no",LOWER(AG1004)="y","yes",TRUE,LOWER(AG1004))</f>
        <v>yes</v>
      </c>
      <c r="AI1004" s="37" t="s">
        <v>4692</v>
      </c>
    </row>
    <row r="1005" spans="1:35">
      <c r="A1005" s="46" t="s">
        <v>3414</v>
      </c>
      <c r="B1005" s="47">
        <v>45324</v>
      </c>
      <c r="C1005" s="39">
        <f t="shared" si="240"/>
        <v>45324</v>
      </c>
      <c r="D1005" s="48" t="s">
        <v>424</v>
      </c>
      <c r="E1005" s="37" t="str" cm="1">
        <f t="array" ref="E1005">_xlfn.IFS(D1005="delhi","north",D1005="mumbai","west",D1005="bengaluru","south",D1005="chennai","south",D1005="kolkata","east",TRUE,"west")</f>
        <v>south</v>
      </c>
      <c r="F1005" s="46" t="s">
        <v>230</v>
      </c>
      <c r="G1005" s="37" t="str">
        <f t="shared" si="241"/>
        <v>dtdc</v>
      </c>
      <c r="H1005" s="46" t="s">
        <v>99</v>
      </c>
      <c r="I1005" s="37" t="str">
        <f t="shared" si="242"/>
        <v>air</v>
      </c>
      <c r="J1005" s="46" t="s">
        <v>271</v>
      </c>
      <c r="K1005" s="37" t="str">
        <f t="shared" si="243"/>
        <v>electronics</v>
      </c>
      <c r="L1005" s="46" t="s">
        <v>264</v>
      </c>
      <c r="M1005" s="37" t="str">
        <f t="shared" si="244"/>
        <v>west</v>
      </c>
      <c r="N1005" s="46" t="s">
        <v>206</v>
      </c>
      <c r="O1005" s="41" t="str">
        <f t="shared" si="245"/>
        <v>Yes</v>
      </c>
      <c r="P1005" s="49" t="s">
        <v>2032</v>
      </c>
      <c r="Q1005" s="49">
        <v>384</v>
      </c>
      <c r="R1005" s="42">
        <f t="shared" si="246"/>
        <v>72.4528301886792</v>
      </c>
      <c r="S1005" s="46">
        <v>4</v>
      </c>
      <c r="T1005" s="46" t="s">
        <v>1961</v>
      </c>
      <c r="U1005" s="43" t="str">
        <f t="shared" si="247"/>
        <v>07/02/2024</v>
      </c>
      <c r="V1005" s="43">
        <f t="shared" si="248"/>
        <v>45329</v>
      </c>
      <c r="W1005" s="44">
        <f t="array" ref="W1005">_xlfn.IFS(TRIM(C1005)="","",TRIM(V1005)="","",TRUE,V1005-C1005)</f>
        <v>5</v>
      </c>
      <c r="X1005" s="37">
        <f t="shared" si="249"/>
        <v>1</v>
      </c>
      <c r="Y1005" s="46" t="s">
        <v>143</v>
      </c>
      <c r="Z1005" s="37" t="str">
        <f t="shared" si="250"/>
        <v>delayed</v>
      </c>
      <c r="AA1005" s="37" t="str">
        <f t="shared" si="251"/>
        <v>Late</v>
      </c>
      <c r="AB1005" s="37" t="str">
        <f t="shared" si="254"/>
        <v>1</v>
      </c>
      <c r="AC1005" s="37">
        <f t="shared" si="255"/>
        <v>1</v>
      </c>
      <c r="AD1005" s="45">
        <f t="shared" si="253"/>
        <v>0.516074450084602</v>
      </c>
      <c r="AE1005" s="46">
        <v>1</v>
      </c>
      <c r="AF1005" s="46" t="s">
        <v>106</v>
      </c>
      <c r="AG1005" s="37" t="str">
        <f t="shared" si="252"/>
        <v>yes</v>
      </c>
      <c r="AH1005" s="37" t="str">
        <f t="array" ref="AH1005">_xlfn.IFS(LOWER(AG1005)="n","no",LOWER(AG1005)="y","yes",TRUE,LOWER(AG1005))</f>
        <v>yes</v>
      </c>
      <c r="AI1005" s="46" t="s">
        <v>4692</v>
      </c>
    </row>
    <row r="1006" spans="1:35">
      <c r="A1006" s="37" t="s">
        <v>3416</v>
      </c>
      <c r="B1006" s="38">
        <v>45363</v>
      </c>
      <c r="C1006" s="39">
        <f t="shared" si="240"/>
        <v>45363</v>
      </c>
      <c r="D1006" s="40" t="s">
        <v>4705</v>
      </c>
      <c r="E1006" s="37" t="str" cm="1">
        <f t="array" ref="E1006">_xlfn.IFS(D1006="delhi","north",D1006="mumbai","west",D1006="bengaluru","south",D1006="chennai","south",D1006="kolkata","east",TRUE,"west")</f>
        <v>west</v>
      </c>
      <c r="F1006" s="37" t="s">
        <v>270</v>
      </c>
      <c r="G1006" s="37" t="str">
        <f t="shared" si="241"/>
        <v>ecomexpress</v>
      </c>
      <c r="H1006" s="37" t="s">
        <v>123</v>
      </c>
      <c r="I1006" s="37" t="str">
        <f t="shared" si="242"/>
        <v>air</v>
      </c>
      <c r="J1006" s="37" t="s">
        <v>100</v>
      </c>
      <c r="K1006" s="37" t="str">
        <f t="shared" si="243"/>
        <v>electronics</v>
      </c>
      <c r="L1006" s="37" t="s">
        <v>401</v>
      </c>
      <c r="M1006" s="37" t="str">
        <f t="shared" si="244"/>
        <v>south</v>
      </c>
      <c r="N1006" s="37" t="s">
        <v>90</v>
      </c>
      <c r="O1006" s="41" t="str">
        <f t="shared" si="245"/>
        <v>Yes</v>
      </c>
      <c r="P1006" s="41">
        <v>11.2</v>
      </c>
      <c r="Q1006" s="41" t="s">
        <v>3418</v>
      </c>
      <c r="R1006" s="42">
        <f t="shared" si="246"/>
        <v>60.625</v>
      </c>
      <c r="S1006" s="37">
        <v>4</v>
      </c>
      <c r="T1006" s="37" t="s">
        <v>1164</v>
      </c>
      <c r="U1006" s="43" t="str">
        <f t="shared" si="247"/>
        <v>15-mar-2024</v>
      </c>
      <c r="V1006" s="43">
        <f t="shared" si="248"/>
        <v>45366</v>
      </c>
      <c r="W1006" s="44">
        <f t="array" ref="W1006">_xlfn.IFS(TRIM(C1006)="","",TRIM(V1006)="","",TRUE,V1006-C1006)</f>
        <v>3</v>
      </c>
      <c r="X1006" s="37">
        <f t="shared" si="249"/>
        <v>-1</v>
      </c>
      <c r="Y1006" s="37" t="s">
        <v>219</v>
      </c>
      <c r="Z1006" s="37" t="str">
        <f t="shared" si="250"/>
        <v>delivered</v>
      </c>
      <c r="AA1006" s="37" t="str">
        <f t="shared" si="251"/>
        <v>On Time</v>
      </c>
      <c r="AB1006" s="37" t="str">
        <f t="shared" si="254"/>
        <v>0</v>
      </c>
      <c r="AC1006" s="37">
        <f t="shared" si="255"/>
        <v>0</v>
      </c>
      <c r="AD1006" s="45">
        <f t="shared" si="253"/>
        <v>0.515254237288136</v>
      </c>
      <c r="AE1006" s="37">
        <v>5</v>
      </c>
      <c r="AF1006" s="37" t="s">
        <v>118</v>
      </c>
      <c r="AG1006" s="37" t="str">
        <f t="shared" si="252"/>
        <v>no</v>
      </c>
      <c r="AH1006" s="37" t="str">
        <f t="array" ref="AH1006">_xlfn.IFS(LOWER(AG1006)="n","no",LOWER(AG1006)="y","yes",TRUE,LOWER(AG1006))</f>
        <v>no</v>
      </c>
      <c r="AI1006" s="37" t="s">
        <v>4692</v>
      </c>
    </row>
    <row r="1007" spans="1:35">
      <c r="A1007" s="46" t="s">
        <v>3419</v>
      </c>
      <c r="B1007" s="47">
        <v>45337</v>
      </c>
      <c r="C1007" s="39">
        <f t="shared" si="240"/>
        <v>45337</v>
      </c>
      <c r="D1007" s="48" t="s">
        <v>212</v>
      </c>
      <c r="E1007" s="37" t="str" cm="1">
        <f t="array" ref="E1007">_xlfn.IFS(D1007="delhi","north",D1007="mumbai","west",D1007="bengaluru","south",D1007="chennai","south",D1007="kolkata","east",TRUE,"west")</f>
        <v>west</v>
      </c>
      <c r="F1007" s="46" t="s">
        <v>544</v>
      </c>
      <c r="G1007" s="37" t="str">
        <f t="shared" si="241"/>
        <v>bluedart</v>
      </c>
      <c r="H1007" s="46" t="s">
        <v>137</v>
      </c>
      <c r="I1007" s="37" t="str">
        <f t="shared" si="242"/>
        <v>road</v>
      </c>
      <c r="J1007" s="46" t="s">
        <v>231</v>
      </c>
      <c r="K1007" s="37" t="str">
        <f t="shared" si="243"/>
        <v>furniture</v>
      </c>
      <c r="L1007" s="46" t="s">
        <v>125</v>
      </c>
      <c r="M1007" s="37" t="str">
        <f t="shared" si="244"/>
        <v>east</v>
      </c>
      <c r="N1007" s="46" t="s">
        <v>294</v>
      </c>
      <c r="O1007" s="41" t="str">
        <f t="shared" si="245"/>
        <v>Yes</v>
      </c>
      <c r="P1007" s="49" t="s">
        <v>3420</v>
      </c>
      <c r="Q1007" s="49">
        <v>1023</v>
      </c>
      <c r="R1007" s="42">
        <f t="shared" si="246"/>
        <v>17.05</v>
      </c>
      <c r="S1007" s="46">
        <v>8</v>
      </c>
      <c r="T1007" s="46" t="s">
        <v>786</v>
      </c>
      <c r="U1007" s="43" t="str">
        <f t="shared" si="247"/>
        <v>23/02/2024</v>
      </c>
      <c r="V1007" s="43">
        <f t="shared" si="248"/>
        <v>45345</v>
      </c>
      <c r="W1007" s="44">
        <f t="array" ref="W1007">_xlfn.IFS(TRIM(C1007)="","",TRIM(V1007)="","",TRUE,V1007-C1007)</f>
        <v>8</v>
      </c>
      <c r="X1007" s="37">
        <f t="shared" si="249"/>
        <v>0</v>
      </c>
      <c r="Y1007" s="46" t="s">
        <v>219</v>
      </c>
      <c r="Z1007" s="37" t="str">
        <f t="shared" si="250"/>
        <v>delivered</v>
      </c>
      <c r="AA1007" s="37" t="str">
        <f t="shared" si="251"/>
        <v>On Time</v>
      </c>
      <c r="AB1007" s="37" t="str">
        <f t="shared" si="254"/>
        <v>0</v>
      </c>
      <c r="AC1007" s="37">
        <f t="shared" si="255"/>
        <v>0</v>
      </c>
      <c r="AD1007" s="45">
        <f t="shared" si="253"/>
        <v>0.516129032258065</v>
      </c>
      <c r="AE1007" s="46">
        <v>4</v>
      </c>
      <c r="AF1007" s="46" t="s">
        <v>152</v>
      </c>
      <c r="AG1007" s="37" t="str">
        <f t="shared" si="252"/>
        <v>no</v>
      </c>
      <c r="AH1007" s="37" t="str">
        <f t="array" ref="AH1007">_xlfn.IFS(LOWER(AG1007)="n","no",LOWER(AG1007)="y","yes",TRUE,LOWER(AG1007))</f>
        <v>no</v>
      </c>
      <c r="AI1007" s="46" t="s">
        <v>4692</v>
      </c>
    </row>
    <row r="1008" spans="1:35">
      <c r="A1008" s="37" t="s">
        <v>3422</v>
      </c>
      <c r="B1008" s="38">
        <v>45413</v>
      </c>
      <c r="C1008" s="39">
        <f t="shared" si="240"/>
        <v>45413</v>
      </c>
      <c r="D1008" s="40" t="s">
        <v>4694</v>
      </c>
      <c r="E1008" s="37" t="str" cm="1">
        <f t="array" ref="E1008">_xlfn.IFS(D1008="delhi","north",D1008="mumbai","west",D1008="bengaluru","south",D1008="chennai","south",D1008="kolkata","east",TRUE,"west")</f>
        <v>west</v>
      </c>
      <c r="F1008" s="37" t="s">
        <v>122</v>
      </c>
      <c r="G1008" s="37" t="str">
        <f t="shared" si="241"/>
        <v>delhivery</v>
      </c>
      <c r="H1008" s="37" t="s">
        <v>110</v>
      </c>
      <c r="I1008" s="37" t="str">
        <f t="shared" si="242"/>
        <v>surface</v>
      </c>
      <c r="J1008" s="37" t="s">
        <v>498</v>
      </c>
      <c r="K1008" s="37" t="str">
        <f t="shared" si="243"/>
        <v>apparel</v>
      </c>
      <c r="L1008" s="37" t="s">
        <v>51</v>
      </c>
      <c r="M1008" s="37" t="str">
        <f t="shared" si="244"/>
        <v>south</v>
      </c>
      <c r="N1008" s="37" t="s">
        <v>90</v>
      </c>
      <c r="O1008" s="41" t="str">
        <f t="shared" si="245"/>
        <v>Yes</v>
      </c>
      <c r="P1008" s="41">
        <v>2.3</v>
      </c>
      <c r="Q1008" s="41">
        <v>80</v>
      </c>
      <c r="R1008" s="42">
        <f t="shared" si="246"/>
        <v>34.7826086956522</v>
      </c>
      <c r="S1008" s="37">
        <v>4</v>
      </c>
      <c r="T1008" s="37" t="s">
        <v>2160</v>
      </c>
      <c r="U1008" s="43" t="str">
        <f t="shared" si="247"/>
        <v>2024-05-05</v>
      </c>
      <c r="V1008" s="43">
        <f t="shared" si="248"/>
        <v>45417</v>
      </c>
      <c r="W1008" s="44">
        <f t="array" ref="W1008">_xlfn.IFS(TRIM(C1008)="","",TRIM(V1008)="","",TRUE,V1008-C1008)</f>
        <v>4</v>
      </c>
      <c r="X1008" s="37">
        <f t="shared" si="249"/>
        <v>0</v>
      </c>
      <c r="Y1008" s="37" t="s">
        <v>219</v>
      </c>
      <c r="Z1008" s="37" t="str">
        <f t="shared" si="250"/>
        <v>delivered</v>
      </c>
      <c r="AA1008" s="37" t="str">
        <f t="shared" si="251"/>
        <v>On Time</v>
      </c>
      <c r="AB1008" s="37" t="str">
        <f t="shared" si="254"/>
        <v>0</v>
      </c>
      <c r="AC1008" s="37">
        <f t="shared" si="255"/>
        <v>0</v>
      </c>
      <c r="AD1008" s="45">
        <f t="shared" si="253"/>
        <v>0.517006802721088</v>
      </c>
      <c r="AE1008" s="37">
        <v>4</v>
      </c>
      <c r="AF1008" s="37" t="s">
        <v>131</v>
      </c>
      <c r="AG1008" s="37" t="str">
        <f t="shared" si="252"/>
        <v>n</v>
      </c>
      <c r="AH1008" s="37" t="str">
        <f t="array" ref="AH1008">_xlfn.IFS(LOWER(AG1008)="n","no",LOWER(AG1008)="y","yes",TRUE,LOWER(AG1008))</f>
        <v>no</v>
      </c>
      <c r="AI1008" s="37" t="s">
        <v>4692</v>
      </c>
    </row>
    <row r="1009" spans="1:35">
      <c r="A1009" s="46" t="s">
        <v>3423</v>
      </c>
      <c r="B1009" s="47">
        <v>45433</v>
      </c>
      <c r="C1009" s="39">
        <f t="shared" si="240"/>
        <v>45433</v>
      </c>
      <c r="D1009" s="48" t="s">
        <v>109</v>
      </c>
      <c r="E1009" s="37" t="str" cm="1">
        <f t="array" ref="E1009">_xlfn.IFS(D1009="delhi","north",D1009="mumbai","west",D1009="bengaluru","south",D1009="chennai","south",D1009="kolkata","east",TRUE,"west")</f>
        <v>west</v>
      </c>
      <c r="F1009" s="46" t="s">
        <v>367</v>
      </c>
      <c r="G1009" s="37" t="str">
        <f t="shared" si="241"/>
        <v>dtdc</v>
      </c>
      <c r="H1009" s="46" t="s">
        <v>176</v>
      </c>
      <c r="I1009" s="37" t="str">
        <f t="shared" si="242"/>
        <v>road</v>
      </c>
      <c r="J1009" s="46" t="s">
        <v>158</v>
      </c>
      <c r="K1009" s="37" t="str">
        <f t="shared" si="243"/>
        <v>pharma</v>
      </c>
      <c r="L1009" s="46" t="s">
        <v>101</v>
      </c>
      <c r="M1009" s="37" t="str">
        <f t="shared" si="244"/>
        <v>west</v>
      </c>
      <c r="N1009" s="46" t="s">
        <v>88</v>
      </c>
      <c r="O1009" s="41" t="str">
        <f t="shared" si="245"/>
        <v>Yes</v>
      </c>
      <c r="P1009" s="49">
        <v>3.4</v>
      </c>
      <c r="Q1009" s="49" t="s">
        <v>1043</v>
      </c>
      <c r="R1009" s="42">
        <f t="shared" si="246"/>
        <v>23.8235294117647</v>
      </c>
      <c r="S1009" s="46">
        <v>6</v>
      </c>
      <c r="T1009" s="46" t="s">
        <v>1039</v>
      </c>
      <c r="U1009" s="43" t="str">
        <f t="shared" si="247"/>
        <v>05/06/2024</v>
      </c>
      <c r="V1009" s="43">
        <f t="shared" si="248"/>
        <v>45448</v>
      </c>
      <c r="W1009" s="44">
        <f t="array" ref="W1009">_xlfn.IFS(TRIM(C1009)="","",TRIM(V1009)="","",TRUE,V1009-C1009)</f>
        <v>15</v>
      </c>
      <c r="X1009" s="37">
        <f t="shared" si="249"/>
        <v>9</v>
      </c>
      <c r="Y1009" s="46" t="s">
        <v>172</v>
      </c>
      <c r="Z1009" s="37" t="str">
        <f t="shared" si="250"/>
        <v>delayed</v>
      </c>
      <c r="AA1009" s="37" t="str">
        <f t="shared" si="251"/>
        <v>Late</v>
      </c>
      <c r="AB1009" s="37" t="str">
        <f t="shared" si="254"/>
        <v>1</v>
      </c>
      <c r="AC1009" s="37">
        <f t="shared" si="255"/>
        <v>1</v>
      </c>
      <c r="AD1009" s="45">
        <f t="shared" si="253"/>
        <v>0.517887563884157</v>
      </c>
      <c r="AE1009" s="46">
        <v>4</v>
      </c>
      <c r="AF1009" s="46" t="s">
        <v>79</v>
      </c>
      <c r="AG1009" s="37" t="str">
        <f t="shared" si="252"/>
        <v>yes</v>
      </c>
      <c r="AH1009" s="37" t="str">
        <f t="array" ref="AH1009">_xlfn.IFS(LOWER(AG1009)="n","no",LOWER(AG1009)="y","yes",TRUE,LOWER(AG1009))</f>
        <v>yes</v>
      </c>
      <c r="AI1009" s="46" t="s">
        <v>4692</v>
      </c>
    </row>
    <row r="1010" spans="1:35">
      <c r="A1010" s="37" t="s">
        <v>3424</v>
      </c>
      <c r="B1010" s="38">
        <v>45329</v>
      </c>
      <c r="C1010" s="39">
        <f t="shared" si="240"/>
        <v>45329</v>
      </c>
      <c r="D1010" s="40" t="s">
        <v>4694</v>
      </c>
      <c r="E1010" s="37" t="str" cm="1">
        <f t="array" ref="E1010">_xlfn.IFS(D1010="delhi","north",D1010="mumbai","west",D1010="bengaluru","south",D1010="chennai","south",D1010="kolkata","east",TRUE,"west")</f>
        <v>west</v>
      </c>
      <c r="F1010" s="37" t="s">
        <v>194</v>
      </c>
      <c r="G1010" s="37" t="str">
        <f t="shared" si="241"/>
        <v>xpressbees</v>
      </c>
      <c r="H1010" s="37" t="s">
        <v>110</v>
      </c>
      <c r="I1010" s="37" t="str">
        <f t="shared" si="242"/>
        <v>surface</v>
      </c>
      <c r="J1010" s="37" t="s">
        <v>138</v>
      </c>
      <c r="K1010" s="37" t="str">
        <f t="shared" si="243"/>
        <v>apparel</v>
      </c>
      <c r="L1010" s="37" t="s">
        <v>264</v>
      </c>
      <c r="M1010" s="37" t="str">
        <f t="shared" si="244"/>
        <v>west</v>
      </c>
      <c r="N1010" s="37" t="s">
        <v>278</v>
      </c>
      <c r="O1010" s="41" t="str">
        <f t="shared" si="245"/>
        <v>Yes</v>
      </c>
      <c r="P1010" s="41">
        <v>2.4</v>
      </c>
      <c r="Q1010" s="41">
        <v>189</v>
      </c>
      <c r="R1010" s="42">
        <f t="shared" si="246"/>
        <v>78.75</v>
      </c>
      <c r="S1010" s="37">
        <v>6</v>
      </c>
      <c r="T1010" s="37" t="s">
        <v>1311</v>
      </c>
      <c r="U1010" s="43" t="str">
        <f t="shared" si="247"/>
        <v>20/02/2024</v>
      </c>
      <c r="V1010" s="43">
        <f t="shared" si="248"/>
        <v>45342</v>
      </c>
      <c r="W1010" s="44">
        <f t="array" ref="W1010">_xlfn.IFS(TRIM(C1010)="","",TRIM(V1010)="","",TRUE,V1010-C1010)</f>
        <v>13</v>
      </c>
      <c r="X1010" s="37">
        <f t="shared" si="249"/>
        <v>7</v>
      </c>
      <c r="Y1010" s="37" t="s">
        <v>143</v>
      </c>
      <c r="Z1010" s="37" t="str">
        <f t="shared" si="250"/>
        <v>delayed</v>
      </c>
      <c r="AA1010" s="37" t="str">
        <f t="shared" si="251"/>
        <v>Late</v>
      </c>
      <c r="AB1010" s="37" t="str">
        <f t="shared" si="254"/>
        <v>1</v>
      </c>
      <c r="AC1010" s="37">
        <f t="shared" si="255"/>
        <v>1</v>
      </c>
      <c r="AD1010" s="45">
        <f t="shared" si="253"/>
        <v>0.517064846416382</v>
      </c>
      <c r="AE1010" s="37">
        <v>4</v>
      </c>
      <c r="AF1010" s="37" t="s">
        <v>131</v>
      </c>
      <c r="AG1010" s="37" t="str">
        <f t="shared" si="252"/>
        <v>n</v>
      </c>
      <c r="AH1010" s="37" t="str">
        <f t="array" ref="AH1010">_xlfn.IFS(LOWER(AG1010)="n","no",LOWER(AG1010)="y","yes",TRUE,LOWER(AG1010))</f>
        <v>no</v>
      </c>
      <c r="AI1010" s="37" t="s">
        <v>4692</v>
      </c>
    </row>
    <row r="1011" spans="1:35">
      <c r="A1011" s="46" t="s">
        <v>3426</v>
      </c>
      <c r="B1011" s="47">
        <v>45436</v>
      </c>
      <c r="C1011" s="39">
        <f t="shared" si="240"/>
        <v>45436</v>
      </c>
      <c r="D1011" s="48" t="s">
        <v>366</v>
      </c>
      <c r="E1011" s="37" t="str" cm="1">
        <f t="array" ref="E1011">_xlfn.IFS(D1011="delhi","north",D1011="mumbai","west",D1011="bengaluru","south",D1011="chennai","south",D1011="kolkata","east",TRUE,"west")</f>
        <v>east</v>
      </c>
      <c r="F1011" s="46" t="s">
        <v>223</v>
      </c>
      <c r="G1011" s="37" t="str">
        <f t="shared" si="241"/>
        <v>xpressbees</v>
      </c>
      <c r="H1011" s="46" t="s">
        <v>110</v>
      </c>
      <c r="I1011" s="37" t="str">
        <f t="shared" si="242"/>
        <v>surface</v>
      </c>
      <c r="J1011" s="46" t="s">
        <v>319</v>
      </c>
      <c r="K1011" s="37" t="str">
        <f t="shared" si="243"/>
        <v>electronics</v>
      </c>
      <c r="L1011" s="46" t="s">
        <v>51</v>
      </c>
      <c r="M1011" s="37" t="str">
        <f t="shared" si="244"/>
        <v>south</v>
      </c>
      <c r="N1011" s="46" t="s">
        <v>327</v>
      </c>
      <c r="O1011" s="41" t="str">
        <f t="shared" si="245"/>
        <v>Yes</v>
      </c>
      <c r="P1011" s="49">
        <v>4.7</v>
      </c>
      <c r="Q1011" s="49">
        <v>229</v>
      </c>
      <c r="R1011" s="42">
        <f t="shared" si="246"/>
        <v>48.7234042553191</v>
      </c>
      <c r="S1011" s="46">
        <v>6</v>
      </c>
      <c r="T1011" s="46" t="s">
        <v>1468</v>
      </c>
      <c r="U1011" s="43" t="str">
        <f t="shared" si="247"/>
        <v>29/05/2024</v>
      </c>
      <c r="V1011" s="43">
        <f t="shared" si="248"/>
        <v>45441</v>
      </c>
      <c r="W1011" s="44">
        <f t="array" ref="W1011">_xlfn.IFS(TRIM(C1011)="","",TRIM(V1011)="","",TRUE,V1011-C1011)</f>
        <v>5</v>
      </c>
      <c r="X1011" s="37">
        <f t="shared" si="249"/>
        <v>-1</v>
      </c>
      <c r="Y1011" s="46" t="s">
        <v>117</v>
      </c>
      <c r="Z1011" s="37" t="str">
        <f t="shared" si="250"/>
        <v>delivered</v>
      </c>
      <c r="AA1011" s="37" t="str">
        <f t="shared" si="251"/>
        <v>On Time</v>
      </c>
      <c r="AB1011" s="37" t="str">
        <f t="shared" si="254"/>
        <v>0</v>
      </c>
      <c r="AC1011" s="37">
        <f t="shared" si="255"/>
        <v>0</v>
      </c>
      <c r="AD1011" s="45">
        <f t="shared" si="253"/>
        <v>0.516239316239316</v>
      </c>
      <c r="AE1011" s="46">
        <v>5</v>
      </c>
      <c r="AF1011" s="46" t="s">
        <v>152</v>
      </c>
      <c r="AG1011" s="37" t="str">
        <f t="shared" si="252"/>
        <v>no</v>
      </c>
      <c r="AH1011" s="37" t="str">
        <f t="array" ref="AH1011">_xlfn.IFS(LOWER(AG1011)="n","no",LOWER(AG1011)="y","yes",TRUE,LOWER(AG1011))</f>
        <v>no</v>
      </c>
      <c r="AI1011" s="46" t="s">
        <v>4692</v>
      </c>
    </row>
    <row r="1012" spans="1:35">
      <c r="A1012" s="37" t="s">
        <v>3428</v>
      </c>
      <c r="B1012" s="38">
        <v>45301</v>
      </c>
      <c r="C1012" s="39">
        <f t="shared" si="240"/>
        <v>45301</v>
      </c>
      <c r="D1012" s="40" t="s">
        <v>121</v>
      </c>
      <c r="E1012" s="37" t="str" cm="1">
        <f t="array" ref="E1012">_xlfn.IFS(D1012="delhi","north",D1012="mumbai","west",D1012="bengaluru","south",D1012="chennai","south",D1012="kolkata","east",TRUE,"west")</f>
        <v>west</v>
      </c>
      <c r="F1012" s="37" t="s">
        <v>367</v>
      </c>
      <c r="G1012" s="37" t="str">
        <f t="shared" si="241"/>
        <v>dtdc</v>
      </c>
      <c r="H1012" s="37" t="s">
        <v>123</v>
      </c>
      <c r="I1012" s="37" t="str">
        <f t="shared" si="242"/>
        <v>air</v>
      </c>
      <c r="J1012" s="37" t="s">
        <v>231</v>
      </c>
      <c r="K1012" s="37" t="str">
        <f t="shared" si="243"/>
        <v>furniture</v>
      </c>
      <c r="L1012" s="37" t="s">
        <v>125</v>
      </c>
      <c r="M1012" s="37" t="str">
        <f t="shared" si="244"/>
        <v>east</v>
      </c>
      <c r="N1012" s="37" t="s">
        <v>126</v>
      </c>
      <c r="O1012" s="41" t="str">
        <f t="shared" si="245"/>
        <v>Yes</v>
      </c>
      <c r="P1012" s="41">
        <v>52.9</v>
      </c>
      <c r="Q1012" s="41">
        <v>2536</v>
      </c>
      <c r="R1012" s="42">
        <f t="shared" si="246"/>
        <v>47.9395085066163</v>
      </c>
      <c r="S1012" s="37">
        <v>4</v>
      </c>
      <c r="T1012" s="37" t="s">
        <v>991</v>
      </c>
      <c r="U1012" s="43" t="str">
        <f t="shared" si="247"/>
        <v>20/01/2024</v>
      </c>
      <c r="V1012" s="43">
        <f t="shared" si="248"/>
        <v>45311</v>
      </c>
      <c r="W1012" s="44">
        <f t="array" ref="W1012">_xlfn.IFS(TRIM(C1012)="","",TRIM(V1012)="","",TRUE,V1012-C1012)</f>
        <v>10</v>
      </c>
      <c r="X1012" s="37">
        <f t="shared" si="249"/>
        <v>6</v>
      </c>
      <c r="Y1012" s="37" t="s">
        <v>172</v>
      </c>
      <c r="Z1012" s="37" t="str">
        <f t="shared" si="250"/>
        <v>delayed</v>
      </c>
      <c r="AA1012" s="37" t="str">
        <f t="shared" si="251"/>
        <v>Late</v>
      </c>
      <c r="AB1012" s="37" t="str">
        <f t="shared" si="254"/>
        <v>1</v>
      </c>
      <c r="AC1012" s="37">
        <f t="shared" si="255"/>
        <v>1</v>
      </c>
      <c r="AD1012" s="45">
        <f t="shared" si="253"/>
        <v>0.517123287671233</v>
      </c>
      <c r="AE1012" s="37">
        <v>5</v>
      </c>
      <c r="AF1012" s="37" t="s">
        <v>79</v>
      </c>
      <c r="AG1012" s="37" t="str">
        <f t="shared" si="252"/>
        <v>yes</v>
      </c>
      <c r="AH1012" s="37" t="str">
        <f t="array" ref="AH1012">_xlfn.IFS(LOWER(AG1012)="n","no",LOWER(AG1012)="y","yes",TRUE,LOWER(AG1012))</f>
        <v>yes</v>
      </c>
      <c r="AI1012" s="37" t="s">
        <v>4692</v>
      </c>
    </row>
    <row r="1013" spans="1:35">
      <c r="A1013" s="46" t="s">
        <v>3431</v>
      </c>
      <c r="B1013" s="47">
        <v>45347</v>
      </c>
      <c r="C1013" s="39">
        <f t="shared" si="240"/>
        <v>45347</v>
      </c>
      <c r="D1013" s="48" t="s">
        <v>4695</v>
      </c>
      <c r="E1013" s="37" t="str" cm="1">
        <f t="array" ref="E1013">_xlfn.IFS(D1013="delhi","north",D1013="mumbai","west",D1013="bengaluru","south",D1013="chennai","south",D1013="kolkata","east",TRUE,"west")</f>
        <v>west</v>
      </c>
      <c r="F1013" s="46" t="s">
        <v>156</v>
      </c>
      <c r="G1013" s="37" t="str">
        <f t="shared" si="241"/>
        <v>xpressbees</v>
      </c>
      <c r="H1013" s="46" t="s">
        <v>224</v>
      </c>
      <c r="I1013" s="37" t="str">
        <f t="shared" si="242"/>
        <v>air</v>
      </c>
      <c r="J1013" s="46" t="s">
        <v>326</v>
      </c>
      <c r="K1013" s="37" t="str">
        <f t="shared" si="243"/>
        <v>apparel</v>
      </c>
      <c r="L1013" s="46" t="s">
        <v>87</v>
      </c>
      <c r="M1013" s="37" t="str">
        <f t="shared" si="244"/>
        <v>north</v>
      </c>
      <c r="N1013" s="46" t="s">
        <v>32</v>
      </c>
      <c r="O1013" s="41" t="str">
        <f t="shared" si="245"/>
        <v>Yes</v>
      </c>
      <c r="P1013" s="49">
        <v>1.8</v>
      </c>
      <c r="Q1013" s="49">
        <v>224</v>
      </c>
      <c r="R1013" s="42">
        <f t="shared" si="246"/>
        <v>124.444444444444</v>
      </c>
      <c r="S1013" s="46">
        <v>4</v>
      </c>
      <c r="T1013" s="46" t="s">
        <v>3434</v>
      </c>
      <c r="U1013" s="43" t="str">
        <f t="shared" si="247"/>
        <v>29/02/2024</v>
      </c>
      <c r="V1013" s="43">
        <f t="shared" si="248"/>
        <v>45351</v>
      </c>
      <c r="W1013" s="44">
        <f t="array" ref="W1013">_xlfn.IFS(TRIM(C1013)="","",TRIM(V1013)="","",TRUE,V1013-C1013)</f>
        <v>4</v>
      </c>
      <c r="X1013" s="37">
        <f t="shared" si="249"/>
        <v>0</v>
      </c>
      <c r="Y1013" s="46" t="s">
        <v>163</v>
      </c>
      <c r="Z1013" s="37" t="str">
        <f t="shared" si="250"/>
        <v>delivered</v>
      </c>
      <c r="AA1013" s="37" t="str">
        <f t="shared" si="251"/>
        <v>On Time</v>
      </c>
      <c r="AB1013" s="37" t="str">
        <f t="shared" si="254"/>
        <v>0</v>
      </c>
      <c r="AC1013" s="37">
        <f t="shared" si="255"/>
        <v>0</v>
      </c>
      <c r="AD1013" s="45">
        <f t="shared" si="253"/>
        <v>0.516295025728988</v>
      </c>
      <c r="AE1013" s="46">
        <v>5</v>
      </c>
      <c r="AF1013" s="46" t="s">
        <v>79</v>
      </c>
      <c r="AG1013" s="37" t="str">
        <f t="shared" si="252"/>
        <v>yes</v>
      </c>
      <c r="AH1013" s="37" t="str">
        <f t="array" ref="AH1013">_xlfn.IFS(LOWER(AG1013)="n","no",LOWER(AG1013)="y","yes",TRUE,LOWER(AG1013))</f>
        <v>yes</v>
      </c>
      <c r="AI1013" s="46" t="s">
        <v>4692</v>
      </c>
    </row>
    <row r="1014" spans="1:35">
      <c r="A1014" s="37" t="s">
        <v>3435</v>
      </c>
      <c r="B1014" s="38">
        <v>45333</v>
      </c>
      <c r="C1014" s="39">
        <f t="shared" si="240"/>
        <v>45333</v>
      </c>
      <c r="D1014" s="40" t="s">
        <v>340</v>
      </c>
      <c r="E1014" s="37" t="str" cm="1">
        <f t="array" ref="E1014">_xlfn.IFS(D1014="delhi","north",D1014="mumbai","west",D1014="bengaluru","south",D1014="chennai","south",D1014="kolkata","east",TRUE,"west")</f>
        <v>north</v>
      </c>
      <c r="F1014" s="37" t="s">
        <v>230</v>
      </c>
      <c r="G1014" s="37" t="str">
        <f t="shared" si="241"/>
        <v>dtdc</v>
      </c>
      <c r="H1014" s="37" t="s">
        <v>224</v>
      </c>
      <c r="I1014" s="37" t="str">
        <f t="shared" si="242"/>
        <v>air</v>
      </c>
      <c r="J1014" s="37" t="s">
        <v>277</v>
      </c>
      <c r="K1014" s="37" t="str">
        <f t="shared" si="243"/>
        <v>apparel</v>
      </c>
      <c r="L1014" s="37" t="s">
        <v>470</v>
      </c>
      <c r="M1014" s="37" t="str">
        <f t="shared" si="244"/>
        <v>east</v>
      </c>
      <c r="N1014" s="37" t="s">
        <v>91</v>
      </c>
      <c r="O1014" s="41" t="str">
        <f t="shared" si="245"/>
        <v>Yes</v>
      </c>
      <c r="P1014" s="41">
        <v>6.9</v>
      </c>
      <c r="Q1014" s="41">
        <v>486</v>
      </c>
      <c r="R1014" s="42">
        <f t="shared" si="246"/>
        <v>70.4347826086956</v>
      </c>
      <c r="S1014" s="37">
        <v>4</v>
      </c>
      <c r="T1014" s="37" t="s">
        <v>602</v>
      </c>
      <c r="U1014" s="43" t="str">
        <f t="shared" si="247"/>
        <v>15/02/2024</v>
      </c>
      <c r="V1014" s="43">
        <f t="shared" si="248"/>
        <v>45337</v>
      </c>
      <c r="W1014" s="44">
        <f t="array" ref="W1014">_xlfn.IFS(TRIM(C1014)="","",TRIM(V1014)="","",TRUE,V1014-C1014)</f>
        <v>4</v>
      </c>
      <c r="X1014" s="37">
        <f t="shared" si="249"/>
        <v>0</v>
      </c>
      <c r="Y1014" s="37" t="s">
        <v>163</v>
      </c>
      <c r="Z1014" s="37" t="str">
        <f t="shared" si="250"/>
        <v>delivered</v>
      </c>
      <c r="AA1014" s="37" t="str">
        <f t="shared" si="251"/>
        <v>On Time</v>
      </c>
      <c r="AB1014" s="37" t="str">
        <f t="shared" si="254"/>
        <v>0</v>
      </c>
      <c r="AC1014" s="37">
        <f t="shared" si="255"/>
        <v>0</v>
      </c>
      <c r="AD1014" s="45">
        <f t="shared" si="253"/>
        <v>0.517182130584192</v>
      </c>
      <c r="AE1014" s="37">
        <v>3</v>
      </c>
      <c r="AF1014" s="37" t="s">
        <v>118</v>
      </c>
      <c r="AG1014" s="37" t="str">
        <f t="shared" si="252"/>
        <v>no</v>
      </c>
      <c r="AH1014" s="37" t="str">
        <f t="array" ref="AH1014">_xlfn.IFS(LOWER(AG1014)="n","no",LOWER(AG1014)="y","yes",TRUE,LOWER(AG1014))</f>
        <v>no</v>
      </c>
      <c r="AI1014" s="37" t="s">
        <v>4692</v>
      </c>
    </row>
    <row r="1015" spans="1:35">
      <c r="A1015" s="46" t="s">
        <v>3437</v>
      </c>
      <c r="B1015" s="47">
        <v>45372</v>
      </c>
      <c r="C1015" s="39">
        <f t="shared" si="240"/>
        <v>45372</v>
      </c>
      <c r="D1015" s="48" t="s">
        <v>135</v>
      </c>
      <c r="E1015" s="37" t="str" cm="1">
        <f t="array" ref="E1015">_xlfn.IFS(D1015="delhi","north",D1015="mumbai","west",D1015="bengaluru","south",D1015="chennai","south",D1015="kolkata","east",TRUE,"west")</f>
        <v>west</v>
      </c>
      <c r="F1015" s="46" t="s">
        <v>146</v>
      </c>
      <c r="G1015" s="37" t="str">
        <f t="shared" si="241"/>
        <v>ecomexpress</v>
      </c>
      <c r="H1015" s="46" t="s">
        <v>157</v>
      </c>
      <c r="I1015" s="37" t="str">
        <f t="shared" si="242"/>
        <v>surface</v>
      </c>
      <c r="J1015" s="46" t="s">
        <v>301</v>
      </c>
      <c r="K1015" s="37" t="str">
        <f t="shared" si="243"/>
        <v>furniture</v>
      </c>
      <c r="L1015" s="46" t="s">
        <v>92</v>
      </c>
      <c r="M1015" s="37" t="str">
        <f t="shared" si="244"/>
        <v>east</v>
      </c>
      <c r="N1015" s="46" t="s">
        <v>126</v>
      </c>
      <c r="O1015" s="41" t="str">
        <f t="shared" si="245"/>
        <v>Yes</v>
      </c>
      <c r="P1015" s="49" t="s">
        <v>1766</v>
      </c>
      <c r="Q1015" s="49">
        <v>575</v>
      </c>
      <c r="R1015" s="42">
        <f t="shared" si="246"/>
        <v>31.4207650273224</v>
      </c>
      <c r="S1015" s="46">
        <v>6</v>
      </c>
      <c r="T1015" s="46" t="s">
        <v>697</v>
      </c>
      <c r="U1015" s="43" t="str">
        <f t="shared" si="247"/>
        <v>28-mar-2024</v>
      </c>
      <c r="V1015" s="43">
        <f t="shared" si="248"/>
        <v>45379</v>
      </c>
      <c r="W1015" s="44">
        <f t="array" ref="W1015">_xlfn.IFS(TRIM(C1015)="","",TRIM(V1015)="","",TRUE,V1015-C1015)</f>
        <v>7</v>
      </c>
      <c r="X1015" s="37">
        <f t="shared" si="249"/>
        <v>1</v>
      </c>
      <c r="Y1015" s="46" t="s">
        <v>172</v>
      </c>
      <c r="Z1015" s="37" t="str">
        <f t="shared" si="250"/>
        <v>delayed</v>
      </c>
      <c r="AA1015" s="37" t="str">
        <f t="shared" si="251"/>
        <v>Late</v>
      </c>
      <c r="AB1015" s="37" t="str">
        <f t="shared" si="254"/>
        <v>1</v>
      </c>
      <c r="AC1015" s="37">
        <f t="shared" si="255"/>
        <v>1</v>
      </c>
      <c r="AD1015" s="45">
        <f t="shared" si="253"/>
        <v>0.518072289156627</v>
      </c>
      <c r="AE1015" s="46">
        <v>1</v>
      </c>
      <c r="AF1015" s="46" t="s">
        <v>106</v>
      </c>
      <c r="AG1015" s="37" t="str">
        <f t="shared" si="252"/>
        <v>yes</v>
      </c>
      <c r="AH1015" s="37" t="str">
        <f t="array" ref="AH1015">_xlfn.IFS(LOWER(AG1015)="n","no",LOWER(AG1015)="y","yes",TRUE,LOWER(AG1015))</f>
        <v>yes</v>
      </c>
      <c r="AI1015" s="46" t="s">
        <v>4692</v>
      </c>
    </row>
    <row r="1016" spans="1:35">
      <c r="A1016" s="37" t="s">
        <v>3439</v>
      </c>
      <c r="B1016" s="38">
        <v>45407</v>
      </c>
      <c r="C1016" s="39">
        <f t="shared" si="240"/>
        <v>45407</v>
      </c>
      <c r="D1016" s="40" t="s">
        <v>135</v>
      </c>
      <c r="E1016" s="37" t="str" cm="1">
        <f t="array" ref="E1016">_xlfn.IFS(D1016="delhi","north",D1016="mumbai","west",D1016="bengaluru","south",D1016="chennai","south",D1016="kolkata","east",TRUE,"west")</f>
        <v>west</v>
      </c>
      <c r="F1016" s="37" t="s">
        <v>175</v>
      </c>
      <c r="G1016" s="37" t="str">
        <f t="shared" si="241"/>
        <v>ecomexpress</v>
      </c>
      <c r="H1016" s="37" t="s">
        <v>224</v>
      </c>
      <c r="I1016" s="37" t="str">
        <f t="shared" si="242"/>
        <v>air</v>
      </c>
      <c r="J1016" s="37" t="s">
        <v>664</v>
      </c>
      <c r="K1016" s="37" t="str">
        <f t="shared" si="243"/>
        <v>grocery&amp;fmcg</v>
      </c>
      <c r="L1016" s="37" t="s">
        <v>51</v>
      </c>
      <c r="M1016" s="37" t="str">
        <f t="shared" si="244"/>
        <v>south</v>
      </c>
      <c r="N1016" s="37" t="s">
        <v>93</v>
      </c>
      <c r="O1016" s="41" t="str">
        <f t="shared" si="245"/>
        <v>Yes</v>
      </c>
      <c r="P1016" s="41">
        <v>5.4</v>
      </c>
      <c r="Q1016" s="41" t="s">
        <v>956</v>
      </c>
      <c r="R1016" s="42">
        <f t="shared" si="246"/>
        <v>78.5185185185185</v>
      </c>
      <c r="S1016" s="37">
        <v>4</v>
      </c>
      <c r="T1016" s="37" t="s">
        <v>1056</v>
      </c>
      <c r="U1016" s="43" t="str">
        <f t="shared" si="247"/>
        <v>2024-04-28</v>
      </c>
      <c r="V1016" s="43">
        <f t="shared" si="248"/>
        <v>45410</v>
      </c>
      <c r="W1016" s="44">
        <f t="array" ref="W1016">_xlfn.IFS(TRIM(C1016)="","",TRIM(V1016)="","",TRUE,V1016-C1016)</f>
        <v>3</v>
      </c>
      <c r="X1016" s="37">
        <f t="shared" si="249"/>
        <v>-1</v>
      </c>
      <c r="Y1016" s="37" t="s">
        <v>219</v>
      </c>
      <c r="Z1016" s="37" t="str">
        <f t="shared" si="250"/>
        <v>delivered</v>
      </c>
      <c r="AA1016" s="37" t="str">
        <f t="shared" si="251"/>
        <v>On Time</v>
      </c>
      <c r="AB1016" s="37" t="str">
        <f t="shared" si="254"/>
        <v>0</v>
      </c>
      <c r="AC1016" s="37">
        <f t="shared" si="255"/>
        <v>0</v>
      </c>
      <c r="AD1016" s="45">
        <f t="shared" si="253"/>
        <v>0.517241379310345</v>
      </c>
      <c r="AE1016" s="37">
        <v>5</v>
      </c>
      <c r="AF1016" s="37" t="s">
        <v>191</v>
      </c>
      <c r="AG1016" s="37" t="str">
        <f t="shared" si="252"/>
        <v>no</v>
      </c>
      <c r="AH1016" s="37" t="str">
        <f t="array" ref="AH1016">_xlfn.IFS(LOWER(AG1016)="n","no",LOWER(AG1016)="y","yes",TRUE,LOWER(AG1016))</f>
        <v>no</v>
      </c>
      <c r="AI1016" s="37" t="s">
        <v>4692</v>
      </c>
    </row>
    <row r="1017" spans="1:35">
      <c r="A1017" s="46" t="s">
        <v>3440</v>
      </c>
      <c r="B1017" s="47">
        <v>45461</v>
      </c>
      <c r="C1017" s="39">
        <f t="shared" si="240"/>
        <v>45461</v>
      </c>
      <c r="D1017" s="48" t="s">
        <v>222</v>
      </c>
      <c r="E1017" s="37" t="str" cm="1">
        <f t="array" ref="E1017">_xlfn.IFS(D1017="delhi","north",D1017="mumbai","west",D1017="bengaluru","south",D1017="chennai","south",D1017="kolkata","east",TRUE,"west")</f>
        <v>west</v>
      </c>
      <c r="F1017" s="46" t="s">
        <v>333</v>
      </c>
      <c r="G1017" s="37" t="str">
        <f t="shared" si="241"/>
        <v>delhivery</v>
      </c>
      <c r="H1017" s="46" t="s">
        <v>195</v>
      </c>
      <c r="I1017" s="37" t="str">
        <f t="shared" si="242"/>
        <v>road</v>
      </c>
      <c r="J1017" s="46" t="s">
        <v>664</v>
      </c>
      <c r="K1017" s="37" t="str">
        <f t="shared" si="243"/>
        <v>grocery&amp;fmcg</v>
      </c>
      <c r="L1017" s="46" t="s">
        <v>87</v>
      </c>
      <c r="M1017" s="37" t="str">
        <f t="shared" si="244"/>
        <v>north</v>
      </c>
      <c r="N1017" s="46" t="s">
        <v>32</v>
      </c>
      <c r="O1017" s="41" t="str">
        <f t="shared" si="245"/>
        <v>Yes</v>
      </c>
      <c r="P1017" s="49" t="s">
        <v>1046</v>
      </c>
      <c r="Q1017" s="49">
        <v>408</v>
      </c>
      <c r="R1017" s="42">
        <f t="shared" si="246"/>
        <v>27.7551020408163</v>
      </c>
      <c r="S1017" s="46">
        <v>8</v>
      </c>
      <c r="T1017" s="46" t="s">
        <v>1485</v>
      </c>
      <c r="U1017" s="43" t="str">
        <f t="shared" si="247"/>
        <v>26/06/2024</v>
      </c>
      <c r="V1017" s="43">
        <f t="shared" si="248"/>
        <v>45469</v>
      </c>
      <c r="W1017" s="44">
        <f t="array" ref="W1017">_xlfn.IFS(TRIM(C1017)="","",TRIM(V1017)="","",TRUE,V1017-C1017)</f>
        <v>8</v>
      </c>
      <c r="X1017" s="37">
        <f t="shared" si="249"/>
        <v>0</v>
      </c>
      <c r="Y1017" s="46" t="s">
        <v>117</v>
      </c>
      <c r="Z1017" s="37" t="str">
        <f t="shared" si="250"/>
        <v>delivered</v>
      </c>
      <c r="AA1017" s="37" t="str">
        <f t="shared" si="251"/>
        <v>On Time</v>
      </c>
      <c r="AB1017" s="37" t="str">
        <f t="shared" si="254"/>
        <v>0</v>
      </c>
      <c r="AC1017" s="37">
        <f t="shared" si="255"/>
        <v>0</v>
      </c>
      <c r="AD1017" s="45">
        <f t="shared" si="253"/>
        <v>0.518134715025907</v>
      </c>
      <c r="AE1017" s="46">
        <v>4</v>
      </c>
      <c r="AF1017" s="46" t="s">
        <v>106</v>
      </c>
      <c r="AG1017" s="37" t="str">
        <f t="shared" si="252"/>
        <v>yes</v>
      </c>
      <c r="AH1017" s="37" t="str">
        <f t="array" ref="AH1017">_xlfn.IFS(LOWER(AG1017)="n","no",LOWER(AG1017)="y","yes",TRUE,LOWER(AG1017))</f>
        <v>yes</v>
      </c>
      <c r="AI1017" s="46" t="s">
        <v>4692</v>
      </c>
    </row>
    <row r="1018" spans="1:35">
      <c r="A1018" s="37" t="s">
        <v>3442</v>
      </c>
      <c r="B1018" s="38">
        <v>45308</v>
      </c>
      <c r="C1018" s="39">
        <f t="shared" si="240"/>
        <v>45308</v>
      </c>
      <c r="D1018" s="40" t="s">
        <v>366</v>
      </c>
      <c r="E1018" s="37" t="str" cm="1">
        <f t="array" ref="E1018">_xlfn.IFS(D1018="delhi","north",D1018="mumbai","west",D1018="bengaluru","south",D1018="chennai","south",D1018="kolkata","east",TRUE,"west")</f>
        <v>east</v>
      </c>
      <c r="F1018" s="37" t="s">
        <v>156</v>
      </c>
      <c r="G1018" s="37" t="str">
        <f t="shared" si="241"/>
        <v>xpressbees</v>
      </c>
      <c r="H1018" s="37" t="s">
        <v>42</v>
      </c>
      <c r="I1018" s="37" t="str">
        <f t="shared" si="242"/>
        <v>surface</v>
      </c>
      <c r="J1018" s="37" t="s">
        <v>111</v>
      </c>
      <c r="K1018" s="37" t="str">
        <f t="shared" si="243"/>
        <v>grocery&amp;fmcg</v>
      </c>
      <c r="L1018" s="37" t="s">
        <v>264</v>
      </c>
      <c r="M1018" s="37" t="str">
        <f t="shared" si="244"/>
        <v>west</v>
      </c>
      <c r="N1018" s="37" t="s">
        <v>278</v>
      </c>
      <c r="O1018" s="41" t="str">
        <f t="shared" si="245"/>
        <v>Yes</v>
      </c>
      <c r="P1018" s="41">
        <v>2.3</v>
      </c>
      <c r="Q1018" s="41" t="s">
        <v>1580</v>
      </c>
      <c r="R1018" s="42">
        <f t="shared" si="246"/>
        <v>99.5652173913044</v>
      </c>
      <c r="S1018" s="37">
        <v>6</v>
      </c>
      <c r="T1018" s="37" t="s">
        <v>676</v>
      </c>
      <c r="U1018" s="43" t="str">
        <f t="shared" si="247"/>
        <v>23/01/2024</v>
      </c>
      <c r="V1018" s="43">
        <f t="shared" si="248"/>
        <v>45314</v>
      </c>
      <c r="W1018" s="44">
        <f t="array" ref="W1018">_xlfn.IFS(TRIM(C1018)="","",TRIM(V1018)="","",TRUE,V1018-C1018)</f>
        <v>6</v>
      </c>
      <c r="X1018" s="37">
        <f t="shared" si="249"/>
        <v>0</v>
      </c>
      <c r="Y1018" s="37" t="s">
        <v>105</v>
      </c>
      <c r="Z1018" s="37" t="str">
        <f t="shared" si="250"/>
        <v>delivered</v>
      </c>
      <c r="AA1018" s="37" t="str">
        <f t="shared" si="251"/>
        <v>On Time</v>
      </c>
      <c r="AB1018" s="37" t="str">
        <f t="shared" si="254"/>
        <v>0</v>
      </c>
      <c r="AC1018" s="37">
        <f t="shared" si="255"/>
        <v>0</v>
      </c>
      <c r="AD1018" s="45">
        <f t="shared" si="253"/>
        <v>0.519031141868512</v>
      </c>
      <c r="AE1018" s="37">
        <v>4</v>
      </c>
      <c r="AF1018" s="37" t="s">
        <v>181</v>
      </c>
      <c r="AG1018" s="37" t="str">
        <f t="shared" si="252"/>
        <v>y</v>
      </c>
      <c r="AH1018" s="37" t="str">
        <f t="array" ref="AH1018">_xlfn.IFS(LOWER(AG1018)="n","no",LOWER(AG1018)="y","yes",TRUE,LOWER(AG1018))</f>
        <v>yes</v>
      </c>
      <c r="AI1018" s="37" t="s">
        <v>4692</v>
      </c>
    </row>
    <row r="1019" spans="1:35">
      <c r="A1019" s="46" t="s">
        <v>3443</v>
      </c>
      <c r="B1019" s="47">
        <v>45404</v>
      </c>
      <c r="C1019" s="39">
        <f t="shared" si="240"/>
        <v>45404</v>
      </c>
      <c r="D1019" s="48" t="s">
        <v>424</v>
      </c>
      <c r="E1019" s="37" t="str" cm="1">
        <f t="array" ref="E1019">_xlfn.IFS(D1019="delhi","north",D1019="mumbai","west",D1019="bengaluru","south",D1019="chennai","south",D1019="kolkata","east",TRUE,"west")</f>
        <v>south</v>
      </c>
      <c r="F1019" s="46" t="s">
        <v>37</v>
      </c>
      <c r="G1019" s="37" t="str">
        <f t="shared" si="241"/>
        <v>bluedart</v>
      </c>
      <c r="H1019" s="46" t="s">
        <v>42</v>
      </c>
      <c r="I1019" s="37" t="str">
        <f t="shared" si="242"/>
        <v>surface</v>
      </c>
      <c r="J1019" s="46" t="s">
        <v>167</v>
      </c>
      <c r="K1019" s="37" t="str">
        <f t="shared" si="243"/>
        <v>pharma</v>
      </c>
      <c r="L1019" s="46" t="s">
        <v>89</v>
      </c>
      <c r="M1019" s="37" t="str">
        <f t="shared" si="244"/>
        <v>west</v>
      </c>
      <c r="N1019" s="46" t="s">
        <v>187</v>
      </c>
      <c r="O1019" s="41" t="str">
        <f t="shared" si="245"/>
        <v>Yes</v>
      </c>
      <c r="P1019" s="49">
        <v>2.2</v>
      </c>
      <c r="Q1019" s="49">
        <v>179</v>
      </c>
      <c r="R1019" s="42">
        <f t="shared" si="246"/>
        <v>81.3636363636364</v>
      </c>
      <c r="S1019" s="46">
        <v>6</v>
      </c>
      <c r="T1019" s="46" t="s">
        <v>1142</v>
      </c>
      <c r="U1019" s="43" t="str">
        <f t="shared" si="247"/>
        <v>28/04/2024</v>
      </c>
      <c r="V1019" s="43">
        <f t="shared" si="248"/>
        <v>45410</v>
      </c>
      <c r="W1019" s="44">
        <f t="array" ref="W1019">_xlfn.IFS(TRIM(C1019)="","",TRIM(V1019)="","",TRUE,V1019-C1019)</f>
        <v>6</v>
      </c>
      <c r="X1019" s="37">
        <f t="shared" si="249"/>
        <v>0</v>
      </c>
      <c r="Y1019" s="46" t="s">
        <v>117</v>
      </c>
      <c r="Z1019" s="37" t="str">
        <f t="shared" si="250"/>
        <v>delivered</v>
      </c>
      <c r="AA1019" s="37" t="str">
        <f t="shared" si="251"/>
        <v>On Time</v>
      </c>
      <c r="AB1019" s="37" t="str">
        <f t="shared" si="254"/>
        <v>0</v>
      </c>
      <c r="AC1019" s="37">
        <f t="shared" si="255"/>
        <v>0</v>
      </c>
      <c r="AD1019" s="45">
        <f t="shared" si="253"/>
        <v>0.519930675909879</v>
      </c>
      <c r="AE1019" s="46">
        <v>5</v>
      </c>
      <c r="AF1019" s="46" t="s">
        <v>286</v>
      </c>
      <c r="AG1019" s="37" t="str">
        <f t="shared" si="252"/>
        <v>yes</v>
      </c>
      <c r="AH1019" s="37" t="str">
        <f t="array" ref="AH1019">_xlfn.IFS(LOWER(AG1019)="n","no",LOWER(AG1019)="y","yes",TRUE,LOWER(AG1019))</f>
        <v>yes</v>
      </c>
      <c r="AI1019" s="46" t="s">
        <v>4692</v>
      </c>
    </row>
    <row r="1020" spans="1:35">
      <c r="A1020" s="37" t="s">
        <v>3444</v>
      </c>
      <c r="B1020" s="38">
        <v>45400</v>
      </c>
      <c r="C1020" s="39">
        <f t="shared" si="240"/>
        <v>45400</v>
      </c>
      <c r="D1020" s="40" t="s">
        <v>212</v>
      </c>
      <c r="E1020" s="37" t="str" cm="1">
        <f t="array" ref="E1020">_xlfn.IFS(D1020="delhi","north",D1020="mumbai","west",D1020="bengaluru","south",D1020="chennai","south",D1020="kolkata","east",TRUE,"west")</f>
        <v>west</v>
      </c>
      <c r="F1020" s="37" t="s">
        <v>312</v>
      </c>
      <c r="G1020" s="37" t="str">
        <f t="shared" si="241"/>
        <v>bluedart</v>
      </c>
      <c r="H1020" s="37" t="s">
        <v>325</v>
      </c>
      <c r="I1020" s="37" t="str">
        <f t="shared" si="242"/>
        <v>air</v>
      </c>
      <c r="J1020" s="37" t="s">
        <v>47</v>
      </c>
      <c r="K1020" s="37" t="str">
        <f t="shared" si="243"/>
        <v>electronics</v>
      </c>
      <c r="L1020" s="37" t="s">
        <v>125</v>
      </c>
      <c r="M1020" s="37" t="str">
        <f t="shared" si="244"/>
        <v>east</v>
      </c>
      <c r="N1020" s="37" t="s">
        <v>294</v>
      </c>
      <c r="O1020" s="41" t="str">
        <f t="shared" si="245"/>
        <v>Yes</v>
      </c>
      <c r="P1020" s="41" t="s">
        <v>3445</v>
      </c>
      <c r="Q1020" s="41" t="s">
        <v>3446</v>
      </c>
      <c r="R1020" s="42">
        <f t="shared" si="246"/>
        <v>54.1958041958042</v>
      </c>
      <c r="S1020" s="37">
        <v>4</v>
      </c>
      <c r="T1020" s="37" t="s">
        <v>979</v>
      </c>
      <c r="U1020" s="43" t="str">
        <f t="shared" si="247"/>
        <v>23-apr-2024</v>
      </c>
      <c r="V1020" s="43">
        <f t="shared" si="248"/>
        <v>45405</v>
      </c>
      <c r="W1020" s="44">
        <f t="array" ref="W1020">_xlfn.IFS(TRIM(C1020)="","",TRIM(V1020)="","",TRUE,V1020-C1020)</f>
        <v>5</v>
      </c>
      <c r="X1020" s="37">
        <f t="shared" si="249"/>
        <v>1</v>
      </c>
      <c r="Y1020" s="37" t="s">
        <v>143</v>
      </c>
      <c r="Z1020" s="37" t="str">
        <f t="shared" si="250"/>
        <v>delayed</v>
      </c>
      <c r="AA1020" s="37" t="str">
        <f t="shared" si="251"/>
        <v>Late</v>
      </c>
      <c r="AB1020" s="37" t="str">
        <f t="shared" si="254"/>
        <v>1</v>
      </c>
      <c r="AC1020" s="37">
        <f t="shared" si="255"/>
        <v>1</v>
      </c>
      <c r="AD1020" s="45">
        <f t="shared" si="253"/>
        <v>0.520833333333333</v>
      </c>
      <c r="AE1020" s="37">
        <v>2</v>
      </c>
      <c r="AF1020" s="37" t="s">
        <v>152</v>
      </c>
      <c r="AG1020" s="37" t="str">
        <f t="shared" si="252"/>
        <v>no</v>
      </c>
      <c r="AH1020" s="37" t="str">
        <f t="array" ref="AH1020">_xlfn.IFS(LOWER(AG1020)="n","no",LOWER(AG1020)="y","yes",TRUE,LOWER(AG1020))</f>
        <v>no</v>
      </c>
      <c r="AI1020" s="37" t="s">
        <v>4692</v>
      </c>
    </row>
    <row r="1021" spans="1:35">
      <c r="A1021" s="46" t="s">
        <v>3447</v>
      </c>
      <c r="B1021" s="47">
        <v>45357</v>
      </c>
      <c r="C1021" s="39">
        <f t="shared" si="240"/>
        <v>45357</v>
      </c>
      <c r="D1021" s="48" t="s">
        <v>109</v>
      </c>
      <c r="E1021" s="37" t="str" cm="1">
        <f t="array" ref="E1021">_xlfn.IFS(D1021="delhi","north",D1021="mumbai","west",D1021="bengaluru","south",D1021="chennai","south",D1021="kolkata","east",TRUE,"west")</f>
        <v>west</v>
      </c>
      <c r="F1021" s="46" t="s">
        <v>544</v>
      </c>
      <c r="G1021" s="37" t="str">
        <f t="shared" si="241"/>
        <v>bluedart</v>
      </c>
      <c r="H1021" s="46" t="s">
        <v>110</v>
      </c>
      <c r="I1021" s="37" t="str">
        <f t="shared" si="242"/>
        <v>surface</v>
      </c>
      <c r="J1021" s="46" t="s">
        <v>353</v>
      </c>
      <c r="K1021" s="37" t="str">
        <f t="shared" si="243"/>
        <v>automotiveparts</v>
      </c>
      <c r="L1021" s="46" t="s">
        <v>125</v>
      </c>
      <c r="M1021" s="37" t="str">
        <f t="shared" si="244"/>
        <v>east</v>
      </c>
      <c r="N1021" s="46" t="s">
        <v>126</v>
      </c>
      <c r="O1021" s="41" t="str">
        <f t="shared" si="245"/>
        <v>Yes</v>
      </c>
      <c r="P1021" s="49">
        <v>34.3</v>
      </c>
      <c r="Q1021" s="49">
        <v>894</v>
      </c>
      <c r="R1021" s="42">
        <f t="shared" si="246"/>
        <v>26.064139941691</v>
      </c>
      <c r="S1021" s="46">
        <v>6</v>
      </c>
      <c r="T1021" s="46" t="s">
        <v>835</v>
      </c>
      <c r="U1021" s="43" t="str">
        <f t="shared" si="247"/>
        <v>13/03/2024</v>
      </c>
      <c r="V1021" s="43">
        <f t="shared" si="248"/>
        <v>45364</v>
      </c>
      <c r="W1021" s="44">
        <f t="array" ref="W1021">_xlfn.IFS(TRIM(C1021)="","",TRIM(V1021)="","",TRUE,V1021-C1021)</f>
        <v>7</v>
      </c>
      <c r="X1021" s="37">
        <f t="shared" si="249"/>
        <v>1</v>
      </c>
      <c r="Y1021" s="46" t="s">
        <v>72</v>
      </c>
      <c r="Z1021" s="37" t="str">
        <f t="shared" si="250"/>
        <v>delayed</v>
      </c>
      <c r="AA1021" s="37" t="str">
        <f t="shared" si="251"/>
        <v>Late</v>
      </c>
      <c r="AB1021" s="37" t="str">
        <f t="shared" si="254"/>
        <v>1</v>
      </c>
      <c r="AC1021" s="37">
        <f t="shared" si="255"/>
        <v>1</v>
      </c>
      <c r="AD1021" s="45">
        <f t="shared" si="253"/>
        <v>0.52</v>
      </c>
      <c r="AE1021" s="46">
        <v>1</v>
      </c>
      <c r="AF1021" s="46" t="s">
        <v>152</v>
      </c>
      <c r="AG1021" s="37" t="str">
        <f t="shared" si="252"/>
        <v>no</v>
      </c>
      <c r="AH1021" s="37" t="str">
        <f t="array" ref="AH1021">_xlfn.IFS(LOWER(AG1021)="n","no",LOWER(AG1021)="y","yes",TRUE,LOWER(AG1021))</f>
        <v>no</v>
      </c>
      <c r="AI1021" s="46" t="s">
        <v>4692</v>
      </c>
    </row>
    <row r="1022" spans="1:35">
      <c r="A1022" s="37" t="s">
        <v>3449</v>
      </c>
      <c r="B1022" s="38">
        <v>45468</v>
      </c>
      <c r="C1022" s="39">
        <f t="shared" si="240"/>
        <v>45468</v>
      </c>
      <c r="D1022" s="40" t="s">
        <v>633</v>
      </c>
      <c r="E1022" s="37" t="str" cm="1">
        <f t="array" ref="E1022">_xlfn.IFS(D1022="delhi","north",D1022="mumbai","west",D1022="bengaluru","south",D1022="chennai","south",D1022="kolkata","east",TRUE,"west")</f>
        <v>south</v>
      </c>
      <c r="F1022" s="37" t="s">
        <v>146</v>
      </c>
      <c r="G1022" s="37" t="str">
        <f t="shared" si="241"/>
        <v>ecomexpress</v>
      </c>
      <c r="H1022" s="37" t="s">
        <v>440</v>
      </c>
      <c r="I1022" s="37" t="str">
        <f t="shared" si="242"/>
        <v>road</v>
      </c>
      <c r="J1022" s="37" t="s">
        <v>425</v>
      </c>
      <c r="K1022" s="37" t="str">
        <f t="shared" si="243"/>
        <v>automotiveparts</v>
      </c>
      <c r="L1022" s="37" t="s">
        <v>168</v>
      </c>
      <c r="M1022" s="37" t="str">
        <f t="shared" si="244"/>
        <v>west</v>
      </c>
      <c r="N1022" s="37" t="s">
        <v>278</v>
      </c>
      <c r="O1022" s="41" t="str">
        <f t="shared" si="245"/>
        <v>Yes</v>
      </c>
      <c r="P1022" s="41" t="s">
        <v>3450</v>
      </c>
      <c r="Q1022" s="41">
        <v>302</v>
      </c>
      <c r="R1022" s="42">
        <f t="shared" si="246"/>
        <v>29.6078431372549</v>
      </c>
      <c r="S1022" s="37">
        <v>8</v>
      </c>
      <c r="T1022" s="37"/>
      <c r="U1022" s="43" t="str">
        <f t="shared" si="247"/>
        <v/>
      </c>
      <c r="V1022" s="43" t="e">
        <f t="shared" si="248"/>
        <v>#VALUE!</v>
      </c>
      <c r="W1022" s="44" t="e">
        <f t="array" ref="W1022">_xlfn.IFS(TRIM(C1022)="","",TRIM(V1022)="","",TRUE,V1022-C1022)</f>
        <v>#VALUE!</v>
      </c>
      <c r="X1022" s="37" t="e">
        <f t="shared" si="249"/>
        <v>#VALUE!</v>
      </c>
      <c r="Y1022" s="37" t="s">
        <v>1439</v>
      </c>
      <c r="Z1022" s="37" t="str">
        <f t="shared" si="250"/>
        <v>in-transit</v>
      </c>
      <c r="AA1022" s="37" t="str">
        <f t="shared" si="251"/>
        <v>N/A</v>
      </c>
      <c r="AB1022" s="37" t="str">
        <f t="shared" si="254"/>
        <v>N/A</v>
      </c>
      <c r="AC1022" s="37" t="e">
        <f t="shared" si="255"/>
        <v>#VALUE!</v>
      </c>
      <c r="AD1022" s="45">
        <f t="shared" si="253"/>
        <v>0.519163763066202</v>
      </c>
      <c r="AE1022" s="37"/>
      <c r="AF1022" s="37" t="s">
        <v>152</v>
      </c>
      <c r="AG1022" s="37" t="str">
        <f t="shared" si="252"/>
        <v>no</v>
      </c>
      <c r="AH1022" s="37" t="str">
        <f t="array" ref="AH1022">_xlfn.IFS(LOWER(AG1022)="n","no",LOWER(AG1022)="y","yes",TRUE,LOWER(AG1022))</f>
        <v>no</v>
      </c>
      <c r="AI1022" s="37" t="s">
        <v>4692</v>
      </c>
    </row>
    <row r="1023" spans="1:35">
      <c r="A1023" s="46" t="s">
        <v>3451</v>
      </c>
      <c r="B1023" s="47">
        <v>45337</v>
      </c>
      <c r="C1023" s="39">
        <f t="shared" si="240"/>
        <v>45337</v>
      </c>
      <c r="D1023" s="48" t="s">
        <v>109</v>
      </c>
      <c r="E1023" s="37" t="str" cm="1">
        <f t="array" ref="E1023">_xlfn.IFS(D1023="delhi","north",D1023="mumbai","west",D1023="bengaluru","south",D1023="chennai","south",D1023="kolkata","east",TRUE,"west")</f>
        <v>west</v>
      </c>
      <c r="F1023" s="46" t="s">
        <v>352</v>
      </c>
      <c r="G1023" s="37" t="str">
        <f t="shared" si="241"/>
        <v>delhivery</v>
      </c>
      <c r="H1023" s="46" t="s">
        <v>345</v>
      </c>
      <c r="I1023" s="37" t="str">
        <f t="shared" si="242"/>
        <v>surface</v>
      </c>
      <c r="J1023" s="46" t="s">
        <v>353</v>
      </c>
      <c r="K1023" s="37" t="str">
        <f t="shared" si="243"/>
        <v>automotiveparts</v>
      </c>
      <c r="L1023" s="46" t="s">
        <v>401</v>
      </c>
      <c r="M1023" s="37" t="str">
        <f t="shared" si="244"/>
        <v>south</v>
      </c>
      <c r="N1023" s="46" t="s">
        <v>93</v>
      </c>
      <c r="O1023" s="41" t="str">
        <f t="shared" si="245"/>
        <v>Yes</v>
      </c>
      <c r="P1023" s="49">
        <v>36.5</v>
      </c>
      <c r="Q1023" s="49">
        <v>945</v>
      </c>
      <c r="R1023" s="42">
        <f t="shared" si="246"/>
        <v>25.8904109589041</v>
      </c>
      <c r="S1023" s="46">
        <v>6</v>
      </c>
      <c r="T1023" s="46" t="s">
        <v>828</v>
      </c>
      <c r="U1023" s="43" t="str">
        <f t="shared" si="247"/>
        <v>22/02/2024</v>
      </c>
      <c r="V1023" s="43">
        <f t="shared" si="248"/>
        <v>45344</v>
      </c>
      <c r="W1023" s="44">
        <f t="array" ref="W1023">_xlfn.IFS(TRIM(C1023)="","",TRIM(V1023)="","",TRUE,V1023-C1023)</f>
        <v>7</v>
      </c>
      <c r="X1023" s="37">
        <f t="shared" si="249"/>
        <v>1</v>
      </c>
      <c r="Y1023" s="46" t="s">
        <v>72</v>
      </c>
      <c r="Z1023" s="37" t="str">
        <f t="shared" si="250"/>
        <v>delayed</v>
      </c>
      <c r="AA1023" s="37" t="str">
        <f t="shared" si="251"/>
        <v>Late</v>
      </c>
      <c r="AB1023" s="37" t="str">
        <f t="shared" si="254"/>
        <v>1</v>
      </c>
      <c r="AC1023" s="37">
        <f t="shared" si="255"/>
        <v>1</v>
      </c>
      <c r="AD1023" s="45">
        <f t="shared" si="253"/>
        <v>0.519163763066202</v>
      </c>
      <c r="AE1023" s="46">
        <v>3</v>
      </c>
      <c r="AF1023" s="46" t="s">
        <v>286</v>
      </c>
      <c r="AG1023" s="37" t="str">
        <f t="shared" si="252"/>
        <v>yes</v>
      </c>
      <c r="AH1023" s="37" t="str">
        <f t="array" ref="AH1023">_xlfn.IFS(LOWER(AG1023)="n","no",LOWER(AG1023)="y","yes",TRUE,LOWER(AG1023))</f>
        <v>yes</v>
      </c>
      <c r="AI1023" s="46" t="s">
        <v>4692</v>
      </c>
    </row>
    <row r="1024" spans="1:35">
      <c r="A1024" s="37" t="s">
        <v>3454</v>
      </c>
      <c r="B1024" s="38" t="s">
        <v>4840</v>
      </c>
      <c r="C1024" s="39">
        <f t="shared" si="240"/>
        <v>45341</v>
      </c>
      <c r="D1024" s="40" t="s">
        <v>4694</v>
      </c>
      <c r="E1024" s="37" t="str" cm="1">
        <f t="array" ref="E1024">_xlfn.IFS(D1024="delhi","north",D1024="mumbai","west",D1024="bengaluru","south",D1024="chennai","south",D1024="kolkata","east",TRUE,"west")</f>
        <v>west</v>
      </c>
      <c r="F1024" s="37" t="s">
        <v>194</v>
      </c>
      <c r="G1024" s="37" t="str">
        <f t="shared" si="241"/>
        <v>xpressbees</v>
      </c>
      <c r="H1024" s="37" t="s">
        <v>137</v>
      </c>
      <c r="I1024" s="37" t="str">
        <f t="shared" si="242"/>
        <v>road</v>
      </c>
      <c r="J1024" s="37" t="s">
        <v>214</v>
      </c>
      <c r="K1024" s="37" t="str">
        <f t="shared" si="243"/>
        <v>grocery&amp;fmcg</v>
      </c>
      <c r="L1024" s="37" t="s">
        <v>92</v>
      </c>
      <c r="M1024" s="37" t="str">
        <f t="shared" si="244"/>
        <v>east</v>
      </c>
      <c r="N1024" s="37" t="s">
        <v>91</v>
      </c>
      <c r="O1024" s="41" t="str">
        <f t="shared" si="245"/>
        <v>Yes</v>
      </c>
      <c r="P1024" s="41">
        <v>6.8</v>
      </c>
      <c r="Q1024" s="41">
        <v>216</v>
      </c>
      <c r="R1024" s="42">
        <f t="shared" si="246"/>
        <v>31.7647058823529</v>
      </c>
      <c r="S1024" s="37">
        <v>8</v>
      </c>
      <c r="T1024" s="37" t="s">
        <v>324</v>
      </c>
      <c r="U1024" s="43" t="str">
        <f t="shared" si="247"/>
        <v>26/02/2024</v>
      </c>
      <c r="V1024" s="43">
        <f t="shared" si="248"/>
        <v>45348</v>
      </c>
      <c r="W1024" s="44">
        <f t="array" ref="W1024">_xlfn.IFS(TRIM(C1024)="","",TRIM(V1024)="","",TRUE,V1024-C1024)</f>
        <v>7</v>
      </c>
      <c r="X1024" s="37">
        <f t="shared" si="249"/>
        <v>-1</v>
      </c>
      <c r="Y1024" s="37" t="s">
        <v>117</v>
      </c>
      <c r="Z1024" s="37" t="str">
        <f t="shared" si="250"/>
        <v>delivered</v>
      </c>
      <c r="AA1024" s="37" t="str">
        <f t="shared" si="251"/>
        <v>On Time</v>
      </c>
      <c r="AB1024" s="37" t="str">
        <f t="shared" si="254"/>
        <v>0</v>
      </c>
      <c r="AC1024" s="37">
        <f t="shared" si="255"/>
        <v>0</v>
      </c>
      <c r="AD1024" s="45">
        <f t="shared" si="253"/>
        <v>0.518324607329843</v>
      </c>
      <c r="AE1024" s="37">
        <v>5</v>
      </c>
      <c r="AF1024" s="37" t="s">
        <v>286</v>
      </c>
      <c r="AG1024" s="37" t="str">
        <f t="shared" si="252"/>
        <v>yes</v>
      </c>
      <c r="AH1024" s="37" t="str">
        <f t="array" ref="AH1024">_xlfn.IFS(LOWER(AG1024)="n","no",LOWER(AG1024)="y","yes",TRUE,LOWER(AG1024))</f>
        <v>yes</v>
      </c>
      <c r="AI1024" s="37" t="s">
        <v>4692</v>
      </c>
    </row>
    <row r="1025" spans="1:35">
      <c r="A1025" s="46" t="s">
        <v>3455</v>
      </c>
      <c r="B1025" s="47" t="s">
        <v>4841</v>
      </c>
      <c r="C1025" s="39">
        <f t="shared" si="240"/>
        <v>45407</v>
      </c>
      <c r="D1025" s="48" t="s">
        <v>4699</v>
      </c>
      <c r="E1025" s="37" t="str" cm="1">
        <f t="array" ref="E1025">_xlfn.IFS(D1025="delhi","north",D1025="mumbai","west",D1025="bengaluru","south",D1025="chennai","south",D1025="kolkata","east",TRUE,"west")</f>
        <v>west</v>
      </c>
      <c r="F1025" s="46" t="s">
        <v>194</v>
      </c>
      <c r="G1025" s="37" t="str">
        <f t="shared" si="241"/>
        <v>xpressbees</v>
      </c>
      <c r="H1025" s="46" t="s">
        <v>99</v>
      </c>
      <c r="I1025" s="37" t="str">
        <f t="shared" si="242"/>
        <v>air</v>
      </c>
      <c r="J1025" s="46" t="s">
        <v>277</v>
      </c>
      <c r="K1025" s="37" t="str">
        <f t="shared" si="243"/>
        <v>apparel</v>
      </c>
      <c r="L1025" s="46" t="s">
        <v>112</v>
      </c>
      <c r="M1025" s="37" t="str">
        <f t="shared" si="244"/>
        <v>north</v>
      </c>
      <c r="N1025" s="46" t="s">
        <v>32</v>
      </c>
      <c r="O1025" s="41" t="str">
        <f t="shared" si="245"/>
        <v>Yes</v>
      </c>
      <c r="P1025" s="49">
        <v>1.9</v>
      </c>
      <c r="Q1025" s="49">
        <v>290</v>
      </c>
      <c r="R1025" s="42">
        <f t="shared" si="246"/>
        <v>152.631578947368</v>
      </c>
      <c r="S1025" s="46">
        <v>4</v>
      </c>
      <c r="T1025" s="46" t="s">
        <v>1056</v>
      </c>
      <c r="U1025" s="43" t="str">
        <f t="shared" si="247"/>
        <v>2024-04-28</v>
      </c>
      <c r="V1025" s="43">
        <f t="shared" si="248"/>
        <v>45410</v>
      </c>
      <c r="W1025" s="44">
        <f t="array" ref="W1025">_xlfn.IFS(TRIM(C1025)="","",TRIM(V1025)="","",TRUE,V1025-C1025)</f>
        <v>3</v>
      </c>
      <c r="X1025" s="37">
        <f t="shared" si="249"/>
        <v>-1</v>
      </c>
      <c r="Y1025" s="46" t="s">
        <v>163</v>
      </c>
      <c r="Z1025" s="37" t="str">
        <f t="shared" si="250"/>
        <v>delivered</v>
      </c>
      <c r="AA1025" s="37" t="str">
        <f t="shared" si="251"/>
        <v>On Time</v>
      </c>
      <c r="AB1025" s="37" t="str">
        <f t="shared" si="254"/>
        <v>0</v>
      </c>
      <c r="AC1025" s="37">
        <f t="shared" si="255"/>
        <v>0</v>
      </c>
      <c r="AD1025" s="45">
        <f t="shared" si="253"/>
        <v>0.519230769230769</v>
      </c>
      <c r="AE1025" s="46">
        <v>2</v>
      </c>
      <c r="AF1025" s="46" t="s">
        <v>131</v>
      </c>
      <c r="AG1025" s="37" t="str">
        <f t="shared" si="252"/>
        <v>n</v>
      </c>
      <c r="AH1025" s="37" t="str">
        <f t="array" ref="AH1025">_xlfn.IFS(LOWER(AG1025)="n","no",LOWER(AG1025)="y","yes",TRUE,LOWER(AG1025))</f>
        <v>no</v>
      </c>
      <c r="AI1025" s="46" t="s">
        <v>4692</v>
      </c>
    </row>
    <row r="1026" spans="1:35">
      <c r="A1026" s="37" t="s">
        <v>3457</v>
      </c>
      <c r="B1026" s="38">
        <v>45331</v>
      </c>
      <c r="C1026" s="39">
        <f t="shared" ref="C1026:C1089" si="256">IF(ISNUMBER(B1026),B1026,DATE(RIGHT(TRIM(B1026),4),MID(TRIM(B1026),4,2),LEFT(TRIM(B1026),2)))</f>
        <v>45331</v>
      </c>
      <c r="D1026" s="40" t="s">
        <v>424</v>
      </c>
      <c r="E1026" s="37" t="str" cm="1">
        <f t="array" ref="E1026">_xlfn.IFS(D1026="delhi","north",D1026="mumbai","west",D1026="bengaluru","south",D1026="chennai","south",D1026="kolkata","east",TRUE,"west")</f>
        <v>south</v>
      </c>
      <c r="F1026" s="37" t="s">
        <v>156</v>
      </c>
      <c r="G1026" s="37" t="str">
        <f t="shared" ref="G1026:G1089" si="257">SUBSTITUTE(LOWER(F1026)," ","")</f>
        <v>xpressbees</v>
      </c>
      <c r="H1026" s="37" t="s">
        <v>224</v>
      </c>
      <c r="I1026" s="37" t="str">
        <f t="shared" ref="I1026:I1089" si="258">SUBSTITUTE(LOWER(H1026)," ","")</f>
        <v>air</v>
      </c>
      <c r="J1026" s="37" t="s">
        <v>237</v>
      </c>
      <c r="K1026" s="37" t="str">
        <f t="shared" ref="K1026:K1089" si="259">SUBSTITUTE(LOWER(J1026)," ","")</f>
        <v>automotiveparts</v>
      </c>
      <c r="L1026" s="37" t="s">
        <v>302</v>
      </c>
      <c r="M1026" s="37" t="str">
        <f t="shared" ref="M1026:M1089" si="260">SUBSTITUTE(LOWER(L1026)," ","")</f>
        <v>east</v>
      </c>
      <c r="N1026" s="37" t="s">
        <v>396</v>
      </c>
      <c r="O1026" s="41" t="str">
        <f t="shared" ref="O1026:O1089" si="261">IF(OR(D1026="",M1026=""),"",IF(D1026=M1026,"No","Yes"))</f>
        <v>Yes</v>
      </c>
      <c r="P1026" s="41">
        <v>26.8</v>
      </c>
      <c r="Q1026" s="41" t="s">
        <v>3459</v>
      </c>
      <c r="R1026" s="42">
        <f t="shared" ref="R1026:R1089" si="262">IF(OR(Q1026="",P1026="",P1026=0),"",Q1026/P1026)</f>
        <v>52.0149253731343</v>
      </c>
      <c r="S1026" s="37">
        <v>4</v>
      </c>
      <c r="T1026" s="37" t="s">
        <v>1826</v>
      </c>
      <c r="U1026" s="43" t="str">
        <f t="shared" ref="U1026:U1089" si="263">SUBSTITUTE(LOWER(T1026)," ","")</f>
        <v>16/02/2024</v>
      </c>
      <c r="V1026" s="43">
        <f t="shared" ref="V1026:V1089" si="264">DATEVALUE(TEXT(U1026,"yyyy-mm-dd"))</f>
        <v>45338</v>
      </c>
      <c r="W1026" s="44">
        <f t="array" ref="W1026">_xlfn.IFS(TRIM(C1026)="","",TRIM(V1026)="","",TRUE,V1026-C1026)</f>
        <v>7</v>
      </c>
      <c r="X1026" s="37">
        <f t="shared" ref="X1026:X1089" si="265">IF(OR(W1026="",S1026=""),"",W1026-S1026)</f>
        <v>3</v>
      </c>
      <c r="Y1026" s="37" t="s">
        <v>143</v>
      </c>
      <c r="Z1026" s="37" t="str">
        <f t="shared" ref="Z1026:Z1089" si="266">SUBSTITUTE(LOWER(Y1026)," ","")</f>
        <v>delayed</v>
      </c>
      <c r="AA1026" s="37" t="str">
        <f t="shared" ref="AA1026:AA1089" si="267">IF(Z1026="In-Transit","N/A",IF(X1026="","",IF(X1026&gt;0,"Late","On Time")))</f>
        <v>Late</v>
      </c>
      <c r="AB1026" s="37" t="str">
        <f t="shared" si="254"/>
        <v>1</v>
      </c>
      <c r="AC1026" s="37">
        <f t="shared" si="255"/>
        <v>1</v>
      </c>
      <c r="AD1026" s="45">
        <f t="shared" si="253"/>
        <v>0.520140105078809</v>
      </c>
      <c r="AE1026" s="37">
        <v>3</v>
      </c>
      <c r="AF1026" s="37" t="s">
        <v>106</v>
      </c>
      <c r="AG1026" s="37" t="str">
        <f t="shared" ref="AG1026:AG1089" si="268">SUBSTITUTE(LOWER(AF1026)," ","")</f>
        <v>yes</v>
      </c>
      <c r="AH1026" s="37" t="str">
        <f t="array" ref="AH1026">_xlfn.IFS(LOWER(AG1026)="n","no",LOWER(AG1026)="y","yes",TRUE,LOWER(AG1026))</f>
        <v>yes</v>
      </c>
      <c r="AI1026" s="37" t="s">
        <v>4692</v>
      </c>
    </row>
    <row r="1027" spans="1:35">
      <c r="A1027" s="46" t="s">
        <v>3460</v>
      </c>
      <c r="B1027" s="47">
        <v>45433</v>
      </c>
      <c r="C1027" s="39">
        <f t="shared" si="256"/>
        <v>45433</v>
      </c>
      <c r="D1027" s="48" t="s">
        <v>366</v>
      </c>
      <c r="E1027" s="37" t="str" cm="1">
        <f t="array" ref="E1027">_xlfn.IFS(D1027="delhi","north",D1027="mumbai","west",D1027="bengaluru","south",D1027="chennai","south",D1027="kolkata","east",TRUE,"west")</f>
        <v>east</v>
      </c>
      <c r="F1027" s="46" t="s">
        <v>37</v>
      </c>
      <c r="G1027" s="37" t="str">
        <f t="shared" si="257"/>
        <v>bluedart</v>
      </c>
      <c r="H1027" s="46" t="s">
        <v>137</v>
      </c>
      <c r="I1027" s="37" t="str">
        <f t="shared" si="258"/>
        <v>road</v>
      </c>
      <c r="J1027" s="46" t="s">
        <v>385</v>
      </c>
      <c r="K1027" s="37" t="str">
        <f t="shared" si="259"/>
        <v>furniture</v>
      </c>
      <c r="L1027" s="46" t="s">
        <v>197</v>
      </c>
      <c r="M1027" s="37" t="str">
        <f t="shared" si="260"/>
        <v>south</v>
      </c>
      <c r="N1027" s="46" t="s">
        <v>54</v>
      </c>
      <c r="O1027" s="41" t="str">
        <f t="shared" si="261"/>
        <v>Yes</v>
      </c>
      <c r="P1027" s="49">
        <v>15.1</v>
      </c>
      <c r="Q1027" s="49" t="s">
        <v>2642</v>
      </c>
      <c r="R1027" s="42">
        <f t="shared" si="262"/>
        <v>23.9735099337748</v>
      </c>
      <c r="S1027" s="46">
        <v>8</v>
      </c>
      <c r="T1027" s="46" t="s">
        <v>3461</v>
      </c>
      <c r="U1027" s="43" t="str">
        <f t="shared" si="263"/>
        <v>29-may-2024</v>
      </c>
      <c r="V1027" s="43">
        <f t="shared" si="264"/>
        <v>45441</v>
      </c>
      <c r="W1027" s="44">
        <f t="array" ref="W1027">_xlfn.IFS(TRIM(C1027)="","",TRIM(V1027)="","",TRUE,V1027-C1027)</f>
        <v>8</v>
      </c>
      <c r="X1027" s="37">
        <f t="shared" si="265"/>
        <v>0</v>
      </c>
      <c r="Y1027" s="46" t="s">
        <v>117</v>
      </c>
      <c r="Z1027" s="37" t="str">
        <f t="shared" si="266"/>
        <v>delivered</v>
      </c>
      <c r="AA1027" s="37" t="str">
        <f t="shared" si="267"/>
        <v>On Time</v>
      </c>
      <c r="AB1027" s="37" t="str">
        <f t="shared" si="254"/>
        <v>0</v>
      </c>
      <c r="AC1027" s="37">
        <f t="shared" si="255"/>
        <v>0</v>
      </c>
      <c r="AD1027" s="45">
        <f t="shared" ref="AD1027:AD1090" si="269">COUNTIF(AC1027:AC2626,1)/COUNT(AC1027:AC2626)</f>
        <v>0.519298245614035</v>
      </c>
      <c r="AE1027" s="46">
        <v>1</v>
      </c>
      <c r="AF1027" s="46" t="s">
        <v>106</v>
      </c>
      <c r="AG1027" s="37" t="str">
        <f t="shared" si="268"/>
        <v>yes</v>
      </c>
      <c r="AH1027" s="37" t="str">
        <f t="array" ref="AH1027">_xlfn.IFS(LOWER(AG1027)="n","no",LOWER(AG1027)="y","yes",TRUE,LOWER(AG1027))</f>
        <v>yes</v>
      </c>
      <c r="AI1027" s="46" t="s">
        <v>4692</v>
      </c>
    </row>
    <row r="1028" spans="1:35">
      <c r="A1028" s="37" t="s">
        <v>3462</v>
      </c>
      <c r="B1028" s="38">
        <v>45366</v>
      </c>
      <c r="C1028" s="39">
        <f t="shared" si="256"/>
        <v>45366</v>
      </c>
      <c r="D1028" s="40" t="s">
        <v>340</v>
      </c>
      <c r="E1028" s="37" t="str" cm="1">
        <f t="array" ref="E1028">_xlfn.IFS(D1028="delhi","north",D1028="mumbai","west",D1028="bengaluru","south",D1028="chennai","south",D1028="kolkata","east",TRUE,"west")</f>
        <v>north</v>
      </c>
      <c r="F1028" s="37" t="s">
        <v>98</v>
      </c>
      <c r="G1028" s="37" t="str">
        <f t="shared" si="257"/>
        <v>dtdc</v>
      </c>
      <c r="H1028" s="37" t="s">
        <v>195</v>
      </c>
      <c r="I1028" s="37" t="str">
        <f t="shared" si="258"/>
        <v>road</v>
      </c>
      <c r="J1028" s="37" t="s">
        <v>283</v>
      </c>
      <c r="K1028" s="37" t="str">
        <f t="shared" si="259"/>
        <v>pharma</v>
      </c>
      <c r="L1028" s="37" t="s">
        <v>51</v>
      </c>
      <c r="M1028" s="37" t="str">
        <f t="shared" si="260"/>
        <v>south</v>
      </c>
      <c r="N1028" s="37" t="s">
        <v>54</v>
      </c>
      <c r="O1028" s="41" t="str">
        <f t="shared" si="261"/>
        <v>Yes</v>
      </c>
      <c r="P1028" s="41">
        <v>1.6</v>
      </c>
      <c r="Q1028" s="41" t="s">
        <v>2274</v>
      </c>
      <c r="R1028" s="42">
        <f t="shared" si="262"/>
        <v>100.625</v>
      </c>
      <c r="S1028" s="37">
        <v>8</v>
      </c>
      <c r="T1028" s="37" t="s">
        <v>154</v>
      </c>
      <c r="U1028" s="43" t="str">
        <f t="shared" si="263"/>
        <v>24/03/2024</v>
      </c>
      <c r="V1028" s="43">
        <f t="shared" si="264"/>
        <v>45375</v>
      </c>
      <c r="W1028" s="44">
        <f t="array" ref="W1028">_xlfn.IFS(TRIM(C1028)="","",TRIM(V1028)="","",TRUE,V1028-C1028)</f>
        <v>9</v>
      </c>
      <c r="X1028" s="37">
        <f t="shared" si="265"/>
        <v>1</v>
      </c>
      <c r="Y1028" s="37" t="s">
        <v>143</v>
      </c>
      <c r="Z1028" s="37" t="str">
        <f t="shared" si="266"/>
        <v>delayed</v>
      </c>
      <c r="AA1028" s="37" t="str">
        <f t="shared" si="267"/>
        <v>Late</v>
      </c>
      <c r="AB1028" s="37" t="str">
        <f t="shared" si="254"/>
        <v>1</v>
      </c>
      <c r="AC1028" s="37">
        <f t="shared" si="255"/>
        <v>1</v>
      </c>
      <c r="AD1028" s="45">
        <f t="shared" si="269"/>
        <v>0.520210896309315</v>
      </c>
      <c r="AE1028" s="37">
        <v>1</v>
      </c>
      <c r="AF1028" s="37" t="s">
        <v>152</v>
      </c>
      <c r="AG1028" s="37" t="str">
        <f t="shared" si="268"/>
        <v>no</v>
      </c>
      <c r="AH1028" s="37" t="str">
        <f t="array" ref="AH1028">_xlfn.IFS(LOWER(AG1028)="n","no",LOWER(AG1028)="y","yes",TRUE,LOWER(AG1028))</f>
        <v>no</v>
      </c>
      <c r="AI1028" s="37" t="s">
        <v>4692</v>
      </c>
    </row>
    <row r="1029" spans="1:35">
      <c r="A1029" s="46" t="s">
        <v>3463</v>
      </c>
      <c r="B1029" s="47">
        <v>45388</v>
      </c>
      <c r="C1029" s="39">
        <f t="shared" si="256"/>
        <v>45388</v>
      </c>
      <c r="D1029" s="48" t="s">
        <v>366</v>
      </c>
      <c r="E1029" s="37" t="str" cm="1">
        <f t="array" ref="E1029">_xlfn.IFS(D1029="delhi","north",D1029="mumbai","west",D1029="bengaluru","south",D1029="chennai","south",D1029="kolkata","east",TRUE,"west")</f>
        <v>east</v>
      </c>
      <c r="F1029" s="46" t="s">
        <v>194</v>
      </c>
      <c r="G1029" s="37" t="str">
        <f t="shared" si="257"/>
        <v>xpressbees</v>
      </c>
      <c r="H1029" s="46" t="s">
        <v>325</v>
      </c>
      <c r="I1029" s="37" t="str">
        <f t="shared" si="258"/>
        <v>air</v>
      </c>
      <c r="J1029" s="46" t="s">
        <v>186</v>
      </c>
      <c r="K1029" s="37" t="str">
        <f t="shared" si="259"/>
        <v>automotiveparts</v>
      </c>
      <c r="L1029" s="46" t="s">
        <v>92</v>
      </c>
      <c r="M1029" s="37" t="str">
        <f t="shared" si="260"/>
        <v>east</v>
      </c>
      <c r="N1029" s="46" t="s">
        <v>294</v>
      </c>
      <c r="O1029" s="41" t="str">
        <f t="shared" si="261"/>
        <v>Yes</v>
      </c>
      <c r="P1029" s="49" t="s">
        <v>3464</v>
      </c>
      <c r="Q1029" s="49" t="s">
        <v>3465</v>
      </c>
      <c r="R1029" s="42">
        <f t="shared" si="262"/>
        <v>44.25</v>
      </c>
      <c r="S1029" s="46">
        <v>2</v>
      </c>
      <c r="T1029" s="46" t="s">
        <v>1480</v>
      </c>
      <c r="U1029" s="43" t="str">
        <f t="shared" si="263"/>
        <v>08/04/2024</v>
      </c>
      <c r="V1029" s="43">
        <f t="shared" si="264"/>
        <v>45390</v>
      </c>
      <c r="W1029" s="44">
        <f t="array" ref="W1029">_xlfn.IFS(TRIM(C1029)="","",TRIM(V1029)="","",TRUE,V1029-C1029)</f>
        <v>2</v>
      </c>
      <c r="X1029" s="37">
        <f t="shared" si="265"/>
        <v>0</v>
      </c>
      <c r="Y1029" s="46" t="s">
        <v>163</v>
      </c>
      <c r="Z1029" s="37" t="str">
        <f t="shared" si="266"/>
        <v>delivered</v>
      </c>
      <c r="AA1029" s="37" t="str">
        <f t="shared" si="267"/>
        <v>On Time</v>
      </c>
      <c r="AB1029" s="37" t="str">
        <f t="shared" si="254"/>
        <v>0</v>
      </c>
      <c r="AC1029" s="37">
        <f t="shared" si="255"/>
        <v>0</v>
      </c>
      <c r="AD1029" s="45">
        <f t="shared" si="269"/>
        <v>0.519366197183099</v>
      </c>
      <c r="AE1029" s="46">
        <v>5</v>
      </c>
      <c r="AF1029" s="46" t="s">
        <v>181</v>
      </c>
      <c r="AG1029" s="37" t="str">
        <f t="shared" si="268"/>
        <v>y</v>
      </c>
      <c r="AH1029" s="37" t="str">
        <f t="array" ref="AH1029">_xlfn.IFS(LOWER(AG1029)="n","no",LOWER(AG1029)="y","yes",TRUE,LOWER(AG1029))</f>
        <v>yes</v>
      </c>
      <c r="AI1029" s="46" t="s">
        <v>4692</v>
      </c>
    </row>
    <row r="1030" spans="1:35">
      <c r="A1030" s="37" t="s">
        <v>3466</v>
      </c>
      <c r="B1030" s="38">
        <v>45445</v>
      </c>
      <c r="C1030" s="39">
        <f t="shared" si="256"/>
        <v>45445</v>
      </c>
      <c r="D1030" s="40" t="s">
        <v>109</v>
      </c>
      <c r="E1030" s="37" t="str" cm="1">
        <f t="array" ref="E1030">_xlfn.IFS(D1030="delhi","north",D1030="mumbai","west",D1030="bengaluru","south",D1030="chennai","south",D1030="kolkata","east",TRUE,"west")</f>
        <v>west</v>
      </c>
      <c r="F1030" s="37" t="s">
        <v>919</v>
      </c>
      <c r="G1030" s="37" t="str">
        <f t="shared" si="257"/>
        <v>xpressbees</v>
      </c>
      <c r="H1030" s="37" t="s">
        <v>195</v>
      </c>
      <c r="I1030" s="37" t="str">
        <f t="shared" si="258"/>
        <v>road</v>
      </c>
      <c r="J1030" s="37" t="s">
        <v>612</v>
      </c>
      <c r="K1030" s="37" t="str">
        <f t="shared" si="259"/>
        <v>grocery&amp;fmcg</v>
      </c>
      <c r="L1030" s="37" t="s">
        <v>334</v>
      </c>
      <c r="M1030" s="37" t="str">
        <f t="shared" si="260"/>
        <v>north</v>
      </c>
      <c r="N1030" s="37" t="s">
        <v>113</v>
      </c>
      <c r="O1030" s="41" t="str">
        <f t="shared" si="261"/>
        <v>Yes</v>
      </c>
      <c r="P1030" s="41">
        <v>17.9</v>
      </c>
      <c r="Q1030" s="41">
        <v>393</v>
      </c>
      <c r="R1030" s="42">
        <f t="shared" si="262"/>
        <v>21.9553072625698</v>
      </c>
      <c r="S1030" s="37">
        <v>8</v>
      </c>
      <c r="T1030" s="37" t="s">
        <v>707</v>
      </c>
      <c r="U1030" s="43" t="str">
        <f t="shared" si="263"/>
        <v>10/06/2024</v>
      </c>
      <c r="V1030" s="43">
        <f t="shared" si="264"/>
        <v>45453</v>
      </c>
      <c r="W1030" s="44">
        <f t="array" ref="W1030">_xlfn.IFS(TRIM(C1030)="","",TRIM(V1030)="","",TRUE,V1030-C1030)</f>
        <v>8</v>
      </c>
      <c r="X1030" s="37">
        <f t="shared" si="265"/>
        <v>0</v>
      </c>
      <c r="Y1030" s="37" t="s">
        <v>105</v>
      </c>
      <c r="Z1030" s="37" t="str">
        <f t="shared" si="266"/>
        <v>delivered</v>
      </c>
      <c r="AA1030" s="37" t="str">
        <f t="shared" si="267"/>
        <v>On Time</v>
      </c>
      <c r="AB1030" s="37" t="str">
        <f t="shared" ref="AB1030:AB1093" si="270">IF(Z1030="In-Transit","N/A",IF(X1030="","",IF(X1030&gt;0,"1","0")))</f>
        <v>0</v>
      </c>
      <c r="AC1030" s="37">
        <f t="shared" si="255"/>
        <v>0</v>
      </c>
      <c r="AD1030" s="45">
        <f t="shared" si="269"/>
        <v>0.520282186948854</v>
      </c>
      <c r="AE1030" s="37">
        <v>4</v>
      </c>
      <c r="AF1030" s="37" t="s">
        <v>286</v>
      </c>
      <c r="AG1030" s="37" t="str">
        <f t="shared" si="268"/>
        <v>yes</v>
      </c>
      <c r="AH1030" s="37" t="str">
        <f t="array" ref="AH1030">_xlfn.IFS(LOWER(AG1030)="n","no",LOWER(AG1030)="y","yes",TRUE,LOWER(AG1030))</f>
        <v>yes</v>
      </c>
      <c r="AI1030" s="37" t="s">
        <v>4692</v>
      </c>
    </row>
    <row r="1031" spans="1:35">
      <c r="A1031" s="46" t="s">
        <v>3469</v>
      </c>
      <c r="B1031" s="47">
        <v>45449</v>
      </c>
      <c r="C1031" s="39">
        <f t="shared" si="256"/>
        <v>45449</v>
      </c>
      <c r="D1031" s="48" t="s">
        <v>424</v>
      </c>
      <c r="E1031" s="37" t="str" cm="1">
        <f t="array" ref="E1031">_xlfn.IFS(D1031="delhi","north",D1031="mumbai","west",D1031="bengaluru","south",D1031="chennai","south",D1031="kolkata","east",TRUE,"west")</f>
        <v>south</v>
      </c>
      <c r="F1031" s="46" t="s">
        <v>213</v>
      </c>
      <c r="G1031" s="37" t="str">
        <f t="shared" si="257"/>
        <v>dtdc</v>
      </c>
      <c r="H1031" s="46" t="s">
        <v>345</v>
      </c>
      <c r="I1031" s="37" t="str">
        <f t="shared" si="258"/>
        <v>surface</v>
      </c>
      <c r="J1031" s="46" t="s">
        <v>498</v>
      </c>
      <c r="K1031" s="37" t="str">
        <f t="shared" si="259"/>
        <v>apparel</v>
      </c>
      <c r="L1031" s="46" t="s">
        <v>302</v>
      </c>
      <c r="M1031" s="37" t="str">
        <f t="shared" si="260"/>
        <v>east</v>
      </c>
      <c r="N1031" s="46" t="s">
        <v>126</v>
      </c>
      <c r="O1031" s="41" t="str">
        <f t="shared" si="261"/>
        <v>Yes</v>
      </c>
      <c r="P1031" s="49">
        <v>6.4</v>
      </c>
      <c r="Q1031" s="49">
        <v>330</v>
      </c>
      <c r="R1031" s="42">
        <f t="shared" si="262"/>
        <v>51.5625</v>
      </c>
      <c r="S1031" s="46">
        <v>6</v>
      </c>
      <c r="T1031" s="46" t="s">
        <v>933</v>
      </c>
      <c r="U1031" s="43" t="str">
        <f t="shared" si="263"/>
        <v>11/06/2024</v>
      </c>
      <c r="V1031" s="43">
        <f t="shared" si="264"/>
        <v>45454</v>
      </c>
      <c r="W1031" s="44">
        <f t="array" ref="W1031">_xlfn.IFS(TRIM(C1031)="","",TRIM(V1031)="","",TRUE,V1031-C1031)</f>
        <v>5</v>
      </c>
      <c r="X1031" s="37">
        <f t="shared" si="265"/>
        <v>-1</v>
      </c>
      <c r="Y1031" s="46" t="s">
        <v>163</v>
      </c>
      <c r="Z1031" s="37" t="str">
        <f t="shared" si="266"/>
        <v>delivered</v>
      </c>
      <c r="AA1031" s="37" t="str">
        <f t="shared" si="267"/>
        <v>On Time</v>
      </c>
      <c r="AB1031" s="37" t="str">
        <f t="shared" si="270"/>
        <v>0</v>
      </c>
      <c r="AC1031" s="37">
        <f t="shared" ref="AC1031:AC1094" si="271">IF(TRIM(AB1031&amp;"")="","",VALUE(TRIM(AB1031&amp;"")))</f>
        <v>0</v>
      </c>
      <c r="AD1031" s="45">
        <f t="shared" si="269"/>
        <v>0.521201413427562</v>
      </c>
      <c r="AE1031" s="46">
        <v>4</v>
      </c>
      <c r="AF1031" s="46" t="s">
        <v>191</v>
      </c>
      <c r="AG1031" s="37" t="str">
        <f t="shared" si="268"/>
        <v>no</v>
      </c>
      <c r="AH1031" s="37" t="str">
        <f t="array" ref="AH1031">_xlfn.IFS(LOWER(AG1031)="n","no",LOWER(AG1031)="y","yes",TRUE,LOWER(AG1031))</f>
        <v>no</v>
      </c>
      <c r="AI1031" s="46" t="s">
        <v>4692</v>
      </c>
    </row>
    <row r="1032" spans="1:35">
      <c r="A1032" s="37" t="s">
        <v>3471</v>
      </c>
      <c r="B1032" s="38">
        <v>45446</v>
      </c>
      <c r="C1032" s="39">
        <f t="shared" si="256"/>
        <v>45446</v>
      </c>
      <c r="D1032" s="40" t="s">
        <v>135</v>
      </c>
      <c r="E1032" s="37" t="str" cm="1">
        <f t="array" ref="E1032">_xlfn.IFS(D1032="delhi","north",D1032="mumbai","west",D1032="bengaluru","south",D1032="chennai","south",D1032="kolkata","east",TRUE,"west")</f>
        <v>west</v>
      </c>
      <c r="F1032" s="37" t="s">
        <v>194</v>
      </c>
      <c r="G1032" s="37" t="str">
        <f t="shared" si="257"/>
        <v>xpressbees</v>
      </c>
      <c r="H1032" s="37" t="s">
        <v>157</v>
      </c>
      <c r="I1032" s="37" t="str">
        <f t="shared" si="258"/>
        <v>surface</v>
      </c>
      <c r="J1032" s="37" t="s">
        <v>664</v>
      </c>
      <c r="K1032" s="37" t="str">
        <f t="shared" si="259"/>
        <v>grocery&amp;fmcg</v>
      </c>
      <c r="L1032" s="37" t="s">
        <v>346</v>
      </c>
      <c r="M1032" s="37" t="str">
        <f t="shared" si="260"/>
        <v>north</v>
      </c>
      <c r="N1032" s="37" t="s">
        <v>215</v>
      </c>
      <c r="O1032" s="41" t="str">
        <f t="shared" si="261"/>
        <v>Yes</v>
      </c>
      <c r="P1032" s="41" t="s">
        <v>3289</v>
      </c>
      <c r="Q1032" s="41">
        <v>322</v>
      </c>
      <c r="R1032" s="42">
        <f t="shared" si="262"/>
        <v>45.3521126760563</v>
      </c>
      <c r="S1032" s="37">
        <v>6</v>
      </c>
      <c r="T1032" s="37" t="s">
        <v>632</v>
      </c>
      <c r="U1032" s="43" t="str">
        <f t="shared" si="263"/>
        <v>09/06/2024</v>
      </c>
      <c r="V1032" s="43">
        <f t="shared" si="264"/>
        <v>45452</v>
      </c>
      <c r="W1032" s="44">
        <f t="array" ref="W1032">_xlfn.IFS(TRIM(C1032)="","",TRIM(V1032)="","",TRUE,V1032-C1032)</f>
        <v>6</v>
      </c>
      <c r="X1032" s="37">
        <f t="shared" si="265"/>
        <v>0</v>
      </c>
      <c r="Y1032" s="37" t="s">
        <v>117</v>
      </c>
      <c r="Z1032" s="37" t="str">
        <f t="shared" si="266"/>
        <v>delivered</v>
      </c>
      <c r="AA1032" s="37" t="str">
        <f t="shared" si="267"/>
        <v>On Time</v>
      </c>
      <c r="AB1032" s="37" t="str">
        <f t="shared" si="270"/>
        <v>0</v>
      </c>
      <c r="AC1032" s="37">
        <f t="shared" si="271"/>
        <v>0</v>
      </c>
      <c r="AD1032" s="45">
        <f t="shared" si="269"/>
        <v>0.52212389380531</v>
      </c>
      <c r="AE1032" s="37">
        <v>5</v>
      </c>
      <c r="AF1032" s="37" t="s">
        <v>79</v>
      </c>
      <c r="AG1032" s="37" t="str">
        <f t="shared" si="268"/>
        <v>yes</v>
      </c>
      <c r="AH1032" s="37" t="str">
        <f t="array" ref="AH1032">_xlfn.IFS(LOWER(AG1032)="n","no",LOWER(AG1032)="y","yes",TRUE,LOWER(AG1032))</f>
        <v>yes</v>
      </c>
      <c r="AI1032" s="37" t="s">
        <v>4692</v>
      </c>
    </row>
    <row r="1033" spans="1:35">
      <c r="A1033" s="46" t="s">
        <v>3473</v>
      </c>
      <c r="B1033" s="47" t="s">
        <v>4708</v>
      </c>
      <c r="C1033" s="39">
        <f t="shared" si="256"/>
        <v>45464</v>
      </c>
      <c r="D1033" s="48" t="s">
        <v>300</v>
      </c>
      <c r="E1033" s="37" t="str" cm="1">
        <f t="array" ref="E1033">_xlfn.IFS(D1033="delhi","north",D1033="mumbai","west",D1033="bengaluru","south",D1033="chennai","south",D1033="kolkata","east",TRUE,"west")</f>
        <v>west</v>
      </c>
      <c r="F1033" s="46" t="s">
        <v>213</v>
      </c>
      <c r="G1033" s="37" t="str">
        <f t="shared" si="257"/>
        <v>dtdc</v>
      </c>
      <c r="H1033" s="46" t="s">
        <v>99</v>
      </c>
      <c r="I1033" s="37" t="str">
        <f t="shared" si="258"/>
        <v>air</v>
      </c>
      <c r="J1033" s="46" t="s">
        <v>196</v>
      </c>
      <c r="K1033" s="37" t="str">
        <f t="shared" si="259"/>
        <v>apparel</v>
      </c>
      <c r="L1033" s="46" t="s">
        <v>264</v>
      </c>
      <c r="M1033" s="37" t="str">
        <f t="shared" si="260"/>
        <v>west</v>
      </c>
      <c r="N1033" s="46" t="s">
        <v>206</v>
      </c>
      <c r="O1033" s="41" t="str">
        <f t="shared" si="261"/>
        <v>Yes</v>
      </c>
      <c r="P1033" s="49" t="s">
        <v>446</v>
      </c>
      <c r="Q1033" s="49">
        <v>230</v>
      </c>
      <c r="R1033" s="42">
        <f t="shared" si="262"/>
        <v>153.333333333333</v>
      </c>
      <c r="S1033" s="46">
        <v>4</v>
      </c>
      <c r="T1033" s="46" t="s">
        <v>936</v>
      </c>
      <c r="U1033" s="43" t="str">
        <f t="shared" si="263"/>
        <v>25-jun-2024</v>
      </c>
      <c r="V1033" s="43">
        <f t="shared" si="264"/>
        <v>45468</v>
      </c>
      <c r="W1033" s="44">
        <f t="array" ref="W1033">_xlfn.IFS(TRIM(C1033)="","",TRIM(V1033)="","",TRUE,V1033-C1033)</f>
        <v>4</v>
      </c>
      <c r="X1033" s="37">
        <f t="shared" si="265"/>
        <v>0</v>
      </c>
      <c r="Y1033" s="46" t="s">
        <v>105</v>
      </c>
      <c r="Z1033" s="37" t="str">
        <f t="shared" si="266"/>
        <v>delivered</v>
      </c>
      <c r="AA1033" s="37" t="str">
        <f t="shared" si="267"/>
        <v>On Time</v>
      </c>
      <c r="AB1033" s="37" t="str">
        <f t="shared" si="270"/>
        <v>0</v>
      </c>
      <c r="AC1033" s="37">
        <f t="shared" si="271"/>
        <v>0</v>
      </c>
      <c r="AD1033" s="45">
        <f t="shared" si="269"/>
        <v>0.523049645390071</v>
      </c>
      <c r="AE1033" s="46">
        <v>5</v>
      </c>
      <c r="AF1033" s="46" t="s">
        <v>118</v>
      </c>
      <c r="AG1033" s="37" t="str">
        <f t="shared" si="268"/>
        <v>no</v>
      </c>
      <c r="AH1033" s="37" t="str">
        <f t="array" ref="AH1033">_xlfn.IFS(LOWER(AG1033)="n","no",LOWER(AG1033)="y","yes",TRUE,LOWER(AG1033))</f>
        <v>no</v>
      </c>
      <c r="AI1033" s="46" t="s">
        <v>4692</v>
      </c>
    </row>
    <row r="1034" spans="1:35">
      <c r="A1034" s="37" t="s">
        <v>3474</v>
      </c>
      <c r="B1034" s="38">
        <v>45471</v>
      </c>
      <c r="C1034" s="39">
        <f t="shared" si="256"/>
        <v>45471</v>
      </c>
      <c r="D1034" s="40" t="s">
        <v>4705</v>
      </c>
      <c r="E1034" s="37" t="str" cm="1">
        <f t="array" ref="E1034">_xlfn.IFS(D1034="delhi","north",D1034="mumbai","west",D1034="bengaluru","south",D1034="chennai","south",D1034="kolkata","east",TRUE,"west")</f>
        <v>west</v>
      </c>
      <c r="F1034" s="37" t="s">
        <v>156</v>
      </c>
      <c r="G1034" s="37" t="str">
        <f t="shared" si="257"/>
        <v>xpressbees</v>
      </c>
      <c r="H1034" s="37" t="s">
        <v>185</v>
      </c>
      <c r="I1034" s="37" t="str">
        <f t="shared" si="258"/>
        <v>surface</v>
      </c>
      <c r="J1034" s="37" t="s">
        <v>353</v>
      </c>
      <c r="K1034" s="37" t="str">
        <f t="shared" si="259"/>
        <v>automotiveparts</v>
      </c>
      <c r="L1034" s="37" t="s">
        <v>101</v>
      </c>
      <c r="M1034" s="37" t="str">
        <f t="shared" si="260"/>
        <v>west</v>
      </c>
      <c r="N1034" s="37" t="s">
        <v>88</v>
      </c>
      <c r="O1034" s="41" t="str">
        <f t="shared" si="261"/>
        <v>Yes</v>
      </c>
      <c r="P1034" s="41">
        <v>29.7</v>
      </c>
      <c r="Q1034" s="41">
        <v>792</v>
      </c>
      <c r="R1034" s="42">
        <f t="shared" si="262"/>
        <v>26.6666666666667</v>
      </c>
      <c r="S1034" s="37">
        <v>6</v>
      </c>
      <c r="T1034" s="37"/>
      <c r="U1034" s="43" t="str">
        <f t="shared" si="263"/>
        <v/>
      </c>
      <c r="V1034" s="43" t="e">
        <f t="shared" si="264"/>
        <v>#VALUE!</v>
      </c>
      <c r="W1034" s="44" t="e">
        <f t="array" ref="W1034">_xlfn.IFS(TRIM(C1034)="","",TRIM(V1034)="","",TRUE,V1034-C1034)</f>
        <v>#VALUE!</v>
      </c>
      <c r="X1034" s="37" t="e">
        <f t="shared" si="265"/>
        <v>#VALUE!</v>
      </c>
      <c r="Y1034" s="37" t="s">
        <v>1555</v>
      </c>
      <c r="Z1034" s="37" t="str">
        <f t="shared" si="266"/>
        <v>intransit</v>
      </c>
      <c r="AA1034" s="37" t="e">
        <f t="shared" si="267"/>
        <v>#VALUE!</v>
      </c>
      <c r="AB1034" s="37" t="e">
        <f t="shared" si="270"/>
        <v>#VALUE!</v>
      </c>
      <c r="AC1034" s="37" t="e">
        <f t="shared" si="271"/>
        <v>#VALUE!</v>
      </c>
      <c r="AD1034" s="45">
        <f t="shared" si="269"/>
        <v>0.523978685612789</v>
      </c>
      <c r="AE1034" s="37"/>
      <c r="AF1034" s="37" t="s">
        <v>181</v>
      </c>
      <c r="AG1034" s="37" t="str">
        <f t="shared" si="268"/>
        <v>y</v>
      </c>
      <c r="AH1034" s="37" t="str">
        <f t="array" ref="AH1034">_xlfn.IFS(LOWER(AG1034)="n","no",LOWER(AG1034)="y","yes",TRUE,LOWER(AG1034))</f>
        <v>yes</v>
      </c>
      <c r="AI1034" s="37" t="s">
        <v>4692</v>
      </c>
    </row>
    <row r="1035" spans="1:35">
      <c r="A1035" s="46" t="s">
        <v>3477</v>
      </c>
      <c r="B1035" s="47">
        <v>45323</v>
      </c>
      <c r="C1035" s="39">
        <f t="shared" si="256"/>
        <v>45323</v>
      </c>
      <c r="D1035" s="48" t="s">
        <v>4704</v>
      </c>
      <c r="E1035" s="37" t="str" cm="1">
        <f t="array" ref="E1035">_xlfn.IFS(D1035="delhi","north",D1035="mumbai","west",D1035="bengaluru","south",D1035="chennai","south",D1035="kolkata","east",TRUE,"west")</f>
        <v>west</v>
      </c>
      <c r="F1035" s="46" t="s">
        <v>919</v>
      </c>
      <c r="G1035" s="37" t="str">
        <f t="shared" si="257"/>
        <v>xpressbees</v>
      </c>
      <c r="H1035" s="46" t="s">
        <v>157</v>
      </c>
      <c r="I1035" s="37" t="str">
        <f t="shared" si="258"/>
        <v>surface</v>
      </c>
      <c r="J1035" s="46" t="s">
        <v>138</v>
      </c>
      <c r="K1035" s="37" t="str">
        <f t="shared" si="259"/>
        <v>apparel</v>
      </c>
      <c r="L1035" s="46" t="s">
        <v>264</v>
      </c>
      <c r="M1035" s="37" t="str">
        <f t="shared" si="260"/>
        <v>west</v>
      </c>
      <c r="N1035" s="46" t="s">
        <v>187</v>
      </c>
      <c r="O1035" s="41" t="str">
        <f t="shared" si="261"/>
        <v>Yes</v>
      </c>
      <c r="P1035" s="49">
        <v>7.8</v>
      </c>
      <c r="Q1035" s="49">
        <v>358</v>
      </c>
      <c r="R1035" s="42">
        <f t="shared" si="262"/>
        <v>45.8974358974359</v>
      </c>
      <c r="S1035" s="46">
        <v>6</v>
      </c>
      <c r="T1035" s="46" t="s">
        <v>227</v>
      </c>
      <c r="U1035" s="43" t="str">
        <f t="shared" si="263"/>
        <v>06-feb-2024</v>
      </c>
      <c r="V1035" s="43">
        <f t="shared" si="264"/>
        <v>45328</v>
      </c>
      <c r="W1035" s="44">
        <f t="array" ref="W1035">_xlfn.IFS(TRIM(C1035)="","",TRIM(V1035)="","",TRUE,V1035-C1035)</f>
        <v>5</v>
      </c>
      <c r="X1035" s="37">
        <f t="shared" si="265"/>
        <v>-1</v>
      </c>
      <c r="Y1035" s="46" t="s">
        <v>105</v>
      </c>
      <c r="Z1035" s="37" t="str">
        <f t="shared" si="266"/>
        <v>delivered</v>
      </c>
      <c r="AA1035" s="37" t="str">
        <f t="shared" si="267"/>
        <v>On Time</v>
      </c>
      <c r="AB1035" s="37" t="str">
        <f t="shared" si="270"/>
        <v>0</v>
      </c>
      <c r="AC1035" s="37">
        <f t="shared" si="271"/>
        <v>0</v>
      </c>
      <c r="AD1035" s="45">
        <f t="shared" si="269"/>
        <v>0.523978685612789</v>
      </c>
      <c r="AE1035" s="46">
        <v>5</v>
      </c>
      <c r="AF1035" s="46" t="s">
        <v>152</v>
      </c>
      <c r="AG1035" s="37" t="str">
        <f t="shared" si="268"/>
        <v>no</v>
      </c>
      <c r="AH1035" s="37" t="str">
        <f t="array" ref="AH1035">_xlfn.IFS(LOWER(AG1035)="n","no",LOWER(AG1035)="y","yes",TRUE,LOWER(AG1035))</f>
        <v>no</v>
      </c>
      <c r="AI1035" s="46" t="s">
        <v>4692</v>
      </c>
    </row>
    <row r="1036" spans="1:35">
      <c r="A1036" s="37" t="s">
        <v>3478</v>
      </c>
      <c r="B1036" s="38">
        <v>45341</v>
      </c>
      <c r="C1036" s="39">
        <f t="shared" si="256"/>
        <v>45341</v>
      </c>
      <c r="D1036" s="40" t="s">
        <v>243</v>
      </c>
      <c r="E1036" s="37" t="str" cm="1">
        <f t="array" ref="E1036">_xlfn.IFS(D1036="delhi","north",D1036="mumbai","west",D1036="bengaluru","south",D1036="chennai","south",D1036="kolkata","east",TRUE,"west")</f>
        <v>west</v>
      </c>
      <c r="F1036" s="37" t="s">
        <v>122</v>
      </c>
      <c r="G1036" s="37" t="str">
        <f t="shared" si="257"/>
        <v>delhivery</v>
      </c>
      <c r="H1036" s="37" t="s">
        <v>147</v>
      </c>
      <c r="I1036" s="37" t="str">
        <f t="shared" si="258"/>
        <v>road</v>
      </c>
      <c r="J1036" s="37" t="s">
        <v>326</v>
      </c>
      <c r="K1036" s="37" t="str">
        <f t="shared" si="259"/>
        <v>apparel</v>
      </c>
      <c r="L1036" s="37" t="s">
        <v>302</v>
      </c>
      <c r="M1036" s="37" t="str">
        <f t="shared" si="260"/>
        <v>east</v>
      </c>
      <c r="N1036" s="37" t="s">
        <v>91</v>
      </c>
      <c r="O1036" s="41" t="str">
        <f t="shared" si="261"/>
        <v>Yes</v>
      </c>
      <c r="P1036" s="41" t="s">
        <v>2555</v>
      </c>
      <c r="Q1036" s="41">
        <v>223</v>
      </c>
      <c r="R1036" s="42">
        <f t="shared" si="262"/>
        <v>61.9444444444444</v>
      </c>
      <c r="S1036" s="37">
        <v>8</v>
      </c>
      <c r="T1036" s="37" t="s">
        <v>324</v>
      </c>
      <c r="U1036" s="43" t="str">
        <f t="shared" si="263"/>
        <v>26/02/2024</v>
      </c>
      <c r="V1036" s="43">
        <f t="shared" si="264"/>
        <v>45348</v>
      </c>
      <c r="W1036" s="44">
        <f t="array" ref="W1036">_xlfn.IFS(TRIM(C1036)="","",TRIM(V1036)="","",TRUE,V1036-C1036)</f>
        <v>7</v>
      </c>
      <c r="X1036" s="37">
        <f t="shared" si="265"/>
        <v>-1</v>
      </c>
      <c r="Y1036" s="37" t="s">
        <v>163</v>
      </c>
      <c r="Z1036" s="37" t="str">
        <f t="shared" si="266"/>
        <v>delivered</v>
      </c>
      <c r="AA1036" s="37" t="str">
        <f t="shared" si="267"/>
        <v>On Time</v>
      </c>
      <c r="AB1036" s="37" t="str">
        <f t="shared" si="270"/>
        <v>0</v>
      </c>
      <c r="AC1036" s="37">
        <f t="shared" si="271"/>
        <v>0</v>
      </c>
      <c r="AD1036" s="45">
        <f t="shared" si="269"/>
        <v>0.52491103202847</v>
      </c>
      <c r="AE1036" s="37">
        <v>4</v>
      </c>
      <c r="AF1036" s="37" t="s">
        <v>191</v>
      </c>
      <c r="AG1036" s="37" t="str">
        <f t="shared" si="268"/>
        <v>no</v>
      </c>
      <c r="AH1036" s="37" t="str">
        <f t="array" ref="AH1036">_xlfn.IFS(LOWER(AG1036)="n","no",LOWER(AG1036)="y","yes",TRUE,LOWER(AG1036))</f>
        <v>no</v>
      </c>
      <c r="AI1036" s="37" t="s">
        <v>4692</v>
      </c>
    </row>
    <row r="1037" spans="1:35">
      <c r="A1037" s="46" t="s">
        <v>3479</v>
      </c>
      <c r="B1037" s="47">
        <v>45323</v>
      </c>
      <c r="C1037" s="39">
        <f t="shared" si="256"/>
        <v>45323</v>
      </c>
      <c r="D1037" s="48" t="s">
        <v>4699</v>
      </c>
      <c r="E1037" s="37" t="str" cm="1">
        <f t="array" ref="E1037">_xlfn.IFS(D1037="delhi","north",D1037="mumbai","west",D1037="bengaluru","south",D1037="chennai","south",D1037="kolkata","east",TRUE,"west")</f>
        <v>west</v>
      </c>
      <c r="F1037" s="46" t="s">
        <v>146</v>
      </c>
      <c r="G1037" s="37" t="str">
        <f t="shared" si="257"/>
        <v>ecomexpress</v>
      </c>
      <c r="H1037" s="46" t="s">
        <v>99</v>
      </c>
      <c r="I1037" s="37" t="str">
        <f t="shared" si="258"/>
        <v>air</v>
      </c>
      <c r="J1037" s="46" t="s">
        <v>1701</v>
      </c>
      <c r="K1037" s="37" t="str">
        <f t="shared" si="259"/>
        <v>grocery&amp;fmcg</v>
      </c>
      <c r="L1037" s="46" t="s">
        <v>112</v>
      </c>
      <c r="M1037" s="37" t="str">
        <f t="shared" si="260"/>
        <v>north</v>
      </c>
      <c r="N1037" s="46" t="s">
        <v>32</v>
      </c>
      <c r="O1037" s="41" t="str">
        <f t="shared" si="261"/>
        <v>Yes</v>
      </c>
      <c r="P1037" s="49">
        <v>19.3</v>
      </c>
      <c r="Q1037" s="51">
        <v>1051</v>
      </c>
      <c r="R1037" s="42">
        <f t="shared" si="262"/>
        <v>54.4559585492228</v>
      </c>
      <c r="S1037" s="46">
        <v>4</v>
      </c>
      <c r="T1037" s="46" t="s">
        <v>1489</v>
      </c>
      <c r="U1037" s="43" t="str">
        <f t="shared" si="263"/>
        <v>06/02/2024</v>
      </c>
      <c r="V1037" s="43">
        <f t="shared" si="264"/>
        <v>45328</v>
      </c>
      <c r="W1037" s="44">
        <f t="array" ref="W1037">_xlfn.IFS(TRIM(C1037)="","",TRIM(V1037)="","",TRUE,V1037-C1037)</f>
        <v>5</v>
      </c>
      <c r="X1037" s="37">
        <f t="shared" si="265"/>
        <v>1</v>
      </c>
      <c r="Y1037" s="46" t="s">
        <v>200</v>
      </c>
      <c r="Z1037" s="37" t="str">
        <f t="shared" si="266"/>
        <v>delayed</v>
      </c>
      <c r="AA1037" s="37" t="str">
        <f t="shared" si="267"/>
        <v>Late</v>
      </c>
      <c r="AB1037" s="37" t="str">
        <f t="shared" si="270"/>
        <v>1</v>
      </c>
      <c r="AC1037" s="37">
        <f t="shared" si="271"/>
        <v>1</v>
      </c>
      <c r="AD1037" s="45">
        <f t="shared" si="269"/>
        <v>0.525846702317291</v>
      </c>
      <c r="AE1037" s="46">
        <v>1</v>
      </c>
      <c r="AF1037" s="46" t="s">
        <v>191</v>
      </c>
      <c r="AG1037" s="37" t="str">
        <f t="shared" si="268"/>
        <v>no</v>
      </c>
      <c r="AH1037" s="37" t="str">
        <f t="array" ref="AH1037">_xlfn.IFS(LOWER(AG1037)="n","no",LOWER(AG1037)="y","yes",TRUE,LOWER(AG1037))</f>
        <v>no</v>
      </c>
      <c r="AI1037" s="46" t="s">
        <v>4692</v>
      </c>
    </row>
    <row r="1038" spans="1:35">
      <c r="A1038" s="37" t="s">
        <v>3481</v>
      </c>
      <c r="B1038" s="38">
        <v>45389</v>
      </c>
      <c r="C1038" s="39">
        <f t="shared" si="256"/>
        <v>45389</v>
      </c>
      <c r="D1038" s="40" t="s">
        <v>340</v>
      </c>
      <c r="E1038" s="37" t="str" cm="1">
        <f t="array" ref="E1038">_xlfn.IFS(D1038="delhi","north",D1038="mumbai","west",D1038="bengaluru","south",D1038="chennai","south",D1038="kolkata","east",TRUE,"west")</f>
        <v>north</v>
      </c>
      <c r="F1038" s="37" t="s">
        <v>213</v>
      </c>
      <c r="G1038" s="37" t="str">
        <f t="shared" si="257"/>
        <v>dtdc</v>
      </c>
      <c r="H1038" s="37" t="s">
        <v>185</v>
      </c>
      <c r="I1038" s="37" t="str">
        <f t="shared" si="258"/>
        <v>surface</v>
      </c>
      <c r="J1038" s="37" t="s">
        <v>263</v>
      </c>
      <c r="K1038" s="37" t="str">
        <f t="shared" si="259"/>
        <v>apparel</v>
      </c>
      <c r="L1038" s="37" t="s">
        <v>125</v>
      </c>
      <c r="M1038" s="37" t="str">
        <f t="shared" si="260"/>
        <v>east</v>
      </c>
      <c r="N1038" s="37" t="s">
        <v>396</v>
      </c>
      <c r="O1038" s="41" t="str">
        <f t="shared" si="261"/>
        <v>Yes</v>
      </c>
      <c r="P1038" s="41">
        <v>3.8</v>
      </c>
      <c r="Q1038" s="41" t="s">
        <v>3482</v>
      </c>
      <c r="R1038" s="42">
        <f t="shared" si="262"/>
        <v>76.5789473684211</v>
      </c>
      <c r="S1038" s="37">
        <v>6</v>
      </c>
      <c r="T1038" s="37" t="s">
        <v>646</v>
      </c>
      <c r="U1038" s="43" t="str">
        <f t="shared" si="263"/>
        <v>13/04/2024</v>
      </c>
      <c r="V1038" s="43">
        <f t="shared" si="264"/>
        <v>45395</v>
      </c>
      <c r="W1038" s="44">
        <f t="array" ref="W1038">_xlfn.IFS(TRIM(C1038)="","",TRIM(V1038)="","",TRUE,V1038-C1038)</f>
        <v>6</v>
      </c>
      <c r="X1038" s="37">
        <f t="shared" si="265"/>
        <v>0</v>
      </c>
      <c r="Y1038" s="37" t="s">
        <v>117</v>
      </c>
      <c r="Z1038" s="37" t="str">
        <f t="shared" si="266"/>
        <v>delivered</v>
      </c>
      <c r="AA1038" s="37" t="str">
        <f t="shared" si="267"/>
        <v>On Time</v>
      </c>
      <c r="AB1038" s="37" t="str">
        <f t="shared" si="270"/>
        <v>0</v>
      </c>
      <c r="AC1038" s="37">
        <f t="shared" si="271"/>
        <v>0</v>
      </c>
      <c r="AD1038" s="45">
        <f t="shared" si="269"/>
        <v>0.525</v>
      </c>
      <c r="AE1038" s="37">
        <v>4</v>
      </c>
      <c r="AF1038" s="37" t="s">
        <v>191</v>
      </c>
      <c r="AG1038" s="37" t="str">
        <f t="shared" si="268"/>
        <v>no</v>
      </c>
      <c r="AH1038" s="37" t="str">
        <f t="array" ref="AH1038">_xlfn.IFS(LOWER(AG1038)="n","no",LOWER(AG1038)="y","yes",TRUE,LOWER(AG1038))</f>
        <v>no</v>
      </c>
      <c r="AI1038" s="37" t="s">
        <v>4692</v>
      </c>
    </row>
    <row r="1039" spans="1:35">
      <c r="A1039" s="46" t="s">
        <v>3483</v>
      </c>
      <c r="B1039" s="47">
        <v>45440</v>
      </c>
      <c r="C1039" s="39">
        <f t="shared" si="256"/>
        <v>45440</v>
      </c>
      <c r="D1039" s="48" t="s">
        <v>222</v>
      </c>
      <c r="E1039" s="37" t="str" cm="1">
        <f t="array" ref="E1039">_xlfn.IFS(D1039="delhi","north",D1039="mumbai","west",D1039="bengaluru","south",D1039="chennai","south",D1039="kolkata","east",TRUE,"west")</f>
        <v>west</v>
      </c>
      <c r="F1039" s="46" t="s">
        <v>919</v>
      </c>
      <c r="G1039" s="37" t="str">
        <f t="shared" si="257"/>
        <v>xpressbees</v>
      </c>
      <c r="H1039" s="46" t="s">
        <v>137</v>
      </c>
      <c r="I1039" s="37" t="str">
        <f t="shared" si="258"/>
        <v>road</v>
      </c>
      <c r="J1039" s="46" t="s">
        <v>237</v>
      </c>
      <c r="K1039" s="37" t="str">
        <f t="shared" si="259"/>
        <v>automotiveparts</v>
      </c>
      <c r="L1039" s="46" t="s">
        <v>302</v>
      </c>
      <c r="M1039" s="37" t="str">
        <f t="shared" si="260"/>
        <v>east</v>
      </c>
      <c r="N1039" s="46" t="s">
        <v>294</v>
      </c>
      <c r="O1039" s="41" t="str">
        <f t="shared" si="261"/>
        <v>Yes</v>
      </c>
      <c r="P1039" s="49" t="s">
        <v>3484</v>
      </c>
      <c r="Q1039" s="49">
        <v>523</v>
      </c>
      <c r="R1039" s="42">
        <f t="shared" si="262"/>
        <v>18.4805653710247</v>
      </c>
      <c r="S1039" s="46">
        <v>8</v>
      </c>
      <c r="T1039" s="46" t="s">
        <v>615</v>
      </c>
      <c r="U1039" s="43" t="str">
        <f t="shared" si="263"/>
        <v>14/06/2024</v>
      </c>
      <c r="V1039" s="43">
        <f t="shared" si="264"/>
        <v>45457</v>
      </c>
      <c r="W1039" s="44">
        <f t="array" ref="W1039">_xlfn.IFS(TRIM(C1039)="","",TRIM(V1039)="","",TRUE,V1039-C1039)</f>
        <v>17</v>
      </c>
      <c r="X1039" s="37">
        <f t="shared" si="265"/>
        <v>9</v>
      </c>
      <c r="Y1039" s="46" t="s">
        <v>200</v>
      </c>
      <c r="Z1039" s="37" t="str">
        <f t="shared" si="266"/>
        <v>delayed</v>
      </c>
      <c r="AA1039" s="37" t="str">
        <f t="shared" si="267"/>
        <v>Late</v>
      </c>
      <c r="AB1039" s="37" t="str">
        <f t="shared" si="270"/>
        <v>1</v>
      </c>
      <c r="AC1039" s="37">
        <f t="shared" si="271"/>
        <v>1</v>
      </c>
      <c r="AD1039" s="45">
        <f t="shared" si="269"/>
        <v>0.525939177101968</v>
      </c>
      <c r="AE1039" s="46">
        <v>3</v>
      </c>
      <c r="AF1039" s="46" t="s">
        <v>191</v>
      </c>
      <c r="AG1039" s="37" t="str">
        <f t="shared" si="268"/>
        <v>no</v>
      </c>
      <c r="AH1039" s="37" t="str">
        <f t="array" ref="AH1039">_xlfn.IFS(LOWER(AG1039)="n","no",LOWER(AG1039)="y","yes",TRUE,LOWER(AG1039))</f>
        <v>no</v>
      </c>
      <c r="AI1039" s="46" t="s">
        <v>4692</v>
      </c>
    </row>
    <row r="1040" spans="1:35">
      <c r="A1040" s="37" t="s">
        <v>3485</v>
      </c>
      <c r="B1040" s="38" t="s">
        <v>4842</v>
      </c>
      <c r="C1040" s="39">
        <f t="shared" si="256"/>
        <v>45445</v>
      </c>
      <c r="D1040" s="40" t="s">
        <v>340</v>
      </c>
      <c r="E1040" s="37" t="str" cm="1">
        <f t="array" ref="E1040">_xlfn.IFS(D1040="delhi","north",D1040="mumbai","west",D1040="bengaluru","south",D1040="chennai","south",D1040="kolkata","east",TRUE,"west")</f>
        <v>north</v>
      </c>
      <c r="F1040" s="37" t="s">
        <v>919</v>
      </c>
      <c r="G1040" s="37" t="str">
        <f t="shared" si="257"/>
        <v>xpressbees</v>
      </c>
      <c r="H1040" s="37" t="s">
        <v>147</v>
      </c>
      <c r="I1040" s="37" t="str">
        <f t="shared" si="258"/>
        <v>road</v>
      </c>
      <c r="J1040" s="37" t="s">
        <v>138</v>
      </c>
      <c r="K1040" s="37" t="str">
        <f t="shared" si="259"/>
        <v>apparel</v>
      </c>
      <c r="L1040" s="37" t="s">
        <v>401</v>
      </c>
      <c r="M1040" s="37" t="str">
        <f t="shared" si="260"/>
        <v>south</v>
      </c>
      <c r="N1040" s="37" t="s">
        <v>90</v>
      </c>
      <c r="O1040" s="41" t="str">
        <f t="shared" si="261"/>
        <v>Yes</v>
      </c>
      <c r="P1040" s="41" t="s">
        <v>1818</v>
      </c>
      <c r="Q1040" s="41">
        <v>232</v>
      </c>
      <c r="R1040" s="42">
        <f t="shared" si="262"/>
        <v>52.7272727272727</v>
      </c>
      <c r="S1040" s="37">
        <v>8</v>
      </c>
      <c r="T1040" s="37" t="s">
        <v>707</v>
      </c>
      <c r="U1040" s="43" t="str">
        <f t="shared" si="263"/>
        <v>10/06/2024</v>
      </c>
      <c r="V1040" s="43">
        <f t="shared" si="264"/>
        <v>45453</v>
      </c>
      <c r="W1040" s="44">
        <f t="array" ref="W1040">_xlfn.IFS(TRIM(C1040)="","",TRIM(V1040)="","",TRUE,V1040-C1040)</f>
        <v>8</v>
      </c>
      <c r="X1040" s="37">
        <f t="shared" si="265"/>
        <v>0</v>
      </c>
      <c r="Y1040" s="37" t="s">
        <v>219</v>
      </c>
      <c r="Z1040" s="37" t="str">
        <f t="shared" si="266"/>
        <v>delivered</v>
      </c>
      <c r="AA1040" s="37" t="str">
        <f t="shared" si="267"/>
        <v>On Time</v>
      </c>
      <c r="AB1040" s="37" t="str">
        <f t="shared" si="270"/>
        <v>0</v>
      </c>
      <c r="AC1040" s="37">
        <f t="shared" si="271"/>
        <v>0</v>
      </c>
      <c r="AD1040" s="45">
        <f t="shared" si="269"/>
        <v>0.525089605734767</v>
      </c>
      <c r="AE1040" s="37">
        <v>5</v>
      </c>
      <c r="AF1040" s="37" t="s">
        <v>152</v>
      </c>
      <c r="AG1040" s="37" t="str">
        <f t="shared" si="268"/>
        <v>no</v>
      </c>
      <c r="AH1040" s="37" t="str">
        <f t="array" ref="AH1040">_xlfn.IFS(LOWER(AG1040)="n","no",LOWER(AG1040)="y","yes",TRUE,LOWER(AG1040))</f>
        <v>no</v>
      </c>
      <c r="AI1040" s="37" t="s">
        <v>4692</v>
      </c>
    </row>
    <row r="1041" spans="1:35">
      <c r="A1041" s="46" t="s">
        <v>3486</v>
      </c>
      <c r="B1041" s="47">
        <v>45450</v>
      </c>
      <c r="C1041" s="39">
        <f t="shared" si="256"/>
        <v>45450</v>
      </c>
      <c r="D1041" s="48" t="s">
        <v>135</v>
      </c>
      <c r="E1041" s="37" t="str" cm="1">
        <f t="array" ref="E1041">_xlfn.IFS(D1041="delhi","north",D1041="mumbai","west",D1041="bengaluru","south",D1041="chennai","south",D1041="kolkata","east",TRUE,"west")</f>
        <v>west</v>
      </c>
      <c r="F1041" s="46" t="s">
        <v>333</v>
      </c>
      <c r="G1041" s="37" t="str">
        <f t="shared" si="257"/>
        <v>delhivery</v>
      </c>
      <c r="H1041" s="46" t="s">
        <v>147</v>
      </c>
      <c r="I1041" s="37" t="str">
        <f t="shared" si="258"/>
        <v>road</v>
      </c>
      <c r="J1041" s="46" t="s">
        <v>430</v>
      </c>
      <c r="K1041" s="37" t="str">
        <f t="shared" si="259"/>
        <v>pharma</v>
      </c>
      <c r="L1041" s="46" t="s">
        <v>380</v>
      </c>
      <c r="M1041" s="37" t="str">
        <f t="shared" si="260"/>
        <v>east</v>
      </c>
      <c r="N1041" s="46" t="s">
        <v>294</v>
      </c>
      <c r="O1041" s="41" t="str">
        <f t="shared" si="261"/>
        <v>Yes</v>
      </c>
      <c r="P1041" s="49">
        <v>3.3</v>
      </c>
      <c r="Q1041" s="49" t="s">
        <v>1418</v>
      </c>
      <c r="R1041" s="42">
        <f t="shared" si="262"/>
        <v>75.7575757575758</v>
      </c>
      <c r="S1041" s="46">
        <v>8</v>
      </c>
      <c r="T1041" s="46" t="s">
        <v>116</v>
      </c>
      <c r="U1041" s="43" t="str">
        <f t="shared" si="263"/>
        <v>2024-06-16</v>
      </c>
      <c r="V1041" s="43">
        <f t="shared" si="264"/>
        <v>45459</v>
      </c>
      <c r="W1041" s="44">
        <f t="array" ref="W1041">_xlfn.IFS(TRIM(C1041)="","",TRIM(V1041)="","",TRUE,V1041-C1041)</f>
        <v>9</v>
      </c>
      <c r="X1041" s="37">
        <f t="shared" si="265"/>
        <v>1</v>
      </c>
      <c r="Y1041" s="46" t="s">
        <v>72</v>
      </c>
      <c r="Z1041" s="37" t="str">
        <f t="shared" si="266"/>
        <v>delayed</v>
      </c>
      <c r="AA1041" s="37" t="str">
        <f t="shared" si="267"/>
        <v>Late</v>
      </c>
      <c r="AB1041" s="37" t="str">
        <f t="shared" si="270"/>
        <v>1</v>
      </c>
      <c r="AC1041" s="37">
        <f t="shared" si="271"/>
        <v>1</v>
      </c>
      <c r="AD1041" s="45">
        <f t="shared" si="269"/>
        <v>0.526032315978456</v>
      </c>
      <c r="AE1041" s="46">
        <v>2</v>
      </c>
      <c r="AF1041" s="46" t="s">
        <v>181</v>
      </c>
      <c r="AG1041" s="37" t="str">
        <f t="shared" si="268"/>
        <v>y</v>
      </c>
      <c r="AH1041" s="37" t="str">
        <f t="array" ref="AH1041">_xlfn.IFS(LOWER(AG1041)="n","no",LOWER(AG1041)="y","yes",TRUE,LOWER(AG1041))</f>
        <v>yes</v>
      </c>
      <c r="AI1041" s="46" t="s">
        <v>4692</v>
      </c>
    </row>
    <row r="1042" spans="1:35">
      <c r="A1042" s="37" t="s">
        <v>3487</v>
      </c>
      <c r="B1042" s="38">
        <v>45451</v>
      </c>
      <c r="C1042" s="39">
        <f t="shared" si="256"/>
        <v>45451</v>
      </c>
      <c r="D1042" s="40" t="s">
        <v>109</v>
      </c>
      <c r="E1042" s="37" t="str" cm="1">
        <f t="array" ref="E1042">_xlfn.IFS(D1042="delhi","north",D1042="mumbai","west",D1042="bengaluru","south",D1042="chennai","south",D1042="kolkata","east",TRUE,"west")</f>
        <v>west</v>
      </c>
      <c r="F1042" s="37" t="s">
        <v>98</v>
      </c>
      <c r="G1042" s="37" t="str">
        <f t="shared" si="257"/>
        <v>dtdc</v>
      </c>
      <c r="H1042" s="37" t="s">
        <v>185</v>
      </c>
      <c r="I1042" s="37" t="str">
        <f t="shared" si="258"/>
        <v>surface</v>
      </c>
      <c r="J1042" s="37" t="s">
        <v>167</v>
      </c>
      <c r="K1042" s="37" t="str">
        <f t="shared" si="259"/>
        <v>pharma</v>
      </c>
      <c r="L1042" s="37" t="s">
        <v>380</v>
      </c>
      <c r="M1042" s="37" t="str">
        <f t="shared" si="260"/>
        <v>east</v>
      </c>
      <c r="N1042" s="37" t="s">
        <v>396</v>
      </c>
      <c r="O1042" s="41" t="str">
        <f t="shared" si="261"/>
        <v>Yes</v>
      </c>
      <c r="P1042" s="41">
        <v>0.6</v>
      </c>
      <c r="Q1042" s="41" t="s">
        <v>3488</v>
      </c>
      <c r="R1042" s="42">
        <f t="shared" si="262"/>
        <v>225</v>
      </c>
      <c r="S1042" s="37">
        <v>6</v>
      </c>
      <c r="T1042" s="37" t="s">
        <v>2063</v>
      </c>
      <c r="U1042" s="43" t="str">
        <f t="shared" si="263"/>
        <v>2024-06-13</v>
      </c>
      <c r="V1042" s="43">
        <f t="shared" si="264"/>
        <v>45456</v>
      </c>
      <c r="W1042" s="44">
        <f t="array" ref="W1042">_xlfn.IFS(TRIM(C1042)="","",TRIM(V1042)="","",TRUE,V1042-C1042)</f>
        <v>5</v>
      </c>
      <c r="X1042" s="37">
        <f t="shared" si="265"/>
        <v>-1</v>
      </c>
      <c r="Y1042" s="37" t="s">
        <v>219</v>
      </c>
      <c r="Z1042" s="37" t="str">
        <f t="shared" si="266"/>
        <v>delivered</v>
      </c>
      <c r="AA1042" s="37" t="str">
        <f t="shared" si="267"/>
        <v>On Time</v>
      </c>
      <c r="AB1042" s="37" t="str">
        <f t="shared" si="270"/>
        <v>0</v>
      </c>
      <c r="AC1042" s="37">
        <f t="shared" si="271"/>
        <v>0</v>
      </c>
      <c r="AD1042" s="45">
        <f t="shared" si="269"/>
        <v>0.525179856115108</v>
      </c>
      <c r="AE1042" s="37">
        <v>4</v>
      </c>
      <c r="AF1042" s="37" t="s">
        <v>118</v>
      </c>
      <c r="AG1042" s="37" t="str">
        <f t="shared" si="268"/>
        <v>no</v>
      </c>
      <c r="AH1042" s="37" t="str">
        <f t="array" ref="AH1042">_xlfn.IFS(LOWER(AG1042)="n","no",LOWER(AG1042)="y","yes",TRUE,LOWER(AG1042))</f>
        <v>no</v>
      </c>
      <c r="AI1042" s="37" t="s">
        <v>4692</v>
      </c>
    </row>
    <row r="1043" spans="1:35">
      <c r="A1043" s="46" t="s">
        <v>3489</v>
      </c>
      <c r="B1043" s="47">
        <v>45394</v>
      </c>
      <c r="C1043" s="39">
        <f t="shared" si="256"/>
        <v>45394</v>
      </c>
      <c r="D1043" s="48" t="s">
        <v>340</v>
      </c>
      <c r="E1043" s="37" t="str" cm="1">
        <f t="array" ref="E1043">_xlfn.IFS(D1043="delhi","north",D1043="mumbai","west",D1043="bengaluru","south",D1043="chennai","south",D1043="kolkata","east",TRUE,"west")</f>
        <v>north</v>
      </c>
      <c r="F1043" s="46" t="s">
        <v>175</v>
      </c>
      <c r="G1043" s="37" t="str">
        <f t="shared" si="257"/>
        <v>ecomexpress</v>
      </c>
      <c r="H1043" s="46" t="s">
        <v>123</v>
      </c>
      <c r="I1043" s="37" t="str">
        <f t="shared" si="258"/>
        <v>air</v>
      </c>
      <c r="J1043" s="46" t="s">
        <v>664</v>
      </c>
      <c r="K1043" s="37" t="str">
        <f t="shared" si="259"/>
        <v>grocery&amp;fmcg</v>
      </c>
      <c r="L1043" s="46" t="s">
        <v>139</v>
      </c>
      <c r="M1043" s="37" t="str">
        <f t="shared" si="260"/>
        <v>north</v>
      </c>
      <c r="N1043" s="46" t="s">
        <v>215</v>
      </c>
      <c r="O1043" s="41" t="str">
        <f t="shared" si="261"/>
        <v>Yes</v>
      </c>
      <c r="P1043" s="49" t="s">
        <v>3490</v>
      </c>
      <c r="Q1043" s="49">
        <v>432</v>
      </c>
      <c r="R1043" s="42">
        <f t="shared" si="262"/>
        <v>42.7722772277228</v>
      </c>
      <c r="S1043" s="46">
        <v>2</v>
      </c>
      <c r="T1043" s="46" t="s">
        <v>2611</v>
      </c>
      <c r="U1043" s="43" t="str">
        <f t="shared" si="263"/>
        <v>2024-04-15</v>
      </c>
      <c r="V1043" s="43">
        <f t="shared" si="264"/>
        <v>45397</v>
      </c>
      <c r="W1043" s="44">
        <f t="array" ref="W1043">_xlfn.IFS(TRIM(C1043)="","",TRIM(V1043)="","",TRUE,V1043-C1043)</f>
        <v>3</v>
      </c>
      <c r="X1043" s="37">
        <f t="shared" si="265"/>
        <v>1</v>
      </c>
      <c r="Y1043" s="46" t="s">
        <v>200</v>
      </c>
      <c r="Z1043" s="37" t="str">
        <f t="shared" si="266"/>
        <v>delayed</v>
      </c>
      <c r="AA1043" s="37" t="str">
        <f t="shared" si="267"/>
        <v>Late</v>
      </c>
      <c r="AB1043" s="37" t="str">
        <f t="shared" si="270"/>
        <v>1</v>
      </c>
      <c r="AC1043" s="37">
        <f t="shared" si="271"/>
        <v>1</v>
      </c>
      <c r="AD1043" s="45">
        <f t="shared" si="269"/>
        <v>0.526126126126126</v>
      </c>
      <c r="AE1043" s="46">
        <v>4</v>
      </c>
      <c r="AF1043" s="46" t="s">
        <v>118</v>
      </c>
      <c r="AG1043" s="37" t="str">
        <f t="shared" si="268"/>
        <v>no</v>
      </c>
      <c r="AH1043" s="37" t="str">
        <f t="array" ref="AH1043">_xlfn.IFS(LOWER(AG1043)="n","no",LOWER(AG1043)="y","yes",TRUE,LOWER(AG1043))</f>
        <v>no</v>
      </c>
      <c r="AI1043" s="46" t="s">
        <v>4692</v>
      </c>
    </row>
    <row r="1044" spans="1:35">
      <c r="A1044" s="37" t="s">
        <v>3492</v>
      </c>
      <c r="B1044" s="38" t="s">
        <v>4782</v>
      </c>
      <c r="C1044" s="39">
        <f t="shared" si="256"/>
        <v>45438</v>
      </c>
      <c r="D1044" s="40" t="s">
        <v>366</v>
      </c>
      <c r="E1044" s="37" t="str" cm="1">
        <f t="array" ref="E1044">_xlfn.IFS(D1044="delhi","north",D1044="mumbai","west",D1044="bengaluru","south",D1044="chennai","south",D1044="kolkata","east",TRUE,"west")</f>
        <v>east</v>
      </c>
      <c r="F1044" s="37" t="s">
        <v>544</v>
      </c>
      <c r="G1044" s="37" t="str">
        <f t="shared" si="257"/>
        <v>bluedart</v>
      </c>
      <c r="H1044" s="37" t="s">
        <v>123</v>
      </c>
      <c r="I1044" s="37" t="str">
        <f t="shared" si="258"/>
        <v>air</v>
      </c>
      <c r="J1044" s="37" t="s">
        <v>158</v>
      </c>
      <c r="K1044" s="37" t="str">
        <f t="shared" si="259"/>
        <v>pharma</v>
      </c>
      <c r="L1044" s="37" t="s">
        <v>470</v>
      </c>
      <c r="M1044" s="37" t="str">
        <f t="shared" si="260"/>
        <v>east</v>
      </c>
      <c r="N1044" s="37" t="s">
        <v>396</v>
      </c>
      <c r="O1044" s="41" t="str">
        <f t="shared" si="261"/>
        <v>Yes</v>
      </c>
      <c r="P1044" s="41">
        <v>0.9</v>
      </c>
      <c r="Q1044" s="41" t="s">
        <v>432</v>
      </c>
      <c r="R1044" s="42">
        <f t="shared" si="262"/>
        <v>88.8888888888889</v>
      </c>
      <c r="S1044" s="37">
        <v>2</v>
      </c>
      <c r="T1044" s="37" t="s">
        <v>1361</v>
      </c>
      <c r="U1044" s="43" t="str">
        <f t="shared" si="263"/>
        <v>27/05/2024</v>
      </c>
      <c r="V1044" s="43">
        <f t="shared" si="264"/>
        <v>45439</v>
      </c>
      <c r="W1044" s="44">
        <f t="array" ref="W1044">_xlfn.IFS(TRIM(C1044)="","",TRIM(V1044)="","",TRUE,V1044-C1044)</f>
        <v>1</v>
      </c>
      <c r="X1044" s="37">
        <f t="shared" si="265"/>
        <v>-1</v>
      </c>
      <c r="Y1044" s="37" t="s">
        <v>163</v>
      </c>
      <c r="Z1044" s="37" t="str">
        <f t="shared" si="266"/>
        <v>delivered</v>
      </c>
      <c r="AA1044" s="37" t="str">
        <f t="shared" si="267"/>
        <v>On Time</v>
      </c>
      <c r="AB1044" s="37" t="str">
        <f t="shared" si="270"/>
        <v>0</v>
      </c>
      <c r="AC1044" s="37">
        <f t="shared" si="271"/>
        <v>0</v>
      </c>
      <c r="AD1044" s="45">
        <f t="shared" si="269"/>
        <v>0.525270758122744</v>
      </c>
      <c r="AE1044" s="37">
        <v>5</v>
      </c>
      <c r="AF1044" s="37" t="s">
        <v>181</v>
      </c>
      <c r="AG1044" s="37" t="str">
        <f t="shared" si="268"/>
        <v>y</v>
      </c>
      <c r="AH1044" s="37" t="str">
        <f t="array" ref="AH1044">_xlfn.IFS(LOWER(AG1044)="n","no",LOWER(AG1044)="y","yes",TRUE,LOWER(AG1044))</f>
        <v>yes</v>
      </c>
      <c r="AI1044" s="37" t="s">
        <v>4692</v>
      </c>
    </row>
    <row r="1045" spans="1:35">
      <c r="A1045" s="46" t="s">
        <v>3493</v>
      </c>
      <c r="B1045" s="47">
        <v>45317</v>
      </c>
      <c r="C1045" s="39">
        <f t="shared" si="256"/>
        <v>45317</v>
      </c>
      <c r="D1045" s="48" t="s">
        <v>366</v>
      </c>
      <c r="E1045" s="37" t="str" cm="1">
        <f t="array" ref="E1045">_xlfn.IFS(D1045="delhi","north",D1045="mumbai","west",D1045="bengaluru","south",D1045="chennai","south",D1045="kolkata","east",TRUE,"west")</f>
        <v>east</v>
      </c>
      <c r="F1045" s="46" t="s">
        <v>223</v>
      </c>
      <c r="G1045" s="37" t="str">
        <f t="shared" si="257"/>
        <v>xpressbees</v>
      </c>
      <c r="H1045" s="46" t="s">
        <v>110</v>
      </c>
      <c r="I1045" s="37" t="str">
        <f t="shared" si="258"/>
        <v>surface</v>
      </c>
      <c r="J1045" s="46" t="s">
        <v>582</v>
      </c>
      <c r="K1045" s="37" t="str">
        <f t="shared" si="259"/>
        <v>grocery&amp;fmcg</v>
      </c>
      <c r="L1045" s="46" t="s">
        <v>401</v>
      </c>
      <c r="M1045" s="37" t="str">
        <f t="shared" si="260"/>
        <v>south</v>
      </c>
      <c r="N1045" s="46" t="s">
        <v>327</v>
      </c>
      <c r="O1045" s="41" t="str">
        <f t="shared" si="261"/>
        <v>Yes</v>
      </c>
      <c r="P1045" s="49">
        <v>11.7</v>
      </c>
      <c r="Q1045" s="49" t="s">
        <v>370</v>
      </c>
      <c r="R1045" s="42">
        <f t="shared" si="262"/>
        <v>37.5213675213675</v>
      </c>
      <c r="S1045" s="46">
        <v>6</v>
      </c>
      <c r="T1045" s="46" t="s">
        <v>1559</v>
      </c>
      <c r="U1045" s="43" t="str">
        <f t="shared" si="263"/>
        <v>31/01/2024</v>
      </c>
      <c r="V1045" s="43">
        <f t="shared" si="264"/>
        <v>45322</v>
      </c>
      <c r="W1045" s="44">
        <f t="array" ref="W1045">_xlfn.IFS(TRIM(C1045)="","",TRIM(V1045)="","",TRUE,V1045-C1045)</f>
        <v>5</v>
      </c>
      <c r="X1045" s="37">
        <f t="shared" si="265"/>
        <v>-1</v>
      </c>
      <c r="Y1045" s="46" t="s">
        <v>163</v>
      </c>
      <c r="Z1045" s="37" t="str">
        <f t="shared" si="266"/>
        <v>delivered</v>
      </c>
      <c r="AA1045" s="37" t="str">
        <f t="shared" si="267"/>
        <v>On Time</v>
      </c>
      <c r="AB1045" s="37" t="str">
        <f t="shared" si="270"/>
        <v>0</v>
      </c>
      <c r="AC1045" s="37">
        <f t="shared" si="271"/>
        <v>0</v>
      </c>
      <c r="AD1045" s="45">
        <f t="shared" si="269"/>
        <v>0.52622061482821</v>
      </c>
      <c r="AE1045" s="46">
        <v>3</v>
      </c>
      <c r="AF1045" s="46" t="s">
        <v>191</v>
      </c>
      <c r="AG1045" s="37" t="str">
        <f t="shared" si="268"/>
        <v>no</v>
      </c>
      <c r="AH1045" s="37" t="str">
        <f t="array" ref="AH1045">_xlfn.IFS(LOWER(AG1045)="n","no",LOWER(AG1045)="y","yes",TRUE,LOWER(AG1045))</f>
        <v>no</v>
      </c>
      <c r="AI1045" s="46" t="s">
        <v>4692</v>
      </c>
    </row>
    <row r="1046" spans="1:35">
      <c r="A1046" s="37" t="s">
        <v>3495</v>
      </c>
      <c r="B1046" s="38">
        <v>45331</v>
      </c>
      <c r="C1046" s="39">
        <f t="shared" si="256"/>
        <v>45331</v>
      </c>
      <c r="D1046" s="40" t="s">
        <v>340</v>
      </c>
      <c r="E1046" s="37" t="str" cm="1">
        <f t="array" ref="E1046">_xlfn.IFS(D1046="delhi","north",D1046="mumbai","west",D1046="bengaluru","south",D1046="chennai","south",D1046="kolkata","east",TRUE,"west")</f>
        <v>north</v>
      </c>
      <c r="F1046" s="37" t="s">
        <v>544</v>
      </c>
      <c r="G1046" s="37" t="str">
        <f t="shared" si="257"/>
        <v>bluedart</v>
      </c>
      <c r="H1046" s="37" t="s">
        <v>345</v>
      </c>
      <c r="I1046" s="37" t="str">
        <f t="shared" si="258"/>
        <v>surface</v>
      </c>
      <c r="J1046" s="37" t="s">
        <v>430</v>
      </c>
      <c r="K1046" s="37" t="str">
        <f t="shared" si="259"/>
        <v>pharma</v>
      </c>
      <c r="L1046" s="37" t="s">
        <v>418</v>
      </c>
      <c r="M1046" s="37" t="str">
        <f t="shared" si="260"/>
        <v>south</v>
      </c>
      <c r="N1046" s="37" t="s">
        <v>90</v>
      </c>
      <c r="O1046" s="41" t="str">
        <f t="shared" si="261"/>
        <v>Yes</v>
      </c>
      <c r="P1046" s="41">
        <v>2.8</v>
      </c>
      <c r="Q1046" s="41" t="s">
        <v>3496</v>
      </c>
      <c r="R1046" s="42">
        <f t="shared" si="262"/>
        <v>76.4285714285714</v>
      </c>
      <c r="S1046" s="37">
        <v>6</v>
      </c>
      <c r="T1046" s="37" t="s">
        <v>2817</v>
      </c>
      <c r="U1046" s="43" t="str">
        <f t="shared" si="263"/>
        <v>2024-02-15</v>
      </c>
      <c r="V1046" s="43">
        <f t="shared" si="264"/>
        <v>45337</v>
      </c>
      <c r="W1046" s="44">
        <f t="array" ref="W1046">_xlfn.IFS(TRIM(C1046)="","",TRIM(V1046)="","",TRUE,V1046-C1046)</f>
        <v>6</v>
      </c>
      <c r="X1046" s="37">
        <f t="shared" si="265"/>
        <v>0</v>
      </c>
      <c r="Y1046" s="37" t="s">
        <v>117</v>
      </c>
      <c r="Z1046" s="37" t="str">
        <f t="shared" si="266"/>
        <v>delivered</v>
      </c>
      <c r="AA1046" s="37" t="str">
        <f t="shared" si="267"/>
        <v>On Time</v>
      </c>
      <c r="AB1046" s="37" t="str">
        <f t="shared" si="270"/>
        <v>0</v>
      </c>
      <c r="AC1046" s="37">
        <f t="shared" si="271"/>
        <v>0</v>
      </c>
      <c r="AD1046" s="45">
        <f t="shared" si="269"/>
        <v>0.527173913043478</v>
      </c>
      <c r="AE1046" s="37">
        <v>4</v>
      </c>
      <c r="AF1046" s="37" t="s">
        <v>191</v>
      </c>
      <c r="AG1046" s="37" t="str">
        <f t="shared" si="268"/>
        <v>no</v>
      </c>
      <c r="AH1046" s="37" t="str">
        <f t="array" ref="AH1046">_xlfn.IFS(LOWER(AG1046)="n","no",LOWER(AG1046)="y","yes",TRUE,LOWER(AG1046))</f>
        <v>no</v>
      </c>
      <c r="AI1046" s="37" t="s">
        <v>4692</v>
      </c>
    </row>
    <row r="1047" spans="1:35">
      <c r="A1047" s="46" t="s">
        <v>3497</v>
      </c>
      <c r="B1047" s="47">
        <v>45452</v>
      </c>
      <c r="C1047" s="39">
        <f t="shared" si="256"/>
        <v>45452</v>
      </c>
      <c r="D1047" s="48" t="s">
        <v>300</v>
      </c>
      <c r="E1047" s="37" t="str" cm="1">
        <f t="array" ref="E1047">_xlfn.IFS(D1047="delhi","north",D1047="mumbai","west",D1047="bengaluru","south",D1047="chennai","south",D1047="kolkata","east",TRUE,"west")</f>
        <v>west</v>
      </c>
      <c r="F1047" s="46" t="s">
        <v>367</v>
      </c>
      <c r="G1047" s="37" t="str">
        <f t="shared" si="257"/>
        <v>dtdc</v>
      </c>
      <c r="H1047" s="46" t="s">
        <v>185</v>
      </c>
      <c r="I1047" s="37" t="str">
        <f t="shared" si="258"/>
        <v>surface</v>
      </c>
      <c r="J1047" s="46" t="s">
        <v>100</v>
      </c>
      <c r="K1047" s="37" t="str">
        <f t="shared" si="259"/>
        <v>electronics</v>
      </c>
      <c r="L1047" s="46" t="s">
        <v>159</v>
      </c>
      <c r="M1047" s="37" t="str">
        <f t="shared" si="260"/>
        <v>south</v>
      </c>
      <c r="N1047" s="46" t="s">
        <v>54</v>
      </c>
      <c r="O1047" s="41" t="str">
        <f t="shared" si="261"/>
        <v>Yes</v>
      </c>
      <c r="P1047" s="49">
        <v>1</v>
      </c>
      <c r="Q1047" s="49">
        <v>80</v>
      </c>
      <c r="R1047" s="42">
        <f t="shared" si="262"/>
        <v>80</v>
      </c>
      <c r="S1047" s="46">
        <v>4</v>
      </c>
      <c r="T1047" s="46" t="s">
        <v>1147</v>
      </c>
      <c r="U1047" s="43" t="str">
        <f t="shared" si="263"/>
        <v>12/06/2024</v>
      </c>
      <c r="V1047" s="43">
        <f t="shared" si="264"/>
        <v>45455</v>
      </c>
      <c r="W1047" s="44">
        <f t="array" ref="W1047">_xlfn.IFS(TRIM(C1047)="","",TRIM(V1047)="","",TRUE,V1047-C1047)</f>
        <v>3</v>
      </c>
      <c r="X1047" s="37">
        <f t="shared" si="265"/>
        <v>-1</v>
      </c>
      <c r="Y1047" s="46" t="s">
        <v>117</v>
      </c>
      <c r="Z1047" s="37" t="str">
        <f t="shared" si="266"/>
        <v>delivered</v>
      </c>
      <c r="AA1047" s="37" t="str">
        <f t="shared" si="267"/>
        <v>On Time</v>
      </c>
      <c r="AB1047" s="37" t="str">
        <f t="shared" si="270"/>
        <v>0</v>
      </c>
      <c r="AC1047" s="37">
        <f t="shared" si="271"/>
        <v>0</v>
      </c>
      <c r="AD1047" s="45">
        <f t="shared" si="269"/>
        <v>0.528130671506352</v>
      </c>
      <c r="AE1047" s="46">
        <v>5</v>
      </c>
      <c r="AF1047" s="46" t="s">
        <v>181</v>
      </c>
      <c r="AG1047" s="37" t="str">
        <f t="shared" si="268"/>
        <v>y</v>
      </c>
      <c r="AH1047" s="37" t="str">
        <f t="array" ref="AH1047">_xlfn.IFS(LOWER(AG1047)="n","no",LOWER(AG1047)="y","yes",TRUE,LOWER(AG1047))</f>
        <v>yes</v>
      </c>
      <c r="AI1047" s="46" t="s">
        <v>4692</v>
      </c>
    </row>
    <row r="1048" spans="1:35">
      <c r="A1048" s="37" t="s">
        <v>3498</v>
      </c>
      <c r="B1048" s="38" t="s">
        <v>4752</v>
      </c>
      <c r="C1048" s="39">
        <f t="shared" si="256"/>
        <v>45360</v>
      </c>
      <c r="D1048" s="40" t="s">
        <v>340</v>
      </c>
      <c r="E1048" s="37" t="str" cm="1">
        <f t="array" ref="E1048">_xlfn.IFS(D1048="delhi","north",D1048="mumbai","west",D1048="bengaluru","south",D1048="chennai","south",D1048="kolkata","east",TRUE,"west")</f>
        <v>north</v>
      </c>
      <c r="F1048" s="37" t="s">
        <v>175</v>
      </c>
      <c r="G1048" s="37" t="str">
        <f t="shared" si="257"/>
        <v>ecomexpress</v>
      </c>
      <c r="H1048" s="37" t="s">
        <v>42</v>
      </c>
      <c r="I1048" s="37" t="str">
        <f t="shared" si="258"/>
        <v>surface</v>
      </c>
      <c r="J1048" s="37" t="s">
        <v>498</v>
      </c>
      <c r="K1048" s="37" t="str">
        <f t="shared" si="259"/>
        <v>apparel</v>
      </c>
      <c r="L1048" s="37" t="s">
        <v>470</v>
      </c>
      <c r="M1048" s="37" t="str">
        <f t="shared" si="260"/>
        <v>east</v>
      </c>
      <c r="N1048" s="37" t="s">
        <v>294</v>
      </c>
      <c r="O1048" s="41" t="str">
        <f t="shared" si="261"/>
        <v>Yes</v>
      </c>
      <c r="P1048" s="41" t="s">
        <v>2534</v>
      </c>
      <c r="Q1048" s="41" t="s">
        <v>3207</v>
      </c>
      <c r="R1048" s="42">
        <f t="shared" si="262"/>
        <v>55.4838709677419</v>
      </c>
      <c r="S1048" s="37">
        <v>6</v>
      </c>
      <c r="T1048" s="37" t="s">
        <v>1380</v>
      </c>
      <c r="U1048" s="43" t="str">
        <f t="shared" si="263"/>
        <v>16/03/2024</v>
      </c>
      <c r="V1048" s="43">
        <f t="shared" si="264"/>
        <v>45367</v>
      </c>
      <c r="W1048" s="44">
        <f t="array" ref="W1048">_xlfn.IFS(TRIM(C1048)="","",TRIM(V1048)="","",TRUE,V1048-C1048)</f>
        <v>7</v>
      </c>
      <c r="X1048" s="37">
        <f t="shared" si="265"/>
        <v>1</v>
      </c>
      <c r="Y1048" s="37" t="s">
        <v>72</v>
      </c>
      <c r="Z1048" s="37" t="str">
        <f t="shared" si="266"/>
        <v>delayed</v>
      </c>
      <c r="AA1048" s="37" t="str">
        <f t="shared" si="267"/>
        <v>Late</v>
      </c>
      <c r="AB1048" s="37" t="str">
        <f t="shared" si="270"/>
        <v>1</v>
      </c>
      <c r="AC1048" s="37">
        <f t="shared" si="271"/>
        <v>1</v>
      </c>
      <c r="AD1048" s="45">
        <f t="shared" si="269"/>
        <v>0.529090909090909</v>
      </c>
      <c r="AE1048" s="37">
        <v>3</v>
      </c>
      <c r="AF1048" s="37" t="s">
        <v>106</v>
      </c>
      <c r="AG1048" s="37" t="str">
        <f t="shared" si="268"/>
        <v>yes</v>
      </c>
      <c r="AH1048" s="37" t="str">
        <f t="array" ref="AH1048">_xlfn.IFS(LOWER(AG1048)="n","no",LOWER(AG1048)="y","yes",TRUE,LOWER(AG1048))</f>
        <v>yes</v>
      </c>
      <c r="AI1048" s="37" t="s">
        <v>4692</v>
      </c>
    </row>
    <row r="1049" spans="1:35">
      <c r="A1049" s="46" t="s">
        <v>3499</v>
      </c>
      <c r="B1049" s="47">
        <v>45353</v>
      </c>
      <c r="C1049" s="39">
        <f t="shared" si="256"/>
        <v>45353</v>
      </c>
      <c r="D1049" s="48" t="s">
        <v>4694</v>
      </c>
      <c r="E1049" s="37" t="str" cm="1">
        <f t="array" ref="E1049">_xlfn.IFS(D1049="delhi","north",D1049="mumbai","west",D1049="bengaluru","south",D1049="chennai","south",D1049="kolkata","east",TRUE,"west")</f>
        <v>west</v>
      </c>
      <c r="F1049" s="46" t="s">
        <v>136</v>
      </c>
      <c r="G1049" s="37" t="str">
        <f t="shared" si="257"/>
        <v>bluedart</v>
      </c>
      <c r="H1049" s="46" t="s">
        <v>123</v>
      </c>
      <c r="I1049" s="37" t="str">
        <f t="shared" si="258"/>
        <v>air</v>
      </c>
      <c r="J1049" s="46" t="s">
        <v>981</v>
      </c>
      <c r="K1049" s="37" t="str">
        <f t="shared" si="259"/>
        <v>automotiveparts</v>
      </c>
      <c r="L1049" s="46" t="s">
        <v>264</v>
      </c>
      <c r="M1049" s="37" t="str">
        <f t="shared" si="260"/>
        <v>west</v>
      </c>
      <c r="N1049" s="46" t="s">
        <v>88</v>
      </c>
      <c r="O1049" s="41" t="str">
        <f t="shared" si="261"/>
        <v>Yes</v>
      </c>
      <c r="P1049" s="49">
        <v>7.9</v>
      </c>
      <c r="Q1049" s="49">
        <v>550</v>
      </c>
      <c r="R1049" s="42">
        <f t="shared" si="262"/>
        <v>69.620253164557</v>
      </c>
      <c r="S1049" s="46">
        <v>4</v>
      </c>
      <c r="T1049" s="46" t="s">
        <v>1001</v>
      </c>
      <c r="U1049" s="43" t="str">
        <f t="shared" si="263"/>
        <v>06/03/2024</v>
      </c>
      <c r="V1049" s="43">
        <f t="shared" si="264"/>
        <v>45357</v>
      </c>
      <c r="W1049" s="44">
        <f t="array" ref="W1049">_xlfn.IFS(TRIM(C1049)="","",TRIM(V1049)="","",TRUE,V1049-C1049)</f>
        <v>4</v>
      </c>
      <c r="X1049" s="37">
        <f t="shared" si="265"/>
        <v>0</v>
      </c>
      <c r="Y1049" s="46" t="s">
        <v>105</v>
      </c>
      <c r="Z1049" s="37" t="str">
        <f t="shared" si="266"/>
        <v>delivered</v>
      </c>
      <c r="AA1049" s="37" t="str">
        <f t="shared" si="267"/>
        <v>On Time</v>
      </c>
      <c r="AB1049" s="37" t="str">
        <f t="shared" si="270"/>
        <v>0</v>
      </c>
      <c r="AC1049" s="37">
        <f t="shared" si="271"/>
        <v>0</v>
      </c>
      <c r="AD1049" s="45">
        <f t="shared" si="269"/>
        <v>0.528233151183971</v>
      </c>
      <c r="AE1049" s="46">
        <v>4</v>
      </c>
      <c r="AF1049" s="46" t="s">
        <v>181</v>
      </c>
      <c r="AG1049" s="37" t="str">
        <f t="shared" si="268"/>
        <v>y</v>
      </c>
      <c r="AH1049" s="37" t="str">
        <f t="array" ref="AH1049">_xlfn.IFS(LOWER(AG1049)="n","no",LOWER(AG1049)="y","yes",TRUE,LOWER(AG1049))</f>
        <v>yes</v>
      </c>
      <c r="AI1049" s="46" t="s">
        <v>4692</v>
      </c>
    </row>
    <row r="1050" spans="1:35">
      <c r="A1050" s="37" t="s">
        <v>3501</v>
      </c>
      <c r="B1050" s="38">
        <v>45470</v>
      </c>
      <c r="C1050" s="39">
        <f t="shared" si="256"/>
        <v>45470</v>
      </c>
      <c r="D1050" s="40" t="s">
        <v>212</v>
      </c>
      <c r="E1050" s="37" t="str" cm="1">
        <f t="array" ref="E1050">_xlfn.IFS(D1050="delhi","north",D1050="mumbai","west",D1050="bengaluru","south",D1050="chennai","south",D1050="kolkata","east",TRUE,"west")</f>
        <v>west</v>
      </c>
      <c r="F1050" s="37" t="s">
        <v>122</v>
      </c>
      <c r="G1050" s="37" t="str">
        <f t="shared" si="257"/>
        <v>delhivery</v>
      </c>
      <c r="H1050" s="37" t="s">
        <v>325</v>
      </c>
      <c r="I1050" s="37" t="str">
        <f t="shared" si="258"/>
        <v>air</v>
      </c>
      <c r="J1050" s="37" t="s">
        <v>167</v>
      </c>
      <c r="K1050" s="37" t="str">
        <f t="shared" si="259"/>
        <v>pharma</v>
      </c>
      <c r="L1050" s="37" t="s">
        <v>89</v>
      </c>
      <c r="M1050" s="37" t="str">
        <f t="shared" si="260"/>
        <v>west</v>
      </c>
      <c r="N1050" s="37" t="s">
        <v>206</v>
      </c>
      <c r="O1050" s="41" t="str">
        <f t="shared" si="261"/>
        <v>Yes</v>
      </c>
      <c r="P1050" s="41">
        <v>0.9</v>
      </c>
      <c r="Q1050" s="41">
        <v>80</v>
      </c>
      <c r="R1050" s="42">
        <f t="shared" si="262"/>
        <v>88.8888888888889</v>
      </c>
      <c r="S1050" s="37">
        <v>2</v>
      </c>
      <c r="T1050" s="37" t="s">
        <v>1096</v>
      </c>
      <c r="U1050" s="43" t="str">
        <f t="shared" si="263"/>
        <v>30-jun-2024</v>
      </c>
      <c r="V1050" s="43">
        <f t="shared" si="264"/>
        <v>45473</v>
      </c>
      <c r="W1050" s="44">
        <f t="array" ref="W1050">_xlfn.IFS(TRIM(C1050)="","",TRIM(V1050)="","",TRUE,V1050-C1050)</f>
        <v>3</v>
      </c>
      <c r="X1050" s="37">
        <f t="shared" si="265"/>
        <v>1</v>
      </c>
      <c r="Y1050" s="37" t="s">
        <v>200</v>
      </c>
      <c r="Z1050" s="37" t="str">
        <f t="shared" si="266"/>
        <v>delayed</v>
      </c>
      <c r="AA1050" s="37" t="str">
        <f t="shared" si="267"/>
        <v>Late</v>
      </c>
      <c r="AB1050" s="37" t="str">
        <f t="shared" si="270"/>
        <v>1</v>
      </c>
      <c r="AC1050" s="37">
        <f t="shared" si="271"/>
        <v>1</v>
      </c>
      <c r="AD1050" s="45">
        <f t="shared" si="269"/>
        <v>0.529197080291971</v>
      </c>
      <c r="AE1050" s="37">
        <v>3</v>
      </c>
      <c r="AF1050" s="37" t="s">
        <v>181</v>
      </c>
      <c r="AG1050" s="37" t="str">
        <f t="shared" si="268"/>
        <v>y</v>
      </c>
      <c r="AH1050" s="37" t="str">
        <f t="array" ref="AH1050">_xlfn.IFS(LOWER(AG1050)="n","no",LOWER(AG1050)="y","yes",TRUE,LOWER(AG1050))</f>
        <v>yes</v>
      </c>
      <c r="AI1050" s="37" t="s">
        <v>4692</v>
      </c>
    </row>
    <row r="1051" spans="1:35">
      <c r="A1051" s="46" t="s">
        <v>3502</v>
      </c>
      <c r="B1051" s="47">
        <v>45432</v>
      </c>
      <c r="C1051" s="39">
        <f t="shared" si="256"/>
        <v>45432</v>
      </c>
      <c r="D1051" s="48" t="s">
        <v>633</v>
      </c>
      <c r="E1051" s="37" t="str" cm="1">
        <f t="array" ref="E1051">_xlfn.IFS(D1051="delhi","north",D1051="mumbai","west",D1051="bengaluru","south",D1051="chennai","south",D1051="kolkata","east",TRUE,"west")</f>
        <v>south</v>
      </c>
      <c r="F1051" s="46" t="s">
        <v>223</v>
      </c>
      <c r="G1051" s="37" t="str">
        <f t="shared" si="257"/>
        <v>xpressbees</v>
      </c>
      <c r="H1051" s="46" t="s">
        <v>440</v>
      </c>
      <c r="I1051" s="37" t="str">
        <f t="shared" si="258"/>
        <v>road</v>
      </c>
      <c r="J1051" s="46" t="s">
        <v>368</v>
      </c>
      <c r="K1051" s="37" t="str">
        <f t="shared" si="259"/>
        <v>furniture</v>
      </c>
      <c r="L1051" s="46" t="s">
        <v>264</v>
      </c>
      <c r="M1051" s="37" t="str">
        <f t="shared" si="260"/>
        <v>west</v>
      </c>
      <c r="N1051" s="46" t="s">
        <v>206</v>
      </c>
      <c r="O1051" s="41" t="str">
        <f t="shared" si="261"/>
        <v>Yes</v>
      </c>
      <c r="P1051" s="49">
        <v>63.8</v>
      </c>
      <c r="Q1051" s="49" t="s">
        <v>3504</v>
      </c>
      <c r="R1051" s="42">
        <f t="shared" si="262"/>
        <v>16.4576802507837</v>
      </c>
      <c r="S1051" s="46">
        <v>8</v>
      </c>
      <c r="T1051" s="46" t="s">
        <v>1233</v>
      </c>
      <c r="U1051" s="43" t="str">
        <f t="shared" si="263"/>
        <v>27-may-2024</v>
      </c>
      <c r="V1051" s="43">
        <f t="shared" si="264"/>
        <v>45439</v>
      </c>
      <c r="W1051" s="44">
        <f t="array" ref="W1051">_xlfn.IFS(TRIM(C1051)="","",TRIM(V1051)="","",TRUE,V1051-C1051)</f>
        <v>7</v>
      </c>
      <c r="X1051" s="37">
        <f t="shared" si="265"/>
        <v>-1</v>
      </c>
      <c r="Y1051" s="46" t="s">
        <v>117</v>
      </c>
      <c r="Z1051" s="37" t="str">
        <f t="shared" si="266"/>
        <v>delivered</v>
      </c>
      <c r="AA1051" s="37" t="str">
        <f t="shared" si="267"/>
        <v>On Time</v>
      </c>
      <c r="AB1051" s="37" t="str">
        <f t="shared" si="270"/>
        <v>0</v>
      </c>
      <c r="AC1051" s="37">
        <f t="shared" si="271"/>
        <v>0</v>
      </c>
      <c r="AD1051" s="45">
        <f t="shared" si="269"/>
        <v>0.528336380255942</v>
      </c>
      <c r="AE1051" s="46">
        <v>5</v>
      </c>
      <c r="AF1051" s="46" t="s">
        <v>118</v>
      </c>
      <c r="AG1051" s="37" t="str">
        <f t="shared" si="268"/>
        <v>no</v>
      </c>
      <c r="AH1051" s="37" t="str">
        <f t="array" ref="AH1051">_xlfn.IFS(LOWER(AG1051)="n","no",LOWER(AG1051)="y","yes",TRUE,LOWER(AG1051))</f>
        <v>no</v>
      </c>
      <c r="AI1051" s="46" t="s">
        <v>4692</v>
      </c>
    </row>
    <row r="1052" spans="1:35">
      <c r="A1052" s="37" t="s">
        <v>3505</v>
      </c>
      <c r="B1052" s="38" t="s">
        <v>4719</v>
      </c>
      <c r="C1052" s="39">
        <f t="shared" si="256"/>
        <v>45430</v>
      </c>
      <c r="D1052" s="40" t="s">
        <v>109</v>
      </c>
      <c r="E1052" s="37" t="str" cm="1">
        <f t="array" ref="E1052">_xlfn.IFS(D1052="delhi","north",D1052="mumbai","west",D1052="bengaluru","south",D1052="chennai","south",D1052="kolkata","east",TRUE,"west")</f>
        <v>west</v>
      </c>
      <c r="F1052" s="37" t="s">
        <v>367</v>
      </c>
      <c r="G1052" s="37" t="str">
        <f t="shared" si="257"/>
        <v>dtdc</v>
      </c>
      <c r="H1052" s="37" t="s">
        <v>440</v>
      </c>
      <c r="I1052" s="37" t="str">
        <f t="shared" si="258"/>
        <v>road</v>
      </c>
      <c r="J1052" s="37" t="s">
        <v>533</v>
      </c>
      <c r="K1052" s="37" t="str">
        <f t="shared" si="259"/>
        <v>pharma</v>
      </c>
      <c r="L1052" s="37" t="s">
        <v>92</v>
      </c>
      <c r="M1052" s="37" t="str">
        <f t="shared" si="260"/>
        <v>east</v>
      </c>
      <c r="N1052" s="37" t="s">
        <v>396</v>
      </c>
      <c r="O1052" s="41" t="str">
        <f t="shared" si="261"/>
        <v>Yes</v>
      </c>
      <c r="P1052" s="41">
        <v>4.6</v>
      </c>
      <c r="Q1052" s="41">
        <v>216</v>
      </c>
      <c r="R1052" s="42">
        <f t="shared" si="262"/>
        <v>46.9565217391304</v>
      </c>
      <c r="S1052" s="37">
        <v>8</v>
      </c>
      <c r="T1052" s="37" t="s">
        <v>1105</v>
      </c>
      <c r="U1052" s="43" t="str">
        <f t="shared" si="263"/>
        <v>25-may-2024</v>
      </c>
      <c r="V1052" s="43">
        <f t="shared" si="264"/>
        <v>45437</v>
      </c>
      <c r="W1052" s="44">
        <f t="array" ref="W1052">_xlfn.IFS(TRIM(C1052)="","",TRIM(V1052)="","",TRUE,V1052-C1052)</f>
        <v>7</v>
      </c>
      <c r="X1052" s="37">
        <f t="shared" si="265"/>
        <v>-1</v>
      </c>
      <c r="Y1052" s="37" t="s">
        <v>163</v>
      </c>
      <c r="Z1052" s="37" t="str">
        <f t="shared" si="266"/>
        <v>delivered</v>
      </c>
      <c r="AA1052" s="37" t="str">
        <f t="shared" si="267"/>
        <v>On Time</v>
      </c>
      <c r="AB1052" s="37" t="str">
        <f t="shared" si="270"/>
        <v>0</v>
      </c>
      <c r="AC1052" s="37">
        <f t="shared" si="271"/>
        <v>0</v>
      </c>
      <c r="AD1052" s="45">
        <f t="shared" si="269"/>
        <v>0.529304029304029</v>
      </c>
      <c r="AE1052" s="37">
        <v>4</v>
      </c>
      <c r="AF1052" s="37" t="s">
        <v>106</v>
      </c>
      <c r="AG1052" s="37" t="str">
        <f t="shared" si="268"/>
        <v>yes</v>
      </c>
      <c r="AH1052" s="37" t="str">
        <f t="array" ref="AH1052">_xlfn.IFS(LOWER(AG1052)="n","no",LOWER(AG1052)="y","yes",TRUE,LOWER(AG1052))</f>
        <v>yes</v>
      </c>
      <c r="AI1052" s="37" t="s">
        <v>4692</v>
      </c>
    </row>
    <row r="1053" spans="1:35">
      <c r="A1053" s="46" t="s">
        <v>3506</v>
      </c>
      <c r="B1053" s="47">
        <v>45444</v>
      </c>
      <c r="C1053" s="39">
        <f t="shared" si="256"/>
        <v>45444</v>
      </c>
      <c r="D1053" s="48" t="s">
        <v>4695</v>
      </c>
      <c r="E1053" s="37" t="str" cm="1">
        <f t="array" ref="E1053">_xlfn.IFS(D1053="delhi","north",D1053="mumbai","west",D1053="bengaluru","south",D1053="chennai","south",D1053="kolkata","east",TRUE,"west")</f>
        <v>west</v>
      </c>
      <c r="F1053" s="46" t="s">
        <v>136</v>
      </c>
      <c r="G1053" s="37" t="str">
        <f t="shared" si="257"/>
        <v>bluedart</v>
      </c>
      <c r="H1053" s="46" t="s">
        <v>123</v>
      </c>
      <c r="I1053" s="37" t="str">
        <f t="shared" si="258"/>
        <v>air</v>
      </c>
      <c r="J1053" s="46" t="s">
        <v>214</v>
      </c>
      <c r="K1053" s="37" t="str">
        <f t="shared" si="259"/>
        <v>grocery&amp;fmcg</v>
      </c>
      <c r="L1053" s="46" t="s">
        <v>334</v>
      </c>
      <c r="M1053" s="37" t="str">
        <f t="shared" si="260"/>
        <v>north</v>
      </c>
      <c r="N1053" s="46" t="s">
        <v>215</v>
      </c>
      <c r="O1053" s="41" t="str">
        <f t="shared" si="261"/>
        <v>Yes</v>
      </c>
      <c r="P1053" s="49">
        <v>8.5</v>
      </c>
      <c r="Q1053" s="49" t="s">
        <v>3508</v>
      </c>
      <c r="R1053" s="42">
        <f t="shared" si="262"/>
        <v>67.2941176470588</v>
      </c>
      <c r="S1053" s="46">
        <v>4</v>
      </c>
      <c r="T1053" s="46" t="s">
        <v>1343</v>
      </c>
      <c r="U1053" s="43" t="str">
        <f t="shared" si="263"/>
        <v>04-jun-2024</v>
      </c>
      <c r="V1053" s="43">
        <f t="shared" si="264"/>
        <v>45447</v>
      </c>
      <c r="W1053" s="44">
        <f t="array" ref="W1053">_xlfn.IFS(TRIM(C1053)="","",TRIM(V1053)="","",TRUE,V1053-C1053)</f>
        <v>3</v>
      </c>
      <c r="X1053" s="37">
        <f t="shared" si="265"/>
        <v>-1</v>
      </c>
      <c r="Y1053" s="46" t="s">
        <v>117</v>
      </c>
      <c r="Z1053" s="37" t="str">
        <f t="shared" si="266"/>
        <v>delivered</v>
      </c>
      <c r="AA1053" s="37" t="str">
        <f t="shared" si="267"/>
        <v>On Time</v>
      </c>
      <c r="AB1053" s="37" t="str">
        <f t="shared" si="270"/>
        <v>0</v>
      </c>
      <c r="AC1053" s="37">
        <f t="shared" si="271"/>
        <v>0</v>
      </c>
      <c r="AD1053" s="45">
        <f t="shared" si="269"/>
        <v>0.530275229357798</v>
      </c>
      <c r="AE1053" s="46">
        <v>5</v>
      </c>
      <c r="AF1053" s="46" t="s">
        <v>181</v>
      </c>
      <c r="AG1053" s="37" t="str">
        <f t="shared" si="268"/>
        <v>y</v>
      </c>
      <c r="AH1053" s="37" t="str">
        <f t="array" ref="AH1053">_xlfn.IFS(LOWER(AG1053)="n","no",LOWER(AG1053)="y","yes",TRUE,LOWER(AG1053))</f>
        <v>yes</v>
      </c>
      <c r="AI1053" s="46" t="s">
        <v>4692</v>
      </c>
    </row>
    <row r="1054" spans="1:35">
      <c r="A1054" s="37" t="s">
        <v>3509</v>
      </c>
      <c r="B1054" s="38">
        <v>45344</v>
      </c>
      <c r="C1054" s="39">
        <f t="shared" si="256"/>
        <v>45344</v>
      </c>
      <c r="D1054" s="40" t="s">
        <v>366</v>
      </c>
      <c r="E1054" s="37" t="str" cm="1">
        <f t="array" ref="E1054">_xlfn.IFS(D1054="delhi","north",D1054="mumbai","west",D1054="bengaluru","south",D1054="chennai","south",D1054="kolkata","east",TRUE,"west")</f>
        <v>east</v>
      </c>
      <c r="F1054" s="37" t="s">
        <v>194</v>
      </c>
      <c r="G1054" s="37" t="str">
        <f t="shared" si="257"/>
        <v>xpressbees</v>
      </c>
      <c r="H1054" s="37" t="s">
        <v>99</v>
      </c>
      <c r="I1054" s="37" t="str">
        <f t="shared" si="258"/>
        <v>air</v>
      </c>
      <c r="J1054" s="37" t="s">
        <v>100</v>
      </c>
      <c r="K1054" s="37" t="str">
        <f t="shared" si="259"/>
        <v>electronics</v>
      </c>
      <c r="L1054" s="37" t="s">
        <v>470</v>
      </c>
      <c r="M1054" s="37" t="str">
        <f t="shared" si="260"/>
        <v>east</v>
      </c>
      <c r="N1054" s="37" t="s">
        <v>126</v>
      </c>
      <c r="O1054" s="41" t="str">
        <f t="shared" si="261"/>
        <v>Yes</v>
      </c>
      <c r="P1054" s="41">
        <v>9.7</v>
      </c>
      <c r="Q1054" s="41">
        <v>427</v>
      </c>
      <c r="R1054" s="42">
        <f t="shared" si="262"/>
        <v>44.020618556701</v>
      </c>
      <c r="S1054" s="37">
        <v>2</v>
      </c>
      <c r="T1054" s="37" t="s">
        <v>3432</v>
      </c>
      <c r="U1054" s="43" t="str">
        <f t="shared" si="263"/>
        <v>2024-02-25</v>
      </c>
      <c r="V1054" s="43">
        <f t="shared" si="264"/>
        <v>45347</v>
      </c>
      <c r="W1054" s="44">
        <f t="array" ref="W1054">_xlfn.IFS(TRIM(C1054)="","",TRIM(V1054)="","",TRUE,V1054-C1054)</f>
        <v>3</v>
      </c>
      <c r="X1054" s="37">
        <f t="shared" si="265"/>
        <v>1</v>
      </c>
      <c r="Y1054" s="37" t="s">
        <v>143</v>
      </c>
      <c r="Z1054" s="37" t="str">
        <f t="shared" si="266"/>
        <v>delayed</v>
      </c>
      <c r="AA1054" s="37" t="str">
        <f t="shared" si="267"/>
        <v>Late</v>
      </c>
      <c r="AB1054" s="37" t="str">
        <f t="shared" si="270"/>
        <v>1</v>
      </c>
      <c r="AC1054" s="37">
        <f t="shared" si="271"/>
        <v>1</v>
      </c>
      <c r="AD1054" s="45">
        <f t="shared" si="269"/>
        <v>0.53125</v>
      </c>
      <c r="AE1054" s="37">
        <v>3</v>
      </c>
      <c r="AF1054" s="37" t="s">
        <v>181</v>
      </c>
      <c r="AG1054" s="37" t="str">
        <f t="shared" si="268"/>
        <v>y</v>
      </c>
      <c r="AH1054" s="37" t="str">
        <f t="array" ref="AH1054">_xlfn.IFS(LOWER(AG1054)="n","no",LOWER(AG1054)="y","yes",TRUE,LOWER(AG1054))</f>
        <v>yes</v>
      </c>
      <c r="AI1054" s="37" t="s">
        <v>4692</v>
      </c>
    </row>
    <row r="1055" spans="1:35">
      <c r="A1055" s="46" t="s">
        <v>3510</v>
      </c>
      <c r="B1055" s="47">
        <v>45292</v>
      </c>
      <c r="C1055" s="39">
        <f t="shared" si="256"/>
        <v>45292</v>
      </c>
      <c r="D1055" s="48" t="s">
        <v>212</v>
      </c>
      <c r="E1055" s="37" t="str" cm="1">
        <f t="array" ref="E1055">_xlfn.IFS(D1055="delhi","north",D1055="mumbai","west",D1055="bengaluru","south",D1055="chennai","south",D1055="kolkata","east",TRUE,"west")</f>
        <v>west</v>
      </c>
      <c r="F1055" s="46" t="s">
        <v>136</v>
      </c>
      <c r="G1055" s="37" t="str">
        <f t="shared" si="257"/>
        <v>bluedart</v>
      </c>
      <c r="H1055" s="46" t="s">
        <v>137</v>
      </c>
      <c r="I1055" s="37" t="str">
        <f t="shared" si="258"/>
        <v>road</v>
      </c>
      <c r="J1055" s="46" t="s">
        <v>385</v>
      </c>
      <c r="K1055" s="37" t="str">
        <f t="shared" si="259"/>
        <v>furniture</v>
      </c>
      <c r="L1055" s="46" t="s">
        <v>470</v>
      </c>
      <c r="M1055" s="37" t="str">
        <f t="shared" si="260"/>
        <v>east</v>
      </c>
      <c r="N1055" s="46" t="s">
        <v>396</v>
      </c>
      <c r="O1055" s="41" t="str">
        <f t="shared" si="261"/>
        <v>Yes</v>
      </c>
      <c r="P1055" s="49">
        <v>68.5</v>
      </c>
      <c r="Q1055" s="51">
        <v>1138</v>
      </c>
      <c r="R1055" s="42">
        <f t="shared" si="262"/>
        <v>16.6131386861314</v>
      </c>
      <c r="S1055" s="46">
        <v>8</v>
      </c>
      <c r="T1055" s="46" t="s">
        <v>3203</v>
      </c>
      <c r="U1055" s="43" t="str">
        <f t="shared" si="263"/>
        <v>09-jan-2024</v>
      </c>
      <c r="V1055" s="43">
        <f t="shared" si="264"/>
        <v>45300</v>
      </c>
      <c r="W1055" s="44">
        <f t="array" ref="W1055">_xlfn.IFS(TRIM(C1055)="","",TRIM(V1055)="","",TRUE,V1055-C1055)</f>
        <v>8</v>
      </c>
      <c r="X1055" s="37">
        <f t="shared" si="265"/>
        <v>0</v>
      </c>
      <c r="Y1055" s="46" t="s">
        <v>117</v>
      </c>
      <c r="Z1055" s="37" t="str">
        <f t="shared" si="266"/>
        <v>delivered</v>
      </c>
      <c r="AA1055" s="37" t="str">
        <f t="shared" si="267"/>
        <v>On Time</v>
      </c>
      <c r="AB1055" s="37" t="str">
        <f t="shared" si="270"/>
        <v>0</v>
      </c>
      <c r="AC1055" s="37">
        <f t="shared" si="271"/>
        <v>0</v>
      </c>
      <c r="AD1055" s="45">
        <f t="shared" si="269"/>
        <v>0.530386740331492</v>
      </c>
      <c r="AE1055" s="46">
        <v>5</v>
      </c>
      <c r="AF1055" s="46" t="s">
        <v>118</v>
      </c>
      <c r="AG1055" s="37" t="str">
        <f t="shared" si="268"/>
        <v>no</v>
      </c>
      <c r="AH1055" s="37" t="str">
        <f t="array" ref="AH1055">_xlfn.IFS(LOWER(AG1055)="n","no",LOWER(AG1055)="y","yes",TRUE,LOWER(AG1055))</f>
        <v>no</v>
      </c>
      <c r="AI1055" s="46" t="s">
        <v>4692</v>
      </c>
    </row>
    <row r="1056" spans="1:35">
      <c r="A1056" s="37" t="s">
        <v>3513</v>
      </c>
      <c r="B1056" s="38">
        <v>45300</v>
      </c>
      <c r="C1056" s="39">
        <f t="shared" si="256"/>
        <v>45300</v>
      </c>
      <c r="D1056" s="40" t="s">
        <v>340</v>
      </c>
      <c r="E1056" s="37" t="str" cm="1">
        <f t="array" ref="E1056">_xlfn.IFS(D1056="delhi","north",D1056="mumbai","west",D1056="bengaluru","south",D1056="chennai","south",D1056="kolkata","east",TRUE,"west")</f>
        <v>north</v>
      </c>
      <c r="F1056" s="37" t="s">
        <v>146</v>
      </c>
      <c r="G1056" s="37" t="str">
        <f t="shared" si="257"/>
        <v>ecomexpress</v>
      </c>
      <c r="H1056" s="37" t="s">
        <v>137</v>
      </c>
      <c r="I1056" s="37" t="str">
        <f t="shared" si="258"/>
        <v>road</v>
      </c>
      <c r="J1056" s="37" t="s">
        <v>385</v>
      </c>
      <c r="K1056" s="37" t="str">
        <f t="shared" si="259"/>
        <v>furniture</v>
      </c>
      <c r="L1056" s="37" t="s">
        <v>418</v>
      </c>
      <c r="M1056" s="37" t="str">
        <f t="shared" si="260"/>
        <v>south</v>
      </c>
      <c r="N1056" s="37" t="s">
        <v>90</v>
      </c>
      <c r="O1056" s="41" t="str">
        <f t="shared" si="261"/>
        <v>Yes</v>
      </c>
      <c r="P1056" s="41" t="s">
        <v>3514</v>
      </c>
      <c r="Q1056" s="41">
        <v>966</v>
      </c>
      <c r="R1056" s="42">
        <f t="shared" si="262"/>
        <v>16.5979381443299</v>
      </c>
      <c r="S1056" s="37">
        <v>8</v>
      </c>
      <c r="T1056" s="37" t="s">
        <v>822</v>
      </c>
      <c r="U1056" s="43" t="str">
        <f t="shared" si="263"/>
        <v>26/01/2024</v>
      </c>
      <c r="V1056" s="43">
        <f t="shared" si="264"/>
        <v>45317</v>
      </c>
      <c r="W1056" s="44">
        <f t="array" ref="W1056">_xlfn.IFS(TRIM(C1056)="","",TRIM(V1056)="","",TRUE,V1056-C1056)</f>
        <v>17</v>
      </c>
      <c r="X1056" s="37">
        <f t="shared" si="265"/>
        <v>9</v>
      </c>
      <c r="Y1056" s="37" t="s">
        <v>143</v>
      </c>
      <c r="Z1056" s="37" t="str">
        <f t="shared" si="266"/>
        <v>delayed</v>
      </c>
      <c r="AA1056" s="37" t="str">
        <f t="shared" si="267"/>
        <v>Late</v>
      </c>
      <c r="AB1056" s="37" t="str">
        <f t="shared" si="270"/>
        <v>1</v>
      </c>
      <c r="AC1056" s="37">
        <f t="shared" si="271"/>
        <v>1</v>
      </c>
      <c r="AD1056" s="45">
        <f t="shared" si="269"/>
        <v>0.531365313653137</v>
      </c>
      <c r="AE1056" s="37">
        <v>1</v>
      </c>
      <c r="AF1056" s="37" t="s">
        <v>118</v>
      </c>
      <c r="AG1056" s="37" t="str">
        <f t="shared" si="268"/>
        <v>no</v>
      </c>
      <c r="AH1056" s="37" t="str">
        <f t="array" ref="AH1056">_xlfn.IFS(LOWER(AG1056)="n","no",LOWER(AG1056)="y","yes",TRUE,LOWER(AG1056))</f>
        <v>no</v>
      </c>
      <c r="AI1056" s="37" t="s">
        <v>4692</v>
      </c>
    </row>
    <row r="1057" spans="1:35">
      <c r="A1057" s="46" t="s">
        <v>3516</v>
      </c>
      <c r="B1057" s="47">
        <v>45451</v>
      </c>
      <c r="C1057" s="39">
        <f t="shared" si="256"/>
        <v>45451</v>
      </c>
      <c r="D1057" s="48" t="s">
        <v>109</v>
      </c>
      <c r="E1057" s="37" t="str" cm="1">
        <f t="array" ref="E1057">_xlfn.IFS(D1057="delhi","north",D1057="mumbai","west",D1057="bengaluru","south",D1057="chennai","south",D1057="kolkata","east",TRUE,"west")</f>
        <v>west</v>
      </c>
      <c r="F1057" s="46" t="s">
        <v>367</v>
      </c>
      <c r="G1057" s="37" t="str">
        <f t="shared" si="257"/>
        <v>dtdc</v>
      </c>
      <c r="H1057" s="46" t="s">
        <v>440</v>
      </c>
      <c r="I1057" s="37" t="str">
        <f t="shared" si="258"/>
        <v>road</v>
      </c>
      <c r="J1057" s="46" t="s">
        <v>148</v>
      </c>
      <c r="K1057" s="37" t="str">
        <f t="shared" si="259"/>
        <v>electronics</v>
      </c>
      <c r="L1057" s="46" t="s">
        <v>87</v>
      </c>
      <c r="M1057" s="37" t="str">
        <f t="shared" si="260"/>
        <v>north</v>
      </c>
      <c r="N1057" s="46" t="s">
        <v>32</v>
      </c>
      <c r="O1057" s="41" t="str">
        <f t="shared" si="261"/>
        <v>Yes</v>
      </c>
      <c r="P1057" s="49">
        <v>4.5</v>
      </c>
      <c r="Q1057" s="49" t="s">
        <v>966</v>
      </c>
      <c r="R1057" s="42">
        <f t="shared" si="262"/>
        <v>55.3333333333333</v>
      </c>
      <c r="S1057" s="46">
        <v>8</v>
      </c>
      <c r="T1057" s="46" t="s">
        <v>2177</v>
      </c>
      <c r="U1057" s="43" t="str">
        <f t="shared" si="263"/>
        <v>16/06/2024</v>
      </c>
      <c r="V1057" s="43">
        <f t="shared" si="264"/>
        <v>45459</v>
      </c>
      <c r="W1057" s="44">
        <f t="array" ref="W1057">_xlfn.IFS(TRIM(C1057)="","",TRIM(V1057)="","",TRUE,V1057-C1057)</f>
        <v>8</v>
      </c>
      <c r="X1057" s="37">
        <f t="shared" si="265"/>
        <v>0</v>
      </c>
      <c r="Y1057" s="46" t="s">
        <v>117</v>
      </c>
      <c r="Z1057" s="37" t="str">
        <f t="shared" si="266"/>
        <v>delivered</v>
      </c>
      <c r="AA1057" s="37" t="str">
        <f t="shared" si="267"/>
        <v>On Time</v>
      </c>
      <c r="AB1057" s="37" t="str">
        <f t="shared" si="270"/>
        <v>0</v>
      </c>
      <c r="AC1057" s="37">
        <f t="shared" si="271"/>
        <v>0</v>
      </c>
      <c r="AD1057" s="45">
        <f t="shared" si="269"/>
        <v>0.530499075785582</v>
      </c>
      <c r="AE1057" s="46">
        <v>5</v>
      </c>
      <c r="AF1057" s="46" t="s">
        <v>152</v>
      </c>
      <c r="AG1057" s="37" t="str">
        <f t="shared" si="268"/>
        <v>no</v>
      </c>
      <c r="AH1057" s="37" t="str">
        <f t="array" ref="AH1057">_xlfn.IFS(LOWER(AG1057)="n","no",LOWER(AG1057)="y","yes",TRUE,LOWER(AG1057))</f>
        <v>no</v>
      </c>
      <c r="AI1057" s="46" t="s">
        <v>4692</v>
      </c>
    </row>
    <row r="1058" spans="1:35">
      <c r="A1058" s="37" t="s">
        <v>3518</v>
      </c>
      <c r="B1058" s="38" t="s">
        <v>4824</v>
      </c>
      <c r="C1058" s="39">
        <f t="shared" si="256"/>
        <v>45307</v>
      </c>
      <c r="D1058" s="40" t="s">
        <v>212</v>
      </c>
      <c r="E1058" s="37" t="str" cm="1">
        <f t="array" ref="E1058">_xlfn.IFS(D1058="delhi","north",D1058="mumbai","west",D1058="bengaluru","south",D1058="chennai","south",D1058="kolkata","east",TRUE,"west")</f>
        <v>west</v>
      </c>
      <c r="F1058" s="37" t="s">
        <v>184</v>
      </c>
      <c r="G1058" s="37" t="str">
        <f t="shared" si="257"/>
        <v>ecomexpress</v>
      </c>
      <c r="H1058" s="37" t="s">
        <v>224</v>
      </c>
      <c r="I1058" s="37" t="str">
        <f t="shared" si="258"/>
        <v>air</v>
      </c>
      <c r="J1058" s="37" t="s">
        <v>425</v>
      </c>
      <c r="K1058" s="37" t="str">
        <f t="shared" si="259"/>
        <v>automotiveparts</v>
      </c>
      <c r="L1058" s="37" t="s">
        <v>401</v>
      </c>
      <c r="M1058" s="37" t="str">
        <f t="shared" si="260"/>
        <v>south</v>
      </c>
      <c r="N1058" s="37" t="s">
        <v>327</v>
      </c>
      <c r="O1058" s="41" t="str">
        <f t="shared" si="261"/>
        <v>Yes</v>
      </c>
      <c r="P1058" s="41">
        <v>20.3</v>
      </c>
      <c r="Q1058" s="41" t="s">
        <v>3520</v>
      </c>
      <c r="R1058" s="42">
        <f t="shared" si="262"/>
        <v>54.0886699507389</v>
      </c>
      <c r="S1058" s="37">
        <v>4</v>
      </c>
      <c r="T1058" s="37" t="s">
        <v>1420</v>
      </c>
      <c r="U1058" s="43" t="str">
        <f t="shared" si="263"/>
        <v>2024-01-19</v>
      </c>
      <c r="V1058" s="43">
        <f t="shared" si="264"/>
        <v>45310</v>
      </c>
      <c r="W1058" s="44">
        <f t="array" ref="W1058">_xlfn.IFS(TRIM(C1058)="","",TRIM(V1058)="","",TRUE,V1058-C1058)</f>
        <v>3</v>
      </c>
      <c r="X1058" s="37">
        <f t="shared" si="265"/>
        <v>-1</v>
      </c>
      <c r="Y1058" s="37" t="s">
        <v>117</v>
      </c>
      <c r="Z1058" s="37" t="str">
        <f t="shared" si="266"/>
        <v>delivered</v>
      </c>
      <c r="AA1058" s="37" t="str">
        <f t="shared" si="267"/>
        <v>On Time</v>
      </c>
      <c r="AB1058" s="37" t="str">
        <f t="shared" si="270"/>
        <v>0</v>
      </c>
      <c r="AC1058" s="37">
        <f t="shared" si="271"/>
        <v>0</v>
      </c>
      <c r="AD1058" s="45">
        <f t="shared" si="269"/>
        <v>0.531481481481481</v>
      </c>
      <c r="AE1058" s="37">
        <v>5</v>
      </c>
      <c r="AF1058" s="37" t="s">
        <v>191</v>
      </c>
      <c r="AG1058" s="37" t="str">
        <f t="shared" si="268"/>
        <v>no</v>
      </c>
      <c r="AH1058" s="37" t="str">
        <f t="array" ref="AH1058">_xlfn.IFS(LOWER(AG1058)="n","no",LOWER(AG1058)="y","yes",TRUE,LOWER(AG1058))</f>
        <v>no</v>
      </c>
      <c r="AI1058" s="37" t="s">
        <v>4692</v>
      </c>
    </row>
    <row r="1059" spans="1:35">
      <c r="A1059" s="46" t="s">
        <v>3521</v>
      </c>
      <c r="B1059" s="47">
        <v>45345</v>
      </c>
      <c r="C1059" s="39">
        <f t="shared" si="256"/>
        <v>45345</v>
      </c>
      <c r="D1059" s="48" t="s">
        <v>243</v>
      </c>
      <c r="E1059" s="37" t="str" cm="1">
        <f t="array" ref="E1059">_xlfn.IFS(D1059="delhi","north",D1059="mumbai","west",D1059="bengaluru","south",D1059="chennai","south",D1059="kolkata","east",TRUE,"west")</f>
        <v>west</v>
      </c>
      <c r="F1059" s="46" t="s">
        <v>367</v>
      </c>
      <c r="G1059" s="37" t="str">
        <f t="shared" si="257"/>
        <v>dtdc</v>
      </c>
      <c r="H1059" s="46" t="s">
        <v>137</v>
      </c>
      <c r="I1059" s="37" t="str">
        <f t="shared" si="258"/>
        <v>road</v>
      </c>
      <c r="J1059" s="46" t="s">
        <v>100</v>
      </c>
      <c r="K1059" s="37" t="str">
        <f t="shared" si="259"/>
        <v>electronics</v>
      </c>
      <c r="L1059" s="46" t="s">
        <v>264</v>
      </c>
      <c r="M1059" s="37" t="str">
        <f t="shared" si="260"/>
        <v>west</v>
      </c>
      <c r="N1059" s="46" t="s">
        <v>206</v>
      </c>
      <c r="O1059" s="41" t="str">
        <f t="shared" si="261"/>
        <v>Yes</v>
      </c>
      <c r="P1059" s="49" t="s">
        <v>3450</v>
      </c>
      <c r="Q1059" s="49">
        <v>351</v>
      </c>
      <c r="R1059" s="42">
        <f t="shared" si="262"/>
        <v>34.4117647058824</v>
      </c>
      <c r="S1059" s="46">
        <v>8</v>
      </c>
      <c r="T1059" s="46" t="s">
        <v>330</v>
      </c>
      <c r="U1059" s="43" t="str">
        <f t="shared" si="263"/>
        <v>01-mar-2024</v>
      </c>
      <c r="V1059" s="43">
        <f t="shared" si="264"/>
        <v>45352</v>
      </c>
      <c r="W1059" s="44">
        <f t="array" ref="W1059">_xlfn.IFS(TRIM(C1059)="","",TRIM(V1059)="","",TRUE,V1059-C1059)</f>
        <v>7</v>
      </c>
      <c r="X1059" s="37">
        <f t="shared" si="265"/>
        <v>-1</v>
      </c>
      <c r="Y1059" s="46" t="s">
        <v>1513</v>
      </c>
      <c r="Z1059" s="37" t="str">
        <f t="shared" si="266"/>
        <v>damaged</v>
      </c>
      <c r="AA1059" s="37" t="str">
        <f t="shared" si="267"/>
        <v>On Time</v>
      </c>
      <c r="AB1059" s="37" t="str">
        <f t="shared" si="270"/>
        <v>0</v>
      </c>
      <c r="AC1059" s="37">
        <f t="shared" si="271"/>
        <v>0</v>
      </c>
      <c r="AD1059" s="45">
        <f t="shared" si="269"/>
        <v>0.532467532467532</v>
      </c>
      <c r="AE1059" s="46"/>
      <c r="AF1059" s="46" t="s">
        <v>79</v>
      </c>
      <c r="AG1059" s="37" t="str">
        <f t="shared" si="268"/>
        <v>yes</v>
      </c>
      <c r="AH1059" s="37" t="str">
        <f t="array" ref="AH1059">_xlfn.IFS(LOWER(AG1059)="n","no",LOWER(AG1059)="y","yes",TRUE,LOWER(AG1059))</f>
        <v>yes</v>
      </c>
      <c r="AI1059" s="46" t="s">
        <v>759</v>
      </c>
    </row>
    <row r="1060" spans="1:35">
      <c r="A1060" s="37" t="s">
        <v>3522</v>
      </c>
      <c r="B1060" s="38" t="s">
        <v>4758</v>
      </c>
      <c r="C1060" s="39">
        <f t="shared" si="256"/>
        <v>45303</v>
      </c>
      <c r="D1060" s="40" t="s">
        <v>109</v>
      </c>
      <c r="E1060" s="37" t="str" cm="1">
        <f t="array" ref="E1060">_xlfn.IFS(D1060="delhi","north",D1060="mumbai","west",D1060="bengaluru","south",D1060="chennai","south",D1060="kolkata","east",TRUE,"west")</f>
        <v>west</v>
      </c>
      <c r="F1060" s="37" t="s">
        <v>223</v>
      </c>
      <c r="G1060" s="37" t="str">
        <f t="shared" si="257"/>
        <v>xpressbees</v>
      </c>
      <c r="H1060" s="37" t="s">
        <v>99</v>
      </c>
      <c r="I1060" s="37" t="str">
        <f t="shared" si="258"/>
        <v>air</v>
      </c>
      <c r="J1060" s="37" t="s">
        <v>205</v>
      </c>
      <c r="K1060" s="37" t="str">
        <f t="shared" si="259"/>
        <v>furniture</v>
      </c>
      <c r="L1060" s="37" t="s">
        <v>168</v>
      </c>
      <c r="M1060" s="37" t="str">
        <f t="shared" si="260"/>
        <v>west</v>
      </c>
      <c r="N1060" s="37" t="s">
        <v>206</v>
      </c>
      <c r="O1060" s="41" t="str">
        <f t="shared" si="261"/>
        <v>Yes</v>
      </c>
      <c r="P1060" s="41">
        <v>74.7</v>
      </c>
      <c r="Q1060" s="50">
        <v>3412</v>
      </c>
      <c r="R1060" s="42">
        <f t="shared" si="262"/>
        <v>45.6760374832664</v>
      </c>
      <c r="S1060" s="37">
        <v>2</v>
      </c>
      <c r="T1060" s="37" t="s">
        <v>984</v>
      </c>
      <c r="U1060" s="43" t="str">
        <f t="shared" si="263"/>
        <v>2024-01-13</v>
      </c>
      <c r="V1060" s="43">
        <f t="shared" si="264"/>
        <v>45304</v>
      </c>
      <c r="W1060" s="44">
        <f t="array" ref="W1060">_xlfn.IFS(TRIM(C1060)="","",TRIM(V1060)="","",TRUE,V1060-C1060)</f>
        <v>1</v>
      </c>
      <c r="X1060" s="37">
        <f t="shared" si="265"/>
        <v>-1</v>
      </c>
      <c r="Y1060" s="37" t="s">
        <v>105</v>
      </c>
      <c r="Z1060" s="37" t="str">
        <f t="shared" si="266"/>
        <v>delivered</v>
      </c>
      <c r="AA1060" s="37" t="str">
        <f t="shared" si="267"/>
        <v>On Time</v>
      </c>
      <c r="AB1060" s="37" t="str">
        <f t="shared" si="270"/>
        <v>0</v>
      </c>
      <c r="AC1060" s="37">
        <f t="shared" si="271"/>
        <v>0</v>
      </c>
      <c r="AD1060" s="45">
        <f t="shared" si="269"/>
        <v>0.533457249070632</v>
      </c>
      <c r="AE1060" s="37">
        <v>4</v>
      </c>
      <c r="AF1060" s="37" t="s">
        <v>191</v>
      </c>
      <c r="AG1060" s="37" t="str">
        <f t="shared" si="268"/>
        <v>no</v>
      </c>
      <c r="AH1060" s="37" t="str">
        <f t="array" ref="AH1060">_xlfn.IFS(LOWER(AG1060)="n","no",LOWER(AG1060)="y","yes",TRUE,LOWER(AG1060))</f>
        <v>no</v>
      </c>
      <c r="AI1060" s="37" t="s">
        <v>4692</v>
      </c>
    </row>
    <row r="1061" spans="1:35">
      <c r="A1061" s="46" t="s">
        <v>3525</v>
      </c>
      <c r="B1061" s="47">
        <v>45344</v>
      </c>
      <c r="C1061" s="39">
        <f t="shared" si="256"/>
        <v>45344</v>
      </c>
      <c r="D1061" s="48" t="s">
        <v>212</v>
      </c>
      <c r="E1061" s="37" t="str" cm="1">
        <f t="array" ref="E1061">_xlfn.IFS(D1061="delhi","north",D1061="mumbai","west",D1061="bengaluru","south",D1061="chennai","south",D1061="kolkata","east",TRUE,"west")</f>
        <v>west</v>
      </c>
      <c r="F1061" s="46" t="s">
        <v>98</v>
      </c>
      <c r="G1061" s="37" t="str">
        <f t="shared" si="257"/>
        <v>dtdc</v>
      </c>
      <c r="H1061" s="46" t="s">
        <v>137</v>
      </c>
      <c r="I1061" s="37" t="str">
        <f t="shared" si="258"/>
        <v>road</v>
      </c>
      <c r="J1061" s="46" t="s">
        <v>177</v>
      </c>
      <c r="K1061" s="37" t="str">
        <f t="shared" si="259"/>
        <v>pharma</v>
      </c>
      <c r="L1061" s="46" t="s">
        <v>168</v>
      </c>
      <c r="M1061" s="37" t="str">
        <f t="shared" si="260"/>
        <v>west</v>
      </c>
      <c r="N1061" s="46" t="s">
        <v>278</v>
      </c>
      <c r="O1061" s="41" t="str">
        <f t="shared" si="261"/>
        <v>Yes</v>
      </c>
      <c r="P1061" s="49" t="s">
        <v>1070</v>
      </c>
      <c r="Q1061" s="49">
        <v>104</v>
      </c>
      <c r="R1061" s="42">
        <f t="shared" si="262"/>
        <v>21.2244897959184</v>
      </c>
      <c r="S1061" s="46">
        <v>6</v>
      </c>
      <c r="T1061" s="46" t="s">
        <v>306</v>
      </c>
      <c r="U1061" s="43" t="str">
        <f t="shared" si="263"/>
        <v>28/02/2024</v>
      </c>
      <c r="V1061" s="43">
        <f t="shared" si="264"/>
        <v>45350</v>
      </c>
      <c r="W1061" s="44">
        <f t="array" ref="W1061">_xlfn.IFS(TRIM(C1061)="","",TRIM(V1061)="","",TRUE,V1061-C1061)</f>
        <v>6</v>
      </c>
      <c r="X1061" s="37">
        <f t="shared" si="265"/>
        <v>0</v>
      </c>
      <c r="Y1061" s="46" t="s">
        <v>117</v>
      </c>
      <c r="Z1061" s="37" t="str">
        <f t="shared" si="266"/>
        <v>delivered</v>
      </c>
      <c r="AA1061" s="37" t="str">
        <f t="shared" si="267"/>
        <v>On Time</v>
      </c>
      <c r="AB1061" s="37" t="str">
        <f t="shared" si="270"/>
        <v>0</v>
      </c>
      <c r="AC1061" s="37">
        <f t="shared" si="271"/>
        <v>0</v>
      </c>
      <c r="AD1061" s="45">
        <f t="shared" si="269"/>
        <v>0.534450651769088</v>
      </c>
      <c r="AE1061" s="46">
        <v>4</v>
      </c>
      <c r="AF1061" s="46" t="s">
        <v>152</v>
      </c>
      <c r="AG1061" s="37" t="str">
        <f t="shared" si="268"/>
        <v>no</v>
      </c>
      <c r="AH1061" s="37" t="str">
        <f t="array" ref="AH1061">_xlfn.IFS(LOWER(AG1061)="n","no",LOWER(AG1061)="y","yes",TRUE,LOWER(AG1061))</f>
        <v>no</v>
      </c>
      <c r="AI1061" s="46" t="s">
        <v>4692</v>
      </c>
    </row>
    <row r="1062" spans="1:35">
      <c r="A1062" s="37" t="s">
        <v>3527</v>
      </c>
      <c r="B1062" s="38">
        <v>45401</v>
      </c>
      <c r="C1062" s="39">
        <f t="shared" si="256"/>
        <v>45401</v>
      </c>
      <c r="D1062" s="40" t="s">
        <v>633</v>
      </c>
      <c r="E1062" s="37" t="str" cm="1">
        <f t="array" ref="E1062">_xlfn.IFS(D1062="delhi","north",D1062="mumbai","west",D1062="bengaluru","south",D1062="chennai","south",D1062="kolkata","east",TRUE,"west")</f>
        <v>south</v>
      </c>
      <c r="F1062" s="37" t="s">
        <v>352</v>
      </c>
      <c r="G1062" s="37" t="str">
        <f t="shared" si="257"/>
        <v>delhivery</v>
      </c>
      <c r="H1062" s="37" t="s">
        <v>157</v>
      </c>
      <c r="I1062" s="37" t="str">
        <f t="shared" si="258"/>
        <v>surface</v>
      </c>
      <c r="J1062" s="37" t="s">
        <v>430</v>
      </c>
      <c r="K1062" s="37" t="str">
        <f t="shared" si="259"/>
        <v>pharma</v>
      </c>
      <c r="L1062" s="37" t="s">
        <v>197</v>
      </c>
      <c r="M1062" s="37" t="str">
        <f t="shared" si="260"/>
        <v>south</v>
      </c>
      <c r="N1062" s="37" t="s">
        <v>90</v>
      </c>
      <c r="O1062" s="41" t="str">
        <f t="shared" si="261"/>
        <v>Yes</v>
      </c>
      <c r="P1062" s="41">
        <v>3.2</v>
      </c>
      <c r="Q1062" s="41" t="s">
        <v>3528</v>
      </c>
      <c r="R1062" s="42">
        <f t="shared" si="262"/>
        <v>28.4375</v>
      </c>
      <c r="S1062" s="37">
        <v>4</v>
      </c>
      <c r="T1062" s="37" t="s">
        <v>1030</v>
      </c>
      <c r="U1062" s="43" t="str">
        <f t="shared" si="263"/>
        <v>02/05/2024</v>
      </c>
      <c r="V1062" s="43">
        <f t="shared" si="264"/>
        <v>45414</v>
      </c>
      <c r="W1062" s="44">
        <f t="array" ref="W1062">_xlfn.IFS(TRIM(C1062)="","",TRIM(V1062)="","",TRUE,V1062-C1062)</f>
        <v>13</v>
      </c>
      <c r="X1062" s="37">
        <f t="shared" si="265"/>
        <v>9</v>
      </c>
      <c r="Y1062" s="37" t="s">
        <v>172</v>
      </c>
      <c r="Z1062" s="37" t="str">
        <f t="shared" si="266"/>
        <v>delayed</v>
      </c>
      <c r="AA1062" s="37" t="str">
        <f t="shared" si="267"/>
        <v>Late</v>
      </c>
      <c r="AB1062" s="37" t="str">
        <f t="shared" si="270"/>
        <v>1</v>
      </c>
      <c r="AC1062" s="37">
        <f t="shared" si="271"/>
        <v>1</v>
      </c>
      <c r="AD1062" s="45">
        <f t="shared" si="269"/>
        <v>0.53544776119403</v>
      </c>
      <c r="AE1062" s="37">
        <v>3</v>
      </c>
      <c r="AF1062" s="37" t="s">
        <v>181</v>
      </c>
      <c r="AG1062" s="37" t="str">
        <f t="shared" si="268"/>
        <v>y</v>
      </c>
      <c r="AH1062" s="37" t="str">
        <f t="array" ref="AH1062">_xlfn.IFS(LOWER(AG1062)="n","no",LOWER(AG1062)="y","yes",TRUE,LOWER(AG1062))</f>
        <v>yes</v>
      </c>
      <c r="AI1062" s="37" t="s">
        <v>4692</v>
      </c>
    </row>
    <row r="1063" spans="1:35">
      <c r="A1063" s="46" t="s">
        <v>3529</v>
      </c>
      <c r="B1063" s="47" t="s">
        <v>4808</v>
      </c>
      <c r="C1063" s="39">
        <f t="shared" si="256"/>
        <v>45459</v>
      </c>
      <c r="D1063" s="48" t="s">
        <v>212</v>
      </c>
      <c r="E1063" s="37" t="str" cm="1">
        <f t="array" ref="E1063">_xlfn.IFS(D1063="delhi","north",D1063="mumbai","west",D1063="bengaluru","south",D1063="chennai","south",D1063="kolkata","east",TRUE,"west")</f>
        <v>west</v>
      </c>
      <c r="F1063" s="46" t="s">
        <v>223</v>
      </c>
      <c r="G1063" s="37" t="str">
        <f t="shared" si="257"/>
        <v>xpressbees</v>
      </c>
      <c r="H1063" s="46" t="s">
        <v>157</v>
      </c>
      <c r="I1063" s="37" t="str">
        <f t="shared" si="258"/>
        <v>surface</v>
      </c>
      <c r="J1063" s="46" t="s">
        <v>277</v>
      </c>
      <c r="K1063" s="37" t="str">
        <f t="shared" si="259"/>
        <v>apparel</v>
      </c>
      <c r="L1063" s="46" t="s">
        <v>159</v>
      </c>
      <c r="M1063" s="37" t="str">
        <f t="shared" si="260"/>
        <v>south</v>
      </c>
      <c r="N1063" s="46" t="s">
        <v>93</v>
      </c>
      <c r="O1063" s="41" t="str">
        <f t="shared" si="261"/>
        <v>Yes</v>
      </c>
      <c r="P1063" s="49">
        <v>5.3</v>
      </c>
      <c r="Q1063" s="49">
        <v>292</v>
      </c>
      <c r="R1063" s="42">
        <f t="shared" si="262"/>
        <v>55.0943396226415</v>
      </c>
      <c r="S1063" s="46">
        <v>6</v>
      </c>
      <c r="T1063" s="46" t="s">
        <v>3530</v>
      </c>
      <c r="U1063" s="43" t="str">
        <f t="shared" si="263"/>
        <v>22/06/2024</v>
      </c>
      <c r="V1063" s="43">
        <f t="shared" si="264"/>
        <v>45465</v>
      </c>
      <c r="W1063" s="44">
        <f t="array" ref="W1063">_xlfn.IFS(TRIM(C1063)="","",TRIM(V1063)="","",TRUE,V1063-C1063)</f>
        <v>6</v>
      </c>
      <c r="X1063" s="37">
        <f t="shared" si="265"/>
        <v>0</v>
      </c>
      <c r="Y1063" s="46" t="s">
        <v>117</v>
      </c>
      <c r="Z1063" s="37" t="str">
        <f t="shared" si="266"/>
        <v>delivered</v>
      </c>
      <c r="AA1063" s="37" t="str">
        <f t="shared" si="267"/>
        <v>On Time</v>
      </c>
      <c r="AB1063" s="37" t="str">
        <f t="shared" si="270"/>
        <v>0</v>
      </c>
      <c r="AC1063" s="37">
        <f t="shared" si="271"/>
        <v>0</v>
      </c>
      <c r="AD1063" s="45">
        <f t="shared" si="269"/>
        <v>0.534579439252336</v>
      </c>
      <c r="AE1063" s="46">
        <v>4</v>
      </c>
      <c r="AF1063" s="46" t="s">
        <v>131</v>
      </c>
      <c r="AG1063" s="37" t="str">
        <f t="shared" si="268"/>
        <v>n</v>
      </c>
      <c r="AH1063" s="37" t="str">
        <f t="array" ref="AH1063">_xlfn.IFS(LOWER(AG1063)="n","no",LOWER(AG1063)="y","yes",TRUE,LOWER(AG1063))</f>
        <v>no</v>
      </c>
      <c r="AI1063" s="46" t="s">
        <v>4692</v>
      </c>
    </row>
    <row r="1064" spans="1:35">
      <c r="A1064" s="37" t="s">
        <v>3531</v>
      </c>
      <c r="B1064" s="38">
        <v>45337</v>
      </c>
      <c r="C1064" s="39">
        <f t="shared" si="256"/>
        <v>45337</v>
      </c>
      <c r="D1064" s="40" t="s">
        <v>366</v>
      </c>
      <c r="E1064" s="37" t="str" cm="1">
        <f t="array" ref="E1064">_xlfn.IFS(D1064="delhi","north",D1064="mumbai","west",D1064="bengaluru","south",D1064="chennai","south",D1064="kolkata","east",TRUE,"west")</f>
        <v>east</v>
      </c>
      <c r="F1064" s="37" t="s">
        <v>146</v>
      </c>
      <c r="G1064" s="37" t="str">
        <f t="shared" si="257"/>
        <v>ecomexpress</v>
      </c>
      <c r="H1064" s="37" t="s">
        <v>440</v>
      </c>
      <c r="I1064" s="37" t="str">
        <f t="shared" si="258"/>
        <v>road</v>
      </c>
      <c r="J1064" s="37" t="s">
        <v>319</v>
      </c>
      <c r="K1064" s="37" t="str">
        <f t="shared" si="259"/>
        <v>electronics</v>
      </c>
      <c r="L1064" s="37" t="s">
        <v>334</v>
      </c>
      <c r="M1064" s="37" t="str">
        <f t="shared" si="260"/>
        <v>north</v>
      </c>
      <c r="N1064" s="37" t="s">
        <v>215</v>
      </c>
      <c r="O1064" s="41" t="str">
        <f t="shared" si="261"/>
        <v>Yes</v>
      </c>
      <c r="P1064" s="41">
        <v>11</v>
      </c>
      <c r="Q1064" s="41">
        <v>290</v>
      </c>
      <c r="R1064" s="42">
        <f t="shared" si="262"/>
        <v>26.3636363636364</v>
      </c>
      <c r="S1064" s="37">
        <v>8</v>
      </c>
      <c r="T1064" s="37" t="s">
        <v>786</v>
      </c>
      <c r="U1064" s="43" t="str">
        <f t="shared" si="263"/>
        <v>23/02/2024</v>
      </c>
      <c r="V1064" s="43">
        <f t="shared" si="264"/>
        <v>45345</v>
      </c>
      <c r="W1064" s="44">
        <f t="array" ref="W1064">_xlfn.IFS(TRIM(C1064)="","",TRIM(V1064)="","",TRUE,V1064-C1064)</f>
        <v>8</v>
      </c>
      <c r="X1064" s="37">
        <f t="shared" si="265"/>
        <v>0</v>
      </c>
      <c r="Y1064" s="37" t="s">
        <v>219</v>
      </c>
      <c r="Z1064" s="37" t="str">
        <f t="shared" si="266"/>
        <v>delivered</v>
      </c>
      <c r="AA1064" s="37" t="str">
        <f t="shared" si="267"/>
        <v>On Time</v>
      </c>
      <c r="AB1064" s="37" t="str">
        <f t="shared" si="270"/>
        <v>0</v>
      </c>
      <c r="AC1064" s="37">
        <f t="shared" si="271"/>
        <v>0</v>
      </c>
      <c r="AD1064" s="45">
        <f t="shared" si="269"/>
        <v>0.535580524344569</v>
      </c>
      <c r="AE1064" s="37">
        <v>3</v>
      </c>
      <c r="AF1064" s="37" t="s">
        <v>79</v>
      </c>
      <c r="AG1064" s="37" t="str">
        <f t="shared" si="268"/>
        <v>yes</v>
      </c>
      <c r="AH1064" s="37" t="str">
        <f t="array" ref="AH1064">_xlfn.IFS(LOWER(AG1064)="n","no",LOWER(AG1064)="y","yes",TRUE,LOWER(AG1064))</f>
        <v>yes</v>
      </c>
      <c r="AI1064" s="37" t="s">
        <v>4692</v>
      </c>
    </row>
    <row r="1065" spans="1:35">
      <c r="A1065" s="46" t="s">
        <v>3533</v>
      </c>
      <c r="B1065" s="47">
        <v>45300</v>
      </c>
      <c r="C1065" s="39">
        <f t="shared" si="256"/>
        <v>45300</v>
      </c>
      <c r="D1065" s="48" t="s">
        <v>4699</v>
      </c>
      <c r="E1065" s="37" t="str" cm="1">
        <f t="array" ref="E1065">_xlfn.IFS(D1065="delhi","north",D1065="mumbai","west",D1065="bengaluru","south",D1065="chennai","south",D1065="kolkata","east",TRUE,"west")</f>
        <v>west</v>
      </c>
      <c r="F1065" s="46" t="s">
        <v>122</v>
      </c>
      <c r="G1065" s="37" t="str">
        <f t="shared" si="257"/>
        <v>delhivery</v>
      </c>
      <c r="H1065" s="46" t="s">
        <v>157</v>
      </c>
      <c r="I1065" s="37" t="str">
        <f t="shared" si="258"/>
        <v>surface</v>
      </c>
      <c r="J1065" s="46" t="s">
        <v>277</v>
      </c>
      <c r="K1065" s="37" t="str">
        <f t="shared" si="259"/>
        <v>apparel</v>
      </c>
      <c r="L1065" s="46" t="s">
        <v>159</v>
      </c>
      <c r="M1065" s="37" t="str">
        <f t="shared" si="260"/>
        <v>south</v>
      </c>
      <c r="N1065" s="46" t="s">
        <v>54</v>
      </c>
      <c r="O1065" s="41" t="str">
        <f t="shared" si="261"/>
        <v>Yes</v>
      </c>
      <c r="P1065" s="49" t="s">
        <v>3534</v>
      </c>
      <c r="Q1065" s="49">
        <v>138</v>
      </c>
      <c r="R1065" s="42">
        <f t="shared" si="262"/>
        <v>230</v>
      </c>
      <c r="S1065" s="46">
        <v>6</v>
      </c>
      <c r="T1065" s="46" t="s">
        <v>2715</v>
      </c>
      <c r="U1065" s="43" t="str">
        <f t="shared" si="263"/>
        <v>14/01/2024</v>
      </c>
      <c r="V1065" s="43">
        <f t="shared" si="264"/>
        <v>45305</v>
      </c>
      <c r="W1065" s="44">
        <f t="array" ref="W1065">_xlfn.IFS(TRIM(C1065)="","",TRIM(V1065)="","",TRUE,V1065-C1065)</f>
        <v>5</v>
      </c>
      <c r="X1065" s="37">
        <f t="shared" si="265"/>
        <v>-1</v>
      </c>
      <c r="Y1065" s="46" t="s">
        <v>117</v>
      </c>
      <c r="Z1065" s="37" t="str">
        <f t="shared" si="266"/>
        <v>delivered</v>
      </c>
      <c r="AA1065" s="37" t="str">
        <f t="shared" si="267"/>
        <v>On Time</v>
      </c>
      <c r="AB1065" s="37" t="str">
        <f t="shared" si="270"/>
        <v>0</v>
      </c>
      <c r="AC1065" s="37">
        <f t="shared" si="271"/>
        <v>0</v>
      </c>
      <c r="AD1065" s="45">
        <f t="shared" si="269"/>
        <v>0.536585365853659</v>
      </c>
      <c r="AE1065" s="46">
        <v>4</v>
      </c>
      <c r="AF1065" s="46" t="s">
        <v>79</v>
      </c>
      <c r="AG1065" s="37" t="str">
        <f t="shared" si="268"/>
        <v>yes</v>
      </c>
      <c r="AH1065" s="37" t="str">
        <f t="array" ref="AH1065">_xlfn.IFS(LOWER(AG1065)="n","no",LOWER(AG1065)="y","yes",TRUE,LOWER(AG1065))</f>
        <v>yes</v>
      </c>
      <c r="AI1065" s="46" t="s">
        <v>4692</v>
      </c>
    </row>
    <row r="1066" spans="1:35">
      <c r="A1066" s="37" t="s">
        <v>3536</v>
      </c>
      <c r="B1066" s="38" t="s">
        <v>4734</v>
      </c>
      <c r="C1066" s="39">
        <f t="shared" si="256"/>
        <v>45454</v>
      </c>
      <c r="D1066" s="40" t="s">
        <v>366</v>
      </c>
      <c r="E1066" s="37" t="str" cm="1">
        <f t="array" ref="E1066">_xlfn.IFS(D1066="delhi","north",D1066="mumbai","west",D1066="bengaluru","south",D1066="chennai","south",D1066="kolkata","east",TRUE,"west")</f>
        <v>east</v>
      </c>
      <c r="F1066" s="37" t="s">
        <v>230</v>
      </c>
      <c r="G1066" s="37" t="str">
        <f t="shared" si="257"/>
        <v>dtdc</v>
      </c>
      <c r="H1066" s="37" t="s">
        <v>195</v>
      </c>
      <c r="I1066" s="37" t="str">
        <f t="shared" si="258"/>
        <v>road</v>
      </c>
      <c r="J1066" s="37" t="s">
        <v>231</v>
      </c>
      <c r="K1066" s="37" t="str">
        <f t="shared" si="259"/>
        <v>furniture</v>
      </c>
      <c r="L1066" s="37" t="s">
        <v>264</v>
      </c>
      <c r="M1066" s="37" t="str">
        <f t="shared" si="260"/>
        <v>west</v>
      </c>
      <c r="N1066" s="37" t="s">
        <v>88</v>
      </c>
      <c r="O1066" s="41" t="str">
        <f t="shared" si="261"/>
        <v>Yes</v>
      </c>
      <c r="P1066" s="41" t="s">
        <v>3537</v>
      </c>
      <c r="Q1066" s="41">
        <v>1049</v>
      </c>
      <c r="R1066" s="42">
        <f t="shared" si="262"/>
        <v>17.0846905537459</v>
      </c>
      <c r="S1066" s="37">
        <v>8</v>
      </c>
      <c r="T1066" s="37" t="s">
        <v>1127</v>
      </c>
      <c r="U1066" s="43" t="str">
        <f t="shared" si="263"/>
        <v>20/06/2024</v>
      </c>
      <c r="V1066" s="43">
        <f t="shared" si="264"/>
        <v>45463</v>
      </c>
      <c r="W1066" s="44">
        <f t="array" ref="W1066">_xlfn.IFS(TRIM(C1066)="","",TRIM(V1066)="","",TRUE,V1066-C1066)</f>
        <v>9</v>
      </c>
      <c r="X1066" s="37">
        <f t="shared" si="265"/>
        <v>1</v>
      </c>
      <c r="Y1066" s="37" t="s">
        <v>2041</v>
      </c>
      <c r="Z1066" s="37" t="str">
        <f t="shared" si="266"/>
        <v>returned</v>
      </c>
      <c r="AA1066" s="37" t="str">
        <f t="shared" si="267"/>
        <v>Late</v>
      </c>
      <c r="AB1066" s="37" t="str">
        <f t="shared" si="270"/>
        <v>1</v>
      </c>
      <c r="AC1066" s="37">
        <f t="shared" si="271"/>
        <v>1</v>
      </c>
      <c r="AD1066" s="45">
        <f t="shared" si="269"/>
        <v>0.537593984962406</v>
      </c>
      <c r="AE1066" s="37"/>
      <c r="AF1066" s="37" t="s">
        <v>191</v>
      </c>
      <c r="AG1066" s="37" t="str">
        <f t="shared" si="268"/>
        <v>no</v>
      </c>
      <c r="AH1066" s="37" t="str">
        <f t="array" ref="AH1066">_xlfn.IFS(LOWER(AG1066)="n","no",LOWER(AG1066)="y","yes",TRUE,LOWER(AG1066))</f>
        <v>no</v>
      </c>
      <c r="AI1066" s="37" t="s">
        <v>1478</v>
      </c>
    </row>
    <row r="1067" spans="1:35">
      <c r="A1067" s="46" t="s">
        <v>3539</v>
      </c>
      <c r="B1067" s="47">
        <v>45379</v>
      </c>
      <c r="C1067" s="39">
        <f t="shared" si="256"/>
        <v>45379</v>
      </c>
      <c r="D1067" s="48" t="s">
        <v>212</v>
      </c>
      <c r="E1067" s="37" t="str" cm="1">
        <f t="array" ref="E1067">_xlfn.IFS(D1067="delhi","north",D1067="mumbai","west",D1067="bengaluru","south",D1067="chennai","south",D1067="kolkata","east",TRUE,"west")</f>
        <v>west</v>
      </c>
      <c r="F1067" s="46" t="s">
        <v>156</v>
      </c>
      <c r="G1067" s="37" t="str">
        <f t="shared" si="257"/>
        <v>xpressbees</v>
      </c>
      <c r="H1067" s="46" t="s">
        <v>244</v>
      </c>
      <c r="I1067" s="37" t="str">
        <f t="shared" si="258"/>
        <v>air</v>
      </c>
      <c r="J1067" s="46" t="s">
        <v>283</v>
      </c>
      <c r="K1067" s="37" t="str">
        <f t="shared" si="259"/>
        <v>pharma</v>
      </c>
      <c r="L1067" s="46" t="s">
        <v>51</v>
      </c>
      <c r="M1067" s="37" t="str">
        <f t="shared" si="260"/>
        <v>south</v>
      </c>
      <c r="N1067" s="46" t="s">
        <v>93</v>
      </c>
      <c r="O1067" s="41" t="str">
        <f t="shared" si="261"/>
        <v>Yes</v>
      </c>
      <c r="P1067" s="49">
        <v>3.8</v>
      </c>
      <c r="Q1067" s="49" t="s">
        <v>3540</v>
      </c>
      <c r="R1067" s="42">
        <f t="shared" si="262"/>
        <v>96.3157894736842</v>
      </c>
      <c r="S1067" s="46">
        <v>4</v>
      </c>
      <c r="T1067" s="46" t="s">
        <v>468</v>
      </c>
      <c r="U1067" s="43" t="str">
        <f t="shared" si="263"/>
        <v>01/04/2024</v>
      </c>
      <c r="V1067" s="43">
        <f t="shared" si="264"/>
        <v>45383</v>
      </c>
      <c r="W1067" s="44">
        <f t="array" ref="W1067">_xlfn.IFS(TRIM(C1067)="","",TRIM(V1067)="","",TRUE,V1067-C1067)</f>
        <v>4</v>
      </c>
      <c r="X1067" s="37">
        <f t="shared" si="265"/>
        <v>0</v>
      </c>
      <c r="Y1067" s="46" t="s">
        <v>105</v>
      </c>
      <c r="Z1067" s="37" t="str">
        <f t="shared" si="266"/>
        <v>delivered</v>
      </c>
      <c r="AA1067" s="37" t="str">
        <f t="shared" si="267"/>
        <v>On Time</v>
      </c>
      <c r="AB1067" s="37" t="str">
        <f t="shared" si="270"/>
        <v>0</v>
      </c>
      <c r="AC1067" s="37">
        <f t="shared" si="271"/>
        <v>0</v>
      </c>
      <c r="AD1067" s="45">
        <f t="shared" si="269"/>
        <v>0.536723163841808</v>
      </c>
      <c r="AE1067" s="46">
        <v>4</v>
      </c>
      <c r="AF1067" s="46" t="s">
        <v>181</v>
      </c>
      <c r="AG1067" s="37" t="str">
        <f t="shared" si="268"/>
        <v>y</v>
      </c>
      <c r="AH1067" s="37" t="str">
        <f t="array" ref="AH1067">_xlfn.IFS(LOWER(AG1067)="n","no",LOWER(AG1067)="y","yes",TRUE,LOWER(AG1067))</f>
        <v>yes</v>
      </c>
      <c r="AI1067" s="46" t="s">
        <v>4692</v>
      </c>
    </row>
    <row r="1068" spans="1:35">
      <c r="A1068" s="46" t="s">
        <v>3541</v>
      </c>
      <c r="B1068" s="47">
        <v>45389</v>
      </c>
      <c r="C1068" s="39">
        <f t="shared" si="256"/>
        <v>45389</v>
      </c>
      <c r="D1068" s="48" t="s">
        <v>633</v>
      </c>
      <c r="E1068" s="37" t="str" cm="1">
        <f t="array" ref="E1068">_xlfn.IFS(D1068="delhi","north",D1068="mumbai","west",D1068="bengaluru","south",D1068="chennai","south",D1068="kolkata","east",TRUE,"west")</f>
        <v>south</v>
      </c>
      <c r="F1068" s="46" t="s">
        <v>184</v>
      </c>
      <c r="G1068" s="37" t="str">
        <f t="shared" si="257"/>
        <v>ecomexpress</v>
      </c>
      <c r="H1068" s="46" t="s">
        <v>244</v>
      </c>
      <c r="I1068" s="37" t="str">
        <f t="shared" si="258"/>
        <v>air</v>
      </c>
      <c r="J1068" s="46" t="s">
        <v>313</v>
      </c>
      <c r="K1068" s="37" t="str">
        <f t="shared" si="259"/>
        <v>automotiveparts</v>
      </c>
      <c r="L1068" s="46" t="s">
        <v>418</v>
      </c>
      <c r="M1068" s="37" t="str">
        <f t="shared" si="260"/>
        <v>south</v>
      </c>
      <c r="N1068" s="46" t="s">
        <v>93</v>
      </c>
      <c r="O1068" s="41" t="str">
        <f t="shared" si="261"/>
        <v>Yes</v>
      </c>
      <c r="P1068" s="49" t="s">
        <v>3542</v>
      </c>
      <c r="Q1068" s="49">
        <v>540</v>
      </c>
      <c r="R1068" s="42">
        <f t="shared" si="262"/>
        <v>43.5483870967742</v>
      </c>
      <c r="S1068" s="46">
        <v>2</v>
      </c>
      <c r="T1068" s="46" t="s">
        <v>547</v>
      </c>
      <c r="U1068" s="43" t="str">
        <f t="shared" si="263"/>
        <v>10/04/2024</v>
      </c>
      <c r="V1068" s="43">
        <f t="shared" si="264"/>
        <v>45392</v>
      </c>
      <c r="W1068" s="44">
        <f t="array" ref="W1068">_xlfn.IFS(TRIM(C1068)="","",TRIM(V1068)="","",TRUE,V1068-C1068)</f>
        <v>3</v>
      </c>
      <c r="X1068" s="37">
        <f t="shared" si="265"/>
        <v>1</v>
      </c>
      <c r="Y1068" s="46" t="s">
        <v>143</v>
      </c>
      <c r="Z1068" s="37" t="str">
        <f t="shared" si="266"/>
        <v>delayed</v>
      </c>
      <c r="AA1068" s="37" t="str">
        <f t="shared" si="267"/>
        <v>Late</v>
      </c>
      <c r="AB1068" s="37" t="str">
        <f t="shared" si="270"/>
        <v>1</v>
      </c>
      <c r="AC1068" s="37">
        <f t="shared" si="271"/>
        <v>1</v>
      </c>
      <c r="AD1068" s="45">
        <f t="shared" si="269"/>
        <v>0.537735849056604</v>
      </c>
      <c r="AE1068" s="46">
        <v>2</v>
      </c>
      <c r="AF1068" s="46" t="s">
        <v>286</v>
      </c>
      <c r="AG1068" s="37" t="str">
        <f t="shared" si="268"/>
        <v>yes</v>
      </c>
      <c r="AH1068" s="37" t="str">
        <f t="array" ref="AH1068">_xlfn.IFS(LOWER(AG1068)="n","no",LOWER(AG1068)="y","yes",TRUE,LOWER(AG1068))</f>
        <v>yes</v>
      </c>
      <c r="AI1068" s="46" t="s">
        <v>4692</v>
      </c>
    </row>
    <row r="1069" spans="1:35">
      <c r="A1069" s="37" t="s">
        <v>3544</v>
      </c>
      <c r="B1069" s="38">
        <v>45361</v>
      </c>
      <c r="C1069" s="39">
        <f t="shared" si="256"/>
        <v>45361</v>
      </c>
      <c r="D1069" s="40" t="s">
        <v>300</v>
      </c>
      <c r="E1069" s="37" t="str" cm="1">
        <f t="array" ref="E1069">_xlfn.IFS(D1069="delhi","north",D1069="mumbai","west",D1069="bengaluru","south",D1069="chennai","south",D1069="kolkata","east",TRUE,"west")</f>
        <v>west</v>
      </c>
      <c r="F1069" s="37" t="s">
        <v>146</v>
      </c>
      <c r="G1069" s="37" t="str">
        <f t="shared" si="257"/>
        <v>ecomexpress</v>
      </c>
      <c r="H1069" s="37" t="s">
        <v>440</v>
      </c>
      <c r="I1069" s="37" t="str">
        <f t="shared" si="258"/>
        <v>road</v>
      </c>
      <c r="J1069" s="37" t="s">
        <v>47</v>
      </c>
      <c r="K1069" s="37" t="str">
        <f t="shared" si="259"/>
        <v>electronics</v>
      </c>
      <c r="L1069" s="37" t="s">
        <v>418</v>
      </c>
      <c r="M1069" s="37" t="str">
        <f t="shared" si="260"/>
        <v>south</v>
      </c>
      <c r="N1069" s="37" t="s">
        <v>90</v>
      </c>
      <c r="O1069" s="41" t="str">
        <f t="shared" si="261"/>
        <v>Yes</v>
      </c>
      <c r="P1069" s="41">
        <v>6.5</v>
      </c>
      <c r="Q1069" s="41" t="s">
        <v>3545</v>
      </c>
      <c r="R1069" s="42">
        <f t="shared" si="262"/>
        <v>15.8461538461538</v>
      </c>
      <c r="S1069" s="37">
        <v>6</v>
      </c>
      <c r="T1069" s="37" t="s">
        <v>597</v>
      </c>
      <c r="U1069" s="43" t="str">
        <f t="shared" si="263"/>
        <v>2024-03-20</v>
      </c>
      <c r="V1069" s="43">
        <f t="shared" si="264"/>
        <v>45371</v>
      </c>
      <c r="W1069" s="44">
        <f t="array" ref="W1069">_xlfn.IFS(TRIM(C1069)="","",TRIM(V1069)="","",TRUE,V1069-C1069)</f>
        <v>10</v>
      </c>
      <c r="X1069" s="37">
        <f t="shared" si="265"/>
        <v>4</v>
      </c>
      <c r="Y1069" s="37" t="s">
        <v>143</v>
      </c>
      <c r="Z1069" s="37" t="str">
        <f t="shared" si="266"/>
        <v>delayed</v>
      </c>
      <c r="AA1069" s="37" t="str">
        <f t="shared" si="267"/>
        <v>Late</v>
      </c>
      <c r="AB1069" s="37" t="str">
        <f t="shared" si="270"/>
        <v>1</v>
      </c>
      <c r="AC1069" s="37">
        <f t="shared" si="271"/>
        <v>1</v>
      </c>
      <c r="AD1069" s="45">
        <f t="shared" si="269"/>
        <v>0.536862003780718</v>
      </c>
      <c r="AE1069" s="37">
        <v>4</v>
      </c>
      <c r="AF1069" s="37" t="s">
        <v>191</v>
      </c>
      <c r="AG1069" s="37" t="str">
        <f t="shared" si="268"/>
        <v>no</v>
      </c>
      <c r="AH1069" s="37" t="str">
        <f t="array" ref="AH1069">_xlfn.IFS(LOWER(AG1069)="n","no",LOWER(AG1069)="y","yes",TRUE,LOWER(AG1069))</f>
        <v>no</v>
      </c>
      <c r="AI1069" s="37" t="s">
        <v>4692</v>
      </c>
    </row>
    <row r="1070" spans="1:35">
      <c r="A1070" s="46" t="s">
        <v>3546</v>
      </c>
      <c r="B1070" s="47">
        <v>45298</v>
      </c>
      <c r="C1070" s="39">
        <f t="shared" si="256"/>
        <v>45298</v>
      </c>
      <c r="D1070" s="48" t="s">
        <v>633</v>
      </c>
      <c r="E1070" s="37" t="str" cm="1">
        <f t="array" ref="E1070">_xlfn.IFS(D1070="delhi","north",D1070="mumbai","west",D1070="bengaluru","south",D1070="chennai","south",D1070="kolkata","east",TRUE,"west")</f>
        <v>south</v>
      </c>
      <c r="F1070" s="46" t="s">
        <v>223</v>
      </c>
      <c r="G1070" s="37" t="str">
        <f t="shared" si="257"/>
        <v>xpressbees</v>
      </c>
      <c r="H1070" s="46" t="s">
        <v>224</v>
      </c>
      <c r="I1070" s="37" t="str">
        <f t="shared" si="258"/>
        <v>air</v>
      </c>
      <c r="J1070" s="46" t="s">
        <v>205</v>
      </c>
      <c r="K1070" s="37" t="str">
        <f t="shared" si="259"/>
        <v>furniture</v>
      </c>
      <c r="L1070" s="46" t="s">
        <v>302</v>
      </c>
      <c r="M1070" s="37" t="str">
        <f t="shared" si="260"/>
        <v>east</v>
      </c>
      <c r="N1070" s="46" t="s">
        <v>294</v>
      </c>
      <c r="O1070" s="41" t="str">
        <f t="shared" si="261"/>
        <v>Yes</v>
      </c>
      <c r="P1070" s="49">
        <v>55</v>
      </c>
      <c r="Q1070" s="49" t="s">
        <v>3548</v>
      </c>
      <c r="R1070" s="42">
        <f t="shared" si="262"/>
        <v>48.6181818181818</v>
      </c>
      <c r="S1070" s="46">
        <v>4</v>
      </c>
      <c r="T1070" s="46" t="s">
        <v>506</v>
      </c>
      <c r="U1070" s="43" t="str">
        <f t="shared" si="263"/>
        <v>19-jan-2024</v>
      </c>
      <c r="V1070" s="43">
        <f t="shared" si="264"/>
        <v>45310</v>
      </c>
      <c r="W1070" s="44">
        <f t="array" ref="W1070">_xlfn.IFS(TRIM(C1070)="","",TRIM(V1070)="","",TRUE,V1070-C1070)</f>
        <v>12</v>
      </c>
      <c r="X1070" s="37">
        <f t="shared" si="265"/>
        <v>8</v>
      </c>
      <c r="Y1070" s="46" t="s">
        <v>143</v>
      </c>
      <c r="Z1070" s="37" t="str">
        <f t="shared" si="266"/>
        <v>delayed</v>
      </c>
      <c r="AA1070" s="37" t="str">
        <f t="shared" si="267"/>
        <v>Late</v>
      </c>
      <c r="AB1070" s="37" t="str">
        <f t="shared" si="270"/>
        <v>1</v>
      </c>
      <c r="AC1070" s="37">
        <f t="shared" si="271"/>
        <v>1</v>
      </c>
      <c r="AD1070" s="45">
        <f t="shared" si="269"/>
        <v>0.535984848484849</v>
      </c>
      <c r="AE1070" s="46">
        <v>2</v>
      </c>
      <c r="AF1070" s="46" t="s">
        <v>118</v>
      </c>
      <c r="AG1070" s="37" t="str">
        <f t="shared" si="268"/>
        <v>no</v>
      </c>
      <c r="AH1070" s="37" t="str">
        <f t="array" ref="AH1070">_xlfn.IFS(LOWER(AG1070)="n","no",LOWER(AG1070)="y","yes",TRUE,LOWER(AG1070))</f>
        <v>no</v>
      </c>
      <c r="AI1070" s="46" t="s">
        <v>4692</v>
      </c>
    </row>
    <row r="1071" spans="1:35">
      <c r="A1071" s="37" t="s">
        <v>3549</v>
      </c>
      <c r="B1071" s="38" t="s">
        <v>4843</v>
      </c>
      <c r="C1071" s="39">
        <f t="shared" si="256"/>
        <v>45298</v>
      </c>
      <c r="D1071" s="40" t="s">
        <v>4694</v>
      </c>
      <c r="E1071" s="37" t="str" cm="1">
        <f t="array" ref="E1071">_xlfn.IFS(D1071="delhi","north",D1071="mumbai","west",D1071="bengaluru","south",D1071="chennai","south",D1071="kolkata","east",TRUE,"west")</f>
        <v>west</v>
      </c>
      <c r="F1071" s="37" t="s">
        <v>270</v>
      </c>
      <c r="G1071" s="37" t="str">
        <f t="shared" si="257"/>
        <v>ecomexpress</v>
      </c>
      <c r="H1071" s="37" t="s">
        <v>42</v>
      </c>
      <c r="I1071" s="37" t="str">
        <f t="shared" si="258"/>
        <v>surface</v>
      </c>
      <c r="J1071" s="37" t="s">
        <v>205</v>
      </c>
      <c r="K1071" s="37" t="str">
        <f t="shared" si="259"/>
        <v>furniture</v>
      </c>
      <c r="L1071" s="37" t="s">
        <v>470</v>
      </c>
      <c r="M1071" s="37" t="str">
        <f t="shared" si="260"/>
        <v>east</v>
      </c>
      <c r="N1071" s="37" t="s">
        <v>126</v>
      </c>
      <c r="O1071" s="41" t="str">
        <f t="shared" si="261"/>
        <v>Yes</v>
      </c>
      <c r="P1071" s="41" t="s">
        <v>3550</v>
      </c>
      <c r="Q1071" s="50">
        <v>1736</v>
      </c>
      <c r="R1071" s="42">
        <f t="shared" si="262"/>
        <v>24.2797202797203</v>
      </c>
      <c r="S1071" s="37">
        <v>6</v>
      </c>
      <c r="T1071" s="37" t="s">
        <v>1401</v>
      </c>
      <c r="U1071" s="43" t="str">
        <f t="shared" si="263"/>
        <v>12/01/2024</v>
      </c>
      <c r="V1071" s="43">
        <f t="shared" si="264"/>
        <v>45303</v>
      </c>
      <c r="W1071" s="44">
        <f t="array" ref="W1071">_xlfn.IFS(TRIM(C1071)="","",TRIM(V1071)="","",TRUE,V1071-C1071)</f>
        <v>5</v>
      </c>
      <c r="X1071" s="37">
        <f t="shared" si="265"/>
        <v>-1</v>
      </c>
      <c r="Y1071" s="37" t="s">
        <v>105</v>
      </c>
      <c r="Z1071" s="37" t="str">
        <f t="shared" si="266"/>
        <v>delivered</v>
      </c>
      <c r="AA1071" s="37" t="str">
        <f t="shared" si="267"/>
        <v>On Time</v>
      </c>
      <c r="AB1071" s="37" t="str">
        <f t="shared" si="270"/>
        <v>0</v>
      </c>
      <c r="AC1071" s="37">
        <f t="shared" si="271"/>
        <v>0</v>
      </c>
      <c r="AD1071" s="45">
        <f t="shared" si="269"/>
        <v>0.535104364326376</v>
      </c>
      <c r="AE1071" s="37">
        <v>4</v>
      </c>
      <c r="AF1071" s="37" t="s">
        <v>286</v>
      </c>
      <c r="AG1071" s="37" t="str">
        <f t="shared" si="268"/>
        <v>yes</v>
      </c>
      <c r="AH1071" s="37" t="str">
        <f t="array" ref="AH1071">_xlfn.IFS(LOWER(AG1071)="n","no",LOWER(AG1071)="y","yes",TRUE,LOWER(AG1071))</f>
        <v>yes</v>
      </c>
      <c r="AI1071" s="37" t="s">
        <v>4692</v>
      </c>
    </row>
    <row r="1072" spans="1:35">
      <c r="A1072" s="46" t="s">
        <v>3552</v>
      </c>
      <c r="B1072" s="47">
        <v>45347</v>
      </c>
      <c r="C1072" s="39">
        <f t="shared" si="256"/>
        <v>45347</v>
      </c>
      <c r="D1072" s="48" t="s">
        <v>633</v>
      </c>
      <c r="E1072" s="37" t="str" cm="1">
        <f t="array" ref="E1072">_xlfn.IFS(D1072="delhi","north",D1072="mumbai","west",D1072="bengaluru","south",D1072="chennai","south",D1072="kolkata","east",TRUE,"west")</f>
        <v>south</v>
      </c>
      <c r="F1072" s="46" t="s">
        <v>919</v>
      </c>
      <c r="G1072" s="37" t="str">
        <f t="shared" si="257"/>
        <v>xpressbees</v>
      </c>
      <c r="H1072" s="46" t="s">
        <v>110</v>
      </c>
      <c r="I1072" s="37" t="str">
        <f t="shared" si="258"/>
        <v>surface</v>
      </c>
      <c r="J1072" s="46" t="s">
        <v>430</v>
      </c>
      <c r="K1072" s="37" t="str">
        <f t="shared" si="259"/>
        <v>pharma</v>
      </c>
      <c r="L1072" s="46" t="s">
        <v>302</v>
      </c>
      <c r="M1072" s="37" t="str">
        <f t="shared" si="260"/>
        <v>east</v>
      </c>
      <c r="N1072" s="46" t="s">
        <v>294</v>
      </c>
      <c r="O1072" s="41" t="str">
        <f t="shared" si="261"/>
        <v>Yes</v>
      </c>
      <c r="P1072" s="49" t="s">
        <v>1818</v>
      </c>
      <c r="Q1072" s="49">
        <v>267</v>
      </c>
      <c r="R1072" s="42">
        <f t="shared" si="262"/>
        <v>60.6818181818182</v>
      </c>
      <c r="S1072" s="46">
        <v>6</v>
      </c>
      <c r="T1072" s="46" t="s">
        <v>1322</v>
      </c>
      <c r="U1072" s="43" t="str">
        <f t="shared" si="263"/>
        <v>03-mar-2024</v>
      </c>
      <c r="V1072" s="43">
        <f t="shared" si="264"/>
        <v>45354</v>
      </c>
      <c r="W1072" s="44">
        <f t="array" ref="W1072">_xlfn.IFS(TRIM(C1072)="","",TRIM(V1072)="","",TRUE,V1072-C1072)</f>
        <v>7</v>
      </c>
      <c r="X1072" s="37">
        <f t="shared" si="265"/>
        <v>1</v>
      </c>
      <c r="Y1072" s="46" t="s">
        <v>143</v>
      </c>
      <c r="Z1072" s="37" t="str">
        <f t="shared" si="266"/>
        <v>delayed</v>
      </c>
      <c r="AA1072" s="37" t="str">
        <f t="shared" si="267"/>
        <v>Late</v>
      </c>
      <c r="AB1072" s="37" t="str">
        <f t="shared" si="270"/>
        <v>1</v>
      </c>
      <c r="AC1072" s="37">
        <f t="shared" si="271"/>
        <v>1</v>
      </c>
      <c r="AD1072" s="45">
        <f t="shared" si="269"/>
        <v>0.536121673003802</v>
      </c>
      <c r="AE1072" s="46">
        <v>2</v>
      </c>
      <c r="AF1072" s="46" t="s">
        <v>106</v>
      </c>
      <c r="AG1072" s="37" t="str">
        <f t="shared" si="268"/>
        <v>yes</v>
      </c>
      <c r="AH1072" s="37" t="str">
        <f t="array" ref="AH1072">_xlfn.IFS(LOWER(AG1072)="n","no",LOWER(AG1072)="y","yes",TRUE,LOWER(AG1072))</f>
        <v>yes</v>
      </c>
      <c r="AI1072" s="46" t="s">
        <v>4692</v>
      </c>
    </row>
    <row r="1073" spans="1:35">
      <c r="A1073" s="37" t="s">
        <v>3554</v>
      </c>
      <c r="B1073" s="38" t="s">
        <v>4790</v>
      </c>
      <c r="C1073" s="39">
        <f t="shared" si="256"/>
        <v>45423</v>
      </c>
      <c r="D1073" s="40" t="s">
        <v>4695</v>
      </c>
      <c r="E1073" s="37" t="str" cm="1">
        <f t="array" ref="E1073">_xlfn.IFS(D1073="delhi","north",D1073="mumbai","west",D1073="bengaluru","south",D1073="chennai","south",D1073="kolkata","east",TRUE,"west")</f>
        <v>west</v>
      </c>
      <c r="F1073" s="37" t="s">
        <v>919</v>
      </c>
      <c r="G1073" s="37" t="str">
        <f t="shared" si="257"/>
        <v>xpressbees</v>
      </c>
      <c r="H1073" s="37" t="s">
        <v>185</v>
      </c>
      <c r="I1073" s="37" t="str">
        <f t="shared" si="258"/>
        <v>surface</v>
      </c>
      <c r="J1073" s="37" t="s">
        <v>148</v>
      </c>
      <c r="K1073" s="37" t="str">
        <f t="shared" si="259"/>
        <v>electronics</v>
      </c>
      <c r="L1073" s="37" t="s">
        <v>92</v>
      </c>
      <c r="M1073" s="37" t="str">
        <f t="shared" si="260"/>
        <v>east</v>
      </c>
      <c r="N1073" s="37" t="s">
        <v>396</v>
      </c>
      <c r="O1073" s="41" t="str">
        <f t="shared" si="261"/>
        <v>Yes</v>
      </c>
      <c r="P1073" s="41">
        <v>14.1</v>
      </c>
      <c r="Q1073" s="41">
        <v>481</v>
      </c>
      <c r="R1073" s="42">
        <f t="shared" si="262"/>
        <v>34.113475177305</v>
      </c>
      <c r="S1073" s="37">
        <v>6</v>
      </c>
      <c r="T1073" s="37" t="s">
        <v>750</v>
      </c>
      <c r="U1073" s="43" t="str">
        <f t="shared" si="263"/>
        <v>18-may-2024</v>
      </c>
      <c r="V1073" s="43">
        <f t="shared" si="264"/>
        <v>45430</v>
      </c>
      <c r="W1073" s="44">
        <f t="array" ref="W1073">_xlfn.IFS(TRIM(C1073)="","",TRIM(V1073)="","",TRUE,V1073-C1073)</f>
        <v>7</v>
      </c>
      <c r="X1073" s="37">
        <f t="shared" si="265"/>
        <v>1</v>
      </c>
      <c r="Y1073" s="37" t="s">
        <v>72</v>
      </c>
      <c r="Z1073" s="37" t="str">
        <f t="shared" si="266"/>
        <v>delayed</v>
      </c>
      <c r="AA1073" s="37" t="str">
        <f t="shared" si="267"/>
        <v>Late</v>
      </c>
      <c r="AB1073" s="37" t="str">
        <f t="shared" si="270"/>
        <v>1</v>
      </c>
      <c r="AC1073" s="37">
        <f t="shared" si="271"/>
        <v>1</v>
      </c>
      <c r="AD1073" s="45">
        <f t="shared" si="269"/>
        <v>0.535238095238095</v>
      </c>
      <c r="AE1073" s="37">
        <v>2</v>
      </c>
      <c r="AF1073" s="37" t="s">
        <v>152</v>
      </c>
      <c r="AG1073" s="37" t="str">
        <f t="shared" si="268"/>
        <v>no</v>
      </c>
      <c r="AH1073" s="37" t="str">
        <f t="array" ref="AH1073">_xlfn.IFS(LOWER(AG1073)="n","no",LOWER(AG1073)="y","yes",TRUE,LOWER(AG1073))</f>
        <v>no</v>
      </c>
      <c r="AI1073" s="37" t="s">
        <v>4692</v>
      </c>
    </row>
    <row r="1074" spans="1:35">
      <c r="A1074" s="46" t="s">
        <v>3556</v>
      </c>
      <c r="B1074" s="47" t="s">
        <v>4727</v>
      </c>
      <c r="C1074" s="39">
        <f t="shared" si="256"/>
        <v>45361</v>
      </c>
      <c r="D1074" s="48" t="s">
        <v>166</v>
      </c>
      <c r="E1074" s="37" t="str" cm="1">
        <f t="array" ref="E1074">_xlfn.IFS(D1074="delhi","north",D1074="mumbai","west",D1074="bengaluru","south",D1074="chennai","south",D1074="kolkata","east",TRUE,"west")</f>
        <v>west</v>
      </c>
      <c r="F1074" s="46" t="s">
        <v>175</v>
      </c>
      <c r="G1074" s="37" t="str">
        <f t="shared" si="257"/>
        <v>ecomexpress</v>
      </c>
      <c r="H1074" s="46" t="s">
        <v>137</v>
      </c>
      <c r="I1074" s="37" t="str">
        <f t="shared" si="258"/>
        <v>road</v>
      </c>
      <c r="J1074" s="46" t="s">
        <v>301</v>
      </c>
      <c r="K1074" s="37" t="str">
        <f t="shared" si="259"/>
        <v>furniture</v>
      </c>
      <c r="L1074" s="46" t="s">
        <v>92</v>
      </c>
      <c r="M1074" s="37" t="str">
        <f t="shared" si="260"/>
        <v>east</v>
      </c>
      <c r="N1074" s="46" t="s">
        <v>91</v>
      </c>
      <c r="O1074" s="41" t="str">
        <f t="shared" si="261"/>
        <v>Yes</v>
      </c>
      <c r="P1074" s="49">
        <v>79.5</v>
      </c>
      <c r="Q1074" s="51">
        <v>1168</v>
      </c>
      <c r="R1074" s="42">
        <f t="shared" si="262"/>
        <v>14.6918238993711</v>
      </c>
      <c r="S1074" s="46">
        <v>6</v>
      </c>
      <c r="T1074" s="46" t="s">
        <v>1380</v>
      </c>
      <c r="U1074" s="43" t="str">
        <f t="shared" si="263"/>
        <v>16/03/2024</v>
      </c>
      <c r="V1074" s="43">
        <f t="shared" si="264"/>
        <v>45367</v>
      </c>
      <c r="W1074" s="44">
        <f t="array" ref="W1074">_xlfn.IFS(TRIM(C1074)="","",TRIM(V1074)="","",TRUE,V1074-C1074)</f>
        <v>6</v>
      </c>
      <c r="X1074" s="37">
        <f t="shared" si="265"/>
        <v>0</v>
      </c>
      <c r="Y1074" s="46" t="s">
        <v>163</v>
      </c>
      <c r="Z1074" s="37" t="str">
        <f t="shared" si="266"/>
        <v>delivered</v>
      </c>
      <c r="AA1074" s="37" t="str">
        <f t="shared" si="267"/>
        <v>On Time</v>
      </c>
      <c r="AB1074" s="37" t="str">
        <f t="shared" si="270"/>
        <v>0</v>
      </c>
      <c r="AC1074" s="37">
        <f t="shared" si="271"/>
        <v>0</v>
      </c>
      <c r="AD1074" s="45">
        <f t="shared" si="269"/>
        <v>0.534351145038168</v>
      </c>
      <c r="AE1074" s="46">
        <v>3</v>
      </c>
      <c r="AF1074" s="46" t="s">
        <v>79</v>
      </c>
      <c r="AG1074" s="37" t="str">
        <f t="shared" si="268"/>
        <v>yes</v>
      </c>
      <c r="AH1074" s="37" t="str">
        <f t="array" ref="AH1074">_xlfn.IFS(LOWER(AG1074)="n","no",LOWER(AG1074)="y","yes",TRUE,LOWER(AG1074))</f>
        <v>yes</v>
      </c>
      <c r="AI1074" s="46" t="s">
        <v>4692</v>
      </c>
    </row>
    <row r="1075" spans="1:35">
      <c r="A1075" s="37" t="s">
        <v>3559</v>
      </c>
      <c r="B1075" s="38">
        <v>45456</v>
      </c>
      <c r="C1075" s="39">
        <f t="shared" si="256"/>
        <v>45456</v>
      </c>
      <c r="D1075" s="40" t="s">
        <v>366</v>
      </c>
      <c r="E1075" s="37" t="str" cm="1">
        <f t="array" ref="E1075">_xlfn.IFS(D1075="delhi","north",D1075="mumbai","west",D1075="bengaluru","south",D1075="chennai","south",D1075="kolkata","east",TRUE,"west")</f>
        <v>east</v>
      </c>
      <c r="F1075" s="37" t="s">
        <v>312</v>
      </c>
      <c r="G1075" s="37" t="str">
        <f t="shared" si="257"/>
        <v>bluedart</v>
      </c>
      <c r="H1075" s="37" t="s">
        <v>123</v>
      </c>
      <c r="I1075" s="37" t="str">
        <f t="shared" si="258"/>
        <v>air</v>
      </c>
      <c r="J1075" s="37" t="s">
        <v>177</v>
      </c>
      <c r="K1075" s="37" t="str">
        <f t="shared" si="259"/>
        <v>pharma</v>
      </c>
      <c r="L1075" s="37" t="s">
        <v>264</v>
      </c>
      <c r="M1075" s="37" t="str">
        <f t="shared" si="260"/>
        <v>west</v>
      </c>
      <c r="N1075" s="37" t="s">
        <v>206</v>
      </c>
      <c r="O1075" s="41" t="str">
        <f t="shared" si="261"/>
        <v>Yes</v>
      </c>
      <c r="P1075" s="41" t="s">
        <v>436</v>
      </c>
      <c r="Q1075" s="41">
        <v>328</v>
      </c>
      <c r="R1075" s="42">
        <f t="shared" si="262"/>
        <v>109.333333333333</v>
      </c>
      <c r="S1075" s="37">
        <v>4</v>
      </c>
      <c r="T1075" s="37" t="s">
        <v>1638</v>
      </c>
      <c r="U1075" s="43" t="str">
        <f t="shared" si="263"/>
        <v>16/06/2024</v>
      </c>
      <c r="V1075" s="43">
        <f t="shared" si="264"/>
        <v>45459</v>
      </c>
      <c r="W1075" s="44">
        <f t="array" ref="W1075">_xlfn.IFS(TRIM(C1075)="","",TRIM(V1075)="","",TRUE,V1075-C1075)</f>
        <v>3</v>
      </c>
      <c r="X1075" s="37">
        <f t="shared" si="265"/>
        <v>-1</v>
      </c>
      <c r="Y1075" s="37" t="s">
        <v>163</v>
      </c>
      <c r="Z1075" s="37" t="str">
        <f t="shared" si="266"/>
        <v>delivered</v>
      </c>
      <c r="AA1075" s="37" t="str">
        <f t="shared" si="267"/>
        <v>On Time</v>
      </c>
      <c r="AB1075" s="37" t="str">
        <f t="shared" si="270"/>
        <v>0</v>
      </c>
      <c r="AC1075" s="37">
        <f t="shared" si="271"/>
        <v>0</v>
      </c>
      <c r="AD1075" s="45">
        <f t="shared" si="269"/>
        <v>0.535372848948375</v>
      </c>
      <c r="AE1075" s="37">
        <v>5</v>
      </c>
      <c r="AF1075" s="37" t="s">
        <v>191</v>
      </c>
      <c r="AG1075" s="37" t="str">
        <f t="shared" si="268"/>
        <v>no</v>
      </c>
      <c r="AH1075" s="37" t="str">
        <f t="array" ref="AH1075">_xlfn.IFS(LOWER(AG1075)="n","no",LOWER(AG1075)="y","yes",TRUE,LOWER(AG1075))</f>
        <v>no</v>
      </c>
      <c r="AI1075" s="37" t="s">
        <v>4692</v>
      </c>
    </row>
    <row r="1076" spans="1:35">
      <c r="A1076" s="46" t="s">
        <v>3561</v>
      </c>
      <c r="B1076" s="47">
        <v>45358</v>
      </c>
      <c r="C1076" s="39">
        <f t="shared" si="256"/>
        <v>45358</v>
      </c>
      <c r="D1076" s="48" t="s">
        <v>4704</v>
      </c>
      <c r="E1076" s="37" t="str" cm="1">
        <f t="array" ref="E1076">_xlfn.IFS(D1076="delhi","north",D1076="mumbai","west",D1076="bengaluru","south",D1076="chennai","south",D1076="kolkata","east",TRUE,"west")</f>
        <v>west</v>
      </c>
      <c r="F1076" s="46" t="s">
        <v>223</v>
      </c>
      <c r="G1076" s="37" t="str">
        <f t="shared" si="257"/>
        <v>xpressbees</v>
      </c>
      <c r="H1076" s="46" t="s">
        <v>224</v>
      </c>
      <c r="I1076" s="37" t="str">
        <f t="shared" si="258"/>
        <v>air</v>
      </c>
      <c r="J1076" s="46" t="s">
        <v>313</v>
      </c>
      <c r="K1076" s="37" t="str">
        <f t="shared" si="259"/>
        <v>automotiveparts</v>
      </c>
      <c r="L1076" s="46" t="s">
        <v>257</v>
      </c>
      <c r="M1076" s="37" t="str">
        <f t="shared" si="260"/>
        <v>west</v>
      </c>
      <c r="N1076" s="46" t="s">
        <v>206</v>
      </c>
      <c r="O1076" s="41" t="str">
        <f t="shared" si="261"/>
        <v>Yes</v>
      </c>
      <c r="P1076" s="49">
        <v>27.9</v>
      </c>
      <c r="Q1076" s="49" t="s">
        <v>3563</v>
      </c>
      <c r="R1076" s="42">
        <f t="shared" si="262"/>
        <v>49.5340501792115</v>
      </c>
      <c r="S1076" s="46">
        <v>4</v>
      </c>
      <c r="T1076" s="46" t="s">
        <v>1838</v>
      </c>
      <c r="U1076" s="43" t="str">
        <f t="shared" si="263"/>
        <v>11/03/2024</v>
      </c>
      <c r="V1076" s="43">
        <f t="shared" si="264"/>
        <v>45362</v>
      </c>
      <c r="W1076" s="44">
        <f t="array" ref="W1076">_xlfn.IFS(TRIM(C1076)="","",TRIM(V1076)="","",TRUE,V1076-C1076)</f>
        <v>4</v>
      </c>
      <c r="X1076" s="37">
        <f t="shared" si="265"/>
        <v>0</v>
      </c>
      <c r="Y1076" s="46" t="s">
        <v>163</v>
      </c>
      <c r="Z1076" s="37" t="str">
        <f t="shared" si="266"/>
        <v>delivered</v>
      </c>
      <c r="AA1076" s="37" t="str">
        <f t="shared" si="267"/>
        <v>On Time</v>
      </c>
      <c r="AB1076" s="37" t="str">
        <f t="shared" si="270"/>
        <v>0</v>
      </c>
      <c r="AC1076" s="37">
        <f t="shared" si="271"/>
        <v>0</v>
      </c>
      <c r="AD1076" s="45">
        <f t="shared" si="269"/>
        <v>0.53639846743295</v>
      </c>
      <c r="AE1076" s="46">
        <v>4</v>
      </c>
      <c r="AF1076" s="46" t="s">
        <v>152</v>
      </c>
      <c r="AG1076" s="37" t="str">
        <f t="shared" si="268"/>
        <v>no</v>
      </c>
      <c r="AH1076" s="37" t="str">
        <f t="array" ref="AH1076">_xlfn.IFS(LOWER(AG1076)="n","no",LOWER(AG1076)="y","yes",TRUE,LOWER(AG1076))</f>
        <v>no</v>
      </c>
      <c r="AI1076" s="46" t="s">
        <v>4692</v>
      </c>
    </row>
    <row r="1077" spans="1:35">
      <c r="A1077" s="37" t="s">
        <v>3564</v>
      </c>
      <c r="B1077" s="38">
        <v>45360</v>
      </c>
      <c r="C1077" s="39">
        <f t="shared" si="256"/>
        <v>45360</v>
      </c>
      <c r="D1077" s="40" t="s">
        <v>300</v>
      </c>
      <c r="E1077" s="37" t="str" cm="1">
        <f t="array" ref="E1077">_xlfn.IFS(D1077="delhi","north",D1077="mumbai","west",D1077="bengaluru","south",D1077="chennai","south",D1077="kolkata","east",TRUE,"west")</f>
        <v>west</v>
      </c>
      <c r="F1077" s="37" t="s">
        <v>136</v>
      </c>
      <c r="G1077" s="37" t="str">
        <f t="shared" si="257"/>
        <v>bluedart</v>
      </c>
      <c r="H1077" s="37" t="s">
        <v>157</v>
      </c>
      <c r="I1077" s="37" t="str">
        <f t="shared" si="258"/>
        <v>surface</v>
      </c>
      <c r="J1077" s="37" t="s">
        <v>214</v>
      </c>
      <c r="K1077" s="37" t="str">
        <f t="shared" si="259"/>
        <v>grocery&amp;fmcg</v>
      </c>
      <c r="L1077" s="37" t="s">
        <v>418</v>
      </c>
      <c r="M1077" s="37" t="str">
        <f t="shared" si="260"/>
        <v>south</v>
      </c>
      <c r="N1077" s="37" t="s">
        <v>327</v>
      </c>
      <c r="O1077" s="41" t="str">
        <f t="shared" si="261"/>
        <v>Yes</v>
      </c>
      <c r="P1077" s="41">
        <v>2.7</v>
      </c>
      <c r="Q1077" s="41" t="s">
        <v>432</v>
      </c>
      <c r="R1077" s="42">
        <f t="shared" si="262"/>
        <v>29.6296296296296</v>
      </c>
      <c r="S1077" s="37">
        <v>4</v>
      </c>
      <c r="T1077" s="37" t="s">
        <v>846</v>
      </c>
      <c r="U1077" s="43" t="str">
        <f t="shared" si="263"/>
        <v>2024-03-14</v>
      </c>
      <c r="V1077" s="43">
        <f t="shared" si="264"/>
        <v>45365</v>
      </c>
      <c r="W1077" s="44">
        <f t="array" ref="W1077">_xlfn.IFS(TRIM(C1077)="","",TRIM(V1077)="","",TRUE,V1077-C1077)</f>
        <v>5</v>
      </c>
      <c r="X1077" s="37">
        <f t="shared" si="265"/>
        <v>1</v>
      </c>
      <c r="Y1077" s="37" t="s">
        <v>200</v>
      </c>
      <c r="Z1077" s="37" t="str">
        <f t="shared" si="266"/>
        <v>delayed</v>
      </c>
      <c r="AA1077" s="37" t="str">
        <f t="shared" si="267"/>
        <v>Late</v>
      </c>
      <c r="AB1077" s="37" t="str">
        <f t="shared" si="270"/>
        <v>1</v>
      </c>
      <c r="AC1077" s="37">
        <f t="shared" si="271"/>
        <v>1</v>
      </c>
      <c r="AD1077" s="45">
        <f t="shared" si="269"/>
        <v>0.53742802303263</v>
      </c>
      <c r="AE1077" s="37">
        <v>3</v>
      </c>
      <c r="AF1077" s="37" t="s">
        <v>106</v>
      </c>
      <c r="AG1077" s="37" t="str">
        <f t="shared" si="268"/>
        <v>yes</v>
      </c>
      <c r="AH1077" s="37" t="str">
        <f t="array" ref="AH1077">_xlfn.IFS(LOWER(AG1077)="n","no",LOWER(AG1077)="y","yes",TRUE,LOWER(AG1077))</f>
        <v>yes</v>
      </c>
      <c r="AI1077" s="37" t="s">
        <v>4692</v>
      </c>
    </row>
    <row r="1078" spans="1:35">
      <c r="A1078" s="46" t="s">
        <v>3565</v>
      </c>
      <c r="B1078" s="47">
        <v>45293</v>
      </c>
      <c r="C1078" s="39">
        <f t="shared" si="256"/>
        <v>45293</v>
      </c>
      <c r="D1078" s="48" t="s">
        <v>109</v>
      </c>
      <c r="E1078" s="37" t="str" cm="1">
        <f t="array" ref="E1078">_xlfn.IFS(D1078="delhi","north",D1078="mumbai","west",D1078="bengaluru","south",D1078="chennai","south",D1078="kolkata","east",TRUE,"west")</f>
        <v>west</v>
      </c>
      <c r="F1078" s="46" t="s">
        <v>98</v>
      </c>
      <c r="G1078" s="37" t="str">
        <f t="shared" si="257"/>
        <v>dtdc</v>
      </c>
      <c r="H1078" s="46" t="s">
        <v>440</v>
      </c>
      <c r="I1078" s="37" t="str">
        <f t="shared" si="258"/>
        <v>road</v>
      </c>
      <c r="J1078" s="46" t="s">
        <v>167</v>
      </c>
      <c r="K1078" s="37" t="str">
        <f t="shared" si="259"/>
        <v>pharma</v>
      </c>
      <c r="L1078" s="46" t="s">
        <v>418</v>
      </c>
      <c r="M1078" s="37" t="str">
        <f t="shared" si="260"/>
        <v>south</v>
      </c>
      <c r="N1078" s="46" t="s">
        <v>54</v>
      </c>
      <c r="O1078" s="41" t="str">
        <f t="shared" si="261"/>
        <v>Yes</v>
      </c>
      <c r="P1078" s="49">
        <v>4.5</v>
      </c>
      <c r="Q1078" s="49" t="s">
        <v>1731</v>
      </c>
      <c r="R1078" s="42">
        <f t="shared" si="262"/>
        <v>45.7777777777778</v>
      </c>
      <c r="S1078" s="46">
        <v>8</v>
      </c>
      <c r="T1078" s="46" t="s">
        <v>443</v>
      </c>
      <c r="U1078" s="43" t="str">
        <f t="shared" si="263"/>
        <v>2024-01-11</v>
      </c>
      <c r="V1078" s="43">
        <f t="shared" si="264"/>
        <v>45302</v>
      </c>
      <c r="W1078" s="44">
        <f t="array" ref="W1078">_xlfn.IFS(TRIM(C1078)="","",TRIM(V1078)="","",TRUE,V1078-C1078)</f>
        <v>9</v>
      </c>
      <c r="X1078" s="37">
        <f t="shared" si="265"/>
        <v>1</v>
      </c>
      <c r="Y1078" s="46" t="s">
        <v>172</v>
      </c>
      <c r="Z1078" s="37" t="str">
        <f t="shared" si="266"/>
        <v>delayed</v>
      </c>
      <c r="AA1078" s="37" t="str">
        <f t="shared" si="267"/>
        <v>Late</v>
      </c>
      <c r="AB1078" s="37" t="str">
        <f t="shared" si="270"/>
        <v>1</v>
      </c>
      <c r="AC1078" s="37">
        <f t="shared" si="271"/>
        <v>1</v>
      </c>
      <c r="AD1078" s="45">
        <f t="shared" si="269"/>
        <v>0.536538461538462</v>
      </c>
      <c r="AE1078" s="46">
        <v>3</v>
      </c>
      <c r="AF1078" s="46" t="s">
        <v>131</v>
      </c>
      <c r="AG1078" s="37" t="str">
        <f t="shared" si="268"/>
        <v>n</v>
      </c>
      <c r="AH1078" s="37" t="str">
        <f t="array" ref="AH1078">_xlfn.IFS(LOWER(AG1078)="n","no",LOWER(AG1078)="y","yes",TRUE,LOWER(AG1078))</f>
        <v>no</v>
      </c>
      <c r="AI1078" s="46" t="s">
        <v>4692</v>
      </c>
    </row>
    <row r="1079" spans="1:35">
      <c r="A1079" s="37" t="s">
        <v>3566</v>
      </c>
      <c r="B1079" s="38" t="s">
        <v>4780</v>
      </c>
      <c r="C1079" s="39">
        <f t="shared" si="256"/>
        <v>45399</v>
      </c>
      <c r="D1079" s="40" t="s">
        <v>121</v>
      </c>
      <c r="E1079" s="37" t="str" cm="1">
        <f t="array" ref="E1079">_xlfn.IFS(D1079="delhi","north",D1079="mumbai","west",D1079="bengaluru","south",D1079="chennai","south",D1079="kolkata","east",TRUE,"west")</f>
        <v>west</v>
      </c>
      <c r="F1079" s="37" t="s">
        <v>544</v>
      </c>
      <c r="G1079" s="37" t="str">
        <f t="shared" si="257"/>
        <v>bluedart</v>
      </c>
      <c r="H1079" s="37" t="s">
        <v>99</v>
      </c>
      <c r="I1079" s="37" t="str">
        <f t="shared" si="258"/>
        <v>air</v>
      </c>
      <c r="J1079" s="37" t="s">
        <v>167</v>
      </c>
      <c r="K1079" s="37" t="str">
        <f t="shared" si="259"/>
        <v>pharma</v>
      </c>
      <c r="L1079" s="37" t="s">
        <v>168</v>
      </c>
      <c r="M1079" s="37" t="str">
        <f t="shared" si="260"/>
        <v>west</v>
      </c>
      <c r="N1079" s="37" t="s">
        <v>88</v>
      </c>
      <c r="O1079" s="41" t="str">
        <f t="shared" si="261"/>
        <v>Yes</v>
      </c>
      <c r="P1079" s="41" t="s">
        <v>2555</v>
      </c>
      <c r="Q1079" s="41">
        <v>302</v>
      </c>
      <c r="R1079" s="42">
        <f t="shared" si="262"/>
        <v>83.8888888888889</v>
      </c>
      <c r="S1079" s="37">
        <v>4</v>
      </c>
      <c r="T1079" s="37" t="s">
        <v>1285</v>
      </c>
      <c r="U1079" s="43" t="str">
        <f t="shared" si="263"/>
        <v>21-apr-2024</v>
      </c>
      <c r="V1079" s="43">
        <f t="shared" si="264"/>
        <v>45403</v>
      </c>
      <c r="W1079" s="44">
        <f t="array" ref="W1079">_xlfn.IFS(TRIM(C1079)="","",TRIM(V1079)="","",TRUE,V1079-C1079)</f>
        <v>4</v>
      </c>
      <c r="X1079" s="37">
        <f t="shared" si="265"/>
        <v>0</v>
      </c>
      <c r="Y1079" s="37" t="s">
        <v>219</v>
      </c>
      <c r="Z1079" s="37" t="str">
        <f t="shared" si="266"/>
        <v>delivered</v>
      </c>
      <c r="AA1079" s="37" t="str">
        <f t="shared" si="267"/>
        <v>On Time</v>
      </c>
      <c r="AB1079" s="37" t="str">
        <f t="shared" si="270"/>
        <v>0</v>
      </c>
      <c r="AC1079" s="37">
        <f t="shared" si="271"/>
        <v>0</v>
      </c>
      <c r="AD1079" s="45">
        <f t="shared" si="269"/>
        <v>0.535645472061657</v>
      </c>
      <c r="AE1079" s="37">
        <v>3</v>
      </c>
      <c r="AF1079" s="37" t="s">
        <v>191</v>
      </c>
      <c r="AG1079" s="37" t="str">
        <f t="shared" si="268"/>
        <v>no</v>
      </c>
      <c r="AH1079" s="37" t="str">
        <f t="array" ref="AH1079">_xlfn.IFS(LOWER(AG1079)="n","no",LOWER(AG1079)="y","yes",TRUE,LOWER(AG1079))</f>
        <v>no</v>
      </c>
      <c r="AI1079" s="37" t="s">
        <v>4692</v>
      </c>
    </row>
    <row r="1080" spans="1:35">
      <c r="A1080" s="46" t="s">
        <v>3567</v>
      </c>
      <c r="B1080" s="47">
        <v>45393</v>
      </c>
      <c r="C1080" s="39">
        <f t="shared" si="256"/>
        <v>45393</v>
      </c>
      <c r="D1080" s="48" t="s">
        <v>109</v>
      </c>
      <c r="E1080" s="37" t="str" cm="1">
        <f t="array" ref="E1080">_xlfn.IFS(D1080="delhi","north",D1080="mumbai","west",D1080="bengaluru","south",D1080="chennai","south",D1080="kolkata","east",TRUE,"west")</f>
        <v>west</v>
      </c>
      <c r="F1080" s="46" t="s">
        <v>312</v>
      </c>
      <c r="G1080" s="37" t="str">
        <f t="shared" si="257"/>
        <v>bluedart</v>
      </c>
      <c r="H1080" s="46" t="s">
        <v>325</v>
      </c>
      <c r="I1080" s="37" t="str">
        <f t="shared" si="258"/>
        <v>air</v>
      </c>
      <c r="J1080" s="46" t="s">
        <v>313</v>
      </c>
      <c r="K1080" s="37" t="str">
        <f t="shared" si="259"/>
        <v>automotiveparts</v>
      </c>
      <c r="L1080" s="46" t="s">
        <v>92</v>
      </c>
      <c r="M1080" s="37" t="str">
        <f t="shared" si="260"/>
        <v>east</v>
      </c>
      <c r="N1080" s="46" t="s">
        <v>91</v>
      </c>
      <c r="O1080" s="41" t="str">
        <f t="shared" si="261"/>
        <v>Yes</v>
      </c>
      <c r="P1080" s="49">
        <v>21.8</v>
      </c>
      <c r="Q1080" s="49">
        <v>1174</v>
      </c>
      <c r="R1080" s="42">
        <f t="shared" si="262"/>
        <v>53.8532110091743</v>
      </c>
      <c r="S1080" s="46">
        <v>4</v>
      </c>
      <c r="T1080" s="46" t="s">
        <v>2830</v>
      </c>
      <c r="U1080" s="43" t="str">
        <f t="shared" si="263"/>
        <v>14/04/2024</v>
      </c>
      <c r="V1080" s="43">
        <f t="shared" si="264"/>
        <v>45396</v>
      </c>
      <c r="W1080" s="44">
        <f t="array" ref="W1080">_xlfn.IFS(TRIM(C1080)="","",TRIM(V1080)="","",TRUE,V1080-C1080)</f>
        <v>3</v>
      </c>
      <c r="X1080" s="37">
        <f t="shared" si="265"/>
        <v>-1</v>
      </c>
      <c r="Y1080" s="46" t="s">
        <v>817</v>
      </c>
      <c r="Z1080" s="37" t="str">
        <f t="shared" si="266"/>
        <v>returned</v>
      </c>
      <c r="AA1080" s="37" t="str">
        <f t="shared" si="267"/>
        <v>On Time</v>
      </c>
      <c r="AB1080" s="37" t="str">
        <f t="shared" si="270"/>
        <v>0</v>
      </c>
      <c r="AC1080" s="37">
        <f t="shared" si="271"/>
        <v>0</v>
      </c>
      <c r="AD1080" s="45">
        <f t="shared" si="269"/>
        <v>0.536679536679537</v>
      </c>
      <c r="AE1080" s="46"/>
      <c r="AF1080" s="46" t="s">
        <v>106</v>
      </c>
      <c r="AG1080" s="37" t="str">
        <f t="shared" si="268"/>
        <v>yes</v>
      </c>
      <c r="AH1080" s="37" t="str">
        <f t="array" ref="AH1080">_xlfn.IFS(LOWER(AG1080)="n","no",LOWER(AG1080)="y","yes",TRUE,LOWER(AG1080))</f>
        <v>yes</v>
      </c>
      <c r="AI1080" s="46" t="s">
        <v>1478</v>
      </c>
    </row>
    <row r="1081" spans="1:35">
      <c r="A1081" s="37" t="s">
        <v>3569</v>
      </c>
      <c r="B1081" s="38">
        <v>45385</v>
      </c>
      <c r="C1081" s="39">
        <f t="shared" si="256"/>
        <v>45385</v>
      </c>
      <c r="D1081" s="40" t="s">
        <v>424</v>
      </c>
      <c r="E1081" s="37" t="str" cm="1">
        <f t="array" ref="E1081">_xlfn.IFS(D1081="delhi","north",D1081="mumbai","west",D1081="bengaluru","south",D1081="chennai","south",D1081="kolkata","east",TRUE,"west")</f>
        <v>south</v>
      </c>
      <c r="F1081" s="37" t="s">
        <v>213</v>
      </c>
      <c r="G1081" s="37" t="str">
        <f t="shared" si="257"/>
        <v>dtdc</v>
      </c>
      <c r="H1081" s="37" t="s">
        <v>185</v>
      </c>
      <c r="I1081" s="37" t="str">
        <f t="shared" si="258"/>
        <v>surface</v>
      </c>
      <c r="J1081" s="37" t="s">
        <v>612</v>
      </c>
      <c r="K1081" s="37" t="str">
        <f t="shared" si="259"/>
        <v>grocery&amp;fmcg</v>
      </c>
      <c r="L1081" s="37" t="s">
        <v>334</v>
      </c>
      <c r="M1081" s="37" t="str">
        <f t="shared" si="260"/>
        <v>north</v>
      </c>
      <c r="N1081" s="37" t="s">
        <v>215</v>
      </c>
      <c r="O1081" s="41" t="str">
        <f t="shared" si="261"/>
        <v>Yes</v>
      </c>
      <c r="P1081" s="41" t="s">
        <v>3264</v>
      </c>
      <c r="Q1081" s="41">
        <v>192</v>
      </c>
      <c r="R1081" s="42">
        <f t="shared" si="262"/>
        <v>71.1111111111111</v>
      </c>
      <c r="S1081" s="37">
        <v>6</v>
      </c>
      <c r="T1081" s="37" t="s">
        <v>2611</v>
      </c>
      <c r="U1081" s="43" t="str">
        <f t="shared" si="263"/>
        <v>2024-04-15</v>
      </c>
      <c r="V1081" s="43">
        <f t="shared" si="264"/>
        <v>45397</v>
      </c>
      <c r="W1081" s="44">
        <f t="array" ref="W1081">_xlfn.IFS(TRIM(C1081)="","",TRIM(V1081)="","",TRUE,V1081-C1081)</f>
        <v>12</v>
      </c>
      <c r="X1081" s="37">
        <f t="shared" si="265"/>
        <v>6</v>
      </c>
      <c r="Y1081" s="37" t="s">
        <v>72</v>
      </c>
      <c r="Z1081" s="37" t="str">
        <f t="shared" si="266"/>
        <v>delayed</v>
      </c>
      <c r="AA1081" s="37" t="str">
        <f t="shared" si="267"/>
        <v>Late</v>
      </c>
      <c r="AB1081" s="37" t="str">
        <f t="shared" si="270"/>
        <v>1</v>
      </c>
      <c r="AC1081" s="37">
        <f t="shared" si="271"/>
        <v>1</v>
      </c>
      <c r="AD1081" s="45">
        <f t="shared" si="269"/>
        <v>0.537717601547389</v>
      </c>
      <c r="AE1081" s="37">
        <v>2</v>
      </c>
      <c r="AF1081" s="37" t="s">
        <v>191</v>
      </c>
      <c r="AG1081" s="37" t="str">
        <f t="shared" si="268"/>
        <v>no</v>
      </c>
      <c r="AH1081" s="37" t="str">
        <f t="array" ref="AH1081">_xlfn.IFS(LOWER(AG1081)="n","no",LOWER(AG1081)="y","yes",TRUE,LOWER(AG1081))</f>
        <v>no</v>
      </c>
      <c r="AI1081" s="37" t="s">
        <v>4692</v>
      </c>
    </row>
    <row r="1082" spans="1:35">
      <c r="A1082" s="46" t="s">
        <v>3570</v>
      </c>
      <c r="B1082" s="47">
        <v>45339</v>
      </c>
      <c r="C1082" s="39">
        <f t="shared" si="256"/>
        <v>45339</v>
      </c>
      <c r="D1082" s="48" t="s">
        <v>222</v>
      </c>
      <c r="E1082" s="37" t="str" cm="1">
        <f t="array" ref="E1082">_xlfn.IFS(D1082="delhi","north",D1082="mumbai","west",D1082="bengaluru","south",D1082="chennai","south",D1082="kolkata","east",TRUE,"west")</f>
        <v>west</v>
      </c>
      <c r="F1082" s="46" t="s">
        <v>919</v>
      </c>
      <c r="G1082" s="37" t="str">
        <f t="shared" si="257"/>
        <v>xpressbees</v>
      </c>
      <c r="H1082" s="46" t="s">
        <v>325</v>
      </c>
      <c r="I1082" s="37" t="str">
        <f t="shared" si="258"/>
        <v>air</v>
      </c>
      <c r="J1082" s="46" t="s">
        <v>313</v>
      </c>
      <c r="K1082" s="37" t="str">
        <f t="shared" si="259"/>
        <v>automotiveparts</v>
      </c>
      <c r="L1082" s="46" t="s">
        <v>401</v>
      </c>
      <c r="M1082" s="37" t="str">
        <f t="shared" si="260"/>
        <v>south</v>
      </c>
      <c r="N1082" s="46" t="s">
        <v>327</v>
      </c>
      <c r="O1082" s="41" t="str">
        <f t="shared" si="261"/>
        <v>Yes</v>
      </c>
      <c r="P1082" s="49">
        <v>37.1</v>
      </c>
      <c r="Q1082" s="51">
        <v>1813</v>
      </c>
      <c r="R1082" s="42">
        <f t="shared" si="262"/>
        <v>48.8679245283019</v>
      </c>
      <c r="S1082" s="46">
        <v>4</v>
      </c>
      <c r="T1082" s="46" t="s">
        <v>828</v>
      </c>
      <c r="U1082" s="43" t="str">
        <f t="shared" si="263"/>
        <v>22/02/2024</v>
      </c>
      <c r="V1082" s="43">
        <f t="shared" si="264"/>
        <v>45344</v>
      </c>
      <c r="W1082" s="44">
        <f t="array" ref="W1082">_xlfn.IFS(TRIM(C1082)="","",TRIM(V1082)="","",TRUE,V1082-C1082)</f>
        <v>5</v>
      </c>
      <c r="X1082" s="37">
        <f t="shared" si="265"/>
        <v>1</v>
      </c>
      <c r="Y1082" s="46" t="s">
        <v>200</v>
      </c>
      <c r="Z1082" s="37" t="str">
        <f t="shared" si="266"/>
        <v>delayed</v>
      </c>
      <c r="AA1082" s="37" t="str">
        <f t="shared" si="267"/>
        <v>Late</v>
      </c>
      <c r="AB1082" s="37" t="str">
        <f t="shared" si="270"/>
        <v>1</v>
      </c>
      <c r="AC1082" s="37">
        <f t="shared" si="271"/>
        <v>1</v>
      </c>
      <c r="AD1082" s="45">
        <f t="shared" si="269"/>
        <v>0.536821705426357</v>
      </c>
      <c r="AE1082" s="46">
        <v>2</v>
      </c>
      <c r="AF1082" s="46" t="s">
        <v>131</v>
      </c>
      <c r="AG1082" s="37" t="str">
        <f t="shared" si="268"/>
        <v>n</v>
      </c>
      <c r="AH1082" s="37" t="str">
        <f t="array" ref="AH1082">_xlfn.IFS(LOWER(AG1082)="n","no",LOWER(AG1082)="y","yes",TRUE,LOWER(AG1082))</f>
        <v>no</v>
      </c>
      <c r="AI1082" s="46" t="s">
        <v>4692</v>
      </c>
    </row>
    <row r="1083" spans="1:35">
      <c r="A1083" s="37" t="s">
        <v>3573</v>
      </c>
      <c r="B1083" s="38">
        <v>45458</v>
      </c>
      <c r="C1083" s="39">
        <f t="shared" si="256"/>
        <v>45458</v>
      </c>
      <c r="D1083" s="40" t="s">
        <v>121</v>
      </c>
      <c r="E1083" s="37" t="str" cm="1">
        <f t="array" ref="E1083">_xlfn.IFS(D1083="delhi","north",D1083="mumbai","west",D1083="bengaluru","south",D1083="chennai","south",D1083="kolkata","east",TRUE,"west")</f>
        <v>west</v>
      </c>
      <c r="F1083" s="37" t="s">
        <v>194</v>
      </c>
      <c r="G1083" s="37" t="str">
        <f t="shared" si="257"/>
        <v>xpressbees</v>
      </c>
      <c r="H1083" s="37" t="s">
        <v>176</v>
      </c>
      <c r="I1083" s="37" t="str">
        <f t="shared" si="258"/>
        <v>road</v>
      </c>
      <c r="J1083" s="37" t="s">
        <v>582</v>
      </c>
      <c r="K1083" s="37" t="str">
        <f t="shared" si="259"/>
        <v>grocery&amp;fmcg</v>
      </c>
      <c r="L1083" s="37" t="s">
        <v>168</v>
      </c>
      <c r="M1083" s="37" t="str">
        <f t="shared" si="260"/>
        <v>west</v>
      </c>
      <c r="N1083" s="37" t="s">
        <v>278</v>
      </c>
      <c r="O1083" s="41" t="str">
        <f t="shared" si="261"/>
        <v>Yes</v>
      </c>
      <c r="P1083" s="41">
        <v>3.8</v>
      </c>
      <c r="Q1083" s="41">
        <v>221</v>
      </c>
      <c r="R1083" s="42">
        <f t="shared" si="262"/>
        <v>58.1578947368421</v>
      </c>
      <c r="S1083" s="37">
        <v>8</v>
      </c>
      <c r="T1083" s="37" t="s">
        <v>3475</v>
      </c>
      <c r="U1083" s="43" t="str">
        <f t="shared" si="263"/>
        <v>28/06/2024</v>
      </c>
      <c r="V1083" s="43">
        <f t="shared" si="264"/>
        <v>45471</v>
      </c>
      <c r="W1083" s="44">
        <f t="array" ref="W1083">_xlfn.IFS(TRIM(C1083)="","",TRIM(V1083)="","",TRUE,V1083-C1083)</f>
        <v>13</v>
      </c>
      <c r="X1083" s="37">
        <f t="shared" si="265"/>
        <v>5</v>
      </c>
      <c r="Y1083" s="37" t="s">
        <v>172</v>
      </c>
      <c r="Z1083" s="37" t="str">
        <f t="shared" si="266"/>
        <v>delayed</v>
      </c>
      <c r="AA1083" s="37" t="str">
        <f t="shared" si="267"/>
        <v>Late</v>
      </c>
      <c r="AB1083" s="37" t="str">
        <f t="shared" si="270"/>
        <v>1</v>
      </c>
      <c r="AC1083" s="37">
        <f t="shared" si="271"/>
        <v>1</v>
      </c>
      <c r="AD1083" s="45">
        <f t="shared" si="269"/>
        <v>0.535922330097087</v>
      </c>
      <c r="AE1083" s="37">
        <v>1</v>
      </c>
      <c r="AF1083" s="37" t="s">
        <v>286</v>
      </c>
      <c r="AG1083" s="37" t="str">
        <f t="shared" si="268"/>
        <v>yes</v>
      </c>
      <c r="AH1083" s="37" t="str">
        <f t="array" ref="AH1083">_xlfn.IFS(LOWER(AG1083)="n","no",LOWER(AG1083)="y","yes",TRUE,LOWER(AG1083))</f>
        <v>yes</v>
      </c>
      <c r="AI1083" s="37" t="s">
        <v>4692</v>
      </c>
    </row>
    <row r="1084" spans="1:35">
      <c r="A1084" s="46" t="s">
        <v>3574</v>
      </c>
      <c r="B1084" s="47">
        <v>45358</v>
      </c>
      <c r="C1084" s="39">
        <f t="shared" si="256"/>
        <v>45358</v>
      </c>
      <c r="D1084" s="48" t="s">
        <v>4704</v>
      </c>
      <c r="E1084" s="37" t="str" cm="1">
        <f t="array" ref="E1084">_xlfn.IFS(D1084="delhi","north",D1084="mumbai","west",D1084="bengaluru","south",D1084="chennai","south",D1084="kolkata","east",TRUE,"west")</f>
        <v>west</v>
      </c>
      <c r="F1084" s="46" t="s">
        <v>270</v>
      </c>
      <c r="G1084" s="37" t="str">
        <f t="shared" si="257"/>
        <v>ecomexpress</v>
      </c>
      <c r="H1084" s="46" t="s">
        <v>147</v>
      </c>
      <c r="I1084" s="37" t="str">
        <f t="shared" si="258"/>
        <v>road</v>
      </c>
      <c r="J1084" s="46" t="s">
        <v>1701</v>
      </c>
      <c r="K1084" s="37" t="str">
        <f t="shared" si="259"/>
        <v>grocery&amp;fmcg</v>
      </c>
      <c r="L1084" s="46" t="s">
        <v>257</v>
      </c>
      <c r="M1084" s="37" t="str">
        <f t="shared" si="260"/>
        <v>west</v>
      </c>
      <c r="N1084" s="46" t="s">
        <v>278</v>
      </c>
      <c r="O1084" s="41" t="str">
        <f t="shared" si="261"/>
        <v>Yes</v>
      </c>
      <c r="P1084" s="49" t="s">
        <v>2482</v>
      </c>
      <c r="Q1084" s="49" t="s">
        <v>3575</v>
      </c>
      <c r="R1084" s="42">
        <f t="shared" si="262"/>
        <v>28.046875</v>
      </c>
      <c r="S1084" s="46">
        <v>8</v>
      </c>
      <c r="T1084" s="46" t="s">
        <v>755</v>
      </c>
      <c r="U1084" s="43" t="str">
        <f t="shared" si="263"/>
        <v>2024-03-23</v>
      </c>
      <c r="V1084" s="43">
        <f t="shared" si="264"/>
        <v>45374</v>
      </c>
      <c r="W1084" s="44">
        <f t="array" ref="W1084">_xlfn.IFS(TRIM(C1084)="","",TRIM(V1084)="","",TRUE,V1084-C1084)</f>
        <v>16</v>
      </c>
      <c r="X1084" s="37">
        <f t="shared" si="265"/>
        <v>8</v>
      </c>
      <c r="Y1084" s="46" t="s">
        <v>200</v>
      </c>
      <c r="Z1084" s="37" t="str">
        <f t="shared" si="266"/>
        <v>delayed</v>
      </c>
      <c r="AA1084" s="37" t="str">
        <f t="shared" si="267"/>
        <v>Late</v>
      </c>
      <c r="AB1084" s="37" t="str">
        <f t="shared" si="270"/>
        <v>1</v>
      </c>
      <c r="AC1084" s="37">
        <f t="shared" si="271"/>
        <v>1</v>
      </c>
      <c r="AD1084" s="45">
        <f t="shared" si="269"/>
        <v>0.535019455252918</v>
      </c>
      <c r="AE1084" s="46">
        <v>1</v>
      </c>
      <c r="AF1084" s="46" t="s">
        <v>181</v>
      </c>
      <c r="AG1084" s="37" t="str">
        <f t="shared" si="268"/>
        <v>y</v>
      </c>
      <c r="AH1084" s="37" t="str">
        <f t="array" ref="AH1084">_xlfn.IFS(LOWER(AG1084)="n","no",LOWER(AG1084)="y","yes",TRUE,LOWER(AG1084))</f>
        <v>yes</v>
      </c>
      <c r="AI1084" s="46" t="s">
        <v>4692</v>
      </c>
    </row>
    <row r="1085" spans="1:35">
      <c r="A1085" s="37" t="s">
        <v>3576</v>
      </c>
      <c r="B1085" s="38">
        <v>45377</v>
      </c>
      <c r="C1085" s="39">
        <f t="shared" si="256"/>
        <v>45377</v>
      </c>
      <c r="D1085" s="40" t="s">
        <v>212</v>
      </c>
      <c r="E1085" s="37" t="str" cm="1">
        <f t="array" ref="E1085">_xlfn.IFS(D1085="delhi","north",D1085="mumbai","west",D1085="bengaluru","south",D1085="chennai","south",D1085="kolkata","east",TRUE,"west")</f>
        <v>west</v>
      </c>
      <c r="F1085" s="37" t="s">
        <v>333</v>
      </c>
      <c r="G1085" s="37" t="str">
        <f t="shared" si="257"/>
        <v>delhivery</v>
      </c>
      <c r="H1085" s="37" t="s">
        <v>185</v>
      </c>
      <c r="I1085" s="37" t="str">
        <f t="shared" si="258"/>
        <v>surface</v>
      </c>
      <c r="J1085" s="37" t="s">
        <v>177</v>
      </c>
      <c r="K1085" s="37" t="str">
        <f t="shared" si="259"/>
        <v>pharma</v>
      </c>
      <c r="L1085" s="37" t="s">
        <v>87</v>
      </c>
      <c r="M1085" s="37" t="str">
        <f t="shared" si="260"/>
        <v>north</v>
      </c>
      <c r="N1085" s="37" t="s">
        <v>354</v>
      </c>
      <c r="O1085" s="41" t="str">
        <f t="shared" si="261"/>
        <v>Yes</v>
      </c>
      <c r="P1085" s="41">
        <v>3.7</v>
      </c>
      <c r="Q1085" s="41">
        <v>237</v>
      </c>
      <c r="R1085" s="42">
        <f t="shared" si="262"/>
        <v>64.054054054054</v>
      </c>
      <c r="S1085" s="37">
        <v>6</v>
      </c>
      <c r="T1085" s="37" t="s">
        <v>468</v>
      </c>
      <c r="U1085" s="43" t="str">
        <f t="shared" si="263"/>
        <v>01/04/2024</v>
      </c>
      <c r="V1085" s="43">
        <f t="shared" si="264"/>
        <v>45383</v>
      </c>
      <c r="W1085" s="44">
        <f t="array" ref="W1085">_xlfn.IFS(TRIM(C1085)="","",TRIM(V1085)="","",TRUE,V1085-C1085)</f>
        <v>6</v>
      </c>
      <c r="X1085" s="37">
        <f t="shared" si="265"/>
        <v>0</v>
      </c>
      <c r="Y1085" s="37" t="s">
        <v>219</v>
      </c>
      <c r="Z1085" s="37" t="str">
        <f t="shared" si="266"/>
        <v>delivered</v>
      </c>
      <c r="AA1085" s="37" t="str">
        <f t="shared" si="267"/>
        <v>On Time</v>
      </c>
      <c r="AB1085" s="37" t="str">
        <f t="shared" si="270"/>
        <v>0</v>
      </c>
      <c r="AC1085" s="37">
        <f t="shared" si="271"/>
        <v>0</v>
      </c>
      <c r="AD1085" s="45">
        <f t="shared" si="269"/>
        <v>0.53411306042885</v>
      </c>
      <c r="AE1085" s="37">
        <v>4</v>
      </c>
      <c r="AF1085" s="37" t="s">
        <v>131</v>
      </c>
      <c r="AG1085" s="37" t="str">
        <f t="shared" si="268"/>
        <v>n</v>
      </c>
      <c r="AH1085" s="37" t="str">
        <f t="array" ref="AH1085">_xlfn.IFS(LOWER(AG1085)="n","no",LOWER(AG1085)="y","yes",TRUE,LOWER(AG1085))</f>
        <v>no</v>
      </c>
      <c r="AI1085" s="37" t="s">
        <v>4692</v>
      </c>
    </row>
    <row r="1086" spans="1:35">
      <c r="A1086" s="46" t="s">
        <v>3578</v>
      </c>
      <c r="B1086" s="47" t="s">
        <v>4821</v>
      </c>
      <c r="C1086" s="39">
        <f t="shared" si="256"/>
        <v>45419</v>
      </c>
      <c r="D1086" s="48" t="s">
        <v>212</v>
      </c>
      <c r="E1086" s="37" t="str" cm="1">
        <f t="array" ref="E1086">_xlfn.IFS(D1086="delhi","north",D1086="mumbai","west",D1086="bengaluru","south",D1086="chennai","south",D1086="kolkata","east",TRUE,"west")</f>
        <v>west</v>
      </c>
      <c r="F1086" s="46" t="s">
        <v>333</v>
      </c>
      <c r="G1086" s="37" t="str">
        <f t="shared" si="257"/>
        <v>delhivery</v>
      </c>
      <c r="H1086" s="46" t="s">
        <v>99</v>
      </c>
      <c r="I1086" s="37" t="str">
        <f t="shared" si="258"/>
        <v>air</v>
      </c>
      <c r="J1086" s="46" t="s">
        <v>1734</v>
      </c>
      <c r="K1086" s="37" t="str">
        <f t="shared" si="259"/>
        <v>automotiveparts</v>
      </c>
      <c r="L1086" s="46" t="s">
        <v>112</v>
      </c>
      <c r="M1086" s="37" t="str">
        <f t="shared" si="260"/>
        <v>north</v>
      </c>
      <c r="N1086" s="46" t="s">
        <v>32</v>
      </c>
      <c r="O1086" s="41" t="str">
        <f t="shared" si="261"/>
        <v>Yes</v>
      </c>
      <c r="P1086" s="49" t="s">
        <v>1046</v>
      </c>
      <c r="Q1086" s="49">
        <v>836</v>
      </c>
      <c r="R1086" s="42">
        <f t="shared" si="262"/>
        <v>56.8707482993197</v>
      </c>
      <c r="S1086" s="46">
        <v>4</v>
      </c>
      <c r="T1086" s="46" t="s">
        <v>1901</v>
      </c>
      <c r="U1086" s="43" t="str">
        <f t="shared" si="263"/>
        <v>11-may-2024</v>
      </c>
      <c r="V1086" s="43">
        <f t="shared" si="264"/>
        <v>45423</v>
      </c>
      <c r="W1086" s="44">
        <f t="array" ref="W1086">_xlfn.IFS(TRIM(C1086)="","",TRIM(V1086)="","",TRUE,V1086-C1086)</f>
        <v>4</v>
      </c>
      <c r="X1086" s="37">
        <f t="shared" si="265"/>
        <v>0</v>
      </c>
      <c r="Y1086" s="46" t="s">
        <v>117</v>
      </c>
      <c r="Z1086" s="37" t="str">
        <f t="shared" si="266"/>
        <v>delivered</v>
      </c>
      <c r="AA1086" s="37" t="str">
        <f t="shared" si="267"/>
        <v>On Time</v>
      </c>
      <c r="AB1086" s="37" t="str">
        <f t="shared" si="270"/>
        <v>0</v>
      </c>
      <c r="AC1086" s="37">
        <f t="shared" si="271"/>
        <v>0</v>
      </c>
      <c r="AD1086" s="45">
        <f t="shared" si="269"/>
        <v>0.53515625</v>
      </c>
      <c r="AE1086" s="46">
        <v>4</v>
      </c>
      <c r="AF1086" s="46" t="s">
        <v>131</v>
      </c>
      <c r="AG1086" s="37" t="str">
        <f t="shared" si="268"/>
        <v>n</v>
      </c>
      <c r="AH1086" s="37" t="str">
        <f t="array" ref="AH1086">_xlfn.IFS(LOWER(AG1086)="n","no",LOWER(AG1086)="y","yes",TRUE,LOWER(AG1086))</f>
        <v>no</v>
      </c>
      <c r="AI1086" s="46" t="s">
        <v>4692</v>
      </c>
    </row>
    <row r="1087" spans="1:35">
      <c r="A1087" s="37" t="s">
        <v>3579</v>
      </c>
      <c r="B1087" s="38">
        <v>45459</v>
      </c>
      <c r="C1087" s="39">
        <f t="shared" si="256"/>
        <v>45459</v>
      </c>
      <c r="D1087" s="40" t="s">
        <v>212</v>
      </c>
      <c r="E1087" s="37" t="str" cm="1">
        <f t="array" ref="E1087">_xlfn.IFS(D1087="delhi","north",D1087="mumbai","west",D1087="bengaluru","south",D1087="chennai","south",D1087="kolkata","east",TRUE,"west")</f>
        <v>west</v>
      </c>
      <c r="F1087" s="37" t="s">
        <v>37</v>
      </c>
      <c r="G1087" s="37" t="str">
        <f t="shared" si="257"/>
        <v>bluedart</v>
      </c>
      <c r="H1087" s="37" t="s">
        <v>325</v>
      </c>
      <c r="I1087" s="37" t="str">
        <f t="shared" si="258"/>
        <v>air</v>
      </c>
      <c r="J1087" s="37" t="s">
        <v>231</v>
      </c>
      <c r="K1087" s="37" t="str">
        <f t="shared" si="259"/>
        <v>furniture</v>
      </c>
      <c r="L1087" s="37" t="s">
        <v>159</v>
      </c>
      <c r="M1087" s="37" t="str">
        <f t="shared" si="260"/>
        <v>south</v>
      </c>
      <c r="N1087" s="37" t="s">
        <v>327</v>
      </c>
      <c r="O1087" s="41" t="str">
        <f t="shared" si="261"/>
        <v>Yes</v>
      </c>
      <c r="P1087" s="41">
        <v>46.3</v>
      </c>
      <c r="Q1087" s="41" t="s">
        <v>3581</v>
      </c>
      <c r="R1087" s="42">
        <f t="shared" si="262"/>
        <v>48.1209503239741</v>
      </c>
      <c r="S1087" s="37">
        <v>4</v>
      </c>
      <c r="T1087" s="37" t="s">
        <v>487</v>
      </c>
      <c r="U1087" s="43" t="str">
        <f t="shared" si="263"/>
        <v>21/06/2024</v>
      </c>
      <c r="V1087" s="43">
        <f t="shared" si="264"/>
        <v>45464</v>
      </c>
      <c r="W1087" s="44">
        <f t="array" ref="W1087">_xlfn.IFS(TRIM(C1087)="","",TRIM(V1087)="","",TRUE,V1087-C1087)</f>
        <v>5</v>
      </c>
      <c r="X1087" s="37">
        <f t="shared" si="265"/>
        <v>1</v>
      </c>
      <c r="Y1087" s="37" t="s">
        <v>172</v>
      </c>
      <c r="Z1087" s="37" t="str">
        <f t="shared" si="266"/>
        <v>delayed</v>
      </c>
      <c r="AA1087" s="37" t="str">
        <f t="shared" si="267"/>
        <v>Late</v>
      </c>
      <c r="AB1087" s="37" t="str">
        <f t="shared" si="270"/>
        <v>1</v>
      </c>
      <c r="AC1087" s="37">
        <f t="shared" si="271"/>
        <v>1</v>
      </c>
      <c r="AD1087" s="45">
        <f t="shared" si="269"/>
        <v>0.536203522504892</v>
      </c>
      <c r="AE1087" s="37">
        <v>2</v>
      </c>
      <c r="AF1087" s="37" t="s">
        <v>286</v>
      </c>
      <c r="AG1087" s="37" t="str">
        <f t="shared" si="268"/>
        <v>yes</v>
      </c>
      <c r="AH1087" s="37" t="str">
        <f t="array" ref="AH1087">_xlfn.IFS(LOWER(AG1087)="n","no",LOWER(AG1087)="y","yes",TRUE,LOWER(AG1087))</f>
        <v>yes</v>
      </c>
      <c r="AI1087" s="37" t="s">
        <v>4692</v>
      </c>
    </row>
    <row r="1088" spans="1:35">
      <c r="A1088" s="46" t="s">
        <v>3582</v>
      </c>
      <c r="B1088" s="47">
        <v>45374</v>
      </c>
      <c r="C1088" s="39">
        <f t="shared" si="256"/>
        <v>45374</v>
      </c>
      <c r="D1088" s="48" t="s">
        <v>4704</v>
      </c>
      <c r="E1088" s="37" t="str" cm="1">
        <f t="array" ref="E1088">_xlfn.IFS(D1088="delhi","north",D1088="mumbai","west",D1088="bengaluru","south",D1088="chennai","south",D1088="kolkata","east",TRUE,"west")</f>
        <v>west</v>
      </c>
      <c r="F1088" s="46" t="s">
        <v>184</v>
      </c>
      <c r="G1088" s="37" t="str">
        <f t="shared" si="257"/>
        <v>ecomexpress</v>
      </c>
      <c r="H1088" s="46" t="s">
        <v>195</v>
      </c>
      <c r="I1088" s="37" t="str">
        <f t="shared" si="258"/>
        <v>road</v>
      </c>
      <c r="J1088" s="46" t="s">
        <v>360</v>
      </c>
      <c r="K1088" s="37" t="str">
        <f t="shared" si="259"/>
        <v>furniture</v>
      </c>
      <c r="L1088" s="46" t="s">
        <v>159</v>
      </c>
      <c r="M1088" s="37" t="str">
        <f t="shared" si="260"/>
        <v>south</v>
      </c>
      <c r="N1088" s="46" t="s">
        <v>54</v>
      </c>
      <c r="O1088" s="41" t="str">
        <f t="shared" si="261"/>
        <v>Yes</v>
      </c>
      <c r="P1088" s="49">
        <v>21</v>
      </c>
      <c r="Q1088" s="49">
        <v>493</v>
      </c>
      <c r="R1088" s="42">
        <f t="shared" si="262"/>
        <v>23.4761904761905</v>
      </c>
      <c r="S1088" s="46">
        <v>8</v>
      </c>
      <c r="T1088" s="46" t="s">
        <v>3585</v>
      </c>
      <c r="U1088" s="43" t="str">
        <f t="shared" si="263"/>
        <v>30/03/2024</v>
      </c>
      <c r="V1088" s="43">
        <f t="shared" si="264"/>
        <v>45381</v>
      </c>
      <c r="W1088" s="44">
        <f t="array" ref="W1088">_xlfn.IFS(TRIM(C1088)="","",TRIM(V1088)="","",TRUE,V1088-C1088)</f>
        <v>7</v>
      </c>
      <c r="X1088" s="37">
        <f t="shared" si="265"/>
        <v>-1</v>
      </c>
      <c r="Y1088" s="46" t="s">
        <v>817</v>
      </c>
      <c r="Z1088" s="37" t="str">
        <f t="shared" si="266"/>
        <v>returned</v>
      </c>
      <c r="AA1088" s="37" t="str">
        <f t="shared" si="267"/>
        <v>On Time</v>
      </c>
      <c r="AB1088" s="37" t="str">
        <f t="shared" si="270"/>
        <v>0</v>
      </c>
      <c r="AC1088" s="37">
        <f t="shared" si="271"/>
        <v>0</v>
      </c>
      <c r="AD1088" s="45">
        <f t="shared" si="269"/>
        <v>0.535294117647059</v>
      </c>
      <c r="AE1088" s="46"/>
      <c r="AF1088" s="46" t="s">
        <v>118</v>
      </c>
      <c r="AG1088" s="37" t="str">
        <f t="shared" si="268"/>
        <v>no</v>
      </c>
      <c r="AH1088" s="37" t="str">
        <f t="array" ref="AH1088">_xlfn.IFS(LOWER(AG1088)="n","no",LOWER(AG1088)="y","yes",TRUE,LOWER(AG1088))</f>
        <v>no</v>
      </c>
      <c r="AI1088" s="46" t="s">
        <v>83</v>
      </c>
    </row>
    <row r="1089" spans="1:35">
      <c r="A1089" s="37" t="s">
        <v>3586</v>
      </c>
      <c r="B1089" s="38">
        <v>45453</v>
      </c>
      <c r="C1089" s="39">
        <f t="shared" si="256"/>
        <v>45453</v>
      </c>
      <c r="D1089" s="40" t="s">
        <v>633</v>
      </c>
      <c r="E1089" s="37" t="str" cm="1">
        <f t="array" ref="E1089">_xlfn.IFS(D1089="delhi","north",D1089="mumbai","west",D1089="bengaluru","south",D1089="chennai","south",D1089="kolkata","east",TRUE,"west")</f>
        <v>south</v>
      </c>
      <c r="F1089" s="37" t="s">
        <v>270</v>
      </c>
      <c r="G1089" s="37" t="str">
        <f t="shared" si="257"/>
        <v>ecomexpress</v>
      </c>
      <c r="H1089" s="37" t="s">
        <v>185</v>
      </c>
      <c r="I1089" s="37" t="str">
        <f t="shared" si="258"/>
        <v>surface</v>
      </c>
      <c r="J1089" s="37" t="s">
        <v>353</v>
      </c>
      <c r="K1089" s="37" t="str">
        <f t="shared" si="259"/>
        <v>automotiveparts</v>
      </c>
      <c r="L1089" s="37" t="s">
        <v>380</v>
      </c>
      <c r="M1089" s="37" t="str">
        <f t="shared" si="260"/>
        <v>east</v>
      </c>
      <c r="N1089" s="37" t="s">
        <v>396</v>
      </c>
      <c r="O1089" s="41" t="str">
        <f t="shared" si="261"/>
        <v>Yes</v>
      </c>
      <c r="P1089" s="41">
        <v>16.7</v>
      </c>
      <c r="Q1089" s="41">
        <v>527</v>
      </c>
      <c r="R1089" s="42">
        <f t="shared" si="262"/>
        <v>31.5568862275449</v>
      </c>
      <c r="S1089" s="37">
        <v>6</v>
      </c>
      <c r="T1089" s="37" t="s">
        <v>1409</v>
      </c>
      <c r="U1089" s="43" t="str">
        <f t="shared" si="263"/>
        <v>15/06/2024</v>
      </c>
      <c r="V1089" s="43">
        <f t="shared" si="264"/>
        <v>45458</v>
      </c>
      <c r="W1089" s="44">
        <f t="array" ref="W1089">_xlfn.IFS(TRIM(C1089)="","",TRIM(V1089)="","",TRUE,V1089-C1089)</f>
        <v>5</v>
      </c>
      <c r="X1089" s="37">
        <f t="shared" si="265"/>
        <v>-1</v>
      </c>
      <c r="Y1089" s="37" t="s">
        <v>219</v>
      </c>
      <c r="Z1089" s="37" t="str">
        <f t="shared" si="266"/>
        <v>delivered</v>
      </c>
      <c r="AA1089" s="37" t="str">
        <f t="shared" si="267"/>
        <v>On Time</v>
      </c>
      <c r="AB1089" s="37" t="str">
        <f t="shared" si="270"/>
        <v>0</v>
      </c>
      <c r="AC1089" s="37">
        <f t="shared" si="271"/>
        <v>0</v>
      </c>
      <c r="AD1089" s="45">
        <f t="shared" si="269"/>
        <v>0.536345776031434</v>
      </c>
      <c r="AE1089" s="37">
        <v>3</v>
      </c>
      <c r="AF1089" s="37" t="s">
        <v>131</v>
      </c>
      <c r="AG1089" s="37" t="str">
        <f t="shared" si="268"/>
        <v>n</v>
      </c>
      <c r="AH1089" s="37" t="str">
        <f t="array" ref="AH1089">_xlfn.IFS(LOWER(AG1089)="n","no",LOWER(AG1089)="y","yes",TRUE,LOWER(AG1089))</f>
        <v>no</v>
      </c>
      <c r="AI1089" s="37" t="s">
        <v>4692</v>
      </c>
    </row>
    <row r="1090" spans="1:35">
      <c r="A1090" s="46" t="s">
        <v>3589</v>
      </c>
      <c r="B1090" s="47">
        <v>45420</v>
      </c>
      <c r="C1090" s="39">
        <f t="shared" ref="C1090:C1153" si="272">IF(ISNUMBER(B1090),B1090,DATE(RIGHT(TRIM(B1090),4),MID(TRIM(B1090),4,2),LEFT(TRIM(B1090),2)))</f>
        <v>45420</v>
      </c>
      <c r="D1090" s="48" t="s">
        <v>366</v>
      </c>
      <c r="E1090" s="37" t="str" cm="1">
        <f t="array" ref="E1090">_xlfn.IFS(D1090="delhi","north",D1090="mumbai","west",D1090="bengaluru","south",D1090="chennai","south",D1090="kolkata","east",TRUE,"west")</f>
        <v>east</v>
      </c>
      <c r="F1090" s="46" t="s">
        <v>270</v>
      </c>
      <c r="G1090" s="37" t="str">
        <f t="shared" ref="G1090:G1153" si="273">SUBSTITUTE(LOWER(F1090)," ","")</f>
        <v>ecomexpress</v>
      </c>
      <c r="H1090" s="46" t="s">
        <v>123</v>
      </c>
      <c r="I1090" s="37" t="str">
        <f t="shared" ref="I1090:I1153" si="274">SUBSTITUTE(LOWER(H1090)," ","")</f>
        <v>air</v>
      </c>
      <c r="J1090" s="46" t="s">
        <v>158</v>
      </c>
      <c r="K1090" s="37" t="str">
        <f t="shared" ref="K1090:K1153" si="275">SUBSTITUTE(LOWER(J1090)," ","")</f>
        <v>pharma</v>
      </c>
      <c r="L1090" s="46" t="s">
        <v>139</v>
      </c>
      <c r="M1090" s="37" t="str">
        <f t="shared" ref="M1090:M1153" si="276">SUBSTITUTE(LOWER(L1090)," ","")</f>
        <v>north</v>
      </c>
      <c r="N1090" s="46" t="s">
        <v>113</v>
      </c>
      <c r="O1090" s="41" t="str">
        <f t="shared" ref="O1090:O1153" si="277">IF(OR(D1090="",M1090=""),"",IF(D1090=M1090,"No","Yes"))</f>
        <v>Yes</v>
      </c>
      <c r="P1090" s="49">
        <v>2.5</v>
      </c>
      <c r="Q1090" s="49" t="s">
        <v>935</v>
      </c>
      <c r="R1090" s="42">
        <f t="shared" ref="R1090:R1153" si="278">IF(OR(Q1090="",P1090="",P1090=0),"",Q1090/P1090)</f>
        <v>95.2</v>
      </c>
      <c r="S1090" s="46">
        <v>4</v>
      </c>
      <c r="T1090" s="46" t="s">
        <v>3590</v>
      </c>
      <c r="U1090" s="43" t="str">
        <f t="shared" ref="U1090:U1153" si="279">SUBSTITUTE(LOWER(T1090)," ","")</f>
        <v>2024-05-12</v>
      </c>
      <c r="V1090" s="43">
        <f t="shared" ref="V1090:V1153" si="280">DATEVALUE(TEXT(U1090,"yyyy-mm-dd"))</f>
        <v>45424</v>
      </c>
      <c r="W1090" s="44">
        <f t="array" ref="W1090">_xlfn.IFS(TRIM(C1090)="","",TRIM(V1090)="","",TRUE,V1090-C1090)</f>
        <v>4</v>
      </c>
      <c r="X1090" s="37">
        <f t="shared" ref="X1090:X1153" si="281">IF(OR(W1090="",S1090=""),"",W1090-S1090)</f>
        <v>0</v>
      </c>
      <c r="Y1090" s="46" t="s">
        <v>105</v>
      </c>
      <c r="Z1090" s="37" t="str">
        <f t="shared" ref="Z1090:Z1153" si="282">SUBSTITUTE(LOWER(Y1090)," ","")</f>
        <v>delivered</v>
      </c>
      <c r="AA1090" s="37" t="str">
        <f t="shared" ref="AA1090:AA1153" si="283">IF(Z1090="In-Transit","N/A",IF(X1090="","",IF(X1090&gt;0,"Late","On Time")))</f>
        <v>On Time</v>
      </c>
      <c r="AB1090" s="37" t="str">
        <f t="shared" si="270"/>
        <v>0</v>
      </c>
      <c r="AC1090" s="37">
        <f t="shared" si="271"/>
        <v>0</v>
      </c>
      <c r="AD1090" s="45">
        <f t="shared" si="269"/>
        <v>0.53740157480315</v>
      </c>
      <c r="AE1090" s="46">
        <v>4</v>
      </c>
      <c r="AF1090" s="46" t="s">
        <v>106</v>
      </c>
      <c r="AG1090" s="37" t="str">
        <f t="shared" ref="AG1090:AG1153" si="284">SUBSTITUTE(LOWER(AF1090)," ","")</f>
        <v>yes</v>
      </c>
      <c r="AH1090" s="37" t="str">
        <f t="array" ref="AH1090">_xlfn.IFS(LOWER(AG1090)="n","no",LOWER(AG1090)="y","yes",TRUE,LOWER(AG1090))</f>
        <v>yes</v>
      </c>
      <c r="AI1090" s="46" t="s">
        <v>4692</v>
      </c>
    </row>
    <row r="1091" spans="1:35">
      <c r="A1091" s="37" t="s">
        <v>3591</v>
      </c>
      <c r="B1091" s="38">
        <v>45325</v>
      </c>
      <c r="C1091" s="39">
        <f t="shared" si="272"/>
        <v>45325</v>
      </c>
      <c r="D1091" s="40" t="s">
        <v>366</v>
      </c>
      <c r="E1091" s="37" t="str" cm="1">
        <f t="array" ref="E1091">_xlfn.IFS(D1091="delhi","north",D1091="mumbai","west",D1091="bengaluru","south",D1091="chennai","south",D1091="kolkata","east",TRUE,"west")</f>
        <v>east</v>
      </c>
      <c r="F1091" s="37" t="s">
        <v>194</v>
      </c>
      <c r="G1091" s="37" t="str">
        <f t="shared" si="273"/>
        <v>xpressbees</v>
      </c>
      <c r="H1091" s="37" t="s">
        <v>123</v>
      </c>
      <c r="I1091" s="37" t="str">
        <f t="shared" si="274"/>
        <v>air</v>
      </c>
      <c r="J1091" s="37" t="s">
        <v>326</v>
      </c>
      <c r="K1091" s="37" t="str">
        <f t="shared" si="275"/>
        <v>apparel</v>
      </c>
      <c r="L1091" s="37" t="s">
        <v>346</v>
      </c>
      <c r="M1091" s="37" t="str">
        <f t="shared" si="276"/>
        <v>north</v>
      </c>
      <c r="N1091" s="37" t="s">
        <v>215</v>
      </c>
      <c r="O1091" s="41" t="str">
        <f t="shared" si="277"/>
        <v>Yes</v>
      </c>
      <c r="P1091" s="41" t="s">
        <v>3335</v>
      </c>
      <c r="Q1091" s="41">
        <v>467</v>
      </c>
      <c r="R1091" s="42">
        <f t="shared" si="278"/>
        <v>72.96875</v>
      </c>
      <c r="S1091" s="37">
        <v>4</v>
      </c>
      <c r="T1091" s="37" t="s">
        <v>3593</v>
      </c>
      <c r="U1091" s="43" t="str">
        <f t="shared" si="279"/>
        <v>14/02/2024</v>
      </c>
      <c r="V1091" s="43">
        <f t="shared" si="280"/>
        <v>45336</v>
      </c>
      <c r="W1091" s="44">
        <f t="array" ref="W1091">_xlfn.IFS(TRIM(C1091)="","",TRIM(V1091)="","",TRUE,V1091-C1091)</f>
        <v>11</v>
      </c>
      <c r="X1091" s="37">
        <f t="shared" si="281"/>
        <v>7</v>
      </c>
      <c r="Y1091" s="37" t="s">
        <v>200</v>
      </c>
      <c r="Z1091" s="37" t="str">
        <f t="shared" si="282"/>
        <v>delayed</v>
      </c>
      <c r="AA1091" s="37" t="str">
        <f t="shared" si="283"/>
        <v>Late</v>
      </c>
      <c r="AB1091" s="37" t="str">
        <f t="shared" si="270"/>
        <v>1</v>
      </c>
      <c r="AC1091" s="37">
        <f t="shared" si="271"/>
        <v>1</v>
      </c>
      <c r="AD1091" s="45">
        <f t="shared" ref="AD1091:AD1154" si="285">COUNTIF(AC1091:AC2690,1)/COUNT(AC1091:AC2690)</f>
        <v>0.538461538461538</v>
      </c>
      <c r="AE1091" s="37">
        <v>3</v>
      </c>
      <c r="AF1091" s="37" t="s">
        <v>106</v>
      </c>
      <c r="AG1091" s="37" t="str">
        <f t="shared" si="284"/>
        <v>yes</v>
      </c>
      <c r="AH1091" s="37" t="str">
        <f t="array" ref="AH1091">_xlfn.IFS(LOWER(AG1091)="n","no",LOWER(AG1091)="y","yes",TRUE,LOWER(AG1091))</f>
        <v>yes</v>
      </c>
      <c r="AI1091" s="37" t="s">
        <v>4692</v>
      </c>
    </row>
    <row r="1092" spans="1:35">
      <c r="A1092" s="46" t="s">
        <v>3594</v>
      </c>
      <c r="B1092" s="47" t="s">
        <v>4838</v>
      </c>
      <c r="C1092" s="39">
        <f t="shared" si="272"/>
        <v>45339</v>
      </c>
      <c r="D1092" s="48" t="s">
        <v>633</v>
      </c>
      <c r="E1092" s="37" t="str" cm="1">
        <f t="array" ref="E1092">_xlfn.IFS(D1092="delhi","north",D1092="mumbai","west",D1092="bengaluru","south",D1092="chennai","south",D1092="kolkata","east",TRUE,"west")</f>
        <v>south</v>
      </c>
      <c r="F1092" s="46" t="s">
        <v>213</v>
      </c>
      <c r="G1092" s="37" t="str">
        <f t="shared" si="273"/>
        <v>dtdc</v>
      </c>
      <c r="H1092" s="46" t="s">
        <v>123</v>
      </c>
      <c r="I1092" s="37" t="str">
        <f t="shared" si="274"/>
        <v>air</v>
      </c>
      <c r="J1092" s="46" t="s">
        <v>277</v>
      </c>
      <c r="K1092" s="37" t="str">
        <f t="shared" si="275"/>
        <v>apparel</v>
      </c>
      <c r="L1092" s="46" t="s">
        <v>51</v>
      </c>
      <c r="M1092" s="37" t="str">
        <f t="shared" si="276"/>
        <v>south</v>
      </c>
      <c r="N1092" s="46" t="s">
        <v>93</v>
      </c>
      <c r="O1092" s="41" t="str">
        <f t="shared" si="277"/>
        <v>Yes</v>
      </c>
      <c r="P1092" s="49">
        <v>1.7</v>
      </c>
      <c r="Q1092" s="49" t="s">
        <v>975</v>
      </c>
      <c r="R1092" s="42">
        <f t="shared" si="278"/>
        <v>54.7058823529412</v>
      </c>
      <c r="S1092" s="46">
        <v>2</v>
      </c>
      <c r="T1092" s="46" t="s">
        <v>604</v>
      </c>
      <c r="U1092" s="43" t="str">
        <f t="shared" si="279"/>
        <v>19/02/2024</v>
      </c>
      <c r="V1092" s="43">
        <f t="shared" si="280"/>
        <v>45341</v>
      </c>
      <c r="W1092" s="44">
        <f t="array" ref="W1092">_xlfn.IFS(TRIM(C1092)="","",TRIM(V1092)="","",TRUE,V1092-C1092)</f>
        <v>2</v>
      </c>
      <c r="X1092" s="37">
        <f t="shared" si="281"/>
        <v>0</v>
      </c>
      <c r="Y1092" s="46" t="s">
        <v>117</v>
      </c>
      <c r="Z1092" s="37" t="str">
        <f t="shared" si="282"/>
        <v>delivered</v>
      </c>
      <c r="AA1092" s="37" t="str">
        <f t="shared" si="283"/>
        <v>On Time</v>
      </c>
      <c r="AB1092" s="37" t="str">
        <f t="shared" si="270"/>
        <v>0</v>
      </c>
      <c r="AC1092" s="37">
        <f t="shared" si="271"/>
        <v>0</v>
      </c>
      <c r="AD1092" s="45">
        <f t="shared" si="285"/>
        <v>0.537549407114625</v>
      </c>
      <c r="AE1092" s="46">
        <v>4</v>
      </c>
      <c r="AF1092" s="46" t="s">
        <v>131</v>
      </c>
      <c r="AG1092" s="37" t="str">
        <f t="shared" si="284"/>
        <v>n</v>
      </c>
      <c r="AH1092" s="37" t="str">
        <f t="array" ref="AH1092">_xlfn.IFS(LOWER(AG1092)="n","no",LOWER(AG1092)="y","yes",TRUE,LOWER(AG1092))</f>
        <v>no</v>
      </c>
      <c r="AI1092" s="46" t="s">
        <v>4692</v>
      </c>
    </row>
    <row r="1093" spans="1:35">
      <c r="A1093" s="37" t="s">
        <v>3595</v>
      </c>
      <c r="B1093" s="38">
        <v>45370</v>
      </c>
      <c r="C1093" s="39">
        <f t="shared" si="272"/>
        <v>45370</v>
      </c>
      <c r="D1093" s="40" t="s">
        <v>222</v>
      </c>
      <c r="E1093" s="37" t="str" cm="1">
        <f t="array" ref="E1093">_xlfn.IFS(D1093="delhi","north",D1093="mumbai","west",D1093="bengaluru","south",D1093="chennai","south",D1093="kolkata","east",TRUE,"west")</f>
        <v>west</v>
      </c>
      <c r="F1093" s="37"/>
      <c r="G1093" s="37" t="str">
        <f t="shared" si="273"/>
        <v/>
      </c>
      <c r="H1093" s="37" t="s">
        <v>176</v>
      </c>
      <c r="I1093" s="37" t="str">
        <f t="shared" si="274"/>
        <v>road</v>
      </c>
      <c r="J1093" s="37" t="s">
        <v>277</v>
      </c>
      <c r="K1093" s="37" t="str">
        <f t="shared" si="275"/>
        <v>apparel</v>
      </c>
      <c r="L1093" s="37" t="s">
        <v>101</v>
      </c>
      <c r="M1093" s="37" t="str">
        <f t="shared" si="276"/>
        <v>west</v>
      </c>
      <c r="N1093" s="37" t="s">
        <v>187</v>
      </c>
      <c r="O1093" s="41" t="str">
        <f t="shared" si="277"/>
        <v>Yes</v>
      </c>
      <c r="P1093" s="41">
        <v>6.6</v>
      </c>
      <c r="Q1093" s="41" t="s">
        <v>3596</v>
      </c>
      <c r="R1093" s="42">
        <f t="shared" si="278"/>
        <v>16.8181818181818</v>
      </c>
      <c r="S1093" s="37">
        <v>6</v>
      </c>
      <c r="T1093" s="37" t="s">
        <v>311</v>
      </c>
      <c r="U1093" s="43" t="str">
        <f t="shared" si="279"/>
        <v>03-apr-2024</v>
      </c>
      <c r="V1093" s="43">
        <f t="shared" si="280"/>
        <v>45385</v>
      </c>
      <c r="W1093" s="44">
        <f t="array" ref="W1093">_xlfn.IFS(TRIM(C1093)="","",TRIM(V1093)="","",TRUE,V1093-C1093)</f>
        <v>15</v>
      </c>
      <c r="X1093" s="37">
        <f t="shared" si="281"/>
        <v>9</v>
      </c>
      <c r="Y1093" s="37" t="s">
        <v>172</v>
      </c>
      <c r="Z1093" s="37" t="str">
        <f t="shared" si="282"/>
        <v>delayed</v>
      </c>
      <c r="AA1093" s="37" t="str">
        <f t="shared" si="283"/>
        <v>Late</v>
      </c>
      <c r="AB1093" s="37" t="str">
        <f t="shared" si="270"/>
        <v>1</v>
      </c>
      <c r="AC1093" s="37">
        <f t="shared" si="271"/>
        <v>1</v>
      </c>
      <c r="AD1093" s="45">
        <f t="shared" si="285"/>
        <v>0.538613861386139</v>
      </c>
      <c r="AE1093" s="37">
        <v>5</v>
      </c>
      <c r="AF1093" s="37" t="s">
        <v>106</v>
      </c>
      <c r="AG1093" s="37" t="str">
        <f t="shared" si="284"/>
        <v>yes</v>
      </c>
      <c r="AH1093" s="37" t="str">
        <f t="array" ref="AH1093">_xlfn.IFS(LOWER(AG1093)="n","no",LOWER(AG1093)="y","yes",TRUE,LOWER(AG1093))</f>
        <v>yes</v>
      </c>
      <c r="AI1093" s="37" t="s">
        <v>4692</v>
      </c>
    </row>
    <row r="1094" spans="1:35">
      <c r="A1094" s="46" t="s">
        <v>3597</v>
      </c>
      <c r="B1094" s="47">
        <v>45359</v>
      </c>
      <c r="C1094" s="39">
        <f t="shared" si="272"/>
        <v>45359</v>
      </c>
      <c r="D1094" s="48" t="s">
        <v>633</v>
      </c>
      <c r="E1094" s="37" t="str" cm="1">
        <f t="array" ref="E1094">_xlfn.IFS(D1094="delhi","north",D1094="mumbai","west",D1094="bengaluru","south",D1094="chennai","south",D1094="kolkata","east",TRUE,"west")</f>
        <v>south</v>
      </c>
      <c r="F1094" s="46" t="s">
        <v>146</v>
      </c>
      <c r="G1094" s="37" t="str">
        <f t="shared" si="273"/>
        <v>ecomexpress</v>
      </c>
      <c r="H1094" s="46" t="s">
        <v>123</v>
      </c>
      <c r="I1094" s="37" t="str">
        <f t="shared" si="274"/>
        <v>air</v>
      </c>
      <c r="J1094" s="46" t="s">
        <v>430</v>
      </c>
      <c r="K1094" s="37" t="str">
        <f t="shared" si="275"/>
        <v>pharma</v>
      </c>
      <c r="L1094" s="46" t="s">
        <v>302</v>
      </c>
      <c r="M1094" s="37" t="str">
        <f t="shared" si="276"/>
        <v>east</v>
      </c>
      <c r="N1094" s="46" t="s">
        <v>91</v>
      </c>
      <c r="O1094" s="41" t="str">
        <f t="shared" si="277"/>
        <v>Yes</v>
      </c>
      <c r="P1094" s="49">
        <v>3.4</v>
      </c>
      <c r="Q1094" s="49" t="s">
        <v>3598</v>
      </c>
      <c r="R1094" s="42">
        <f t="shared" si="278"/>
        <v>81.1764705882353</v>
      </c>
      <c r="S1094" s="46">
        <v>4</v>
      </c>
      <c r="T1094" s="46" t="s">
        <v>2354</v>
      </c>
      <c r="U1094" s="43" t="str">
        <f t="shared" si="279"/>
        <v>11-mar-2024</v>
      </c>
      <c r="V1094" s="43">
        <f t="shared" si="280"/>
        <v>45362</v>
      </c>
      <c r="W1094" s="44">
        <f t="array" ref="W1094">_xlfn.IFS(TRIM(C1094)="","",TRIM(V1094)="","",TRUE,V1094-C1094)</f>
        <v>3</v>
      </c>
      <c r="X1094" s="37">
        <f t="shared" si="281"/>
        <v>-1</v>
      </c>
      <c r="Y1094" s="46" t="s">
        <v>117</v>
      </c>
      <c r="Z1094" s="37" t="str">
        <f t="shared" si="282"/>
        <v>delivered</v>
      </c>
      <c r="AA1094" s="37" t="str">
        <f t="shared" si="283"/>
        <v>On Time</v>
      </c>
      <c r="AB1094" s="37" t="str">
        <f t="shared" ref="AB1094:AB1157" si="286">IF(Z1094="In-Transit","N/A",IF(X1094="","",IF(X1094&gt;0,"1","0")))</f>
        <v>0</v>
      </c>
      <c r="AC1094" s="37">
        <f t="shared" si="271"/>
        <v>0</v>
      </c>
      <c r="AD1094" s="45">
        <f t="shared" si="285"/>
        <v>0.537698412698413</v>
      </c>
      <c r="AE1094" s="46">
        <v>5</v>
      </c>
      <c r="AF1094" s="46" t="s">
        <v>152</v>
      </c>
      <c r="AG1094" s="37" t="str">
        <f t="shared" si="284"/>
        <v>no</v>
      </c>
      <c r="AH1094" s="37" t="str">
        <f t="array" ref="AH1094">_xlfn.IFS(LOWER(AG1094)="n","no",LOWER(AG1094)="y","yes",TRUE,LOWER(AG1094))</f>
        <v>no</v>
      </c>
      <c r="AI1094" s="46" t="s">
        <v>4692</v>
      </c>
    </row>
    <row r="1095" spans="1:35">
      <c r="A1095" s="37" t="s">
        <v>3599</v>
      </c>
      <c r="B1095" s="38">
        <v>45334</v>
      </c>
      <c r="C1095" s="39">
        <f t="shared" si="272"/>
        <v>45334</v>
      </c>
      <c r="D1095" s="40" t="s">
        <v>4712</v>
      </c>
      <c r="E1095" s="37" t="str" cm="1">
        <f t="array" ref="E1095">_xlfn.IFS(D1095="delhi","north",D1095="mumbai","west",D1095="bengaluru","south",D1095="chennai","south",D1095="kolkata","east",TRUE,"west")</f>
        <v>west</v>
      </c>
      <c r="F1095" s="37" t="s">
        <v>230</v>
      </c>
      <c r="G1095" s="37" t="str">
        <f t="shared" si="273"/>
        <v>dtdc</v>
      </c>
      <c r="H1095" s="37" t="s">
        <v>176</v>
      </c>
      <c r="I1095" s="37" t="str">
        <f t="shared" si="274"/>
        <v>road</v>
      </c>
      <c r="J1095" s="37" t="s">
        <v>1112</v>
      </c>
      <c r="K1095" s="37" t="str">
        <f t="shared" si="275"/>
        <v>automotiveparts</v>
      </c>
      <c r="L1095" s="37" t="s">
        <v>139</v>
      </c>
      <c r="M1095" s="37" t="str">
        <f t="shared" si="276"/>
        <v>north</v>
      </c>
      <c r="N1095" s="37" t="s">
        <v>32</v>
      </c>
      <c r="O1095" s="41" t="str">
        <f t="shared" si="277"/>
        <v>Yes</v>
      </c>
      <c r="P1095" s="41">
        <v>21.7</v>
      </c>
      <c r="Q1095" s="41" t="s">
        <v>3601</v>
      </c>
      <c r="R1095" s="42">
        <f t="shared" si="278"/>
        <v>19.63133640553</v>
      </c>
      <c r="S1095" s="37">
        <v>8</v>
      </c>
      <c r="T1095" s="37" t="s">
        <v>3602</v>
      </c>
      <c r="U1095" s="43" t="str">
        <f t="shared" si="279"/>
        <v>20-feb-2024</v>
      </c>
      <c r="V1095" s="43">
        <f t="shared" si="280"/>
        <v>45342</v>
      </c>
      <c r="W1095" s="44">
        <f t="array" ref="W1095">_xlfn.IFS(TRIM(C1095)="","",TRIM(V1095)="","",TRUE,V1095-C1095)</f>
        <v>8</v>
      </c>
      <c r="X1095" s="37">
        <f t="shared" si="281"/>
        <v>0</v>
      </c>
      <c r="Y1095" s="37" t="s">
        <v>163</v>
      </c>
      <c r="Z1095" s="37" t="str">
        <f t="shared" si="282"/>
        <v>delivered</v>
      </c>
      <c r="AA1095" s="37" t="str">
        <f t="shared" si="283"/>
        <v>On Time</v>
      </c>
      <c r="AB1095" s="37" t="str">
        <f t="shared" si="286"/>
        <v>0</v>
      </c>
      <c r="AC1095" s="37">
        <f t="shared" ref="AC1095:AC1158" si="287">IF(TRIM(AB1095&amp;"")="","",VALUE(TRIM(AB1095&amp;"")))</f>
        <v>0</v>
      </c>
      <c r="AD1095" s="45">
        <f t="shared" si="285"/>
        <v>0.538767395626243</v>
      </c>
      <c r="AE1095" s="37">
        <v>2</v>
      </c>
      <c r="AF1095" s="37" t="s">
        <v>79</v>
      </c>
      <c r="AG1095" s="37" t="str">
        <f t="shared" si="284"/>
        <v>yes</v>
      </c>
      <c r="AH1095" s="37" t="str">
        <f t="array" ref="AH1095">_xlfn.IFS(LOWER(AG1095)="n","no",LOWER(AG1095)="y","yes",TRUE,LOWER(AG1095))</f>
        <v>yes</v>
      </c>
      <c r="AI1095" s="37" t="s">
        <v>4692</v>
      </c>
    </row>
    <row r="1096" spans="1:35">
      <c r="A1096" s="46" t="s">
        <v>3603</v>
      </c>
      <c r="B1096" s="47" t="s">
        <v>4828</v>
      </c>
      <c r="C1096" s="39">
        <f t="shared" si="272"/>
        <v>45343</v>
      </c>
      <c r="D1096" s="48" t="s">
        <v>4695</v>
      </c>
      <c r="E1096" s="37" t="str" cm="1">
        <f t="array" ref="E1096">_xlfn.IFS(D1096="delhi","north",D1096="mumbai","west",D1096="bengaluru","south",D1096="chennai","south",D1096="kolkata","east",TRUE,"west")</f>
        <v>west</v>
      </c>
      <c r="F1096" s="46" t="s">
        <v>156</v>
      </c>
      <c r="G1096" s="37" t="str">
        <f t="shared" si="273"/>
        <v>xpressbees</v>
      </c>
      <c r="H1096" s="46" t="s">
        <v>176</v>
      </c>
      <c r="I1096" s="37" t="str">
        <f t="shared" si="274"/>
        <v>road</v>
      </c>
      <c r="J1096" s="46" t="s">
        <v>582</v>
      </c>
      <c r="K1096" s="37" t="str">
        <f t="shared" si="275"/>
        <v>grocery&amp;fmcg</v>
      </c>
      <c r="L1096" s="46" t="s">
        <v>302</v>
      </c>
      <c r="M1096" s="37" t="str">
        <f t="shared" si="276"/>
        <v>east</v>
      </c>
      <c r="N1096" s="46" t="s">
        <v>294</v>
      </c>
      <c r="O1096" s="41" t="str">
        <f t="shared" si="277"/>
        <v>Yes</v>
      </c>
      <c r="P1096" s="49">
        <v>3.7</v>
      </c>
      <c r="Q1096" s="49" t="s">
        <v>3604</v>
      </c>
      <c r="R1096" s="42">
        <f t="shared" si="278"/>
        <v>70</v>
      </c>
      <c r="S1096" s="46">
        <v>8</v>
      </c>
      <c r="T1096" s="46" t="s">
        <v>373</v>
      </c>
      <c r="U1096" s="43" t="str">
        <f t="shared" si="279"/>
        <v>28-feb-2024</v>
      </c>
      <c r="V1096" s="43">
        <f t="shared" si="280"/>
        <v>45350</v>
      </c>
      <c r="W1096" s="44">
        <f t="array" ref="W1096">_xlfn.IFS(TRIM(C1096)="","",TRIM(V1096)="","",TRUE,V1096-C1096)</f>
        <v>7</v>
      </c>
      <c r="X1096" s="37">
        <f t="shared" si="281"/>
        <v>-1</v>
      </c>
      <c r="Y1096" s="46" t="s">
        <v>163</v>
      </c>
      <c r="Z1096" s="37" t="str">
        <f t="shared" si="282"/>
        <v>delivered</v>
      </c>
      <c r="AA1096" s="37" t="str">
        <f t="shared" si="283"/>
        <v>On Time</v>
      </c>
      <c r="AB1096" s="37" t="str">
        <f t="shared" si="286"/>
        <v>0</v>
      </c>
      <c r="AC1096" s="37">
        <f t="shared" si="287"/>
        <v>0</v>
      </c>
      <c r="AD1096" s="45">
        <f t="shared" si="285"/>
        <v>0.539840637450199</v>
      </c>
      <c r="AE1096" s="46">
        <v>5</v>
      </c>
      <c r="AF1096" s="46" t="s">
        <v>79</v>
      </c>
      <c r="AG1096" s="37" t="str">
        <f t="shared" si="284"/>
        <v>yes</v>
      </c>
      <c r="AH1096" s="37" t="str">
        <f t="array" ref="AH1096">_xlfn.IFS(LOWER(AG1096)="n","no",LOWER(AG1096)="y","yes",TRUE,LOWER(AG1096))</f>
        <v>yes</v>
      </c>
      <c r="AI1096" s="46" t="s">
        <v>4692</v>
      </c>
    </row>
    <row r="1097" spans="1:35">
      <c r="A1097" s="37" t="s">
        <v>3605</v>
      </c>
      <c r="B1097" s="38">
        <v>45295</v>
      </c>
      <c r="C1097" s="39">
        <f t="shared" si="272"/>
        <v>45295</v>
      </c>
      <c r="D1097" s="40" t="s">
        <v>340</v>
      </c>
      <c r="E1097" s="37" t="str" cm="1">
        <f t="array" ref="E1097">_xlfn.IFS(D1097="delhi","north",D1097="mumbai","west",D1097="bengaluru","south",D1097="chennai","south",D1097="kolkata","east",TRUE,"west")</f>
        <v>north</v>
      </c>
      <c r="F1097" s="37" t="s">
        <v>213</v>
      </c>
      <c r="G1097" s="37" t="str">
        <f t="shared" si="273"/>
        <v>dtdc</v>
      </c>
      <c r="H1097" s="37" t="s">
        <v>325</v>
      </c>
      <c r="I1097" s="37" t="str">
        <f t="shared" si="274"/>
        <v>air</v>
      </c>
      <c r="J1097" s="37" t="s">
        <v>177</v>
      </c>
      <c r="K1097" s="37" t="str">
        <f t="shared" si="275"/>
        <v>pharma</v>
      </c>
      <c r="L1097" s="37" t="s">
        <v>302</v>
      </c>
      <c r="M1097" s="37" t="str">
        <f t="shared" si="276"/>
        <v>east</v>
      </c>
      <c r="N1097" s="37" t="s">
        <v>126</v>
      </c>
      <c r="O1097" s="41" t="str">
        <f t="shared" si="277"/>
        <v>Yes</v>
      </c>
      <c r="P1097" s="41" t="s">
        <v>3056</v>
      </c>
      <c r="Q1097" s="41">
        <v>265</v>
      </c>
      <c r="R1097" s="42">
        <f t="shared" si="278"/>
        <v>115.217391304348</v>
      </c>
      <c r="S1097" s="37">
        <v>4</v>
      </c>
      <c r="T1097" s="37" t="s">
        <v>3203</v>
      </c>
      <c r="U1097" s="43" t="str">
        <f t="shared" si="279"/>
        <v>09-jan-2024</v>
      </c>
      <c r="V1097" s="43">
        <f t="shared" si="280"/>
        <v>45300</v>
      </c>
      <c r="W1097" s="44">
        <f t="array" ref="W1097">_xlfn.IFS(TRIM(C1097)="","",TRIM(V1097)="","",TRUE,V1097-C1097)</f>
        <v>5</v>
      </c>
      <c r="X1097" s="37">
        <f t="shared" si="281"/>
        <v>1</v>
      </c>
      <c r="Y1097" s="37" t="s">
        <v>143</v>
      </c>
      <c r="Z1097" s="37" t="str">
        <f t="shared" si="282"/>
        <v>delayed</v>
      </c>
      <c r="AA1097" s="37" t="str">
        <f t="shared" si="283"/>
        <v>Late</v>
      </c>
      <c r="AB1097" s="37" t="str">
        <f t="shared" si="286"/>
        <v>1</v>
      </c>
      <c r="AC1097" s="37">
        <f t="shared" si="287"/>
        <v>1</v>
      </c>
      <c r="AD1097" s="45">
        <f t="shared" si="285"/>
        <v>0.540918163672655</v>
      </c>
      <c r="AE1097" s="37">
        <v>4</v>
      </c>
      <c r="AF1097" s="37" t="s">
        <v>152</v>
      </c>
      <c r="AG1097" s="37" t="str">
        <f t="shared" si="284"/>
        <v>no</v>
      </c>
      <c r="AH1097" s="37" t="str">
        <f t="array" ref="AH1097">_xlfn.IFS(LOWER(AG1097)="n","no",LOWER(AG1097)="y","yes",TRUE,LOWER(AG1097))</f>
        <v>no</v>
      </c>
      <c r="AI1097" s="37" t="s">
        <v>4692</v>
      </c>
    </row>
    <row r="1098" spans="1:35">
      <c r="A1098" s="46" t="s">
        <v>3606</v>
      </c>
      <c r="B1098" s="47">
        <v>45373</v>
      </c>
      <c r="C1098" s="39">
        <f t="shared" si="272"/>
        <v>45373</v>
      </c>
      <c r="D1098" s="48" t="s">
        <v>424</v>
      </c>
      <c r="E1098" s="37" t="str" cm="1">
        <f t="array" ref="E1098">_xlfn.IFS(D1098="delhi","north",D1098="mumbai","west",D1098="bengaluru","south",D1098="chennai","south",D1098="kolkata","east",TRUE,"west")</f>
        <v>south</v>
      </c>
      <c r="F1098" s="46" t="s">
        <v>352</v>
      </c>
      <c r="G1098" s="37" t="str">
        <f t="shared" si="273"/>
        <v>delhivery</v>
      </c>
      <c r="H1098" s="46" t="s">
        <v>137</v>
      </c>
      <c r="I1098" s="37" t="str">
        <f t="shared" si="274"/>
        <v>road</v>
      </c>
      <c r="J1098" s="46" t="s">
        <v>612</v>
      </c>
      <c r="K1098" s="37" t="str">
        <f t="shared" si="275"/>
        <v>grocery&amp;fmcg</v>
      </c>
      <c r="L1098" s="46" t="s">
        <v>197</v>
      </c>
      <c r="M1098" s="37" t="str">
        <f t="shared" si="276"/>
        <v>south</v>
      </c>
      <c r="N1098" s="46" t="s">
        <v>90</v>
      </c>
      <c r="O1098" s="41" t="str">
        <f t="shared" si="277"/>
        <v>Yes</v>
      </c>
      <c r="P1098" s="49">
        <v>10.7</v>
      </c>
      <c r="Q1098" s="49">
        <v>155</v>
      </c>
      <c r="R1098" s="42">
        <f t="shared" si="278"/>
        <v>14.4859813084112</v>
      </c>
      <c r="S1098" s="46">
        <v>6</v>
      </c>
      <c r="T1098" s="46" t="s">
        <v>3608</v>
      </c>
      <c r="U1098" s="43" t="str">
        <f t="shared" si="279"/>
        <v>2024-03-30</v>
      </c>
      <c r="V1098" s="43">
        <f t="shared" si="280"/>
        <v>45381</v>
      </c>
      <c r="W1098" s="44">
        <f t="array" ref="W1098">_xlfn.IFS(TRIM(C1098)="","",TRIM(V1098)="","",TRUE,V1098-C1098)</f>
        <v>8</v>
      </c>
      <c r="X1098" s="37">
        <f t="shared" si="281"/>
        <v>2</v>
      </c>
      <c r="Y1098" s="46" t="s">
        <v>200</v>
      </c>
      <c r="Z1098" s="37" t="str">
        <f t="shared" si="282"/>
        <v>delayed</v>
      </c>
      <c r="AA1098" s="37" t="str">
        <f t="shared" si="283"/>
        <v>Late</v>
      </c>
      <c r="AB1098" s="37" t="str">
        <f t="shared" si="286"/>
        <v>1</v>
      </c>
      <c r="AC1098" s="37">
        <f t="shared" si="287"/>
        <v>1</v>
      </c>
      <c r="AD1098" s="45">
        <f t="shared" si="285"/>
        <v>0.54</v>
      </c>
      <c r="AE1098" s="46">
        <v>3</v>
      </c>
      <c r="AF1098" s="46" t="s">
        <v>131</v>
      </c>
      <c r="AG1098" s="37" t="str">
        <f t="shared" si="284"/>
        <v>n</v>
      </c>
      <c r="AH1098" s="37" t="str">
        <f t="array" ref="AH1098">_xlfn.IFS(LOWER(AG1098)="n","no",LOWER(AG1098)="y","yes",TRUE,LOWER(AG1098))</f>
        <v>no</v>
      </c>
      <c r="AI1098" s="46" t="s">
        <v>4692</v>
      </c>
    </row>
    <row r="1099" spans="1:35">
      <c r="A1099" s="37" t="s">
        <v>3609</v>
      </c>
      <c r="B1099" s="38">
        <v>45372</v>
      </c>
      <c r="C1099" s="39">
        <f t="shared" si="272"/>
        <v>45372</v>
      </c>
      <c r="D1099" s="40" t="s">
        <v>366</v>
      </c>
      <c r="E1099" s="37" t="str" cm="1">
        <f t="array" ref="E1099">_xlfn.IFS(D1099="delhi","north",D1099="mumbai","west",D1099="bengaluru","south",D1099="chennai","south",D1099="kolkata","east",TRUE,"west")</f>
        <v>east</v>
      </c>
      <c r="F1099" s="37" t="s">
        <v>122</v>
      </c>
      <c r="G1099" s="37" t="str">
        <f t="shared" si="273"/>
        <v>delhivery</v>
      </c>
      <c r="H1099" s="37" t="s">
        <v>195</v>
      </c>
      <c r="I1099" s="37" t="str">
        <f t="shared" si="274"/>
        <v>road</v>
      </c>
      <c r="J1099" s="37" t="s">
        <v>612</v>
      </c>
      <c r="K1099" s="37" t="str">
        <f t="shared" si="275"/>
        <v>grocery&amp;fmcg</v>
      </c>
      <c r="L1099" s="37" t="s">
        <v>159</v>
      </c>
      <c r="M1099" s="37" t="str">
        <f t="shared" si="276"/>
        <v>south</v>
      </c>
      <c r="N1099" s="37" t="s">
        <v>54</v>
      </c>
      <c r="O1099" s="41" t="str">
        <f t="shared" si="277"/>
        <v>Yes</v>
      </c>
      <c r="P1099" s="41" t="s">
        <v>2550</v>
      </c>
      <c r="Q1099" s="41" t="s">
        <v>3316</v>
      </c>
      <c r="R1099" s="42">
        <f t="shared" si="278"/>
        <v>36.4</v>
      </c>
      <c r="S1099" s="37">
        <v>8</v>
      </c>
      <c r="T1099" s="37" t="s">
        <v>3585</v>
      </c>
      <c r="U1099" s="43" t="str">
        <f t="shared" si="279"/>
        <v>30/03/2024</v>
      </c>
      <c r="V1099" s="43">
        <f t="shared" si="280"/>
        <v>45381</v>
      </c>
      <c r="W1099" s="44">
        <f t="array" ref="W1099">_xlfn.IFS(TRIM(C1099)="","",TRIM(V1099)="","",TRUE,V1099-C1099)</f>
        <v>9</v>
      </c>
      <c r="X1099" s="37">
        <f t="shared" si="281"/>
        <v>1</v>
      </c>
      <c r="Y1099" s="37" t="s">
        <v>143</v>
      </c>
      <c r="Z1099" s="37" t="str">
        <f t="shared" si="282"/>
        <v>delayed</v>
      </c>
      <c r="AA1099" s="37" t="str">
        <f t="shared" si="283"/>
        <v>Late</v>
      </c>
      <c r="AB1099" s="37" t="str">
        <f t="shared" si="286"/>
        <v>1</v>
      </c>
      <c r="AC1099" s="37">
        <f t="shared" si="287"/>
        <v>1</v>
      </c>
      <c r="AD1099" s="45">
        <f t="shared" si="285"/>
        <v>0.539078156312625</v>
      </c>
      <c r="AE1099" s="37">
        <v>4</v>
      </c>
      <c r="AF1099" s="37" t="s">
        <v>181</v>
      </c>
      <c r="AG1099" s="37" t="str">
        <f t="shared" si="284"/>
        <v>y</v>
      </c>
      <c r="AH1099" s="37" t="str">
        <f t="array" ref="AH1099">_xlfn.IFS(LOWER(AG1099)="n","no",LOWER(AG1099)="y","yes",TRUE,LOWER(AG1099))</f>
        <v>yes</v>
      </c>
      <c r="AI1099" s="37" t="s">
        <v>4692</v>
      </c>
    </row>
    <row r="1100" spans="1:35">
      <c r="A1100" s="46" t="s">
        <v>3610</v>
      </c>
      <c r="B1100" s="47">
        <v>45357</v>
      </c>
      <c r="C1100" s="39">
        <f t="shared" si="272"/>
        <v>45357</v>
      </c>
      <c r="D1100" s="48" t="s">
        <v>366</v>
      </c>
      <c r="E1100" s="37" t="str" cm="1">
        <f t="array" ref="E1100">_xlfn.IFS(D1100="delhi","north",D1100="mumbai","west",D1100="bengaluru","south",D1100="chennai","south",D1100="kolkata","east",TRUE,"west")</f>
        <v>east</v>
      </c>
      <c r="F1100" s="46" t="s">
        <v>204</v>
      </c>
      <c r="G1100" s="37" t="str">
        <f t="shared" si="273"/>
        <v>delhivery</v>
      </c>
      <c r="H1100" s="46" t="s">
        <v>176</v>
      </c>
      <c r="I1100" s="37" t="str">
        <f t="shared" si="274"/>
        <v>road</v>
      </c>
      <c r="J1100" s="46" t="s">
        <v>148</v>
      </c>
      <c r="K1100" s="37" t="str">
        <f t="shared" si="275"/>
        <v>electronics</v>
      </c>
      <c r="L1100" s="46" t="s">
        <v>168</v>
      </c>
      <c r="M1100" s="37" t="str">
        <f t="shared" si="276"/>
        <v>west</v>
      </c>
      <c r="N1100" s="46" t="s">
        <v>278</v>
      </c>
      <c r="O1100" s="41" t="str">
        <f t="shared" si="277"/>
        <v>Yes</v>
      </c>
      <c r="P1100" s="49">
        <v>14.2</v>
      </c>
      <c r="Q1100" s="49">
        <v>324</v>
      </c>
      <c r="R1100" s="42">
        <f t="shared" si="278"/>
        <v>22.8169014084507</v>
      </c>
      <c r="S1100" s="46">
        <v>8</v>
      </c>
      <c r="T1100" s="46" t="s">
        <v>1164</v>
      </c>
      <c r="U1100" s="43" t="str">
        <f t="shared" si="279"/>
        <v>15-mar-2024</v>
      </c>
      <c r="V1100" s="43">
        <f t="shared" si="280"/>
        <v>45366</v>
      </c>
      <c r="W1100" s="44">
        <f t="array" ref="W1100">_xlfn.IFS(TRIM(C1100)="","",TRIM(V1100)="","",TRUE,V1100-C1100)</f>
        <v>9</v>
      </c>
      <c r="X1100" s="37">
        <f t="shared" si="281"/>
        <v>1</v>
      </c>
      <c r="Y1100" s="46" t="s">
        <v>143</v>
      </c>
      <c r="Z1100" s="37" t="str">
        <f t="shared" si="282"/>
        <v>delayed</v>
      </c>
      <c r="AA1100" s="37" t="str">
        <f t="shared" si="283"/>
        <v>Late</v>
      </c>
      <c r="AB1100" s="37" t="str">
        <f t="shared" si="286"/>
        <v>1</v>
      </c>
      <c r="AC1100" s="37">
        <f t="shared" si="287"/>
        <v>1</v>
      </c>
      <c r="AD1100" s="45">
        <f t="shared" si="285"/>
        <v>0.538152610441767</v>
      </c>
      <c r="AE1100" s="46">
        <v>2</v>
      </c>
      <c r="AF1100" s="46" t="s">
        <v>181</v>
      </c>
      <c r="AG1100" s="37" t="str">
        <f t="shared" si="284"/>
        <v>y</v>
      </c>
      <c r="AH1100" s="37" t="str">
        <f t="array" ref="AH1100">_xlfn.IFS(LOWER(AG1100)="n","no",LOWER(AG1100)="y","yes",TRUE,LOWER(AG1100))</f>
        <v>yes</v>
      </c>
      <c r="AI1100" s="46" t="s">
        <v>4692</v>
      </c>
    </row>
    <row r="1101" spans="1:35">
      <c r="A1101" s="37" t="s">
        <v>3613</v>
      </c>
      <c r="B1101" s="38">
        <v>45436</v>
      </c>
      <c r="C1101" s="39">
        <f t="shared" si="272"/>
        <v>45436</v>
      </c>
      <c r="D1101" s="40" t="s">
        <v>212</v>
      </c>
      <c r="E1101" s="37" t="str" cm="1">
        <f t="array" ref="E1101">_xlfn.IFS(D1101="delhi","north",D1101="mumbai","west",D1101="bengaluru","south",D1101="chennai","south",D1101="kolkata","east",TRUE,"west")</f>
        <v>west</v>
      </c>
      <c r="F1101" s="37" t="s">
        <v>156</v>
      </c>
      <c r="G1101" s="37" t="str">
        <f t="shared" si="273"/>
        <v>xpressbees</v>
      </c>
      <c r="H1101" s="37" t="s">
        <v>244</v>
      </c>
      <c r="I1101" s="37" t="str">
        <f t="shared" si="274"/>
        <v>air</v>
      </c>
      <c r="J1101" s="37" t="s">
        <v>205</v>
      </c>
      <c r="K1101" s="37" t="str">
        <f t="shared" si="275"/>
        <v>furniture</v>
      </c>
      <c r="L1101" s="37" t="s">
        <v>87</v>
      </c>
      <c r="M1101" s="37" t="str">
        <f t="shared" si="276"/>
        <v>north</v>
      </c>
      <c r="N1101" s="37" t="s">
        <v>32</v>
      </c>
      <c r="O1101" s="41" t="str">
        <f t="shared" si="277"/>
        <v>Yes</v>
      </c>
      <c r="P1101" s="41">
        <v>43.3</v>
      </c>
      <c r="Q1101" s="41">
        <v>2075</v>
      </c>
      <c r="R1101" s="42">
        <f t="shared" si="278"/>
        <v>47.9214780600462</v>
      </c>
      <c r="S1101" s="37">
        <v>4</v>
      </c>
      <c r="T1101" s="37" t="s">
        <v>3461</v>
      </c>
      <c r="U1101" s="43" t="str">
        <f t="shared" si="279"/>
        <v>29-may-2024</v>
      </c>
      <c r="V1101" s="43">
        <f t="shared" si="280"/>
        <v>45441</v>
      </c>
      <c r="W1101" s="44">
        <f t="array" ref="W1101">_xlfn.IFS(TRIM(C1101)="","",TRIM(V1101)="","",TRUE,V1101-C1101)</f>
        <v>5</v>
      </c>
      <c r="X1101" s="37">
        <f t="shared" si="281"/>
        <v>1</v>
      </c>
      <c r="Y1101" s="37" t="s">
        <v>337</v>
      </c>
      <c r="Z1101" s="37" t="str">
        <f t="shared" si="282"/>
        <v>damaged</v>
      </c>
      <c r="AA1101" s="37" t="str">
        <f t="shared" si="283"/>
        <v>Late</v>
      </c>
      <c r="AB1101" s="37" t="str">
        <f t="shared" si="286"/>
        <v>1</v>
      </c>
      <c r="AC1101" s="37">
        <f t="shared" si="287"/>
        <v>1</v>
      </c>
      <c r="AD1101" s="45">
        <f t="shared" si="285"/>
        <v>0.537223340040241</v>
      </c>
      <c r="AE1101" s="37"/>
      <c r="AF1101" s="37" t="s">
        <v>152</v>
      </c>
      <c r="AG1101" s="37" t="str">
        <f t="shared" si="284"/>
        <v>no</v>
      </c>
      <c r="AH1101" s="37" t="str">
        <f t="array" ref="AH1101">_xlfn.IFS(LOWER(AG1101)="n","no",LOWER(AG1101)="y","yes",TRUE,LOWER(AG1101))</f>
        <v>no</v>
      </c>
      <c r="AI1101" s="37" t="s">
        <v>132</v>
      </c>
    </row>
    <row r="1102" spans="1:35">
      <c r="A1102" s="46" t="s">
        <v>3616</v>
      </c>
      <c r="B1102" s="47" t="s">
        <v>4736</v>
      </c>
      <c r="C1102" s="39">
        <f t="shared" si="272"/>
        <v>45461</v>
      </c>
      <c r="D1102" s="48" t="s">
        <v>4694</v>
      </c>
      <c r="E1102" s="37" t="str" cm="1">
        <f t="array" ref="E1102">_xlfn.IFS(D1102="delhi","north",D1102="mumbai","west",D1102="bengaluru","south",D1102="chennai","south",D1102="kolkata","east",TRUE,"west")</f>
        <v>west</v>
      </c>
      <c r="F1102" s="46" t="s">
        <v>136</v>
      </c>
      <c r="G1102" s="37" t="str">
        <f t="shared" si="273"/>
        <v>bluedart</v>
      </c>
      <c r="H1102" s="46" t="s">
        <v>147</v>
      </c>
      <c r="I1102" s="37" t="str">
        <f t="shared" si="274"/>
        <v>road</v>
      </c>
      <c r="J1102" s="46" t="s">
        <v>271</v>
      </c>
      <c r="K1102" s="37" t="str">
        <f t="shared" si="275"/>
        <v>electronics</v>
      </c>
      <c r="L1102" s="46" t="s">
        <v>418</v>
      </c>
      <c r="M1102" s="37" t="str">
        <f t="shared" si="276"/>
        <v>south</v>
      </c>
      <c r="N1102" s="46" t="s">
        <v>90</v>
      </c>
      <c r="O1102" s="41" t="str">
        <f t="shared" si="277"/>
        <v>Yes</v>
      </c>
      <c r="P1102" s="49">
        <v>11.8</v>
      </c>
      <c r="Q1102" s="49">
        <v>215</v>
      </c>
      <c r="R1102" s="42">
        <f t="shared" si="278"/>
        <v>18.2203389830508</v>
      </c>
      <c r="S1102" s="46">
        <v>6</v>
      </c>
      <c r="T1102" s="46" t="s">
        <v>909</v>
      </c>
      <c r="U1102" s="43" t="str">
        <f t="shared" si="279"/>
        <v>24-jun-2024</v>
      </c>
      <c r="V1102" s="43">
        <f t="shared" si="280"/>
        <v>45467</v>
      </c>
      <c r="W1102" s="44">
        <f t="array" ref="W1102">_xlfn.IFS(TRIM(C1102)="","",TRIM(V1102)="","",TRUE,V1102-C1102)</f>
        <v>6</v>
      </c>
      <c r="X1102" s="37">
        <f t="shared" si="281"/>
        <v>0</v>
      </c>
      <c r="Y1102" s="46" t="s">
        <v>105</v>
      </c>
      <c r="Z1102" s="37" t="str">
        <f t="shared" si="282"/>
        <v>delivered</v>
      </c>
      <c r="AA1102" s="37" t="str">
        <f t="shared" si="283"/>
        <v>On Time</v>
      </c>
      <c r="AB1102" s="37" t="str">
        <f t="shared" si="286"/>
        <v>0</v>
      </c>
      <c r="AC1102" s="37">
        <f t="shared" si="287"/>
        <v>0</v>
      </c>
      <c r="AD1102" s="45">
        <f t="shared" si="285"/>
        <v>0.536290322580645</v>
      </c>
      <c r="AE1102" s="46">
        <v>5</v>
      </c>
      <c r="AF1102" s="46" t="s">
        <v>286</v>
      </c>
      <c r="AG1102" s="37" t="str">
        <f t="shared" si="284"/>
        <v>yes</v>
      </c>
      <c r="AH1102" s="37" t="str">
        <f t="array" ref="AH1102">_xlfn.IFS(LOWER(AG1102)="n","no",LOWER(AG1102)="y","yes",TRUE,LOWER(AG1102))</f>
        <v>yes</v>
      </c>
      <c r="AI1102" s="46" t="s">
        <v>4692</v>
      </c>
    </row>
    <row r="1103" spans="1:35">
      <c r="A1103" s="37" t="s">
        <v>3618</v>
      </c>
      <c r="B1103" s="38">
        <v>45396</v>
      </c>
      <c r="C1103" s="39">
        <f t="shared" si="272"/>
        <v>45396</v>
      </c>
      <c r="D1103" s="40" t="s">
        <v>243</v>
      </c>
      <c r="E1103" s="37" t="str" cm="1">
        <f t="array" ref="E1103">_xlfn.IFS(D1103="delhi","north",D1103="mumbai","west",D1103="bengaluru","south",D1103="chennai","south",D1103="kolkata","east",TRUE,"west")</f>
        <v>west</v>
      </c>
      <c r="F1103" s="37" t="s">
        <v>223</v>
      </c>
      <c r="G1103" s="37" t="str">
        <f t="shared" si="273"/>
        <v>xpressbees</v>
      </c>
      <c r="H1103" s="37" t="s">
        <v>185</v>
      </c>
      <c r="I1103" s="37" t="str">
        <f t="shared" si="274"/>
        <v>surface</v>
      </c>
      <c r="J1103" s="37" t="s">
        <v>177</v>
      </c>
      <c r="K1103" s="37" t="str">
        <f t="shared" si="275"/>
        <v>pharma</v>
      </c>
      <c r="L1103" s="37" t="s">
        <v>401</v>
      </c>
      <c r="M1103" s="37" t="str">
        <f t="shared" si="276"/>
        <v>south</v>
      </c>
      <c r="N1103" s="37" t="s">
        <v>90</v>
      </c>
      <c r="O1103" s="41" t="str">
        <f t="shared" si="277"/>
        <v>Yes</v>
      </c>
      <c r="P1103" s="41">
        <v>3.7</v>
      </c>
      <c r="Q1103" s="41" t="s">
        <v>3619</v>
      </c>
      <c r="R1103" s="42">
        <f t="shared" si="278"/>
        <v>37.8378378378378</v>
      </c>
      <c r="S1103" s="37">
        <v>4</v>
      </c>
      <c r="T1103" s="37" t="s">
        <v>1028</v>
      </c>
      <c r="U1103" s="43" t="str">
        <f t="shared" si="279"/>
        <v>18/04/2024</v>
      </c>
      <c r="V1103" s="43">
        <f t="shared" si="280"/>
        <v>45400</v>
      </c>
      <c r="W1103" s="44">
        <f t="array" ref="W1103">_xlfn.IFS(TRIM(C1103)="","",TRIM(V1103)="","",TRUE,V1103-C1103)</f>
        <v>4</v>
      </c>
      <c r="X1103" s="37">
        <f t="shared" si="281"/>
        <v>0</v>
      </c>
      <c r="Y1103" s="37" t="s">
        <v>117</v>
      </c>
      <c r="Z1103" s="37" t="str">
        <f t="shared" si="282"/>
        <v>delivered</v>
      </c>
      <c r="AA1103" s="37" t="str">
        <f t="shared" si="283"/>
        <v>On Time</v>
      </c>
      <c r="AB1103" s="37" t="str">
        <f t="shared" si="286"/>
        <v>0</v>
      </c>
      <c r="AC1103" s="37">
        <f t="shared" si="287"/>
        <v>0</v>
      </c>
      <c r="AD1103" s="45">
        <f t="shared" si="285"/>
        <v>0.537373737373737</v>
      </c>
      <c r="AE1103" s="37">
        <v>4</v>
      </c>
      <c r="AF1103" s="37" t="s">
        <v>181</v>
      </c>
      <c r="AG1103" s="37" t="str">
        <f t="shared" si="284"/>
        <v>y</v>
      </c>
      <c r="AH1103" s="37" t="str">
        <f t="array" ref="AH1103">_xlfn.IFS(LOWER(AG1103)="n","no",LOWER(AG1103)="y","yes",TRUE,LOWER(AG1103))</f>
        <v>yes</v>
      </c>
      <c r="AI1103" s="37" t="s">
        <v>4692</v>
      </c>
    </row>
    <row r="1104" spans="1:35">
      <c r="A1104" s="46" t="s">
        <v>3620</v>
      </c>
      <c r="B1104" s="47">
        <v>45362</v>
      </c>
      <c r="C1104" s="39">
        <f t="shared" si="272"/>
        <v>45362</v>
      </c>
      <c r="D1104" s="48" t="s">
        <v>366</v>
      </c>
      <c r="E1104" s="37" t="str" cm="1">
        <f t="array" ref="E1104">_xlfn.IFS(D1104="delhi","north",D1104="mumbai","west",D1104="bengaluru","south",D1104="chennai","south",D1104="kolkata","east",TRUE,"west")</f>
        <v>east</v>
      </c>
      <c r="F1104" s="46" t="s">
        <v>223</v>
      </c>
      <c r="G1104" s="37" t="str">
        <f t="shared" si="273"/>
        <v>xpressbees</v>
      </c>
      <c r="H1104" s="46" t="s">
        <v>195</v>
      </c>
      <c r="I1104" s="37" t="str">
        <f t="shared" si="274"/>
        <v>road</v>
      </c>
      <c r="J1104" s="46" t="s">
        <v>1734</v>
      </c>
      <c r="K1104" s="37" t="str">
        <f t="shared" si="275"/>
        <v>automotiveparts</v>
      </c>
      <c r="L1104" s="46" t="s">
        <v>112</v>
      </c>
      <c r="M1104" s="37" t="str">
        <f t="shared" si="276"/>
        <v>north</v>
      </c>
      <c r="N1104" s="46" t="s">
        <v>113</v>
      </c>
      <c r="O1104" s="41" t="str">
        <f t="shared" si="277"/>
        <v>Yes</v>
      </c>
      <c r="P1104" s="49" t="s">
        <v>3621</v>
      </c>
      <c r="Q1104" s="49">
        <v>358</v>
      </c>
      <c r="R1104" s="42">
        <f t="shared" si="278"/>
        <v>21.437125748503</v>
      </c>
      <c r="S1104" s="46">
        <v>8</v>
      </c>
      <c r="T1104" s="46" t="s">
        <v>2127</v>
      </c>
      <c r="U1104" s="43" t="str">
        <f t="shared" si="279"/>
        <v>20/03/2024</v>
      </c>
      <c r="V1104" s="43">
        <f t="shared" si="280"/>
        <v>45371</v>
      </c>
      <c r="W1104" s="44">
        <f t="array" ref="W1104">_xlfn.IFS(TRIM(C1104)="","",TRIM(V1104)="","",TRUE,V1104-C1104)</f>
        <v>9</v>
      </c>
      <c r="X1104" s="37">
        <f t="shared" si="281"/>
        <v>1</v>
      </c>
      <c r="Y1104" s="46" t="s">
        <v>200</v>
      </c>
      <c r="Z1104" s="37" t="str">
        <f t="shared" si="282"/>
        <v>delayed</v>
      </c>
      <c r="AA1104" s="37" t="str">
        <f t="shared" si="283"/>
        <v>Late</v>
      </c>
      <c r="AB1104" s="37" t="str">
        <f t="shared" si="286"/>
        <v>1</v>
      </c>
      <c r="AC1104" s="37">
        <f t="shared" si="287"/>
        <v>1</v>
      </c>
      <c r="AD1104" s="45">
        <f t="shared" si="285"/>
        <v>0.538461538461538</v>
      </c>
      <c r="AE1104" s="46">
        <v>3</v>
      </c>
      <c r="AF1104" s="46" t="s">
        <v>131</v>
      </c>
      <c r="AG1104" s="37" t="str">
        <f t="shared" si="284"/>
        <v>n</v>
      </c>
      <c r="AH1104" s="37" t="str">
        <f t="array" ref="AH1104">_xlfn.IFS(LOWER(AG1104)="n","no",LOWER(AG1104)="y","yes",TRUE,LOWER(AG1104))</f>
        <v>no</v>
      </c>
      <c r="AI1104" s="46" t="s">
        <v>4692</v>
      </c>
    </row>
    <row r="1105" spans="1:35">
      <c r="A1105" s="37" t="s">
        <v>3623</v>
      </c>
      <c r="B1105" s="38">
        <v>45334</v>
      </c>
      <c r="C1105" s="39">
        <f t="shared" si="272"/>
        <v>45334</v>
      </c>
      <c r="D1105" s="40" t="s">
        <v>212</v>
      </c>
      <c r="E1105" s="37" t="str" cm="1">
        <f t="array" ref="E1105">_xlfn.IFS(D1105="delhi","north",D1105="mumbai","west",D1105="bengaluru","south",D1105="chennai","south",D1105="kolkata","east",TRUE,"west")</f>
        <v>west</v>
      </c>
      <c r="F1105" s="37" t="s">
        <v>230</v>
      </c>
      <c r="G1105" s="37" t="str">
        <f t="shared" si="273"/>
        <v>dtdc</v>
      </c>
      <c r="H1105" s="37" t="s">
        <v>157</v>
      </c>
      <c r="I1105" s="37" t="str">
        <f t="shared" si="274"/>
        <v>surface</v>
      </c>
      <c r="J1105" s="37" t="s">
        <v>1701</v>
      </c>
      <c r="K1105" s="37" t="str">
        <f t="shared" si="275"/>
        <v>grocery&amp;fmcg</v>
      </c>
      <c r="L1105" s="37" t="s">
        <v>380</v>
      </c>
      <c r="M1105" s="37" t="str">
        <f t="shared" si="276"/>
        <v>east</v>
      </c>
      <c r="N1105" s="37" t="s">
        <v>126</v>
      </c>
      <c r="O1105" s="41" t="str">
        <f t="shared" si="277"/>
        <v>Yes</v>
      </c>
      <c r="P1105" s="41" t="s">
        <v>3624</v>
      </c>
      <c r="Q1105" s="41">
        <v>635</v>
      </c>
      <c r="R1105" s="42">
        <f t="shared" si="278"/>
        <v>32.3979591836735</v>
      </c>
      <c r="S1105" s="37">
        <v>6</v>
      </c>
      <c r="T1105" s="37" t="s">
        <v>2531</v>
      </c>
      <c r="U1105" s="43" t="str">
        <f t="shared" si="279"/>
        <v>23-feb-2024</v>
      </c>
      <c r="V1105" s="43">
        <f t="shared" si="280"/>
        <v>45345</v>
      </c>
      <c r="W1105" s="44">
        <f t="array" ref="W1105">_xlfn.IFS(TRIM(C1105)="","",TRIM(V1105)="","",TRUE,V1105-C1105)</f>
        <v>11</v>
      </c>
      <c r="X1105" s="37">
        <f t="shared" si="281"/>
        <v>5</v>
      </c>
      <c r="Y1105" s="37" t="s">
        <v>143</v>
      </c>
      <c r="Z1105" s="37" t="str">
        <f t="shared" si="282"/>
        <v>delayed</v>
      </c>
      <c r="AA1105" s="37" t="str">
        <f t="shared" si="283"/>
        <v>Late</v>
      </c>
      <c r="AB1105" s="37" t="str">
        <f t="shared" si="286"/>
        <v>1</v>
      </c>
      <c r="AC1105" s="37">
        <f t="shared" si="287"/>
        <v>1</v>
      </c>
      <c r="AD1105" s="45">
        <f t="shared" si="285"/>
        <v>0.537525354969574</v>
      </c>
      <c r="AE1105" s="37">
        <v>5</v>
      </c>
      <c r="AF1105" s="37" t="s">
        <v>118</v>
      </c>
      <c r="AG1105" s="37" t="str">
        <f t="shared" si="284"/>
        <v>no</v>
      </c>
      <c r="AH1105" s="37" t="str">
        <f t="array" ref="AH1105">_xlfn.IFS(LOWER(AG1105)="n","no",LOWER(AG1105)="y","yes",TRUE,LOWER(AG1105))</f>
        <v>no</v>
      </c>
      <c r="AI1105" s="37" t="s">
        <v>4692</v>
      </c>
    </row>
    <row r="1106" spans="1:35">
      <c r="A1106" s="46" t="s">
        <v>3626</v>
      </c>
      <c r="B1106" s="47">
        <v>45318</v>
      </c>
      <c r="C1106" s="39">
        <f t="shared" si="272"/>
        <v>45318</v>
      </c>
      <c r="D1106" s="48" t="s">
        <v>212</v>
      </c>
      <c r="E1106" s="37" t="str" cm="1">
        <f t="array" ref="E1106">_xlfn.IFS(D1106="delhi","north",D1106="mumbai","west",D1106="bengaluru","south",D1106="chennai","south",D1106="kolkata","east",TRUE,"west")</f>
        <v>west</v>
      </c>
      <c r="F1106" s="46" t="s">
        <v>352</v>
      </c>
      <c r="G1106" s="37" t="str">
        <f t="shared" si="273"/>
        <v>delhivery</v>
      </c>
      <c r="H1106" s="46" t="s">
        <v>123</v>
      </c>
      <c r="I1106" s="37" t="str">
        <f t="shared" si="274"/>
        <v>air</v>
      </c>
      <c r="J1106" s="46" t="s">
        <v>301</v>
      </c>
      <c r="K1106" s="37" t="str">
        <f t="shared" si="275"/>
        <v>furniture</v>
      </c>
      <c r="L1106" s="46" t="s">
        <v>139</v>
      </c>
      <c r="M1106" s="37" t="str">
        <f t="shared" si="276"/>
        <v>north</v>
      </c>
      <c r="N1106" s="46" t="s">
        <v>113</v>
      </c>
      <c r="O1106" s="41" t="str">
        <f t="shared" si="277"/>
        <v>Yes</v>
      </c>
      <c r="P1106" s="49">
        <v>17.5</v>
      </c>
      <c r="Q1106" s="49">
        <v>992</v>
      </c>
      <c r="R1106" s="42">
        <f t="shared" si="278"/>
        <v>56.6857142857143</v>
      </c>
      <c r="S1106" s="46">
        <v>4</v>
      </c>
      <c r="T1106" s="46" t="s">
        <v>516</v>
      </c>
      <c r="U1106" s="43" t="str">
        <f t="shared" si="279"/>
        <v>31/01/2024</v>
      </c>
      <c r="V1106" s="43">
        <f t="shared" si="280"/>
        <v>45322</v>
      </c>
      <c r="W1106" s="44">
        <f t="array" ref="W1106">_xlfn.IFS(TRIM(C1106)="","",TRIM(V1106)="","",TRUE,V1106-C1106)</f>
        <v>4</v>
      </c>
      <c r="X1106" s="37">
        <f t="shared" si="281"/>
        <v>0</v>
      </c>
      <c r="Y1106" s="46" t="s">
        <v>117</v>
      </c>
      <c r="Z1106" s="37" t="str">
        <f t="shared" si="282"/>
        <v>delivered</v>
      </c>
      <c r="AA1106" s="37" t="str">
        <f t="shared" si="283"/>
        <v>On Time</v>
      </c>
      <c r="AB1106" s="37" t="str">
        <f t="shared" si="286"/>
        <v>0</v>
      </c>
      <c r="AC1106" s="37">
        <f t="shared" si="287"/>
        <v>0</v>
      </c>
      <c r="AD1106" s="45">
        <f t="shared" si="285"/>
        <v>0.536585365853659</v>
      </c>
      <c r="AE1106" s="46">
        <v>5</v>
      </c>
      <c r="AF1106" s="46" t="s">
        <v>118</v>
      </c>
      <c r="AG1106" s="37" t="str">
        <f t="shared" si="284"/>
        <v>no</v>
      </c>
      <c r="AH1106" s="37" t="str">
        <f t="array" ref="AH1106">_xlfn.IFS(LOWER(AG1106)="n","no",LOWER(AG1106)="y","yes",TRUE,LOWER(AG1106))</f>
        <v>no</v>
      </c>
      <c r="AI1106" s="46" t="s">
        <v>4692</v>
      </c>
    </row>
    <row r="1107" spans="1:35">
      <c r="A1107" s="37" t="s">
        <v>3628</v>
      </c>
      <c r="B1107" s="38">
        <v>45389</v>
      </c>
      <c r="C1107" s="39">
        <f t="shared" si="272"/>
        <v>45389</v>
      </c>
      <c r="D1107" s="40" t="s">
        <v>424</v>
      </c>
      <c r="E1107" s="37" t="str" cm="1">
        <f t="array" ref="E1107">_xlfn.IFS(D1107="delhi","north",D1107="mumbai","west",D1107="bengaluru","south",D1107="chennai","south",D1107="kolkata","east",TRUE,"west")</f>
        <v>south</v>
      </c>
      <c r="F1107" s="37" t="s">
        <v>312</v>
      </c>
      <c r="G1107" s="37" t="str">
        <f t="shared" si="273"/>
        <v>bluedart</v>
      </c>
      <c r="H1107" s="37" t="s">
        <v>42</v>
      </c>
      <c r="I1107" s="37" t="str">
        <f t="shared" si="274"/>
        <v>surface</v>
      </c>
      <c r="J1107" s="37" t="s">
        <v>326</v>
      </c>
      <c r="K1107" s="37" t="str">
        <f t="shared" si="275"/>
        <v>apparel</v>
      </c>
      <c r="L1107" s="37" t="s">
        <v>101</v>
      </c>
      <c r="M1107" s="37" t="str">
        <f t="shared" si="276"/>
        <v>west</v>
      </c>
      <c r="N1107" s="37" t="s">
        <v>278</v>
      </c>
      <c r="O1107" s="41" t="str">
        <f t="shared" si="277"/>
        <v>Yes</v>
      </c>
      <c r="P1107" s="41">
        <v>7</v>
      </c>
      <c r="Q1107" s="41">
        <v>364</v>
      </c>
      <c r="R1107" s="42">
        <f t="shared" si="278"/>
        <v>52</v>
      </c>
      <c r="S1107" s="37">
        <v>6</v>
      </c>
      <c r="T1107" s="37" t="s">
        <v>2731</v>
      </c>
      <c r="U1107" s="43" t="str">
        <f t="shared" si="279"/>
        <v>14/04/2024</v>
      </c>
      <c r="V1107" s="43">
        <f t="shared" si="280"/>
        <v>45396</v>
      </c>
      <c r="W1107" s="44">
        <f t="array" ref="W1107">_xlfn.IFS(TRIM(C1107)="","",TRIM(V1107)="","",TRUE,V1107-C1107)</f>
        <v>7</v>
      </c>
      <c r="X1107" s="37">
        <f t="shared" si="281"/>
        <v>1</v>
      </c>
      <c r="Y1107" s="37" t="s">
        <v>200</v>
      </c>
      <c r="Z1107" s="37" t="str">
        <f t="shared" si="282"/>
        <v>delayed</v>
      </c>
      <c r="AA1107" s="37" t="str">
        <f t="shared" si="283"/>
        <v>Late</v>
      </c>
      <c r="AB1107" s="37" t="str">
        <f t="shared" si="286"/>
        <v>1</v>
      </c>
      <c r="AC1107" s="37">
        <f t="shared" si="287"/>
        <v>1</v>
      </c>
      <c r="AD1107" s="45">
        <f t="shared" si="285"/>
        <v>0.537678207739308</v>
      </c>
      <c r="AE1107" s="37">
        <v>4</v>
      </c>
      <c r="AF1107" s="37" t="s">
        <v>131</v>
      </c>
      <c r="AG1107" s="37" t="str">
        <f t="shared" si="284"/>
        <v>n</v>
      </c>
      <c r="AH1107" s="37" t="str">
        <f t="array" ref="AH1107">_xlfn.IFS(LOWER(AG1107)="n","no",LOWER(AG1107)="y","yes",TRUE,LOWER(AG1107))</f>
        <v>no</v>
      </c>
      <c r="AI1107" s="37" t="s">
        <v>4692</v>
      </c>
    </row>
    <row r="1108" spans="1:35">
      <c r="A1108" s="46" t="s">
        <v>3630</v>
      </c>
      <c r="B1108" s="47" t="s">
        <v>4844</v>
      </c>
      <c r="C1108" s="39">
        <f t="shared" si="272"/>
        <v>45359</v>
      </c>
      <c r="D1108" s="48" t="s">
        <v>366</v>
      </c>
      <c r="E1108" s="37" t="str" cm="1">
        <f t="array" ref="E1108">_xlfn.IFS(D1108="delhi","north",D1108="mumbai","west",D1108="bengaluru","south",D1108="chennai","south",D1108="kolkata","east",TRUE,"west")</f>
        <v>east</v>
      </c>
      <c r="F1108" s="46" t="s">
        <v>333</v>
      </c>
      <c r="G1108" s="37" t="str">
        <f t="shared" si="273"/>
        <v>delhivery</v>
      </c>
      <c r="H1108" s="46" t="s">
        <v>440</v>
      </c>
      <c r="I1108" s="37" t="str">
        <f t="shared" si="274"/>
        <v>road</v>
      </c>
      <c r="J1108" s="46" t="s">
        <v>167</v>
      </c>
      <c r="K1108" s="37" t="str">
        <f t="shared" si="275"/>
        <v>pharma</v>
      </c>
      <c r="L1108" s="46" t="s">
        <v>264</v>
      </c>
      <c r="M1108" s="37" t="str">
        <f t="shared" si="276"/>
        <v>west</v>
      </c>
      <c r="N1108" s="46" t="s">
        <v>206</v>
      </c>
      <c r="O1108" s="41" t="str">
        <f t="shared" si="277"/>
        <v>Yes</v>
      </c>
      <c r="P1108" s="49">
        <v>4.3</v>
      </c>
      <c r="Q1108" s="49">
        <v>261</v>
      </c>
      <c r="R1108" s="42">
        <f t="shared" si="278"/>
        <v>60.6976744186047</v>
      </c>
      <c r="S1108" s="46">
        <v>8</v>
      </c>
      <c r="T1108" s="46" t="s">
        <v>1380</v>
      </c>
      <c r="U1108" s="43" t="str">
        <f t="shared" si="279"/>
        <v>16/03/2024</v>
      </c>
      <c r="V1108" s="43">
        <f t="shared" si="280"/>
        <v>45367</v>
      </c>
      <c r="W1108" s="44">
        <f t="array" ref="W1108">_xlfn.IFS(TRIM(C1108)="","",TRIM(V1108)="","",TRUE,V1108-C1108)</f>
        <v>8</v>
      </c>
      <c r="X1108" s="37">
        <f t="shared" si="281"/>
        <v>0</v>
      </c>
      <c r="Y1108" s="46" t="s">
        <v>219</v>
      </c>
      <c r="Z1108" s="37" t="str">
        <f t="shared" si="282"/>
        <v>delivered</v>
      </c>
      <c r="AA1108" s="37" t="str">
        <f t="shared" si="283"/>
        <v>On Time</v>
      </c>
      <c r="AB1108" s="37" t="str">
        <f t="shared" si="286"/>
        <v>0</v>
      </c>
      <c r="AC1108" s="37">
        <f t="shared" si="287"/>
        <v>0</v>
      </c>
      <c r="AD1108" s="45">
        <f t="shared" si="285"/>
        <v>0.536734693877551</v>
      </c>
      <c r="AE1108" s="46">
        <v>5</v>
      </c>
      <c r="AF1108" s="46" t="s">
        <v>181</v>
      </c>
      <c r="AG1108" s="37" t="str">
        <f t="shared" si="284"/>
        <v>y</v>
      </c>
      <c r="AH1108" s="37" t="str">
        <f t="array" ref="AH1108">_xlfn.IFS(LOWER(AG1108)="n","no",LOWER(AG1108)="y","yes",TRUE,LOWER(AG1108))</f>
        <v>yes</v>
      </c>
      <c r="AI1108" s="46" t="s">
        <v>4692</v>
      </c>
    </row>
    <row r="1109" spans="1:35">
      <c r="A1109" s="46" t="s">
        <v>3632</v>
      </c>
      <c r="B1109" s="47">
        <v>45435</v>
      </c>
      <c r="C1109" s="39">
        <f t="shared" si="272"/>
        <v>45435</v>
      </c>
      <c r="D1109" s="48" t="s">
        <v>300</v>
      </c>
      <c r="E1109" s="37" t="str" cm="1">
        <f t="array" ref="E1109">_xlfn.IFS(D1109="delhi","north",D1109="mumbai","west",D1109="bengaluru","south",D1109="chennai","south",D1109="kolkata","east",TRUE,"west")</f>
        <v>west</v>
      </c>
      <c r="F1109" s="46" t="s">
        <v>98</v>
      </c>
      <c r="G1109" s="37" t="str">
        <f t="shared" si="273"/>
        <v>dtdc</v>
      </c>
      <c r="H1109" s="46" t="s">
        <v>440</v>
      </c>
      <c r="I1109" s="37" t="str">
        <f t="shared" si="274"/>
        <v>road</v>
      </c>
      <c r="J1109" s="46" t="s">
        <v>368</v>
      </c>
      <c r="K1109" s="37" t="str">
        <f t="shared" si="275"/>
        <v>furniture</v>
      </c>
      <c r="L1109" s="46" t="s">
        <v>418</v>
      </c>
      <c r="M1109" s="37" t="str">
        <f t="shared" si="276"/>
        <v>south</v>
      </c>
      <c r="N1109" s="46" t="s">
        <v>90</v>
      </c>
      <c r="O1109" s="41" t="str">
        <f t="shared" si="277"/>
        <v>Yes</v>
      </c>
      <c r="P1109" s="49" t="s">
        <v>2492</v>
      </c>
      <c r="Q1109" s="49">
        <v>223</v>
      </c>
      <c r="R1109" s="42">
        <f t="shared" si="278"/>
        <v>13.5151515151515</v>
      </c>
      <c r="S1109" s="46">
        <v>6</v>
      </c>
      <c r="T1109" s="46" t="s">
        <v>1064</v>
      </c>
      <c r="U1109" s="43" t="str">
        <f t="shared" si="279"/>
        <v>2024-05-29</v>
      </c>
      <c r="V1109" s="43">
        <f t="shared" si="280"/>
        <v>45441</v>
      </c>
      <c r="W1109" s="44">
        <f t="array" ref="W1109">_xlfn.IFS(TRIM(C1109)="","",TRIM(V1109)="","",TRUE,V1109-C1109)</f>
        <v>6</v>
      </c>
      <c r="X1109" s="37">
        <f t="shared" si="281"/>
        <v>0</v>
      </c>
      <c r="Y1109" s="46" t="s">
        <v>117</v>
      </c>
      <c r="Z1109" s="37" t="str">
        <f t="shared" si="282"/>
        <v>delivered</v>
      </c>
      <c r="AA1109" s="37" t="str">
        <f t="shared" si="283"/>
        <v>On Time</v>
      </c>
      <c r="AB1109" s="37" t="str">
        <f t="shared" si="286"/>
        <v>0</v>
      </c>
      <c r="AC1109" s="37">
        <f t="shared" si="287"/>
        <v>0</v>
      </c>
      <c r="AD1109" s="45">
        <f t="shared" si="285"/>
        <v>0.537832310838446</v>
      </c>
      <c r="AE1109" s="46">
        <v>4</v>
      </c>
      <c r="AF1109" s="46" t="s">
        <v>181</v>
      </c>
      <c r="AG1109" s="37" t="str">
        <f t="shared" si="284"/>
        <v>y</v>
      </c>
      <c r="AH1109" s="37" t="str">
        <f t="array" ref="AH1109">_xlfn.IFS(LOWER(AG1109)="n","no",LOWER(AG1109)="y","yes",TRUE,LOWER(AG1109))</f>
        <v>yes</v>
      </c>
      <c r="AI1109" s="46" t="s">
        <v>4692</v>
      </c>
    </row>
    <row r="1110" spans="1:35">
      <c r="A1110" s="37" t="s">
        <v>3633</v>
      </c>
      <c r="B1110" s="38">
        <v>45331</v>
      </c>
      <c r="C1110" s="39">
        <f t="shared" si="272"/>
        <v>45331</v>
      </c>
      <c r="D1110" s="40" t="s">
        <v>212</v>
      </c>
      <c r="E1110" s="37" t="str" cm="1">
        <f t="array" ref="E1110">_xlfn.IFS(D1110="delhi","north",D1110="mumbai","west",D1110="bengaluru","south",D1110="chennai","south",D1110="kolkata","east",TRUE,"west")</f>
        <v>west</v>
      </c>
      <c r="F1110" s="37" t="s">
        <v>367</v>
      </c>
      <c r="G1110" s="37" t="str">
        <f t="shared" si="273"/>
        <v>dtdc</v>
      </c>
      <c r="H1110" s="37" t="s">
        <v>123</v>
      </c>
      <c r="I1110" s="37" t="str">
        <f t="shared" si="274"/>
        <v>air</v>
      </c>
      <c r="J1110" s="37" t="s">
        <v>177</v>
      </c>
      <c r="K1110" s="37" t="str">
        <f t="shared" si="275"/>
        <v>pharma</v>
      </c>
      <c r="L1110" s="37" t="s">
        <v>346</v>
      </c>
      <c r="M1110" s="37" t="str">
        <f t="shared" si="276"/>
        <v>north</v>
      </c>
      <c r="N1110" s="37" t="s">
        <v>354</v>
      </c>
      <c r="O1110" s="41" t="str">
        <f t="shared" si="277"/>
        <v>Yes</v>
      </c>
      <c r="P1110" s="41">
        <v>1.7</v>
      </c>
      <c r="Q1110" s="41" t="s">
        <v>1580</v>
      </c>
      <c r="R1110" s="42">
        <f t="shared" si="278"/>
        <v>134.705882352941</v>
      </c>
      <c r="S1110" s="37">
        <v>4</v>
      </c>
      <c r="T1110" s="37" t="s">
        <v>190</v>
      </c>
      <c r="U1110" s="43" t="str">
        <f t="shared" si="279"/>
        <v>14/02/2024</v>
      </c>
      <c r="V1110" s="43">
        <f t="shared" si="280"/>
        <v>45336</v>
      </c>
      <c r="W1110" s="44">
        <f t="array" ref="W1110">_xlfn.IFS(TRIM(C1110)="","",TRIM(V1110)="","",TRUE,V1110-C1110)</f>
        <v>5</v>
      </c>
      <c r="X1110" s="37">
        <f t="shared" si="281"/>
        <v>1</v>
      </c>
      <c r="Y1110" s="37" t="s">
        <v>143</v>
      </c>
      <c r="Z1110" s="37" t="str">
        <f t="shared" si="282"/>
        <v>delayed</v>
      </c>
      <c r="AA1110" s="37" t="str">
        <f t="shared" si="283"/>
        <v>Late</v>
      </c>
      <c r="AB1110" s="37" t="str">
        <f t="shared" si="286"/>
        <v>1</v>
      </c>
      <c r="AC1110" s="37">
        <f t="shared" si="287"/>
        <v>1</v>
      </c>
      <c r="AD1110" s="45">
        <f t="shared" si="285"/>
        <v>0.538934426229508</v>
      </c>
      <c r="AE1110" s="37">
        <v>3</v>
      </c>
      <c r="AF1110" s="37" t="s">
        <v>191</v>
      </c>
      <c r="AG1110" s="37" t="str">
        <f t="shared" si="284"/>
        <v>no</v>
      </c>
      <c r="AH1110" s="37" t="str">
        <f t="array" ref="AH1110">_xlfn.IFS(LOWER(AG1110)="n","no",LOWER(AG1110)="y","yes",TRUE,LOWER(AG1110))</f>
        <v>no</v>
      </c>
      <c r="AI1110" s="37" t="s">
        <v>4692</v>
      </c>
    </row>
    <row r="1111" spans="1:35">
      <c r="A1111" s="46" t="s">
        <v>3634</v>
      </c>
      <c r="B1111" s="47">
        <v>45403</v>
      </c>
      <c r="C1111" s="39">
        <f t="shared" si="272"/>
        <v>45403</v>
      </c>
      <c r="D1111" s="48" t="s">
        <v>633</v>
      </c>
      <c r="E1111" s="37" t="str" cm="1">
        <f t="array" ref="E1111">_xlfn.IFS(D1111="delhi","north",D1111="mumbai","west",D1111="bengaluru","south",D1111="chennai","south",D1111="kolkata","east",TRUE,"west")</f>
        <v>south</v>
      </c>
      <c r="F1111" s="46" t="s">
        <v>367</v>
      </c>
      <c r="G1111" s="37" t="str">
        <f t="shared" si="273"/>
        <v>dtdc</v>
      </c>
      <c r="H1111" s="46" t="s">
        <v>123</v>
      </c>
      <c r="I1111" s="37" t="str">
        <f t="shared" si="274"/>
        <v>air</v>
      </c>
      <c r="J1111" s="46" t="s">
        <v>283</v>
      </c>
      <c r="K1111" s="37" t="str">
        <f t="shared" si="275"/>
        <v>pharma</v>
      </c>
      <c r="L1111" s="46" t="s">
        <v>51</v>
      </c>
      <c r="M1111" s="37" t="str">
        <f t="shared" si="276"/>
        <v>south</v>
      </c>
      <c r="N1111" s="46" t="s">
        <v>90</v>
      </c>
      <c r="O1111" s="41" t="str">
        <f t="shared" si="277"/>
        <v>Yes</v>
      </c>
      <c r="P1111" s="49" t="s">
        <v>446</v>
      </c>
      <c r="Q1111" s="49">
        <v>99</v>
      </c>
      <c r="R1111" s="42">
        <f t="shared" si="278"/>
        <v>66</v>
      </c>
      <c r="S1111" s="46">
        <v>2</v>
      </c>
      <c r="T1111" s="46" t="s">
        <v>2429</v>
      </c>
      <c r="U1111" s="43" t="str">
        <f t="shared" si="279"/>
        <v>25-apr-2024</v>
      </c>
      <c r="V1111" s="43">
        <f t="shared" si="280"/>
        <v>45407</v>
      </c>
      <c r="W1111" s="44">
        <f t="array" ref="W1111">_xlfn.IFS(TRIM(C1111)="","",TRIM(V1111)="","",TRUE,V1111-C1111)</f>
        <v>4</v>
      </c>
      <c r="X1111" s="37">
        <f t="shared" si="281"/>
        <v>2</v>
      </c>
      <c r="Y1111" s="46" t="s">
        <v>200</v>
      </c>
      <c r="Z1111" s="37" t="str">
        <f t="shared" si="282"/>
        <v>delayed</v>
      </c>
      <c r="AA1111" s="37" t="str">
        <f t="shared" si="283"/>
        <v>Late</v>
      </c>
      <c r="AB1111" s="37" t="str">
        <f t="shared" si="286"/>
        <v>1</v>
      </c>
      <c r="AC1111" s="37">
        <f t="shared" si="287"/>
        <v>1</v>
      </c>
      <c r="AD1111" s="45">
        <f t="shared" si="285"/>
        <v>0.537987679671458</v>
      </c>
      <c r="AE1111" s="46">
        <v>4</v>
      </c>
      <c r="AF1111" s="46" t="s">
        <v>152</v>
      </c>
      <c r="AG1111" s="37" t="str">
        <f t="shared" si="284"/>
        <v>no</v>
      </c>
      <c r="AH1111" s="37" t="str">
        <f t="array" ref="AH1111">_xlfn.IFS(LOWER(AG1111)="n","no",LOWER(AG1111)="y","yes",TRUE,LOWER(AG1111))</f>
        <v>no</v>
      </c>
      <c r="AI1111" s="46" t="s">
        <v>4692</v>
      </c>
    </row>
    <row r="1112" spans="1:35">
      <c r="A1112" s="37" t="s">
        <v>3636</v>
      </c>
      <c r="B1112" s="38">
        <v>45294</v>
      </c>
      <c r="C1112" s="39">
        <f t="shared" si="272"/>
        <v>45294</v>
      </c>
      <c r="D1112" s="40" t="s">
        <v>366</v>
      </c>
      <c r="E1112" s="37" t="str" cm="1">
        <f t="array" ref="E1112">_xlfn.IFS(D1112="delhi","north",D1112="mumbai","west",D1112="bengaluru","south",D1112="chennai","south",D1112="kolkata","east",TRUE,"west")</f>
        <v>east</v>
      </c>
      <c r="F1112" s="37" t="s">
        <v>312</v>
      </c>
      <c r="G1112" s="37" t="str">
        <f t="shared" si="273"/>
        <v>bluedart</v>
      </c>
      <c r="H1112" s="37" t="s">
        <v>440</v>
      </c>
      <c r="I1112" s="37" t="str">
        <f t="shared" si="274"/>
        <v>road</v>
      </c>
      <c r="J1112" s="37" t="s">
        <v>301</v>
      </c>
      <c r="K1112" s="37" t="str">
        <f t="shared" si="275"/>
        <v>furniture</v>
      </c>
      <c r="L1112" s="37" t="s">
        <v>92</v>
      </c>
      <c r="M1112" s="37" t="str">
        <f t="shared" si="276"/>
        <v>east</v>
      </c>
      <c r="N1112" s="37" t="s">
        <v>396</v>
      </c>
      <c r="O1112" s="41" t="str">
        <f t="shared" si="277"/>
        <v>Yes</v>
      </c>
      <c r="P1112" s="41">
        <v>66.2</v>
      </c>
      <c r="Q1112" s="41">
        <v>900</v>
      </c>
      <c r="R1112" s="42">
        <f t="shared" si="278"/>
        <v>13.595166163142</v>
      </c>
      <c r="S1112" s="37">
        <v>6</v>
      </c>
      <c r="T1112" s="37" t="s">
        <v>1709</v>
      </c>
      <c r="U1112" s="43" t="str">
        <f t="shared" si="279"/>
        <v>2024-01-10</v>
      </c>
      <c r="V1112" s="43">
        <f t="shared" si="280"/>
        <v>45301</v>
      </c>
      <c r="W1112" s="44">
        <f t="array" ref="W1112">_xlfn.IFS(TRIM(C1112)="","",TRIM(V1112)="","",TRUE,V1112-C1112)</f>
        <v>7</v>
      </c>
      <c r="X1112" s="37">
        <f t="shared" si="281"/>
        <v>1</v>
      </c>
      <c r="Y1112" s="37" t="s">
        <v>200</v>
      </c>
      <c r="Z1112" s="37" t="str">
        <f t="shared" si="282"/>
        <v>delayed</v>
      </c>
      <c r="AA1112" s="37" t="str">
        <f t="shared" si="283"/>
        <v>Late</v>
      </c>
      <c r="AB1112" s="37" t="str">
        <f t="shared" si="286"/>
        <v>1</v>
      </c>
      <c r="AC1112" s="37">
        <f t="shared" si="287"/>
        <v>1</v>
      </c>
      <c r="AD1112" s="45">
        <f t="shared" si="285"/>
        <v>0.537037037037037</v>
      </c>
      <c r="AE1112" s="37">
        <v>3</v>
      </c>
      <c r="AF1112" s="37" t="s">
        <v>79</v>
      </c>
      <c r="AG1112" s="37" t="str">
        <f t="shared" si="284"/>
        <v>yes</v>
      </c>
      <c r="AH1112" s="37" t="str">
        <f t="array" ref="AH1112">_xlfn.IFS(LOWER(AG1112)="n","no",LOWER(AG1112)="y","yes",TRUE,LOWER(AG1112))</f>
        <v>yes</v>
      </c>
      <c r="AI1112" s="37" t="s">
        <v>4692</v>
      </c>
    </row>
    <row r="1113" spans="1:35">
      <c r="A1113" s="46" t="s">
        <v>3639</v>
      </c>
      <c r="B1113" s="47">
        <v>45319</v>
      </c>
      <c r="C1113" s="39">
        <f t="shared" si="272"/>
        <v>45319</v>
      </c>
      <c r="D1113" s="48" t="s">
        <v>109</v>
      </c>
      <c r="E1113" s="37" t="str" cm="1">
        <f t="array" ref="E1113">_xlfn.IFS(D1113="delhi","north",D1113="mumbai","west",D1113="bengaluru","south",D1113="chennai","south",D1113="kolkata","east",TRUE,"west")</f>
        <v>west</v>
      </c>
      <c r="F1113" s="46" t="s">
        <v>175</v>
      </c>
      <c r="G1113" s="37" t="str">
        <f t="shared" si="273"/>
        <v>ecomexpress</v>
      </c>
      <c r="H1113" s="46" t="s">
        <v>110</v>
      </c>
      <c r="I1113" s="37" t="str">
        <f t="shared" si="274"/>
        <v>surface</v>
      </c>
      <c r="J1113" s="46" t="s">
        <v>111</v>
      </c>
      <c r="K1113" s="37" t="str">
        <f t="shared" si="275"/>
        <v>grocery&amp;fmcg</v>
      </c>
      <c r="L1113" s="46" t="s">
        <v>51</v>
      </c>
      <c r="M1113" s="37" t="str">
        <f t="shared" si="276"/>
        <v>south</v>
      </c>
      <c r="N1113" s="46" t="s">
        <v>327</v>
      </c>
      <c r="O1113" s="41" t="str">
        <f t="shared" si="277"/>
        <v>Yes</v>
      </c>
      <c r="P1113" s="49">
        <v>8.4</v>
      </c>
      <c r="Q1113" s="49">
        <v>386</v>
      </c>
      <c r="R1113" s="42">
        <f t="shared" si="278"/>
        <v>45.9523809523809</v>
      </c>
      <c r="S1113" s="46">
        <v>6</v>
      </c>
      <c r="T1113" s="46" t="s">
        <v>221</v>
      </c>
      <c r="U1113" s="43" t="str">
        <f t="shared" si="279"/>
        <v>03-feb-2024</v>
      </c>
      <c r="V1113" s="43">
        <f t="shared" si="280"/>
        <v>45325</v>
      </c>
      <c r="W1113" s="44">
        <f t="array" ref="W1113">_xlfn.IFS(TRIM(C1113)="","",TRIM(V1113)="","",TRUE,V1113-C1113)</f>
        <v>6</v>
      </c>
      <c r="X1113" s="37">
        <f t="shared" si="281"/>
        <v>0</v>
      </c>
      <c r="Y1113" s="46" t="s">
        <v>163</v>
      </c>
      <c r="Z1113" s="37" t="str">
        <f t="shared" si="282"/>
        <v>delivered</v>
      </c>
      <c r="AA1113" s="37" t="str">
        <f t="shared" si="283"/>
        <v>On Time</v>
      </c>
      <c r="AB1113" s="37" t="str">
        <f t="shared" si="286"/>
        <v>0</v>
      </c>
      <c r="AC1113" s="37">
        <f t="shared" si="287"/>
        <v>0</v>
      </c>
      <c r="AD1113" s="45">
        <f t="shared" si="285"/>
        <v>0.536082474226804</v>
      </c>
      <c r="AE1113" s="46">
        <v>4</v>
      </c>
      <c r="AF1113" s="46" t="s">
        <v>131</v>
      </c>
      <c r="AG1113" s="37" t="str">
        <f t="shared" si="284"/>
        <v>n</v>
      </c>
      <c r="AH1113" s="37" t="str">
        <f t="array" ref="AH1113">_xlfn.IFS(LOWER(AG1113)="n","no",LOWER(AG1113)="y","yes",TRUE,LOWER(AG1113))</f>
        <v>no</v>
      </c>
      <c r="AI1113" s="46" t="s">
        <v>4692</v>
      </c>
    </row>
    <row r="1114" spans="1:35">
      <c r="A1114" s="37" t="s">
        <v>3642</v>
      </c>
      <c r="B1114" s="38" t="s">
        <v>4803</v>
      </c>
      <c r="C1114" s="39">
        <f t="shared" si="272"/>
        <v>45308</v>
      </c>
      <c r="D1114" s="40" t="s">
        <v>212</v>
      </c>
      <c r="E1114" s="37" t="str" cm="1">
        <f t="array" ref="E1114">_xlfn.IFS(D1114="delhi","north",D1114="mumbai","west",D1114="bengaluru","south",D1114="chennai","south",D1114="kolkata","east",TRUE,"west")</f>
        <v>west</v>
      </c>
      <c r="F1114" s="37" t="s">
        <v>312</v>
      </c>
      <c r="G1114" s="37" t="str">
        <f t="shared" si="273"/>
        <v>bluedart</v>
      </c>
      <c r="H1114" s="37" t="s">
        <v>176</v>
      </c>
      <c r="I1114" s="37" t="str">
        <f t="shared" si="274"/>
        <v>road</v>
      </c>
      <c r="J1114" s="37" t="s">
        <v>582</v>
      </c>
      <c r="K1114" s="37" t="str">
        <f t="shared" si="275"/>
        <v>grocery&amp;fmcg</v>
      </c>
      <c r="L1114" s="37" t="s">
        <v>112</v>
      </c>
      <c r="M1114" s="37" t="str">
        <f t="shared" si="276"/>
        <v>north</v>
      </c>
      <c r="N1114" s="37" t="s">
        <v>354</v>
      </c>
      <c r="O1114" s="41" t="str">
        <f t="shared" si="277"/>
        <v>Yes</v>
      </c>
      <c r="P1114" s="41">
        <v>15.6</v>
      </c>
      <c r="Q1114" s="41">
        <v>355</v>
      </c>
      <c r="R1114" s="42">
        <f t="shared" si="278"/>
        <v>22.7564102564103</v>
      </c>
      <c r="S1114" s="37">
        <v>8</v>
      </c>
      <c r="T1114" s="37" t="s">
        <v>1491</v>
      </c>
      <c r="U1114" s="43" t="str">
        <f t="shared" si="279"/>
        <v>24/01/2024</v>
      </c>
      <c r="V1114" s="43">
        <f t="shared" si="280"/>
        <v>45315</v>
      </c>
      <c r="W1114" s="44">
        <f t="array" ref="W1114">_xlfn.IFS(TRIM(C1114)="","",TRIM(V1114)="","",TRUE,V1114-C1114)</f>
        <v>7</v>
      </c>
      <c r="X1114" s="37">
        <f t="shared" si="281"/>
        <v>-1</v>
      </c>
      <c r="Y1114" s="37" t="s">
        <v>163</v>
      </c>
      <c r="Z1114" s="37" t="str">
        <f t="shared" si="282"/>
        <v>delivered</v>
      </c>
      <c r="AA1114" s="37" t="str">
        <f t="shared" si="283"/>
        <v>On Time</v>
      </c>
      <c r="AB1114" s="37" t="str">
        <f t="shared" si="286"/>
        <v>0</v>
      </c>
      <c r="AC1114" s="37">
        <f t="shared" si="287"/>
        <v>0</v>
      </c>
      <c r="AD1114" s="45">
        <f t="shared" si="285"/>
        <v>0.537190082644628</v>
      </c>
      <c r="AE1114" s="37">
        <v>2</v>
      </c>
      <c r="AF1114" s="37" t="s">
        <v>152</v>
      </c>
      <c r="AG1114" s="37" t="str">
        <f t="shared" si="284"/>
        <v>no</v>
      </c>
      <c r="AH1114" s="37" t="str">
        <f t="array" ref="AH1114">_xlfn.IFS(LOWER(AG1114)="n","no",LOWER(AG1114)="y","yes",TRUE,LOWER(AG1114))</f>
        <v>no</v>
      </c>
      <c r="AI1114" s="37" t="s">
        <v>4692</v>
      </c>
    </row>
    <row r="1115" spans="1:35">
      <c r="A1115" s="46" t="s">
        <v>3643</v>
      </c>
      <c r="B1115" s="47">
        <v>45329</v>
      </c>
      <c r="C1115" s="39">
        <f t="shared" si="272"/>
        <v>45329</v>
      </c>
      <c r="D1115" s="48" t="s">
        <v>222</v>
      </c>
      <c r="E1115" s="37" t="str" cm="1">
        <f t="array" ref="E1115">_xlfn.IFS(D1115="delhi","north",D1115="mumbai","west",D1115="bengaluru","south",D1115="chennai","south",D1115="kolkata","east",TRUE,"west")</f>
        <v>west</v>
      </c>
      <c r="F1115" s="46" t="s">
        <v>98</v>
      </c>
      <c r="G1115" s="37" t="str">
        <f t="shared" si="273"/>
        <v>dtdc</v>
      </c>
      <c r="H1115" s="46" t="s">
        <v>110</v>
      </c>
      <c r="I1115" s="37" t="str">
        <f t="shared" si="274"/>
        <v>surface</v>
      </c>
      <c r="J1115" s="46" t="s">
        <v>385</v>
      </c>
      <c r="K1115" s="37" t="str">
        <f t="shared" si="275"/>
        <v>furniture</v>
      </c>
      <c r="L1115" s="46" t="s">
        <v>139</v>
      </c>
      <c r="M1115" s="37" t="str">
        <f t="shared" si="276"/>
        <v>north</v>
      </c>
      <c r="N1115" s="46" t="s">
        <v>354</v>
      </c>
      <c r="O1115" s="41" t="str">
        <f t="shared" si="277"/>
        <v>Yes</v>
      </c>
      <c r="P1115" s="49" t="s">
        <v>3644</v>
      </c>
      <c r="Q1115" s="51">
        <v>1447</v>
      </c>
      <c r="R1115" s="42">
        <f t="shared" si="278"/>
        <v>24.6928327645051</v>
      </c>
      <c r="S1115" s="46">
        <v>6</v>
      </c>
      <c r="T1115" s="46" t="s">
        <v>190</v>
      </c>
      <c r="U1115" s="43" t="str">
        <f t="shared" si="279"/>
        <v>14/02/2024</v>
      </c>
      <c r="V1115" s="43">
        <f t="shared" si="280"/>
        <v>45336</v>
      </c>
      <c r="W1115" s="44">
        <f t="array" ref="W1115">_xlfn.IFS(TRIM(C1115)="","",TRIM(V1115)="","",TRUE,V1115-C1115)</f>
        <v>7</v>
      </c>
      <c r="X1115" s="37">
        <f t="shared" si="281"/>
        <v>1</v>
      </c>
      <c r="Y1115" s="46" t="s">
        <v>143</v>
      </c>
      <c r="Z1115" s="37" t="str">
        <f t="shared" si="282"/>
        <v>delayed</v>
      </c>
      <c r="AA1115" s="37" t="str">
        <f t="shared" si="283"/>
        <v>Late</v>
      </c>
      <c r="AB1115" s="37" t="str">
        <f t="shared" si="286"/>
        <v>1</v>
      </c>
      <c r="AC1115" s="37">
        <f t="shared" si="287"/>
        <v>1</v>
      </c>
      <c r="AD1115" s="45">
        <f t="shared" si="285"/>
        <v>0.538302277432712</v>
      </c>
      <c r="AE1115" s="46">
        <v>3</v>
      </c>
      <c r="AF1115" s="46" t="s">
        <v>191</v>
      </c>
      <c r="AG1115" s="37" t="str">
        <f t="shared" si="284"/>
        <v>no</v>
      </c>
      <c r="AH1115" s="37" t="str">
        <f t="array" ref="AH1115">_xlfn.IFS(LOWER(AG1115)="n","no",LOWER(AG1115)="y","yes",TRUE,LOWER(AG1115))</f>
        <v>no</v>
      </c>
      <c r="AI1115" s="46" t="s">
        <v>4692</v>
      </c>
    </row>
    <row r="1116" spans="1:35">
      <c r="A1116" s="37" t="s">
        <v>3646</v>
      </c>
      <c r="B1116" s="38" t="s">
        <v>4732</v>
      </c>
      <c r="C1116" s="39">
        <f t="shared" si="272"/>
        <v>45462</v>
      </c>
      <c r="D1116" s="40" t="s">
        <v>4695</v>
      </c>
      <c r="E1116" s="37" t="str" cm="1">
        <f t="array" ref="E1116">_xlfn.IFS(D1116="delhi","north",D1116="mumbai","west",D1116="bengaluru","south",D1116="chennai","south",D1116="kolkata","east",TRUE,"west")</f>
        <v>west</v>
      </c>
      <c r="F1116" s="37" t="s">
        <v>146</v>
      </c>
      <c r="G1116" s="37" t="str">
        <f t="shared" si="273"/>
        <v>ecomexpress</v>
      </c>
      <c r="H1116" s="37" t="s">
        <v>123</v>
      </c>
      <c r="I1116" s="37" t="str">
        <f t="shared" si="274"/>
        <v>air</v>
      </c>
      <c r="J1116" s="37" t="s">
        <v>167</v>
      </c>
      <c r="K1116" s="37" t="str">
        <f t="shared" si="275"/>
        <v>pharma</v>
      </c>
      <c r="L1116" s="37" t="s">
        <v>92</v>
      </c>
      <c r="M1116" s="37" t="str">
        <f t="shared" si="276"/>
        <v>east</v>
      </c>
      <c r="N1116" s="37" t="s">
        <v>91</v>
      </c>
      <c r="O1116" s="41" t="str">
        <f t="shared" si="277"/>
        <v>Yes</v>
      </c>
      <c r="P1116" s="41">
        <v>1.1</v>
      </c>
      <c r="Q1116" s="41" t="s">
        <v>494</v>
      </c>
      <c r="R1116" s="42">
        <f t="shared" si="278"/>
        <v>222.727272727273</v>
      </c>
      <c r="S1116" s="37">
        <v>4</v>
      </c>
      <c r="T1116" s="37" t="s">
        <v>1626</v>
      </c>
      <c r="U1116" s="43" t="str">
        <f t="shared" si="279"/>
        <v>2024-06-23</v>
      </c>
      <c r="V1116" s="43">
        <f t="shared" si="280"/>
        <v>45466</v>
      </c>
      <c r="W1116" s="44">
        <f t="array" ref="W1116">_xlfn.IFS(TRIM(C1116)="","",TRIM(V1116)="","",TRUE,V1116-C1116)</f>
        <v>4</v>
      </c>
      <c r="X1116" s="37">
        <f t="shared" si="281"/>
        <v>0</v>
      </c>
      <c r="Y1116" s="37" t="s">
        <v>117</v>
      </c>
      <c r="Z1116" s="37" t="str">
        <f t="shared" si="282"/>
        <v>delivered</v>
      </c>
      <c r="AA1116" s="37" t="str">
        <f t="shared" si="283"/>
        <v>On Time</v>
      </c>
      <c r="AB1116" s="37" t="str">
        <f t="shared" si="286"/>
        <v>0</v>
      </c>
      <c r="AC1116" s="37">
        <f t="shared" si="287"/>
        <v>0</v>
      </c>
      <c r="AD1116" s="45">
        <f t="shared" si="285"/>
        <v>0.537344398340249</v>
      </c>
      <c r="AE1116" s="37">
        <v>5</v>
      </c>
      <c r="AF1116" s="37" t="s">
        <v>131</v>
      </c>
      <c r="AG1116" s="37" t="str">
        <f t="shared" si="284"/>
        <v>n</v>
      </c>
      <c r="AH1116" s="37" t="str">
        <f t="array" ref="AH1116">_xlfn.IFS(LOWER(AG1116)="n","no",LOWER(AG1116)="y","yes",TRUE,LOWER(AG1116))</f>
        <v>no</v>
      </c>
      <c r="AI1116" s="37" t="s">
        <v>4692</v>
      </c>
    </row>
    <row r="1117" spans="1:35">
      <c r="A1117" s="46" t="s">
        <v>3648</v>
      </c>
      <c r="B1117" s="47">
        <v>45407</v>
      </c>
      <c r="C1117" s="39">
        <f t="shared" si="272"/>
        <v>45407</v>
      </c>
      <c r="D1117" s="48" t="s">
        <v>109</v>
      </c>
      <c r="E1117" s="37" t="str" cm="1">
        <f t="array" ref="E1117">_xlfn.IFS(D1117="delhi","north",D1117="mumbai","west",D1117="bengaluru","south",D1117="chennai","south",D1117="kolkata","east",TRUE,"west")</f>
        <v>west</v>
      </c>
      <c r="F1117" s="46" t="s">
        <v>367</v>
      </c>
      <c r="G1117" s="37" t="str">
        <f t="shared" si="273"/>
        <v>dtdc</v>
      </c>
      <c r="H1117" s="46" t="s">
        <v>137</v>
      </c>
      <c r="I1117" s="37" t="str">
        <f t="shared" si="274"/>
        <v>road</v>
      </c>
      <c r="J1117" s="46" t="s">
        <v>368</v>
      </c>
      <c r="K1117" s="37" t="str">
        <f t="shared" si="275"/>
        <v>furniture</v>
      </c>
      <c r="L1117" s="46" t="s">
        <v>112</v>
      </c>
      <c r="M1117" s="37" t="str">
        <f t="shared" si="276"/>
        <v>north</v>
      </c>
      <c r="N1117" s="46" t="s">
        <v>215</v>
      </c>
      <c r="O1117" s="41" t="str">
        <f t="shared" si="277"/>
        <v>Yes</v>
      </c>
      <c r="P1117" s="49">
        <v>56.8</v>
      </c>
      <c r="Q1117" s="49">
        <v>994</v>
      </c>
      <c r="R1117" s="42">
        <f t="shared" si="278"/>
        <v>17.5</v>
      </c>
      <c r="S1117" s="46">
        <v>8</v>
      </c>
      <c r="T1117" s="46" t="s">
        <v>1030</v>
      </c>
      <c r="U1117" s="43" t="str">
        <f t="shared" si="279"/>
        <v>02/05/2024</v>
      </c>
      <c r="V1117" s="43">
        <f t="shared" si="280"/>
        <v>45414</v>
      </c>
      <c r="W1117" s="44">
        <f t="array" ref="W1117">_xlfn.IFS(TRIM(C1117)="","",TRIM(V1117)="","",TRUE,V1117-C1117)</f>
        <v>7</v>
      </c>
      <c r="X1117" s="37">
        <f t="shared" si="281"/>
        <v>-1</v>
      </c>
      <c r="Y1117" s="46" t="s">
        <v>163</v>
      </c>
      <c r="Z1117" s="37" t="str">
        <f t="shared" si="282"/>
        <v>delivered</v>
      </c>
      <c r="AA1117" s="37" t="str">
        <f t="shared" si="283"/>
        <v>On Time</v>
      </c>
      <c r="AB1117" s="37" t="str">
        <f t="shared" si="286"/>
        <v>0</v>
      </c>
      <c r="AC1117" s="37">
        <f t="shared" si="287"/>
        <v>0</v>
      </c>
      <c r="AD1117" s="45">
        <f t="shared" si="285"/>
        <v>0.538461538461538</v>
      </c>
      <c r="AE1117" s="46">
        <v>4</v>
      </c>
      <c r="AF1117" s="46" t="s">
        <v>118</v>
      </c>
      <c r="AG1117" s="37" t="str">
        <f t="shared" si="284"/>
        <v>no</v>
      </c>
      <c r="AH1117" s="37" t="str">
        <f t="array" ref="AH1117">_xlfn.IFS(LOWER(AG1117)="n","no",LOWER(AG1117)="y","yes",TRUE,LOWER(AG1117))</f>
        <v>no</v>
      </c>
      <c r="AI1117" s="46" t="s">
        <v>4692</v>
      </c>
    </row>
    <row r="1118" spans="1:35">
      <c r="A1118" s="37" t="s">
        <v>3651</v>
      </c>
      <c r="B1118" s="38">
        <v>45445</v>
      </c>
      <c r="C1118" s="39">
        <f t="shared" si="272"/>
        <v>45445</v>
      </c>
      <c r="D1118" s="40" t="s">
        <v>300</v>
      </c>
      <c r="E1118" s="37" t="str" cm="1">
        <f t="array" ref="E1118">_xlfn.IFS(D1118="delhi","north",D1118="mumbai","west",D1118="bengaluru","south",D1118="chennai","south",D1118="kolkata","east",TRUE,"west")</f>
        <v>west</v>
      </c>
      <c r="F1118" s="37" t="s">
        <v>230</v>
      </c>
      <c r="G1118" s="37" t="str">
        <f t="shared" si="273"/>
        <v>dtdc</v>
      </c>
      <c r="H1118" s="37" t="s">
        <v>99</v>
      </c>
      <c r="I1118" s="37" t="str">
        <f t="shared" si="274"/>
        <v>air</v>
      </c>
      <c r="J1118" s="37" t="s">
        <v>430</v>
      </c>
      <c r="K1118" s="37" t="str">
        <f t="shared" si="275"/>
        <v>pharma</v>
      </c>
      <c r="L1118" s="37" t="s">
        <v>418</v>
      </c>
      <c r="M1118" s="37" t="str">
        <f t="shared" si="276"/>
        <v>south</v>
      </c>
      <c r="N1118" s="37" t="s">
        <v>93</v>
      </c>
      <c r="O1118" s="41" t="str">
        <f t="shared" si="277"/>
        <v>Yes</v>
      </c>
      <c r="P1118" s="41" t="s">
        <v>745</v>
      </c>
      <c r="Q1118" s="41" t="s">
        <v>753</v>
      </c>
      <c r="R1118" s="42">
        <f t="shared" si="278"/>
        <v>56.1764705882353</v>
      </c>
      <c r="S1118" s="37">
        <v>2</v>
      </c>
      <c r="T1118" s="37" t="s">
        <v>2034</v>
      </c>
      <c r="U1118" s="43" t="str">
        <f t="shared" si="279"/>
        <v>2024-06-07</v>
      </c>
      <c r="V1118" s="43">
        <f t="shared" si="280"/>
        <v>45450</v>
      </c>
      <c r="W1118" s="44">
        <f t="array" ref="W1118">_xlfn.IFS(TRIM(C1118)="","",TRIM(V1118)="","",TRUE,V1118-C1118)</f>
        <v>5</v>
      </c>
      <c r="X1118" s="37">
        <f t="shared" si="281"/>
        <v>3</v>
      </c>
      <c r="Y1118" s="37" t="s">
        <v>172</v>
      </c>
      <c r="Z1118" s="37" t="str">
        <f t="shared" si="282"/>
        <v>delayed</v>
      </c>
      <c r="AA1118" s="37" t="str">
        <f t="shared" si="283"/>
        <v>Late</v>
      </c>
      <c r="AB1118" s="37" t="str">
        <f t="shared" si="286"/>
        <v>1</v>
      </c>
      <c r="AC1118" s="37">
        <f t="shared" si="287"/>
        <v>1</v>
      </c>
      <c r="AD1118" s="45">
        <f t="shared" si="285"/>
        <v>0.539583333333333</v>
      </c>
      <c r="AE1118" s="37">
        <v>3</v>
      </c>
      <c r="AF1118" s="37" t="s">
        <v>191</v>
      </c>
      <c r="AG1118" s="37" t="str">
        <f t="shared" si="284"/>
        <v>no</v>
      </c>
      <c r="AH1118" s="37" t="str">
        <f t="array" ref="AH1118">_xlfn.IFS(LOWER(AG1118)="n","no",LOWER(AG1118)="y","yes",TRUE,LOWER(AG1118))</f>
        <v>no</v>
      </c>
      <c r="AI1118" s="37" t="s">
        <v>4692</v>
      </c>
    </row>
    <row r="1119" spans="1:35">
      <c r="A1119" s="46" t="s">
        <v>3653</v>
      </c>
      <c r="B1119" s="47" t="s">
        <v>4802</v>
      </c>
      <c r="C1119" s="39">
        <f t="shared" si="272"/>
        <v>45446</v>
      </c>
      <c r="D1119" s="48" t="s">
        <v>340</v>
      </c>
      <c r="E1119" s="37" t="str" cm="1">
        <f t="array" ref="E1119">_xlfn.IFS(D1119="delhi","north",D1119="mumbai","west",D1119="bengaluru","south",D1119="chennai","south",D1119="kolkata","east",TRUE,"west")</f>
        <v>north</v>
      </c>
      <c r="F1119" s="46" t="s">
        <v>213</v>
      </c>
      <c r="G1119" s="37" t="str">
        <f t="shared" si="273"/>
        <v>dtdc</v>
      </c>
      <c r="H1119" s="46" t="s">
        <v>195</v>
      </c>
      <c r="I1119" s="37" t="str">
        <f t="shared" si="274"/>
        <v>road</v>
      </c>
      <c r="J1119" s="46" t="s">
        <v>353</v>
      </c>
      <c r="K1119" s="37" t="str">
        <f t="shared" si="275"/>
        <v>automotiveparts</v>
      </c>
      <c r="L1119" s="46" t="s">
        <v>112</v>
      </c>
      <c r="M1119" s="37" t="str">
        <f t="shared" si="276"/>
        <v>north</v>
      </c>
      <c r="N1119" s="46" t="s">
        <v>32</v>
      </c>
      <c r="O1119" s="41" t="str">
        <f t="shared" si="277"/>
        <v>Yes</v>
      </c>
      <c r="P1119" s="49">
        <v>20.7</v>
      </c>
      <c r="Q1119" s="49" t="s">
        <v>3655</v>
      </c>
      <c r="R1119" s="42">
        <f t="shared" si="278"/>
        <v>14.8309178743961</v>
      </c>
      <c r="S1119" s="46">
        <v>6</v>
      </c>
      <c r="T1119" s="46" t="s">
        <v>429</v>
      </c>
      <c r="U1119" s="43" t="str">
        <f t="shared" si="279"/>
        <v>2024-06-10</v>
      </c>
      <c r="V1119" s="43">
        <f t="shared" si="280"/>
        <v>45453</v>
      </c>
      <c r="W1119" s="44">
        <f t="array" ref="W1119">_xlfn.IFS(TRIM(C1119)="","",TRIM(V1119)="","",TRUE,V1119-C1119)</f>
        <v>7</v>
      </c>
      <c r="X1119" s="37">
        <f t="shared" si="281"/>
        <v>1</v>
      </c>
      <c r="Y1119" s="46" t="s">
        <v>172</v>
      </c>
      <c r="Z1119" s="37" t="str">
        <f t="shared" si="282"/>
        <v>delayed</v>
      </c>
      <c r="AA1119" s="37" t="str">
        <f t="shared" si="283"/>
        <v>Late</v>
      </c>
      <c r="AB1119" s="37" t="str">
        <f t="shared" si="286"/>
        <v>1</v>
      </c>
      <c r="AC1119" s="37">
        <f t="shared" si="287"/>
        <v>1</v>
      </c>
      <c r="AD1119" s="45">
        <f t="shared" si="285"/>
        <v>0.538622129436326</v>
      </c>
      <c r="AE1119" s="46">
        <v>2</v>
      </c>
      <c r="AF1119" s="46" t="s">
        <v>152</v>
      </c>
      <c r="AG1119" s="37" t="str">
        <f t="shared" si="284"/>
        <v>no</v>
      </c>
      <c r="AH1119" s="37" t="str">
        <f t="array" ref="AH1119">_xlfn.IFS(LOWER(AG1119)="n","no",LOWER(AG1119)="y","yes",TRUE,LOWER(AG1119))</f>
        <v>no</v>
      </c>
      <c r="AI1119" s="46" t="s">
        <v>4692</v>
      </c>
    </row>
    <row r="1120" spans="1:35">
      <c r="A1120" s="37" t="s">
        <v>3656</v>
      </c>
      <c r="B1120" s="38">
        <v>45296</v>
      </c>
      <c r="C1120" s="39">
        <f t="shared" si="272"/>
        <v>45296</v>
      </c>
      <c r="D1120" s="40" t="s">
        <v>633</v>
      </c>
      <c r="E1120" s="37" t="str" cm="1">
        <f t="array" ref="E1120">_xlfn.IFS(D1120="delhi","north",D1120="mumbai","west",D1120="bengaluru","south",D1120="chennai","south",D1120="kolkata","east",TRUE,"west")</f>
        <v>south</v>
      </c>
      <c r="F1120" s="37" t="s">
        <v>352</v>
      </c>
      <c r="G1120" s="37" t="str">
        <f t="shared" si="273"/>
        <v>delhivery</v>
      </c>
      <c r="H1120" s="37" t="s">
        <v>157</v>
      </c>
      <c r="I1120" s="37" t="str">
        <f t="shared" si="274"/>
        <v>surface</v>
      </c>
      <c r="J1120" s="37" t="s">
        <v>158</v>
      </c>
      <c r="K1120" s="37" t="str">
        <f t="shared" si="275"/>
        <v>pharma</v>
      </c>
      <c r="L1120" s="37" t="s">
        <v>92</v>
      </c>
      <c r="M1120" s="37" t="str">
        <f t="shared" si="276"/>
        <v>east</v>
      </c>
      <c r="N1120" s="37" t="s">
        <v>126</v>
      </c>
      <c r="O1120" s="41" t="str">
        <f t="shared" si="277"/>
        <v>Yes</v>
      </c>
      <c r="P1120" s="41">
        <v>1.5</v>
      </c>
      <c r="Q1120" s="41">
        <v>205</v>
      </c>
      <c r="R1120" s="42">
        <f t="shared" si="278"/>
        <v>136.666666666667</v>
      </c>
      <c r="S1120" s="37">
        <v>6</v>
      </c>
      <c r="T1120" s="37" t="s">
        <v>744</v>
      </c>
      <c r="U1120" s="43" t="str">
        <f t="shared" si="279"/>
        <v>10-jan-2024</v>
      </c>
      <c r="V1120" s="43">
        <f t="shared" si="280"/>
        <v>45301</v>
      </c>
      <c r="W1120" s="44">
        <f t="array" ref="W1120">_xlfn.IFS(TRIM(C1120)="","",TRIM(V1120)="","",TRUE,V1120-C1120)</f>
        <v>5</v>
      </c>
      <c r="X1120" s="37">
        <f t="shared" si="281"/>
        <v>-1</v>
      </c>
      <c r="Y1120" s="37" t="s">
        <v>219</v>
      </c>
      <c r="Z1120" s="37" t="str">
        <f t="shared" si="282"/>
        <v>delivered</v>
      </c>
      <c r="AA1120" s="37" t="str">
        <f t="shared" si="283"/>
        <v>On Time</v>
      </c>
      <c r="AB1120" s="37" t="str">
        <f t="shared" si="286"/>
        <v>0</v>
      </c>
      <c r="AC1120" s="37">
        <f t="shared" si="287"/>
        <v>0</v>
      </c>
      <c r="AD1120" s="45">
        <f t="shared" si="285"/>
        <v>0.53765690376569</v>
      </c>
      <c r="AE1120" s="37">
        <v>3</v>
      </c>
      <c r="AF1120" s="37" t="s">
        <v>152</v>
      </c>
      <c r="AG1120" s="37" t="str">
        <f t="shared" si="284"/>
        <v>no</v>
      </c>
      <c r="AH1120" s="37" t="str">
        <f t="array" ref="AH1120">_xlfn.IFS(LOWER(AG1120)="n","no",LOWER(AG1120)="y","yes",TRUE,LOWER(AG1120))</f>
        <v>no</v>
      </c>
      <c r="AI1120" s="37" t="s">
        <v>4692</v>
      </c>
    </row>
    <row r="1121" spans="1:35">
      <c r="A1121" s="46" t="s">
        <v>3658</v>
      </c>
      <c r="B1121" s="47" t="s">
        <v>4845</v>
      </c>
      <c r="C1121" s="39">
        <f t="shared" si="272"/>
        <v>45452</v>
      </c>
      <c r="D1121" s="48" t="s">
        <v>424</v>
      </c>
      <c r="E1121" s="37" t="str" cm="1">
        <f t="array" ref="E1121">_xlfn.IFS(D1121="delhi","north",D1121="mumbai","west",D1121="bengaluru","south",D1121="chennai","south",D1121="kolkata","east",TRUE,"west")</f>
        <v>south</v>
      </c>
      <c r="F1121" s="46" t="s">
        <v>312</v>
      </c>
      <c r="G1121" s="37" t="str">
        <f t="shared" si="273"/>
        <v>bluedart</v>
      </c>
      <c r="H1121" s="46" t="s">
        <v>244</v>
      </c>
      <c r="I1121" s="37" t="str">
        <f t="shared" si="274"/>
        <v>air</v>
      </c>
      <c r="J1121" s="46" t="s">
        <v>582</v>
      </c>
      <c r="K1121" s="37" t="str">
        <f t="shared" si="275"/>
        <v>grocery&amp;fmcg</v>
      </c>
      <c r="L1121" s="46" t="s">
        <v>197</v>
      </c>
      <c r="M1121" s="37" t="str">
        <f t="shared" si="276"/>
        <v>south</v>
      </c>
      <c r="N1121" s="46" t="s">
        <v>90</v>
      </c>
      <c r="O1121" s="41" t="str">
        <f t="shared" si="277"/>
        <v>Yes</v>
      </c>
      <c r="P1121" s="49">
        <v>18.5</v>
      </c>
      <c r="Q1121" s="49" t="s">
        <v>3660</v>
      </c>
      <c r="R1121" s="42">
        <f t="shared" si="278"/>
        <v>43.6216216216216</v>
      </c>
      <c r="S1121" s="46">
        <v>2</v>
      </c>
      <c r="T1121" s="46" t="s">
        <v>933</v>
      </c>
      <c r="U1121" s="43" t="str">
        <f t="shared" si="279"/>
        <v>11/06/2024</v>
      </c>
      <c r="V1121" s="43">
        <f t="shared" si="280"/>
        <v>45454</v>
      </c>
      <c r="W1121" s="44">
        <f t="array" ref="W1121">_xlfn.IFS(TRIM(C1121)="","",TRIM(V1121)="","",TRUE,V1121-C1121)</f>
        <v>2</v>
      </c>
      <c r="X1121" s="37">
        <f t="shared" si="281"/>
        <v>0</v>
      </c>
      <c r="Y1121" s="46" t="s">
        <v>163</v>
      </c>
      <c r="Z1121" s="37" t="str">
        <f t="shared" si="282"/>
        <v>delivered</v>
      </c>
      <c r="AA1121" s="37" t="str">
        <f t="shared" si="283"/>
        <v>On Time</v>
      </c>
      <c r="AB1121" s="37" t="str">
        <f t="shared" si="286"/>
        <v>0</v>
      </c>
      <c r="AC1121" s="37">
        <f t="shared" si="287"/>
        <v>0</v>
      </c>
      <c r="AD1121" s="45">
        <f t="shared" si="285"/>
        <v>0.538784067085954</v>
      </c>
      <c r="AE1121" s="46">
        <v>5</v>
      </c>
      <c r="AF1121" s="46" t="s">
        <v>181</v>
      </c>
      <c r="AG1121" s="37" t="str">
        <f t="shared" si="284"/>
        <v>y</v>
      </c>
      <c r="AH1121" s="37" t="str">
        <f t="array" ref="AH1121">_xlfn.IFS(LOWER(AG1121)="n","no",LOWER(AG1121)="y","yes",TRUE,LOWER(AG1121))</f>
        <v>yes</v>
      </c>
      <c r="AI1121" s="46" t="s">
        <v>4692</v>
      </c>
    </row>
    <row r="1122" spans="1:35">
      <c r="A1122" s="37" t="s">
        <v>3661</v>
      </c>
      <c r="B1122" s="38" t="s">
        <v>4750</v>
      </c>
      <c r="C1122" s="39">
        <f t="shared" si="272"/>
        <v>45394</v>
      </c>
      <c r="D1122" s="40" t="s">
        <v>366</v>
      </c>
      <c r="E1122" s="37" t="str" cm="1">
        <f t="array" ref="E1122">_xlfn.IFS(D1122="delhi","north",D1122="mumbai","west",D1122="bengaluru","south",D1122="chennai","south",D1122="kolkata","east",TRUE,"west")</f>
        <v>east</v>
      </c>
      <c r="F1122" s="37" t="s">
        <v>367</v>
      </c>
      <c r="G1122" s="37" t="str">
        <f t="shared" si="273"/>
        <v>dtdc</v>
      </c>
      <c r="H1122" s="37" t="s">
        <v>110</v>
      </c>
      <c r="I1122" s="37" t="str">
        <f t="shared" si="274"/>
        <v>surface</v>
      </c>
      <c r="J1122" s="37" t="s">
        <v>425</v>
      </c>
      <c r="K1122" s="37" t="str">
        <f t="shared" si="275"/>
        <v>automotiveparts</v>
      </c>
      <c r="L1122" s="37" t="s">
        <v>257</v>
      </c>
      <c r="M1122" s="37" t="str">
        <f t="shared" si="276"/>
        <v>west</v>
      </c>
      <c r="N1122" s="37" t="s">
        <v>187</v>
      </c>
      <c r="O1122" s="41" t="str">
        <f t="shared" si="277"/>
        <v>Yes</v>
      </c>
      <c r="P1122" s="41">
        <v>13.9</v>
      </c>
      <c r="Q1122" s="41" t="s">
        <v>3663</v>
      </c>
      <c r="R1122" s="42">
        <f t="shared" si="278"/>
        <v>36.1151079136691</v>
      </c>
      <c r="S1122" s="37">
        <v>6</v>
      </c>
      <c r="T1122" s="37" t="s">
        <v>918</v>
      </c>
      <c r="U1122" s="43" t="str">
        <f t="shared" si="279"/>
        <v>27/04/2024</v>
      </c>
      <c r="V1122" s="43">
        <f t="shared" si="280"/>
        <v>45409</v>
      </c>
      <c r="W1122" s="44">
        <f t="array" ref="W1122">_xlfn.IFS(TRIM(C1122)="","",TRIM(V1122)="","",TRUE,V1122-C1122)</f>
        <v>15</v>
      </c>
      <c r="X1122" s="37">
        <f t="shared" si="281"/>
        <v>9</v>
      </c>
      <c r="Y1122" s="37" t="s">
        <v>200</v>
      </c>
      <c r="Z1122" s="37" t="str">
        <f t="shared" si="282"/>
        <v>delayed</v>
      </c>
      <c r="AA1122" s="37" t="str">
        <f t="shared" si="283"/>
        <v>Late</v>
      </c>
      <c r="AB1122" s="37" t="str">
        <f t="shared" si="286"/>
        <v>1</v>
      </c>
      <c r="AC1122" s="37">
        <f t="shared" si="287"/>
        <v>1</v>
      </c>
      <c r="AD1122" s="45">
        <f t="shared" si="285"/>
        <v>0.539915966386555</v>
      </c>
      <c r="AE1122" s="37">
        <v>2</v>
      </c>
      <c r="AF1122" s="37" t="s">
        <v>106</v>
      </c>
      <c r="AG1122" s="37" t="str">
        <f t="shared" si="284"/>
        <v>yes</v>
      </c>
      <c r="AH1122" s="37" t="str">
        <f t="array" ref="AH1122">_xlfn.IFS(LOWER(AG1122)="n","no",LOWER(AG1122)="y","yes",TRUE,LOWER(AG1122))</f>
        <v>yes</v>
      </c>
      <c r="AI1122" s="37" t="s">
        <v>4692</v>
      </c>
    </row>
    <row r="1123" spans="1:35">
      <c r="A1123" s="46" t="s">
        <v>3664</v>
      </c>
      <c r="B1123" s="47">
        <v>45437</v>
      </c>
      <c r="C1123" s="39">
        <f t="shared" si="272"/>
        <v>45437</v>
      </c>
      <c r="D1123" s="48" t="s">
        <v>300</v>
      </c>
      <c r="E1123" s="37" t="str" cm="1">
        <f t="array" ref="E1123">_xlfn.IFS(D1123="delhi","north",D1123="mumbai","west",D1123="bengaluru","south",D1123="chennai","south",D1123="kolkata","east",TRUE,"west")</f>
        <v>west</v>
      </c>
      <c r="F1123" s="46" t="s">
        <v>122</v>
      </c>
      <c r="G1123" s="37" t="str">
        <f t="shared" si="273"/>
        <v>delhivery</v>
      </c>
      <c r="H1123" s="46" t="s">
        <v>440</v>
      </c>
      <c r="I1123" s="37" t="str">
        <f t="shared" si="274"/>
        <v>road</v>
      </c>
      <c r="J1123" s="46" t="s">
        <v>425</v>
      </c>
      <c r="K1123" s="37" t="str">
        <f t="shared" si="275"/>
        <v>automotiveparts</v>
      </c>
      <c r="L1123" s="46" t="s">
        <v>87</v>
      </c>
      <c r="M1123" s="37" t="str">
        <f t="shared" si="276"/>
        <v>north</v>
      </c>
      <c r="N1123" s="46" t="s">
        <v>113</v>
      </c>
      <c r="O1123" s="41" t="str">
        <f t="shared" si="277"/>
        <v>Yes</v>
      </c>
      <c r="P1123" s="49">
        <v>10.5</v>
      </c>
      <c r="Q1123" s="49">
        <v>324</v>
      </c>
      <c r="R1123" s="42">
        <f t="shared" si="278"/>
        <v>30.8571428571429</v>
      </c>
      <c r="S1123" s="46">
        <v>8</v>
      </c>
      <c r="T1123" s="46" t="s">
        <v>961</v>
      </c>
      <c r="U1123" s="43" t="str">
        <f t="shared" si="279"/>
        <v>2024-06-03</v>
      </c>
      <c r="V1123" s="43">
        <f t="shared" si="280"/>
        <v>45446</v>
      </c>
      <c r="W1123" s="44">
        <f t="array" ref="W1123">_xlfn.IFS(TRIM(C1123)="","",TRIM(V1123)="","",TRUE,V1123-C1123)</f>
        <v>9</v>
      </c>
      <c r="X1123" s="37">
        <f t="shared" si="281"/>
        <v>1</v>
      </c>
      <c r="Y1123" s="46" t="s">
        <v>200</v>
      </c>
      <c r="Z1123" s="37" t="str">
        <f t="shared" si="282"/>
        <v>delayed</v>
      </c>
      <c r="AA1123" s="37" t="str">
        <f t="shared" si="283"/>
        <v>Late</v>
      </c>
      <c r="AB1123" s="37" t="str">
        <f t="shared" si="286"/>
        <v>1</v>
      </c>
      <c r="AC1123" s="37">
        <f t="shared" si="287"/>
        <v>1</v>
      </c>
      <c r="AD1123" s="45">
        <f t="shared" si="285"/>
        <v>0.538947368421053</v>
      </c>
      <c r="AE1123" s="46">
        <v>2</v>
      </c>
      <c r="AF1123" s="46" t="s">
        <v>181</v>
      </c>
      <c r="AG1123" s="37" t="str">
        <f t="shared" si="284"/>
        <v>y</v>
      </c>
      <c r="AH1123" s="37" t="str">
        <f t="array" ref="AH1123">_xlfn.IFS(LOWER(AG1123)="n","no",LOWER(AG1123)="y","yes",TRUE,LOWER(AG1123))</f>
        <v>yes</v>
      </c>
      <c r="AI1123" s="46" t="s">
        <v>4692</v>
      </c>
    </row>
    <row r="1124" spans="1:35">
      <c r="A1124" s="37" t="s">
        <v>3666</v>
      </c>
      <c r="B1124" s="38">
        <v>45303</v>
      </c>
      <c r="C1124" s="39">
        <f t="shared" si="272"/>
        <v>45303</v>
      </c>
      <c r="D1124" s="40" t="s">
        <v>366</v>
      </c>
      <c r="E1124" s="37" t="str" cm="1">
        <f t="array" ref="E1124">_xlfn.IFS(D1124="delhi","north",D1124="mumbai","west",D1124="bengaluru","south",D1124="chennai","south",D1124="kolkata","east",TRUE,"west")</f>
        <v>east</v>
      </c>
      <c r="F1124" s="37" t="s">
        <v>230</v>
      </c>
      <c r="G1124" s="37" t="str">
        <f t="shared" si="273"/>
        <v>dtdc</v>
      </c>
      <c r="H1124" s="37" t="s">
        <v>157</v>
      </c>
      <c r="I1124" s="37" t="str">
        <f t="shared" si="274"/>
        <v>surface</v>
      </c>
      <c r="J1124" s="37" t="s">
        <v>271</v>
      </c>
      <c r="K1124" s="37" t="str">
        <f t="shared" si="275"/>
        <v>electronics</v>
      </c>
      <c r="L1124" s="37" t="s">
        <v>101</v>
      </c>
      <c r="M1124" s="37" t="str">
        <f t="shared" si="276"/>
        <v>west</v>
      </c>
      <c r="N1124" s="37" t="s">
        <v>88</v>
      </c>
      <c r="O1124" s="41" t="str">
        <f t="shared" si="277"/>
        <v>Yes</v>
      </c>
      <c r="P1124" s="41">
        <v>2.8</v>
      </c>
      <c r="Q1124" s="41" t="s">
        <v>1994</v>
      </c>
      <c r="R1124" s="42">
        <f t="shared" si="278"/>
        <v>71.7857142857143</v>
      </c>
      <c r="S1124" s="37">
        <v>6</v>
      </c>
      <c r="T1124" s="37" t="s">
        <v>506</v>
      </c>
      <c r="U1124" s="43" t="str">
        <f t="shared" si="279"/>
        <v>19-jan-2024</v>
      </c>
      <c r="V1124" s="43">
        <f t="shared" si="280"/>
        <v>45310</v>
      </c>
      <c r="W1124" s="44">
        <f t="array" ref="W1124">_xlfn.IFS(TRIM(C1124)="","",TRIM(V1124)="","",TRUE,V1124-C1124)</f>
        <v>7</v>
      </c>
      <c r="X1124" s="37">
        <f t="shared" si="281"/>
        <v>1</v>
      </c>
      <c r="Y1124" s="37" t="s">
        <v>200</v>
      </c>
      <c r="Z1124" s="37" t="str">
        <f t="shared" si="282"/>
        <v>delayed</v>
      </c>
      <c r="AA1124" s="37" t="str">
        <f t="shared" si="283"/>
        <v>Late</v>
      </c>
      <c r="AB1124" s="37" t="str">
        <f t="shared" si="286"/>
        <v>1</v>
      </c>
      <c r="AC1124" s="37">
        <f t="shared" si="287"/>
        <v>1</v>
      </c>
      <c r="AD1124" s="45">
        <f t="shared" si="285"/>
        <v>0.537974683544304</v>
      </c>
      <c r="AE1124" s="37">
        <v>3</v>
      </c>
      <c r="AF1124" s="37" t="s">
        <v>152</v>
      </c>
      <c r="AG1124" s="37" t="str">
        <f t="shared" si="284"/>
        <v>no</v>
      </c>
      <c r="AH1124" s="37" t="str">
        <f t="array" ref="AH1124">_xlfn.IFS(LOWER(AG1124)="n","no",LOWER(AG1124)="y","yes",TRUE,LOWER(AG1124))</f>
        <v>no</v>
      </c>
      <c r="AI1124" s="37" t="s">
        <v>4692</v>
      </c>
    </row>
    <row r="1125" spans="1:35">
      <c r="A1125" s="46" t="s">
        <v>3667</v>
      </c>
      <c r="B1125" s="47">
        <v>45392</v>
      </c>
      <c r="C1125" s="39">
        <f t="shared" si="272"/>
        <v>45392</v>
      </c>
      <c r="D1125" s="48" t="s">
        <v>366</v>
      </c>
      <c r="E1125" s="37" t="str" cm="1">
        <f t="array" ref="E1125">_xlfn.IFS(D1125="delhi","north",D1125="mumbai","west",D1125="bengaluru","south",D1125="chennai","south",D1125="kolkata","east",TRUE,"west")</f>
        <v>east</v>
      </c>
      <c r="F1125" s="46" t="s">
        <v>194</v>
      </c>
      <c r="G1125" s="37" t="str">
        <f t="shared" si="273"/>
        <v>xpressbees</v>
      </c>
      <c r="H1125" s="46" t="s">
        <v>99</v>
      </c>
      <c r="I1125" s="37" t="str">
        <f t="shared" si="274"/>
        <v>air</v>
      </c>
      <c r="J1125" s="46" t="s">
        <v>263</v>
      </c>
      <c r="K1125" s="37" t="str">
        <f t="shared" si="275"/>
        <v>apparel</v>
      </c>
      <c r="L1125" s="46" t="s">
        <v>51</v>
      </c>
      <c r="M1125" s="37" t="str">
        <f t="shared" si="276"/>
        <v>south</v>
      </c>
      <c r="N1125" s="46" t="s">
        <v>93</v>
      </c>
      <c r="O1125" s="41" t="str">
        <f t="shared" si="277"/>
        <v>Yes</v>
      </c>
      <c r="P1125" s="49" t="s">
        <v>824</v>
      </c>
      <c r="Q1125" s="49">
        <v>300</v>
      </c>
      <c r="R1125" s="42">
        <f t="shared" si="278"/>
        <v>78.9473684210526</v>
      </c>
      <c r="S1125" s="46">
        <v>4</v>
      </c>
      <c r="T1125" s="46" t="s">
        <v>1459</v>
      </c>
      <c r="U1125" s="43" t="str">
        <f t="shared" si="279"/>
        <v>15/04/2024</v>
      </c>
      <c r="V1125" s="43">
        <f t="shared" si="280"/>
        <v>45397</v>
      </c>
      <c r="W1125" s="44">
        <f t="array" ref="W1125">_xlfn.IFS(TRIM(C1125)="","",TRIM(V1125)="","",TRUE,V1125-C1125)</f>
        <v>5</v>
      </c>
      <c r="X1125" s="37">
        <f t="shared" si="281"/>
        <v>1</v>
      </c>
      <c r="Y1125" s="46" t="s">
        <v>72</v>
      </c>
      <c r="Z1125" s="37" t="str">
        <f t="shared" si="282"/>
        <v>delayed</v>
      </c>
      <c r="AA1125" s="37" t="str">
        <f t="shared" si="283"/>
        <v>Late</v>
      </c>
      <c r="AB1125" s="37" t="str">
        <f t="shared" si="286"/>
        <v>1</v>
      </c>
      <c r="AC1125" s="37">
        <f t="shared" si="287"/>
        <v>1</v>
      </c>
      <c r="AD1125" s="45">
        <f t="shared" si="285"/>
        <v>0.536997885835095</v>
      </c>
      <c r="AE1125" s="46">
        <v>3</v>
      </c>
      <c r="AF1125" s="46" t="s">
        <v>152</v>
      </c>
      <c r="AG1125" s="37" t="str">
        <f t="shared" si="284"/>
        <v>no</v>
      </c>
      <c r="AH1125" s="37" t="str">
        <f t="array" ref="AH1125">_xlfn.IFS(LOWER(AG1125)="n","no",LOWER(AG1125)="y","yes",TRUE,LOWER(AG1125))</f>
        <v>no</v>
      </c>
      <c r="AI1125" s="46" t="s">
        <v>4692</v>
      </c>
    </row>
    <row r="1126" spans="1:35">
      <c r="A1126" s="37" t="s">
        <v>3668</v>
      </c>
      <c r="B1126" s="38">
        <v>45452</v>
      </c>
      <c r="C1126" s="39">
        <f t="shared" si="272"/>
        <v>45452</v>
      </c>
      <c r="D1126" s="40" t="s">
        <v>121</v>
      </c>
      <c r="E1126" s="37" t="str" cm="1">
        <f t="array" ref="E1126">_xlfn.IFS(D1126="delhi","north",D1126="mumbai","west",D1126="bengaluru","south",D1126="chennai","south",D1126="kolkata","east",TRUE,"west")</f>
        <v>west</v>
      </c>
      <c r="F1126" s="37" t="s">
        <v>146</v>
      </c>
      <c r="G1126" s="37" t="str">
        <f t="shared" si="273"/>
        <v>ecomexpress</v>
      </c>
      <c r="H1126" s="37" t="s">
        <v>185</v>
      </c>
      <c r="I1126" s="37" t="str">
        <f t="shared" si="274"/>
        <v>surface</v>
      </c>
      <c r="J1126" s="37" t="s">
        <v>186</v>
      </c>
      <c r="K1126" s="37" t="str">
        <f t="shared" si="275"/>
        <v>automotiveparts</v>
      </c>
      <c r="L1126" s="37" t="s">
        <v>418</v>
      </c>
      <c r="M1126" s="37" t="str">
        <f t="shared" si="276"/>
        <v>south</v>
      </c>
      <c r="N1126" s="37" t="s">
        <v>327</v>
      </c>
      <c r="O1126" s="41" t="str">
        <f t="shared" si="277"/>
        <v>Yes</v>
      </c>
      <c r="P1126" s="41" t="s">
        <v>2515</v>
      </c>
      <c r="Q1126" s="41" t="s">
        <v>3669</v>
      </c>
      <c r="R1126" s="42">
        <f t="shared" si="278"/>
        <v>34.5</v>
      </c>
      <c r="S1126" s="37">
        <v>6</v>
      </c>
      <c r="T1126" s="37" t="s">
        <v>1127</v>
      </c>
      <c r="U1126" s="43" t="str">
        <f t="shared" si="279"/>
        <v>20/06/2024</v>
      </c>
      <c r="V1126" s="43">
        <f t="shared" si="280"/>
        <v>45463</v>
      </c>
      <c r="W1126" s="44">
        <f t="array" ref="W1126">_xlfn.IFS(TRIM(C1126)="","",TRIM(V1126)="","",TRUE,V1126-C1126)</f>
        <v>11</v>
      </c>
      <c r="X1126" s="37">
        <f t="shared" si="281"/>
        <v>5</v>
      </c>
      <c r="Y1126" s="37" t="s">
        <v>72</v>
      </c>
      <c r="Z1126" s="37" t="str">
        <f t="shared" si="282"/>
        <v>delayed</v>
      </c>
      <c r="AA1126" s="37" t="str">
        <f t="shared" si="283"/>
        <v>Late</v>
      </c>
      <c r="AB1126" s="37" t="str">
        <f t="shared" si="286"/>
        <v>1</v>
      </c>
      <c r="AC1126" s="37">
        <f t="shared" si="287"/>
        <v>1</v>
      </c>
      <c r="AD1126" s="45">
        <f t="shared" si="285"/>
        <v>0.536016949152542</v>
      </c>
      <c r="AE1126" s="37">
        <v>2</v>
      </c>
      <c r="AF1126" s="37" t="s">
        <v>131</v>
      </c>
      <c r="AG1126" s="37" t="str">
        <f t="shared" si="284"/>
        <v>n</v>
      </c>
      <c r="AH1126" s="37" t="str">
        <f t="array" ref="AH1126">_xlfn.IFS(LOWER(AG1126)="n","no",LOWER(AG1126)="y","yes",TRUE,LOWER(AG1126))</f>
        <v>no</v>
      </c>
      <c r="AI1126" s="37" t="s">
        <v>4692</v>
      </c>
    </row>
    <row r="1127" spans="1:35">
      <c r="A1127" s="46" t="s">
        <v>3670</v>
      </c>
      <c r="B1127" s="47" t="s">
        <v>4778</v>
      </c>
      <c r="C1127" s="39">
        <f t="shared" si="272"/>
        <v>45362</v>
      </c>
      <c r="D1127" s="48" t="s">
        <v>366</v>
      </c>
      <c r="E1127" s="37" t="str" cm="1">
        <f t="array" ref="E1127">_xlfn.IFS(D1127="delhi","north",D1127="mumbai","west",D1127="bengaluru","south",D1127="chennai","south",D1127="kolkata","east",TRUE,"west")</f>
        <v>east</v>
      </c>
      <c r="F1127" s="46" t="s">
        <v>184</v>
      </c>
      <c r="G1127" s="37" t="str">
        <f t="shared" si="273"/>
        <v>ecomexpress</v>
      </c>
      <c r="H1127" s="46" t="s">
        <v>147</v>
      </c>
      <c r="I1127" s="37" t="str">
        <f t="shared" si="274"/>
        <v>road</v>
      </c>
      <c r="J1127" s="46" t="s">
        <v>205</v>
      </c>
      <c r="K1127" s="37" t="str">
        <f t="shared" si="275"/>
        <v>furniture</v>
      </c>
      <c r="L1127" s="46" t="s">
        <v>346</v>
      </c>
      <c r="M1127" s="37" t="str">
        <f t="shared" si="276"/>
        <v>north</v>
      </c>
      <c r="N1127" s="46" t="s">
        <v>354</v>
      </c>
      <c r="O1127" s="41" t="str">
        <f t="shared" si="277"/>
        <v>Yes</v>
      </c>
      <c r="P1127" s="49">
        <v>44.6</v>
      </c>
      <c r="Q1127" s="49" t="s">
        <v>3672</v>
      </c>
      <c r="R1127" s="42">
        <f t="shared" si="278"/>
        <v>17.1748878923767</v>
      </c>
      <c r="S1127" s="46">
        <v>8</v>
      </c>
      <c r="T1127" s="46" t="s">
        <v>393</v>
      </c>
      <c r="U1127" s="43" t="str">
        <f t="shared" si="279"/>
        <v>18/03/2024</v>
      </c>
      <c r="V1127" s="43">
        <f t="shared" si="280"/>
        <v>45369</v>
      </c>
      <c r="W1127" s="44">
        <f t="array" ref="W1127">_xlfn.IFS(TRIM(C1127)="","",TRIM(V1127)="","",TRUE,V1127-C1127)</f>
        <v>7</v>
      </c>
      <c r="X1127" s="37">
        <f t="shared" si="281"/>
        <v>-1</v>
      </c>
      <c r="Y1127" s="46" t="s">
        <v>219</v>
      </c>
      <c r="Z1127" s="37" t="str">
        <f t="shared" si="282"/>
        <v>delivered</v>
      </c>
      <c r="AA1127" s="37" t="str">
        <f t="shared" si="283"/>
        <v>On Time</v>
      </c>
      <c r="AB1127" s="37" t="str">
        <f t="shared" si="286"/>
        <v>0</v>
      </c>
      <c r="AC1127" s="37">
        <f t="shared" si="287"/>
        <v>0</v>
      </c>
      <c r="AD1127" s="45">
        <f t="shared" si="285"/>
        <v>0.535031847133758</v>
      </c>
      <c r="AE1127" s="46">
        <v>5</v>
      </c>
      <c r="AF1127" s="46" t="s">
        <v>286</v>
      </c>
      <c r="AG1127" s="37" t="str">
        <f t="shared" si="284"/>
        <v>yes</v>
      </c>
      <c r="AH1127" s="37" t="str">
        <f t="array" ref="AH1127">_xlfn.IFS(LOWER(AG1127)="n","no",LOWER(AG1127)="y","yes",TRUE,LOWER(AG1127))</f>
        <v>yes</v>
      </c>
      <c r="AI1127" s="46" t="s">
        <v>4692</v>
      </c>
    </row>
    <row r="1128" spans="1:35">
      <c r="A1128" s="37" t="s">
        <v>3673</v>
      </c>
      <c r="B1128" s="38">
        <v>45371</v>
      </c>
      <c r="C1128" s="39">
        <f t="shared" si="272"/>
        <v>45371</v>
      </c>
      <c r="D1128" s="40" t="s">
        <v>212</v>
      </c>
      <c r="E1128" s="37" t="str" cm="1">
        <f t="array" ref="E1128">_xlfn.IFS(D1128="delhi","north",D1128="mumbai","west",D1128="bengaluru","south",D1128="chennai","south",D1128="kolkata","east",TRUE,"west")</f>
        <v>west</v>
      </c>
      <c r="F1128" s="37" t="s">
        <v>270</v>
      </c>
      <c r="G1128" s="37" t="str">
        <f t="shared" si="273"/>
        <v>ecomexpress</v>
      </c>
      <c r="H1128" s="37" t="s">
        <v>147</v>
      </c>
      <c r="I1128" s="37" t="str">
        <f t="shared" si="274"/>
        <v>road</v>
      </c>
      <c r="J1128" s="37" t="s">
        <v>277</v>
      </c>
      <c r="K1128" s="37" t="str">
        <f t="shared" si="275"/>
        <v>apparel</v>
      </c>
      <c r="L1128" s="37" t="s">
        <v>346</v>
      </c>
      <c r="M1128" s="37" t="str">
        <f t="shared" si="276"/>
        <v>north</v>
      </c>
      <c r="N1128" s="37" t="s">
        <v>113</v>
      </c>
      <c r="O1128" s="41" t="str">
        <f t="shared" si="277"/>
        <v>Yes</v>
      </c>
      <c r="P1128" s="41">
        <v>7.4</v>
      </c>
      <c r="Q1128" s="41">
        <v>269</v>
      </c>
      <c r="R1128" s="42">
        <f t="shared" si="278"/>
        <v>36.3513513513513</v>
      </c>
      <c r="S1128" s="37">
        <v>8</v>
      </c>
      <c r="T1128" s="37" t="s">
        <v>3004</v>
      </c>
      <c r="U1128" s="43" t="str">
        <f t="shared" si="279"/>
        <v>27/03/2024</v>
      </c>
      <c r="V1128" s="43">
        <f t="shared" si="280"/>
        <v>45378</v>
      </c>
      <c r="W1128" s="44">
        <f t="array" ref="W1128">_xlfn.IFS(TRIM(C1128)="","",TRIM(V1128)="","",TRUE,V1128-C1128)</f>
        <v>7</v>
      </c>
      <c r="X1128" s="37">
        <f t="shared" si="281"/>
        <v>-1</v>
      </c>
      <c r="Y1128" s="37" t="s">
        <v>163</v>
      </c>
      <c r="Z1128" s="37" t="str">
        <f t="shared" si="282"/>
        <v>delivered</v>
      </c>
      <c r="AA1128" s="37" t="str">
        <f t="shared" si="283"/>
        <v>On Time</v>
      </c>
      <c r="AB1128" s="37" t="str">
        <f t="shared" si="286"/>
        <v>0</v>
      </c>
      <c r="AC1128" s="37">
        <f t="shared" si="287"/>
        <v>0</v>
      </c>
      <c r="AD1128" s="45">
        <f t="shared" si="285"/>
        <v>0.536170212765957</v>
      </c>
      <c r="AE1128" s="37">
        <v>4</v>
      </c>
      <c r="AF1128" s="37" t="s">
        <v>191</v>
      </c>
      <c r="AG1128" s="37" t="str">
        <f t="shared" si="284"/>
        <v>no</v>
      </c>
      <c r="AH1128" s="37" t="str">
        <f t="array" ref="AH1128">_xlfn.IFS(LOWER(AG1128)="n","no",LOWER(AG1128)="y","yes",TRUE,LOWER(AG1128))</f>
        <v>no</v>
      </c>
      <c r="AI1128" s="37" t="s">
        <v>4692</v>
      </c>
    </row>
    <row r="1129" spans="1:35">
      <c r="A1129" s="46" t="s">
        <v>3674</v>
      </c>
      <c r="B1129" s="47">
        <v>45464</v>
      </c>
      <c r="C1129" s="39">
        <f t="shared" si="272"/>
        <v>45464</v>
      </c>
      <c r="D1129" s="48" t="s">
        <v>340</v>
      </c>
      <c r="E1129" s="37" t="str" cm="1">
        <f t="array" ref="E1129">_xlfn.IFS(D1129="delhi","north",D1129="mumbai","west",D1129="bengaluru","south",D1129="chennai","south",D1129="kolkata","east",TRUE,"west")</f>
        <v>north</v>
      </c>
      <c r="F1129" s="46" t="s">
        <v>156</v>
      </c>
      <c r="G1129" s="37" t="str">
        <f t="shared" si="273"/>
        <v>xpressbees</v>
      </c>
      <c r="H1129" s="46" t="s">
        <v>185</v>
      </c>
      <c r="I1129" s="37" t="str">
        <f t="shared" si="274"/>
        <v>surface</v>
      </c>
      <c r="J1129" s="46" t="s">
        <v>214</v>
      </c>
      <c r="K1129" s="37" t="str">
        <f t="shared" si="275"/>
        <v>grocery&amp;fmcg</v>
      </c>
      <c r="L1129" s="46" t="s">
        <v>89</v>
      </c>
      <c r="M1129" s="37" t="str">
        <f t="shared" si="276"/>
        <v>west</v>
      </c>
      <c r="N1129" s="46" t="s">
        <v>88</v>
      </c>
      <c r="O1129" s="41" t="str">
        <f t="shared" si="277"/>
        <v>Yes</v>
      </c>
      <c r="P1129" s="49" t="s">
        <v>3675</v>
      </c>
      <c r="Q1129" s="49">
        <v>461</v>
      </c>
      <c r="R1129" s="42">
        <f t="shared" si="278"/>
        <v>33.4057971014493</v>
      </c>
      <c r="S1129" s="46">
        <v>6</v>
      </c>
      <c r="T1129" s="46" t="s">
        <v>1120</v>
      </c>
      <c r="U1129" s="43" t="str">
        <f t="shared" si="279"/>
        <v>03/07/2024</v>
      </c>
      <c r="V1129" s="43">
        <f t="shared" si="280"/>
        <v>45476</v>
      </c>
      <c r="W1129" s="44">
        <f t="array" ref="W1129">_xlfn.IFS(TRIM(C1129)="","",TRIM(V1129)="","",TRUE,V1129-C1129)</f>
        <v>12</v>
      </c>
      <c r="X1129" s="37">
        <f t="shared" si="281"/>
        <v>6</v>
      </c>
      <c r="Y1129" s="46" t="s">
        <v>200</v>
      </c>
      <c r="Z1129" s="37" t="str">
        <f t="shared" si="282"/>
        <v>delayed</v>
      </c>
      <c r="AA1129" s="37" t="str">
        <f t="shared" si="283"/>
        <v>Late</v>
      </c>
      <c r="AB1129" s="37" t="str">
        <f t="shared" si="286"/>
        <v>1</v>
      </c>
      <c r="AC1129" s="37">
        <f t="shared" si="287"/>
        <v>1</v>
      </c>
      <c r="AD1129" s="45">
        <f t="shared" si="285"/>
        <v>0.537313432835821</v>
      </c>
      <c r="AE1129" s="46">
        <v>3</v>
      </c>
      <c r="AF1129" s="46" t="s">
        <v>181</v>
      </c>
      <c r="AG1129" s="37" t="str">
        <f t="shared" si="284"/>
        <v>y</v>
      </c>
      <c r="AH1129" s="37" t="str">
        <f t="array" ref="AH1129">_xlfn.IFS(LOWER(AG1129)="n","no",LOWER(AG1129)="y","yes",TRUE,LOWER(AG1129))</f>
        <v>yes</v>
      </c>
      <c r="AI1129" s="46" t="s">
        <v>4692</v>
      </c>
    </row>
    <row r="1130" spans="1:35">
      <c r="A1130" s="37" t="s">
        <v>3677</v>
      </c>
      <c r="B1130" s="38" t="s">
        <v>4755</v>
      </c>
      <c r="C1130" s="39">
        <f t="shared" si="272"/>
        <v>45440</v>
      </c>
      <c r="D1130" s="40" t="s">
        <v>212</v>
      </c>
      <c r="E1130" s="37" t="str" cm="1">
        <f t="array" ref="E1130">_xlfn.IFS(D1130="delhi","north",D1130="mumbai","west",D1130="bengaluru","south",D1130="chennai","south",D1130="kolkata","east",TRUE,"west")</f>
        <v>west</v>
      </c>
      <c r="F1130" s="37" t="s">
        <v>122</v>
      </c>
      <c r="G1130" s="37" t="str">
        <f t="shared" si="273"/>
        <v>delhivery</v>
      </c>
      <c r="H1130" s="37" t="s">
        <v>325</v>
      </c>
      <c r="I1130" s="37" t="str">
        <f t="shared" si="274"/>
        <v>air</v>
      </c>
      <c r="J1130" s="37" t="s">
        <v>385</v>
      </c>
      <c r="K1130" s="37" t="str">
        <f t="shared" si="275"/>
        <v>furniture</v>
      </c>
      <c r="L1130" s="37" t="s">
        <v>89</v>
      </c>
      <c r="M1130" s="37" t="str">
        <f t="shared" si="276"/>
        <v>west</v>
      </c>
      <c r="N1130" s="37" t="s">
        <v>278</v>
      </c>
      <c r="O1130" s="41" t="str">
        <f t="shared" si="277"/>
        <v>Yes</v>
      </c>
      <c r="P1130" s="41" t="s">
        <v>3678</v>
      </c>
      <c r="Q1130" s="41" t="s">
        <v>3679</v>
      </c>
      <c r="R1130" s="42">
        <f t="shared" si="278"/>
        <v>44.7683923705722</v>
      </c>
      <c r="S1130" s="37">
        <v>2</v>
      </c>
      <c r="T1130" s="37" t="s">
        <v>262</v>
      </c>
      <c r="U1130" s="43" t="str">
        <f t="shared" si="279"/>
        <v>02-jun-2024</v>
      </c>
      <c r="V1130" s="43">
        <f t="shared" si="280"/>
        <v>45445</v>
      </c>
      <c r="W1130" s="44">
        <f t="array" ref="W1130">_xlfn.IFS(TRIM(C1130)="","",TRIM(V1130)="","",TRUE,V1130-C1130)</f>
        <v>5</v>
      </c>
      <c r="X1130" s="37">
        <f t="shared" si="281"/>
        <v>3</v>
      </c>
      <c r="Y1130" s="37" t="s">
        <v>200</v>
      </c>
      <c r="Z1130" s="37" t="str">
        <f t="shared" si="282"/>
        <v>delayed</v>
      </c>
      <c r="AA1130" s="37" t="str">
        <f t="shared" si="283"/>
        <v>Late</v>
      </c>
      <c r="AB1130" s="37" t="str">
        <f t="shared" si="286"/>
        <v>1</v>
      </c>
      <c r="AC1130" s="37">
        <f t="shared" si="287"/>
        <v>1</v>
      </c>
      <c r="AD1130" s="45">
        <f t="shared" si="285"/>
        <v>0.536324786324786</v>
      </c>
      <c r="AE1130" s="37">
        <v>1</v>
      </c>
      <c r="AF1130" s="37" t="s">
        <v>191</v>
      </c>
      <c r="AG1130" s="37" t="str">
        <f t="shared" si="284"/>
        <v>no</v>
      </c>
      <c r="AH1130" s="37" t="str">
        <f t="array" ref="AH1130">_xlfn.IFS(LOWER(AG1130)="n","no",LOWER(AG1130)="y","yes",TRUE,LOWER(AG1130))</f>
        <v>no</v>
      </c>
      <c r="AI1130" s="37" t="s">
        <v>4692</v>
      </c>
    </row>
    <row r="1131" spans="1:35">
      <c r="A1131" s="46" t="s">
        <v>3680</v>
      </c>
      <c r="B1131" s="47">
        <v>45394</v>
      </c>
      <c r="C1131" s="39">
        <f t="shared" si="272"/>
        <v>45394</v>
      </c>
      <c r="D1131" s="48" t="s">
        <v>424</v>
      </c>
      <c r="E1131" s="37" t="str" cm="1">
        <f t="array" ref="E1131">_xlfn.IFS(D1131="delhi","north",D1131="mumbai","west",D1131="bengaluru","south",D1131="chennai","south",D1131="kolkata","east",TRUE,"west")</f>
        <v>south</v>
      </c>
      <c r="F1131" s="46" t="s">
        <v>194</v>
      </c>
      <c r="G1131" s="37" t="str">
        <f t="shared" si="273"/>
        <v>xpressbees</v>
      </c>
      <c r="H1131" s="46" t="s">
        <v>137</v>
      </c>
      <c r="I1131" s="37" t="str">
        <f t="shared" si="274"/>
        <v>road</v>
      </c>
      <c r="J1131" s="46" t="s">
        <v>843</v>
      </c>
      <c r="K1131" s="37" t="str">
        <f t="shared" si="275"/>
        <v>automotiveparts</v>
      </c>
      <c r="L1131" s="46" t="s">
        <v>92</v>
      </c>
      <c r="M1131" s="37" t="str">
        <f t="shared" si="276"/>
        <v>east</v>
      </c>
      <c r="N1131" s="46" t="s">
        <v>91</v>
      </c>
      <c r="O1131" s="41" t="str">
        <f t="shared" si="277"/>
        <v>Yes</v>
      </c>
      <c r="P1131" s="49">
        <v>16.5</v>
      </c>
      <c r="Q1131" s="49" t="s">
        <v>3682</v>
      </c>
      <c r="R1131" s="42">
        <f t="shared" si="278"/>
        <v>23.4545454545455</v>
      </c>
      <c r="S1131" s="46">
        <v>8</v>
      </c>
      <c r="T1131" s="46" t="s">
        <v>2517</v>
      </c>
      <c r="U1131" s="43" t="str">
        <f t="shared" si="279"/>
        <v>19/04/2024</v>
      </c>
      <c r="V1131" s="43">
        <f t="shared" si="280"/>
        <v>45401</v>
      </c>
      <c r="W1131" s="44">
        <f t="array" ref="W1131">_xlfn.IFS(TRIM(C1131)="","",TRIM(V1131)="","",TRUE,V1131-C1131)</f>
        <v>7</v>
      </c>
      <c r="X1131" s="37">
        <f t="shared" si="281"/>
        <v>-1</v>
      </c>
      <c r="Y1131" s="46" t="s">
        <v>105</v>
      </c>
      <c r="Z1131" s="37" t="str">
        <f t="shared" si="282"/>
        <v>delivered</v>
      </c>
      <c r="AA1131" s="37" t="str">
        <f t="shared" si="283"/>
        <v>On Time</v>
      </c>
      <c r="AB1131" s="37" t="str">
        <f t="shared" si="286"/>
        <v>0</v>
      </c>
      <c r="AC1131" s="37">
        <f t="shared" si="287"/>
        <v>0</v>
      </c>
      <c r="AD1131" s="45">
        <f t="shared" si="285"/>
        <v>0.535331905781585</v>
      </c>
      <c r="AE1131" s="46">
        <v>5</v>
      </c>
      <c r="AF1131" s="46" t="s">
        <v>118</v>
      </c>
      <c r="AG1131" s="37" t="str">
        <f t="shared" si="284"/>
        <v>no</v>
      </c>
      <c r="AH1131" s="37" t="str">
        <f t="array" ref="AH1131">_xlfn.IFS(LOWER(AG1131)="n","no",LOWER(AG1131)="y","yes",TRUE,LOWER(AG1131))</f>
        <v>no</v>
      </c>
      <c r="AI1131" s="46" t="s">
        <v>4692</v>
      </c>
    </row>
    <row r="1132" spans="1:35">
      <c r="A1132" s="37" t="s">
        <v>3683</v>
      </c>
      <c r="B1132" s="38">
        <v>45379</v>
      </c>
      <c r="C1132" s="39">
        <f t="shared" si="272"/>
        <v>45379</v>
      </c>
      <c r="D1132" s="40" t="s">
        <v>4699</v>
      </c>
      <c r="E1132" s="37" t="str" cm="1">
        <f t="array" ref="E1132">_xlfn.IFS(D1132="delhi","north",D1132="mumbai","west",D1132="bengaluru","south",D1132="chennai","south",D1132="kolkata","east",TRUE,"west")</f>
        <v>west</v>
      </c>
      <c r="F1132" s="37" t="s">
        <v>156</v>
      </c>
      <c r="G1132" s="37" t="str">
        <f t="shared" si="273"/>
        <v>xpressbees</v>
      </c>
      <c r="H1132" s="37" t="s">
        <v>176</v>
      </c>
      <c r="I1132" s="37" t="str">
        <f t="shared" si="274"/>
        <v>road</v>
      </c>
      <c r="J1132" s="37" t="s">
        <v>237</v>
      </c>
      <c r="K1132" s="37" t="str">
        <f t="shared" si="275"/>
        <v>automotiveparts</v>
      </c>
      <c r="L1132" s="37" t="s">
        <v>334</v>
      </c>
      <c r="M1132" s="37" t="str">
        <f t="shared" si="276"/>
        <v>north</v>
      </c>
      <c r="N1132" s="37" t="s">
        <v>215</v>
      </c>
      <c r="O1132" s="41" t="str">
        <f t="shared" si="277"/>
        <v>Yes</v>
      </c>
      <c r="P1132" s="41">
        <v>27.6</v>
      </c>
      <c r="Q1132" s="41">
        <v>549</v>
      </c>
      <c r="R1132" s="42">
        <f t="shared" si="278"/>
        <v>19.8913043478261</v>
      </c>
      <c r="S1132" s="37">
        <v>8</v>
      </c>
      <c r="T1132" s="37" t="s">
        <v>1881</v>
      </c>
      <c r="U1132" s="43" t="str">
        <f t="shared" si="279"/>
        <v>06/04/2024</v>
      </c>
      <c r="V1132" s="43">
        <f t="shared" si="280"/>
        <v>45388</v>
      </c>
      <c r="W1132" s="44">
        <f t="array" ref="W1132">_xlfn.IFS(TRIM(C1132)="","",TRIM(V1132)="","",TRUE,V1132-C1132)</f>
        <v>9</v>
      </c>
      <c r="X1132" s="37">
        <f t="shared" si="281"/>
        <v>1</v>
      </c>
      <c r="Y1132" s="37" t="s">
        <v>143</v>
      </c>
      <c r="Z1132" s="37" t="str">
        <f t="shared" si="282"/>
        <v>delayed</v>
      </c>
      <c r="AA1132" s="37" t="str">
        <f t="shared" si="283"/>
        <v>Late</v>
      </c>
      <c r="AB1132" s="37" t="str">
        <f t="shared" si="286"/>
        <v>1</v>
      </c>
      <c r="AC1132" s="37">
        <f t="shared" si="287"/>
        <v>1</v>
      </c>
      <c r="AD1132" s="45">
        <f t="shared" si="285"/>
        <v>0.536480686695279</v>
      </c>
      <c r="AE1132" s="37">
        <v>1</v>
      </c>
      <c r="AF1132" s="37" t="s">
        <v>152</v>
      </c>
      <c r="AG1132" s="37" t="str">
        <f t="shared" si="284"/>
        <v>no</v>
      </c>
      <c r="AH1132" s="37" t="str">
        <f t="array" ref="AH1132">_xlfn.IFS(LOWER(AG1132)="n","no",LOWER(AG1132)="y","yes",TRUE,LOWER(AG1132))</f>
        <v>no</v>
      </c>
      <c r="AI1132" s="37" t="s">
        <v>4692</v>
      </c>
    </row>
    <row r="1133" spans="1:35">
      <c r="A1133" s="46" t="s">
        <v>3686</v>
      </c>
      <c r="B1133" s="47" t="s">
        <v>4825</v>
      </c>
      <c r="C1133" s="39">
        <f t="shared" si="272"/>
        <v>45413</v>
      </c>
      <c r="D1133" s="48" t="s">
        <v>340</v>
      </c>
      <c r="E1133" s="37" t="str" cm="1">
        <f t="array" ref="E1133">_xlfn.IFS(D1133="delhi","north",D1133="mumbai","west",D1133="bengaluru","south",D1133="chennai","south",D1133="kolkata","east",TRUE,"west")</f>
        <v>north</v>
      </c>
      <c r="F1133" s="46" t="s">
        <v>333</v>
      </c>
      <c r="G1133" s="37" t="str">
        <f t="shared" si="273"/>
        <v>delhivery</v>
      </c>
      <c r="H1133" s="46" t="s">
        <v>224</v>
      </c>
      <c r="I1133" s="37" t="str">
        <f t="shared" si="274"/>
        <v>air</v>
      </c>
      <c r="J1133" s="46" t="s">
        <v>664</v>
      </c>
      <c r="K1133" s="37" t="str">
        <f t="shared" si="275"/>
        <v>grocery&amp;fmcg</v>
      </c>
      <c r="L1133" s="46" t="s">
        <v>418</v>
      </c>
      <c r="M1133" s="37" t="str">
        <f t="shared" si="276"/>
        <v>south</v>
      </c>
      <c r="N1133" s="46" t="s">
        <v>327</v>
      </c>
      <c r="O1133" s="41" t="str">
        <f t="shared" si="277"/>
        <v>Yes</v>
      </c>
      <c r="P1133" s="49">
        <v>3.3</v>
      </c>
      <c r="Q1133" s="49">
        <v>276</v>
      </c>
      <c r="R1133" s="42">
        <f t="shared" si="278"/>
        <v>83.6363636363636</v>
      </c>
      <c r="S1133" s="46">
        <v>4</v>
      </c>
      <c r="T1133" s="46" t="s">
        <v>1716</v>
      </c>
      <c r="U1133" s="43" t="str">
        <f t="shared" si="279"/>
        <v>05-may-2024</v>
      </c>
      <c r="V1133" s="43">
        <f t="shared" si="280"/>
        <v>45417</v>
      </c>
      <c r="W1133" s="44">
        <f t="array" ref="W1133">_xlfn.IFS(TRIM(C1133)="","",TRIM(V1133)="","",TRUE,V1133-C1133)</f>
        <v>4</v>
      </c>
      <c r="X1133" s="37">
        <f t="shared" si="281"/>
        <v>0</v>
      </c>
      <c r="Y1133" s="46" t="s">
        <v>105</v>
      </c>
      <c r="Z1133" s="37" t="str">
        <f t="shared" si="282"/>
        <v>delivered</v>
      </c>
      <c r="AA1133" s="37" t="str">
        <f t="shared" si="283"/>
        <v>On Time</v>
      </c>
      <c r="AB1133" s="37" t="str">
        <f t="shared" si="286"/>
        <v>0</v>
      </c>
      <c r="AC1133" s="37">
        <f t="shared" si="287"/>
        <v>0</v>
      </c>
      <c r="AD1133" s="45">
        <f t="shared" si="285"/>
        <v>0.535483870967742</v>
      </c>
      <c r="AE1133" s="46">
        <v>2</v>
      </c>
      <c r="AF1133" s="46" t="s">
        <v>118</v>
      </c>
      <c r="AG1133" s="37" t="str">
        <f t="shared" si="284"/>
        <v>no</v>
      </c>
      <c r="AH1133" s="37" t="str">
        <f t="array" ref="AH1133">_xlfn.IFS(LOWER(AG1133)="n","no",LOWER(AG1133)="y","yes",TRUE,LOWER(AG1133))</f>
        <v>no</v>
      </c>
      <c r="AI1133" s="46" t="s">
        <v>4692</v>
      </c>
    </row>
    <row r="1134" spans="1:35">
      <c r="A1134" s="37" t="s">
        <v>3687</v>
      </c>
      <c r="B1134" s="38">
        <v>45406</v>
      </c>
      <c r="C1134" s="39">
        <f t="shared" si="272"/>
        <v>45406</v>
      </c>
      <c r="D1134" s="40" t="s">
        <v>4695</v>
      </c>
      <c r="E1134" s="37" t="str" cm="1">
        <f t="array" ref="E1134">_xlfn.IFS(D1134="delhi","north",D1134="mumbai","west",D1134="bengaluru","south",D1134="chennai","south",D1134="kolkata","east",TRUE,"west")</f>
        <v>west</v>
      </c>
      <c r="F1134" s="37" t="s">
        <v>122</v>
      </c>
      <c r="G1134" s="37" t="str">
        <f t="shared" si="273"/>
        <v>delhivery</v>
      </c>
      <c r="H1134" s="37" t="s">
        <v>440</v>
      </c>
      <c r="I1134" s="37" t="str">
        <f t="shared" si="274"/>
        <v>road</v>
      </c>
      <c r="J1134" s="37" t="s">
        <v>237</v>
      </c>
      <c r="K1134" s="37" t="str">
        <f t="shared" si="275"/>
        <v>automotiveparts</v>
      </c>
      <c r="L1134" s="37" t="s">
        <v>302</v>
      </c>
      <c r="M1134" s="37" t="str">
        <f t="shared" si="276"/>
        <v>east</v>
      </c>
      <c r="N1134" s="37" t="s">
        <v>396</v>
      </c>
      <c r="O1134" s="41" t="str">
        <f t="shared" si="277"/>
        <v>Yes</v>
      </c>
      <c r="P1134" s="41" t="s">
        <v>2459</v>
      </c>
      <c r="Q1134" s="41">
        <v>398</v>
      </c>
      <c r="R1134" s="42">
        <f t="shared" si="278"/>
        <v>23.6904761904762</v>
      </c>
      <c r="S1134" s="37">
        <v>8</v>
      </c>
      <c r="T1134" s="37" t="s">
        <v>3361</v>
      </c>
      <c r="U1134" s="43" t="str">
        <f t="shared" si="279"/>
        <v>2024-05-01</v>
      </c>
      <c r="V1134" s="43">
        <f t="shared" si="280"/>
        <v>45413</v>
      </c>
      <c r="W1134" s="44">
        <f t="array" ref="W1134">_xlfn.IFS(TRIM(C1134)="","",TRIM(V1134)="","",TRUE,V1134-C1134)</f>
        <v>7</v>
      </c>
      <c r="X1134" s="37">
        <f t="shared" si="281"/>
        <v>-1</v>
      </c>
      <c r="Y1134" s="37" t="s">
        <v>117</v>
      </c>
      <c r="Z1134" s="37" t="str">
        <f t="shared" si="282"/>
        <v>delivered</v>
      </c>
      <c r="AA1134" s="37" t="str">
        <f t="shared" si="283"/>
        <v>On Time</v>
      </c>
      <c r="AB1134" s="37" t="str">
        <f t="shared" si="286"/>
        <v>0</v>
      </c>
      <c r="AC1134" s="37">
        <f t="shared" si="287"/>
        <v>0</v>
      </c>
      <c r="AD1134" s="45">
        <f t="shared" si="285"/>
        <v>0.536637931034483</v>
      </c>
      <c r="AE1134" s="37">
        <v>4</v>
      </c>
      <c r="AF1134" s="37" t="s">
        <v>191</v>
      </c>
      <c r="AG1134" s="37" t="str">
        <f t="shared" si="284"/>
        <v>no</v>
      </c>
      <c r="AH1134" s="37" t="str">
        <f t="array" ref="AH1134">_xlfn.IFS(LOWER(AG1134)="n","no",LOWER(AG1134)="y","yes",TRUE,LOWER(AG1134))</f>
        <v>no</v>
      </c>
      <c r="AI1134" s="37" t="s">
        <v>4692</v>
      </c>
    </row>
    <row r="1135" spans="1:35">
      <c r="A1135" s="46" t="s">
        <v>3688</v>
      </c>
      <c r="B1135" s="47">
        <v>45391</v>
      </c>
      <c r="C1135" s="39">
        <f t="shared" si="272"/>
        <v>45391</v>
      </c>
      <c r="D1135" s="48" t="s">
        <v>4704</v>
      </c>
      <c r="E1135" s="37" t="str" cm="1">
        <f t="array" ref="E1135">_xlfn.IFS(D1135="delhi","north",D1135="mumbai","west",D1135="bengaluru","south",D1135="chennai","south",D1135="kolkata","east",TRUE,"west")</f>
        <v>west</v>
      </c>
      <c r="F1135" s="46" t="s">
        <v>352</v>
      </c>
      <c r="G1135" s="37" t="str">
        <f t="shared" si="273"/>
        <v>delhivery</v>
      </c>
      <c r="H1135" s="46" t="s">
        <v>123</v>
      </c>
      <c r="I1135" s="37" t="str">
        <f t="shared" si="274"/>
        <v>air</v>
      </c>
      <c r="J1135" s="46" t="s">
        <v>612</v>
      </c>
      <c r="K1135" s="37" t="str">
        <f t="shared" si="275"/>
        <v>grocery&amp;fmcg</v>
      </c>
      <c r="L1135" s="46" t="s">
        <v>168</v>
      </c>
      <c r="M1135" s="37" t="str">
        <f t="shared" si="276"/>
        <v>west</v>
      </c>
      <c r="N1135" s="46" t="s">
        <v>278</v>
      </c>
      <c r="O1135" s="41" t="str">
        <f t="shared" si="277"/>
        <v>Yes</v>
      </c>
      <c r="P1135" s="49">
        <v>3.9</v>
      </c>
      <c r="Q1135" s="49" t="s">
        <v>472</v>
      </c>
      <c r="R1135" s="42">
        <f t="shared" si="278"/>
        <v>75.8974358974359</v>
      </c>
      <c r="S1135" s="46">
        <v>4</v>
      </c>
      <c r="T1135" s="46" t="s">
        <v>371</v>
      </c>
      <c r="U1135" s="43" t="str">
        <f t="shared" si="279"/>
        <v>14-apr-2024</v>
      </c>
      <c r="V1135" s="43">
        <f t="shared" si="280"/>
        <v>45396</v>
      </c>
      <c r="W1135" s="44">
        <f t="array" ref="W1135">_xlfn.IFS(TRIM(C1135)="","",TRIM(V1135)="","",TRUE,V1135-C1135)</f>
        <v>5</v>
      </c>
      <c r="X1135" s="37">
        <f t="shared" si="281"/>
        <v>1</v>
      </c>
      <c r="Y1135" s="46" t="s">
        <v>143</v>
      </c>
      <c r="Z1135" s="37" t="str">
        <f t="shared" si="282"/>
        <v>delayed</v>
      </c>
      <c r="AA1135" s="37" t="str">
        <f t="shared" si="283"/>
        <v>Late</v>
      </c>
      <c r="AB1135" s="37" t="str">
        <f t="shared" si="286"/>
        <v>1</v>
      </c>
      <c r="AC1135" s="37">
        <f t="shared" si="287"/>
        <v>1</v>
      </c>
      <c r="AD1135" s="45">
        <f t="shared" si="285"/>
        <v>0.537796976241901</v>
      </c>
      <c r="AE1135" s="46">
        <v>3</v>
      </c>
      <c r="AF1135" s="46" t="s">
        <v>79</v>
      </c>
      <c r="AG1135" s="37" t="str">
        <f t="shared" si="284"/>
        <v>yes</v>
      </c>
      <c r="AH1135" s="37" t="str">
        <f t="array" ref="AH1135">_xlfn.IFS(LOWER(AG1135)="n","no",LOWER(AG1135)="y","yes",TRUE,LOWER(AG1135))</f>
        <v>yes</v>
      </c>
      <c r="AI1135" s="46" t="s">
        <v>4692</v>
      </c>
    </row>
    <row r="1136" spans="1:35">
      <c r="A1136" s="37" t="s">
        <v>3689</v>
      </c>
      <c r="B1136" s="38">
        <v>45416</v>
      </c>
      <c r="C1136" s="39">
        <f t="shared" si="272"/>
        <v>45416</v>
      </c>
      <c r="D1136" s="40" t="s">
        <v>300</v>
      </c>
      <c r="E1136" s="37" t="str" cm="1">
        <f t="array" ref="E1136">_xlfn.IFS(D1136="delhi","north",D1136="mumbai","west",D1136="bengaluru","south",D1136="chennai","south",D1136="kolkata","east",TRUE,"west")</f>
        <v>west</v>
      </c>
      <c r="F1136" s="37" t="s">
        <v>122</v>
      </c>
      <c r="G1136" s="37" t="str">
        <f t="shared" si="273"/>
        <v>delhivery</v>
      </c>
      <c r="H1136" s="37" t="s">
        <v>99</v>
      </c>
      <c r="I1136" s="37" t="str">
        <f t="shared" si="274"/>
        <v>air</v>
      </c>
      <c r="J1136" s="37" t="s">
        <v>612</v>
      </c>
      <c r="K1136" s="37" t="str">
        <f t="shared" si="275"/>
        <v>grocery&amp;fmcg</v>
      </c>
      <c r="L1136" s="37" t="s">
        <v>401</v>
      </c>
      <c r="M1136" s="37" t="str">
        <f t="shared" si="276"/>
        <v>south</v>
      </c>
      <c r="N1136" s="37" t="s">
        <v>327</v>
      </c>
      <c r="O1136" s="41" t="str">
        <f t="shared" si="277"/>
        <v>Yes</v>
      </c>
      <c r="P1136" s="41">
        <v>7.8</v>
      </c>
      <c r="Q1136" s="41" t="s">
        <v>1202</v>
      </c>
      <c r="R1136" s="42">
        <f t="shared" si="278"/>
        <v>43.0769230769231</v>
      </c>
      <c r="S1136" s="37">
        <v>2</v>
      </c>
      <c r="T1136" s="37" t="s">
        <v>3691</v>
      </c>
      <c r="U1136" s="43" t="str">
        <f t="shared" si="279"/>
        <v>07/05/2024</v>
      </c>
      <c r="V1136" s="43">
        <f t="shared" si="280"/>
        <v>45419</v>
      </c>
      <c r="W1136" s="44">
        <f t="array" ref="W1136">_xlfn.IFS(TRIM(C1136)="","",TRIM(V1136)="","",TRUE,V1136-C1136)</f>
        <v>3</v>
      </c>
      <c r="X1136" s="37">
        <f t="shared" si="281"/>
        <v>1</v>
      </c>
      <c r="Y1136" s="37" t="s">
        <v>172</v>
      </c>
      <c r="Z1136" s="37" t="str">
        <f t="shared" si="282"/>
        <v>delayed</v>
      </c>
      <c r="AA1136" s="37" t="str">
        <f t="shared" si="283"/>
        <v>Late</v>
      </c>
      <c r="AB1136" s="37" t="str">
        <f t="shared" si="286"/>
        <v>1</v>
      </c>
      <c r="AC1136" s="37">
        <f t="shared" si="287"/>
        <v>1</v>
      </c>
      <c r="AD1136" s="45">
        <f t="shared" si="285"/>
        <v>0.536796536796537</v>
      </c>
      <c r="AE1136" s="37">
        <v>1</v>
      </c>
      <c r="AF1136" s="37" t="s">
        <v>181</v>
      </c>
      <c r="AG1136" s="37" t="str">
        <f t="shared" si="284"/>
        <v>y</v>
      </c>
      <c r="AH1136" s="37" t="str">
        <f t="array" ref="AH1136">_xlfn.IFS(LOWER(AG1136)="n","no",LOWER(AG1136)="y","yes",TRUE,LOWER(AG1136))</f>
        <v>yes</v>
      </c>
      <c r="AI1136" s="37" t="s">
        <v>4692</v>
      </c>
    </row>
    <row r="1137" spans="1:35">
      <c r="A1137" s="46" t="s">
        <v>3692</v>
      </c>
      <c r="B1137" s="47">
        <v>45325</v>
      </c>
      <c r="C1137" s="39">
        <f t="shared" si="272"/>
        <v>45325</v>
      </c>
      <c r="D1137" s="48" t="s">
        <v>243</v>
      </c>
      <c r="E1137" s="37" t="str" cm="1">
        <f t="array" ref="E1137">_xlfn.IFS(D1137="delhi","north",D1137="mumbai","west",D1137="bengaluru","south",D1137="chennai","south",D1137="kolkata","east",TRUE,"west")</f>
        <v>west</v>
      </c>
      <c r="F1137" s="46" t="s">
        <v>194</v>
      </c>
      <c r="G1137" s="37" t="str">
        <f t="shared" si="273"/>
        <v>xpressbees</v>
      </c>
      <c r="H1137" s="46" t="s">
        <v>137</v>
      </c>
      <c r="I1137" s="37" t="str">
        <f t="shared" si="274"/>
        <v>road</v>
      </c>
      <c r="J1137" s="46" t="s">
        <v>283</v>
      </c>
      <c r="K1137" s="37" t="str">
        <f t="shared" si="275"/>
        <v>pharma</v>
      </c>
      <c r="L1137" s="46" t="s">
        <v>87</v>
      </c>
      <c r="M1137" s="37" t="str">
        <f t="shared" si="276"/>
        <v>north</v>
      </c>
      <c r="N1137" s="46" t="s">
        <v>32</v>
      </c>
      <c r="O1137" s="41" t="str">
        <f t="shared" si="277"/>
        <v>Yes</v>
      </c>
      <c r="P1137" s="49">
        <v>1.2</v>
      </c>
      <c r="Q1137" s="49">
        <v>151</v>
      </c>
      <c r="R1137" s="42">
        <f t="shared" si="278"/>
        <v>125.833333333333</v>
      </c>
      <c r="S1137" s="46">
        <v>8</v>
      </c>
      <c r="T1137" s="46" t="s">
        <v>3176</v>
      </c>
      <c r="U1137" s="43" t="str">
        <f t="shared" si="279"/>
        <v>2024-02-18</v>
      </c>
      <c r="V1137" s="43">
        <f t="shared" si="280"/>
        <v>45340</v>
      </c>
      <c r="W1137" s="44">
        <f t="array" ref="W1137">_xlfn.IFS(TRIM(C1137)="","",TRIM(V1137)="","",TRUE,V1137-C1137)</f>
        <v>15</v>
      </c>
      <c r="X1137" s="37">
        <f t="shared" si="281"/>
        <v>7</v>
      </c>
      <c r="Y1137" s="46" t="s">
        <v>143</v>
      </c>
      <c r="Z1137" s="37" t="str">
        <f t="shared" si="282"/>
        <v>delayed</v>
      </c>
      <c r="AA1137" s="37" t="str">
        <f t="shared" si="283"/>
        <v>Late</v>
      </c>
      <c r="AB1137" s="37" t="str">
        <f t="shared" si="286"/>
        <v>1</v>
      </c>
      <c r="AC1137" s="37">
        <f t="shared" si="287"/>
        <v>1</v>
      </c>
      <c r="AD1137" s="45">
        <f t="shared" si="285"/>
        <v>0.535791757049892</v>
      </c>
      <c r="AE1137" s="46">
        <v>4</v>
      </c>
      <c r="AF1137" s="46" t="s">
        <v>118</v>
      </c>
      <c r="AG1137" s="37" t="str">
        <f t="shared" si="284"/>
        <v>no</v>
      </c>
      <c r="AH1137" s="37" t="str">
        <f t="array" ref="AH1137">_xlfn.IFS(LOWER(AG1137)="n","no",LOWER(AG1137)="y","yes",TRUE,LOWER(AG1137))</f>
        <v>no</v>
      </c>
      <c r="AI1137" s="46" t="s">
        <v>4692</v>
      </c>
    </row>
    <row r="1138" spans="1:35">
      <c r="A1138" s="37" t="s">
        <v>3694</v>
      </c>
      <c r="B1138" s="38">
        <v>45370</v>
      </c>
      <c r="C1138" s="39">
        <f t="shared" si="272"/>
        <v>45370</v>
      </c>
      <c r="D1138" s="40" t="s">
        <v>4695</v>
      </c>
      <c r="E1138" s="37" t="str" cm="1">
        <f t="array" ref="E1138">_xlfn.IFS(D1138="delhi","north",D1138="mumbai","west",D1138="bengaluru","south",D1138="chennai","south",D1138="kolkata","east",TRUE,"west")</f>
        <v>west</v>
      </c>
      <c r="F1138" s="37" t="s">
        <v>544</v>
      </c>
      <c r="G1138" s="37" t="str">
        <f t="shared" si="273"/>
        <v>bluedart</v>
      </c>
      <c r="H1138" s="37" t="s">
        <v>345</v>
      </c>
      <c r="I1138" s="37" t="str">
        <f t="shared" si="274"/>
        <v>surface</v>
      </c>
      <c r="J1138" s="37" t="s">
        <v>301</v>
      </c>
      <c r="K1138" s="37" t="str">
        <f t="shared" si="275"/>
        <v>furniture</v>
      </c>
      <c r="L1138" s="37" t="s">
        <v>51</v>
      </c>
      <c r="M1138" s="37" t="str">
        <f t="shared" si="276"/>
        <v>south</v>
      </c>
      <c r="N1138" s="37" t="s">
        <v>90</v>
      </c>
      <c r="O1138" s="41" t="str">
        <f t="shared" si="277"/>
        <v>Yes</v>
      </c>
      <c r="P1138" s="41">
        <v>29.8</v>
      </c>
      <c r="Q1138" s="41">
        <v>802</v>
      </c>
      <c r="R1138" s="42">
        <f t="shared" si="278"/>
        <v>26.9127516778523</v>
      </c>
      <c r="S1138" s="37">
        <v>6</v>
      </c>
      <c r="T1138" s="37" t="s">
        <v>609</v>
      </c>
      <c r="U1138" s="43" t="str">
        <f t="shared" si="279"/>
        <v>2024-03-26</v>
      </c>
      <c r="V1138" s="43">
        <f t="shared" si="280"/>
        <v>45377</v>
      </c>
      <c r="W1138" s="44">
        <f t="array" ref="W1138">_xlfn.IFS(TRIM(C1138)="","",TRIM(V1138)="","",TRUE,V1138-C1138)</f>
        <v>7</v>
      </c>
      <c r="X1138" s="37">
        <f t="shared" si="281"/>
        <v>1</v>
      </c>
      <c r="Y1138" s="37" t="s">
        <v>624</v>
      </c>
      <c r="Z1138" s="37" t="str">
        <f t="shared" si="282"/>
        <v>returned</v>
      </c>
      <c r="AA1138" s="37" t="str">
        <f t="shared" si="283"/>
        <v>Late</v>
      </c>
      <c r="AB1138" s="37" t="str">
        <f t="shared" si="286"/>
        <v>1</v>
      </c>
      <c r="AC1138" s="37">
        <f t="shared" si="287"/>
        <v>1</v>
      </c>
      <c r="AD1138" s="45">
        <f t="shared" si="285"/>
        <v>0.534782608695652</v>
      </c>
      <c r="AE1138" s="37"/>
      <c r="AF1138" s="37" t="s">
        <v>79</v>
      </c>
      <c r="AG1138" s="37" t="str">
        <f t="shared" si="284"/>
        <v>yes</v>
      </c>
      <c r="AH1138" s="37" t="str">
        <f t="array" ref="AH1138">_xlfn.IFS(LOWER(AG1138)="n","no",LOWER(AG1138)="y","yes",TRUE,LOWER(AG1138))</f>
        <v>yes</v>
      </c>
      <c r="AI1138" s="37" t="s">
        <v>1478</v>
      </c>
    </row>
    <row r="1139" spans="1:35">
      <c r="A1139" s="46" t="s">
        <v>3697</v>
      </c>
      <c r="B1139" s="47" t="s">
        <v>4839</v>
      </c>
      <c r="C1139" s="39">
        <f t="shared" si="272"/>
        <v>45372</v>
      </c>
      <c r="D1139" s="48" t="s">
        <v>4705</v>
      </c>
      <c r="E1139" s="37" t="str" cm="1">
        <f t="array" ref="E1139">_xlfn.IFS(D1139="delhi","north",D1139="mumbai","west",D1139="bengaluru","south",D1139="chennai","south",D1139="kolkata","east",TRUE,"west")</f>
        <v>west</v>
      </c>
      <c r="F1139" s="46" t="s">
        <v>98</v>
      </c>
      <c r="G1139" s="37" t="str">
        <f t="shared" si="273"/>
        <v>dtdc</v>
      </c>
      <c r="H1139" s="46" t="s">
        <v>110</v>
      </c>
      <c r="I1139" s="37" t="str">
        <f t="shared" si="274"/>
        <v>surface</v>
      </c>
      <c r="J1139" s="46" t="s">
        <v>205</v>
      </c>
      <c r="K1139" s="37" t="str">
        <f t="shared" si="275"/>
        <v>furniture</v>
      </c>
      <c r="L1139" s="46" t="s">
        <v>470</v>
      </c>
      <c r="M1139" s="37" t="str">
        <f t="shared" si="276"/>
        <v>east</v>
      </c>
      <c r="N1139" s="46" t="s">
        <v>396</v>
      </c>
      <c r="O1139" s="41" t="str">
        <f t="shared" si="277"/>
        <v>Yes</v>
      </c>
      <c r="P1139" s="49">
        <v>27.9</v>
      </c>
      <c r="Q1139" s="49">
        <v>790</v>
      </c>
      <c r="R1139" s="42">
        <f t="shared" si="278"/>
        <v>28.3154121863799</v>
      </c>
      <c r="S1139" s="46">
        <v>6</v>
      </c>
      <c r="T1139" s="46" t="s">
        <v>1908</v>
      </c>
      <c r="U1139" s="43" t="str">
        <f t="shared" si="279"/>
        <v>2024-03-27</v>
      </c>
      <c r="V1139" s="43">
        <f t="shared" si="280"/>
        <v>45378</v>
      </c>
      <c r="W1139" s="44">
        <f t="array" ref="W1139">_xlfn.IFS(TRIM(C1139)="","",TRIM(V1139)="","",TRUE,V1139-C1139)</f>
        <v>6</v>
      </c>
      <c r="X1139" s="37">
        <f t="shared" si="281"/>
        <v>0</v>
      </c>
      <c r="Y1139" s="46" t="s">
        <v>163</v>
      </c>
      <c r="Z1139" s="37" t="str">
        <f t="shared" si="282"/>
        <v>delivered</v>
      </c>
      <c r="AA1139" s="37" t="str">
        <f t="shared" si="283"/>
        <v>On Time</v>
      </c>
      <c r="AB1139" s="37" t="str">
        <f t="shared" si="286"/>
        <v>0</v>
      </c>
      <c r="AC1139" s="37">
        <f t="shared" si="287"/>
        <v>0</v>
      </c>
      <c r="AD1139" s="45">
        <f t="shared" si="285"/>
        <v>0.533769063180828</v>
      </c>
      <c r="AE1139" s="46">
        <v>2</v>
      </c>
      <c r="AF1139" s="46" t="s">
        <v>118</v>
      </c>
      <c r="AG1139" s="37" t="str">
        <f t="shared" si="284"/>
        <v>no</v>
      </c>
      <c r="AH1139" s="37" t="str">
        <f t="array" ref="AH1139">_xlfn.IFS(LOWER(AG1139)="n","no",LOWER(AG1139)="y","yes",TRUE,LOWER(AG1139))</f>
        <v>no</v>
      </c>
      <c r="AI1139" s="46" t="s">
        <v>4692</v>
      </c>
    </row>
    <row r="1140" spans="1:35">
      <c r="A1140" s="37" t="s">
        <v>3699</v>
      </c>
      <c r="B1140" s="38">
        <v>45310</v>
      </c>
      <c r="C1140" s="39">
        <f t="shared" si="272"/>
        <v>45310</v>
      </c>
      <c r="D1140" s="40" t="s">
        <v>135</v>
      </c>
      <c r="E1140" s="37" t="str" cm="1">
        <f t="array" ref="E1140">_xlfn.IFS(D1140="delhi","north",D1140="mumbai","west",D1140="bengaluru","south",D1140="chennai","south",D1140="kolkata","east",TRUE,"west")</f>
        <v>west</v>
      </c>
      <c r="F1140" s="37" t="s">
        <v>352</v>
      </c>
      <c r="G1140" s="37" t="str">
        <f t="shared" si="273"/>
        <v>delhivery</v>
      </c>
      <c r="H1140" s="37" t="s">
        <v>185</v>
      </c>
      <c r="I1140" s="37" t="str">
        <f t="shared" si="274"/>
        <v>surface</v>
      </c>
      <c r="J1140" s="37" t="s">
        <v>1145</v>
      </c>
      <c r="K1140" s="37" t="str">
        <f t="shared" si="275"/>
        <v>grocery&amp;fmcg</v>
      </c>
      <c r="L1140" s="37" t="s">
        <v>112</v>
      </c>
      <c r="M1140" s="37" t="str">
        <f t="shared" si="276"/>
        <v>north</v>
      </c>
      <c r="N1140" s="37" t="s">
        <v>32</v>
      </c>
      <c r="O1140" s="41" t="str">
        <f t="shared" si="277"/>
        <v>Yes</v>
      </c>
      <c r="P1140" s="41">
        <v>9.4</v>
      </c>
      <c r="Q1140" s="41" t="s">
        <v>3701</v>
      </c>
      <c r="R1140" s="42">
        <f t="shared" si="278"/>
        <v>44.0425531914894</v>
      </c>
      <c r="S1140" s="37">
        <v>6</v>
      </c>
      <c r="T1140" s="37" t="s">
        <v>1158</v>
      </c>
      <c r="U1140" s="43" t="str">
        <f t="shared" si="279"/>
        <v>26/01/2024</v>
      </c>
      <c r="V1140" s="43">
        <f t="shared" si="280"/>
        <v>45317</v>
      </c>
      <c r="W1140" s="44">
        <f t="array" ref="W1140">_xlfn.IFS(TRIM(C1140)="","",TRIM(V1140)="","",TRUE,V1140-C1140)</f>
        <v>7</v>
      </c>
      <c r="X1140" s="37">
        <f t="shared" si="281"/>
        <v>1</v>
      </c>
      <c r="Y1140" s="37" t="s">
        <v>72</v>
      </c>
      <c r="Z1140" s="37" t="str">
        <f t="shared" si="282"/>
        <v>delayed</v>
      </c>
      <c r="AA1140" s="37" t="str">
        <f t="shared" si="283"/>
        <v>Late</v>
      </c>
      <c r="AB1140" s="37" t="str">
        <f t="shared" si="286"/>
        <v>1</v>
      </c>
      <c r="AC1140" s="37">
        <f t="shared" si="287"/>
        <v>1</v>
      </c>
      <c r="AD1140" s="45">
        <f t="shared" si="285"/>
        <v>0.534934497816594</v>
      </c>
      <c r="AE1140" s="37">
        <v>1</v>
      </c>
      <c r="AF1140" s="37" t="s">
        <v>131</v>
      </c>
      <c r="AG1140" s="37" t="str">
        <f t="shared" si="284"/>
        <v>n</v>
      </c>
      <c r="AH1140" s="37" t="str">
        <f t="array" ref="AH1140">_xlfn.IFS(LOWER(AG1140)="n","no",LOWER(AG1140)="y","yes",TRUE,LOWER(AG1140))</f>
        <v>no</v>
      </c>
      <c r="AI1140" s="37" t="s">
        <v>4692</v>
      </c>
    </row>
    <row r="1141" spans="1:35">
      <c r="A1141" s="46" t="s">
        <v>3702</v>
      </c>
      <c r="B1141" s="47" t="s">
        <v>4782</v>
      </c>
      <c r="C1141" s="39">
        <f t="shared" si="272"/>
        <v>45438</v>
      </c>
      <c r="D1141" s="48" t="s">
        <v>633</v>
      </c>
      <c r="E1141" s="37" t="str" cm="1">
        <f t="array" ref="E1141">_xlfn.IFS(D1141="delhi","north",D1141="mumbai","west",D1141="bengaluru","south",D1141="chennai","south",D1141="kolkata","east",TRUE,"west")</f>
        <v>south</v>
      </c>
      <c r="F1141" s="46" t="s">
        <v>194</v>
      </c>
      <c r="G1141" s="37" t="str">
        <f t="shared" si="273"/>
        <v>xpressbees</v>
      </c>
      <c r="H1141" s="46" t="s">
        <v>345</v>
      </c>
      <c r="I1141" s="37" t="str">
        <f t="shared" si="274"/>
        <v>surface</v>
      </c>
      <c r="J1141" s="46" t="s">
        <v>177</v>
      </c>
      <c r="K1141" s="37" t="str">
        <f t="shared" si="275"/>
        <v>pharma</v>
      </c>
      <c r="L1141" s="46" t="s">
        <v>197</v>
      </c>
      <c r="M1141" s="37" t="str">
        <f t="shared" si="276"/>
        <v>south</v>
      </c>
      <c r="N1141" s="46" t="s">
        <v>54</v>
      </c>
      <c r="O1141" s="41" t="str">
        <f t="shared" si="277"/>
        <v>Yes</v>
      </c>
      <c r="P1141" s="49" t="s">
        <v>858</v>
      </c>
      <c r="Q1141" s="49">
        <v>80</v>
      </c>
      <c r="R1141" s="42">
        <f t="shared" si="278"/>
        <v>61.5384615384615</v>
      </c>
      <c r="S1141" s="46">
        <v>4</v>
      </c>
      <c r="T1141" s="46" t="s">
        <v>1347</v>
      </c>
      <c r="U1141" s="43" t="str">
        <f t="shared" si="279"/>
        <v>01-jun-2024</v>
      </c>
      <c r="V1141" s="43">
        <f t="shared" si="280"/>
        <v>45444</v>
      </c>
      <c r="W1141" s="44">
        <f t="array" ref="W1141">_xlfn.IFS(TRIM(C1141)="","",TRIM(V1141)="","",TRUE,V1141-C1141)</f>
        <v>6</v>
      </c>
      <c r="X1141" s="37">
        <f t="shared" si="281"/>
        <v>2</v>
      </c>
      <c r="Y1141" s="46" t="s">
        <v>200</v>
      </c>
      <c r="Z1141" s="37" t="str">
        <f t="shared" si="282"/>
        <v>delayed</v>
      </c>
      <c r="AA1141" s="37" t="str">
        <f t="shared" si="283"/>
        <v>Late</v>
      </c>
      <c r="AB1141" s="37" t="str">
        <f t="shared" si="286"/>
        <v>1</v>
      </c>
      <c r="AC1141" s="37">
        <f t="shared" si="287"/>
        <v>1</v>
      </c>
      <c r="AD1141" s="45">
        <f t="shared" si="285"/>
        <v>0.533916849015317</v>
      </c>
      <c r="AE1141" s="46">
        <v>1</v>
      </c>
      <c r="AF1141" s="46" t="s">
        <v>191</v>
      </c>
      <c r="AG1141" s="37" t="str">
        <f t="shared" si="284"/>
        <v>no</v>
      </c>
      <c r="AH1141" s="37" t="str">
        <f t="array" ref="AH1141">_xlfn.IFS(LOWER(AG1141)="n","no",LOWER(AG1141)="y","yes",TRUE,LOWER(AG1141))</f>
        <v>no</v>
      </c>
      <c r="AI1141" s="46" t="s">
        <v>4692</v>
      </c>
    </row>
    <row r="1142" spans="1:35">
      <c r="A1142" s="46" t="s">
        <v>3703</v>
      </c>
      <c r="B1142" s="47">
        <v>45409</v>
      </c>
      <c r="C1142" s="39">
        <f t="shared" si="272"/>
        <v>45409</v>
      </c>
      <c r="D1142" s="48" t="s">
        <v>340</v>
      </c>
      <c r="E1142" s="37" t="str" cm="1">
        <f t="array" ref="E1142">_xlfn.IFS(D1142="delhi","north",D1142="mumbai","west",D1142="bengaluru","south",D1142="chennai","south",D1142="kolkata","east",TRUE,"west")</f>
        <v>north</v>
      </c>
      <c r="F1142" s="46" t="s">
        <v>230</v>
      </c>
      <c r="G1142" s="37" t="str">
        <f t="shared" si="273"/>
        <v>dtdc</v>
      </c>
      <c r="H1142" s="46" t="s">
        <v>345</v>
      </c>
      <c r="I1142" s="37" t="str">
        <f t="shared" si="274"/>
        <v>surface</v>
      </c>
      <c r="J1142" s="46" t="s">
        <v>385</v>
      </c>
      <c r="K1142" s="37" t="str">
        <f t="shared" si="275"/>
        <v>furniture</v>
      </c>
      <c r="L1142" s="46" t="s">
        <v>168</v>
      </c>
      <c r="M1142" s="37" t="str">
        <f t="shared" si="276"/>
        <v>west</v>
      </c>
      <c r="N1142" s="46" t="s">
        <v>88</v>
      </c>
      <c r="O1142" s="41" t="str">
        <f t="shared" si="277"/>
        <v>Yes</v>
      </c>
      <c r="P1142" s="49" t="s">
        <v>3704</v>
      </c>
      <c r="Q1142" s="49" t="s">
        <v>3705</v>
      </c>
      <c r="R1142" s="42">
        <f t="shared" si="278"/>
        <v>26.4155251141553</v>
      </c>
      <c r="S1142" s="46">
        <v>6</v>
      </c>
      <c r="T1142" s="46" t="s">
        <v>931</v>
      </c>
      <c r="U1142" s="43" t="str">
        <f t="shared" si="279"/>
        <v>09/05/2024</v>
      </c>
      <c r="V1142" s="43">
        <f t="shared" si="280"/>
        <v>45421</v>
      </c>
      <c r="W1142" s="44">
        <f t="array" ref="W1142">_xlfn.IFS(TRIM(C1142)="","",TRIM(V1142)="","",TRUE,V1142-C1142)</f>
        <v>12</v>
      </c>
      <c r="X1142" s="37">
        <f t="shared" si="281"/>
        <v>6</v>
      </c>
      <c r="Y1142" s="46" t="s">
        <v>172</v>
      </c>
      <c r="Z1142" s="37" t="str">
        <f t="shared" si="282"/>
        <v>delayed</v>
      </c>
      <c r="AA1142" s="37" t="str">
        <f t="shared" si="283"/>
        <v>Late</v>
      </c>
      <c r="AB1142" s="37" t="str">
        <f t="shared" si="286"/>
        <v>1</v>
      </c>
      <c r="AC1142" s="37">
        <f t="shared" si="287"/>
        <v>1</v>
      </c>
      <c r="AD1142" s="45">
        <f t="shared" si="285"/>
        <v>0.532894736842105</v>
      </c>
      <c r="AE1142" s="46">
        <v>4</v>
      </c>
      <c r="AF1142" s="46" t="s">
        <v>131</v>
      </c>
      <c r="AG1142" s="37" t="str">
        <f t="shared" si="284"/>
        <v>n</v>
      </c>
      <c r="AH1142" s="37" t="str">
        <f t="array" ref="AH1142">_xlfn.IFS(LOWER(AG1142)="n","no",LOWER(AG1142)="y","yes",TRUE,LOWER(AG1142))</f>
        <v>no</v>
      </c>
      <c r="AI1142" s="46" t="s">
        <v>4692</v>
      </c>
    </row>
    <row r="1143" spans="1:35">
      <c r="A1143" s="37" t="s">
        <v>3706</v>
      </c>
      <c r="B1143" s="38" t="s">
        <v>4725</v>
      </c>
      <c r="C1143" s="39">
        <f t="shared" si="272"/>
        <v>45309</v>
      </c>
      <c r="D1143" s="40" t="s">
        <v>340</v>
      </c>
      <c r="E1143" s="37" t="str" cm="1">
        <f t="array" ref="E1143">_xlfn.IFS(D1143="delhi","north",D1143="mumbai","west",D1143="bengaluru","south",D1143="chennai","south",D1143="kolkata","east",TRUE,"west")</f>
        <v>north</v>
      </c>
      <c r="F1143" s="37" t="s">
        <v>213</v>
      </c>
      <c r="G1143" s="37" t="str">
        <f t="shared" si="273"/>
        <v>dtdc</v>
      </c>
      <c r="H1143" s="37" t="s">
        <v>325</v>
      </c>
      <c r="I1143" s="37" t="str">
        <f t="shared" si="274"/>
        <v>air</v>
      </c>
      <c r="J1143" s="37" t="s">
        <v>138</v>
      </c>
      <c r="K1143" s="37" t="str">
        <f t="shared" si="275"/>
        <v>apparel</v>
      </c>
      <c r="L1143" s="37" t="s">
        <v>470</v>
      </c>
      <c r="M1143" s="37" t="str">
        <f t="shared" si="276"/>
        <v>east</v>
      </c>
      <c r="N1143" s="37" t="s">
        <v>91</v>
      </c>
      <c r="O1143" s="41" t="str">
        <f t="shared" si="277"/>
        <v>Yes</v>
      </c>
      <c r="P1143" s="41">
        <v>7.7</v>
      </c>
      <c r="Q1143" s="41" t="s">
        <v>3054</v>
      </c>
      <c r="R1143" s="42">
        <f t="shared" si="278"/>
        <v>61.1688311688312</v>
      </c>
      <c r="S1143" s="37">
        <v>4</v>
      </c>
      <c r="T1143" s="37" t="s">
        <v>2055</v>
      </c>
      <c r="U1143" s="43" t="str">
        <f t="shared" si="279"/>
        <v>21/01/2024</v>
      </c>
      <c r="V1143" s="43">
        <f t="shared" si="280"/>
        <v>45312</v>
      </c>
      <c r="W1143" s="44">
        <f t="array" ref="W1143">_xlfn.IFS(TRIM(C1143)="","",TRIM(V1143)="","",TRUE,V1143-C1143)</f>
        <v>3</v>
      </c>
      <c r="X1143" s="37">
        <f t="shared" si="281"/>
        <v>-1</v>
      </c>
      <c r="Y1143" s="37" t="s">
        <v>117</v>
      </c>
      <c r="Z1143" s="37" t="str">
        <f t="shared" si="282"/>
        <v>delivered</v>
      </c>
      <c r="AA1143" s="37" t="str">
        <f t="shared" si="283"/>
        <v>On Time</v>
      </c>
      <c r="AB1143" s="37" t="str">
        <f t="shared" si="286"/>
        <v>0</v>
      </c>
      <c r="AC1143" s="37">
        <f t="shared" si="287"/>
        <v>0</v>
      </c>
      <c r="AD1143" s="45">
        <f t="shared" si="285"/>
        <v>0.531868131868132</v>
      </c>
      <c r="AE1143" s="37">
        <v>4</v>
      </c>
      <c r="AF1143" s="37" t="s">
        <v>152</v>
      </c>
      <c r="AG1143" s="37" t="str">
        <f t="shared" si="284"/>
        <v>no</v>
      </c>
      <c r="AH1143" s="37" t="str">
        <f t="array" ref="AH1143">_xlfn.IFS(LOWER(AG1143)="n","no",LOWER(AG1143)="y","yes",TRUE,LOWER(AG1143))</f>
        <v>no</v>
      </c>
      <c r="AI1143" s="37" t="s">
        <v>4692</v>
      </c>
    </row>
    <row r="1144" spans="1:35">
      <c r="A1144" s="46" t="s">
        <v>3708</v>
      </c>
      <c r="B1144" s="47">
        <v>45468</v>
      </c>
      <c r="C1144" s="39">
        <f t="shared" si="272"/>
        <v>45468</v>
      </c>
      <c r="D1144" s="48" t="s">
        <v>4712</v>
      </c>
      <c r="E1144" s="37" t="str" cm="1">
        <f t="array" ref="E1144">_xlfn.IFS(D1144="delhi","north",D1144="mumbai","west",D1144="bengaluru","south",D1144="chennai","south",D1144="kolkata","east",TRUE,"west")</f>
        <v>west</v>
      </c>
      <c r="F1144" s="46" t="s">
        <v>146</v>
      </c>
      <c r="G1144" s="37" t="str">
        <f t="shared" si="273"/>
        <v>ecomexpress</v>
      </c>
      <c r="H1144" s="46" t="s">
        <v>157</v>
      </c>
      <c r="I1144" s="37" t="str">
        <f t="shared" si="274"/>
        <v>surface</v>
      </c>
      <c r="J1144" s="46" t="s">
        <v>301</v>
      </c>
      <c r="K1144" s="37" t="str">
        <f t="shared" si="275"/>
        <v>furniture</v>
      </c>
      <c r="L1144" s="46" t="s">
        <v>125</v>
      </c>
      <c r="M1144" s="37" t="str">
        <f t="shared" si="276"/>
        <v>east</v>
      </c>
      <c r="N1144" s="46" t="s">
        <v>126</v>
      </c>
      <c r="O1144" s="41" t="str">
        <f t="shared" si="277"/>
        <v>Yes</v>
      </c>
      <c r="P1144" s="49">
        <v>75.2</v>
      </c>
      <c r="Q1144" s="51">
        <v>1777</v>
      </c>
      <c r="R1144" s="42">
        <f t="shared" si="278"/>
        <v>23.6303191489362</v>
      </c>
      <c r="S1144" s="46">
        <v>6</v>
      </c>
      <c r="T1144" s="46" t="s">
        <v>1120</v>
      </c>
      <c r="U1144" s="43" t="str">
        <f t="shared" si="279"/>
        <v>03/07/2024</v>
      </c>
      <c r="V1144" s="43">
        <f t="shared" si="280"/>
        <v>45476</v>
      </c>
      <c r="W1144" s="44">
        <f t="array" ref="W1144">_xlfn.IFS(TRIM(C1144)="","",TRIM(V1144)="","",TRUE,V1144-C1144)</f>
        <v>8</v>
      </c>
      <c r="X1144" s="37">
        <f t="shared" si="281"/>
        <v>2</v>
      </c>
      <c r="Y1144" s="46" t="s">
        <v>172</v>
      </c>
      <c r="Z1144" s="37" t="str">
        <f t="shared" si="282"/>
        <v>delayed</v>
      </c>
      <c r="AA1144" s="37" t="str">
        <f t="shared" si="283"/>
        <v>Late</v>
      </c>
      <c r="AB1144" s="37" t="str">
        <f t="shared" si="286"/>
        <v>1</v>
      </c>
      <c r="AC1144" s="37">
        <f t="shared" si="287"/>
        <v>1</v>
      </c>
      <c r="AD1144" s="45">
        <f t="shared" si="285"/>
        <v>0.533039647577093</v>
      </c>
      <c r="AE1144" s="46">
        <v>3</v>
      </c>
      <c r="AF1144" s="46" t="s">
        <v>286</v>
      </c>
      <c r="AG1144" s="37" t="str">
        <f t="shared" si="284"/>
        <v>yes</v>
      </c>
      <c r="AH1144" s="37" t="str">
        <f t="array" ref="AH1144">_xlfn.IFS(LOWER(AG1144)="n","no",LOWER(AG1144)="y","yes",TRUE,LOWER(AG1144))</f>
        <v>yes</v>
      </c>
      <c r="AI1144" s="46" t="s">
        <v>4692</v>
      </c>
    </row>
    <row r="1145" spans="1:35">
      <c r="A1145" s="37" t="s">
        <v>3711</v>
      </c>
      <c r="B1145" s="38" t="s">
        <v>4846</v>
      </c>
      <c r="C1145" s="39">
        <f t="shared" si="272"/>
        <v>45460</v>
      </c>
      <c r="D1145" s="40" t="s">
        <v>121</v>
      </c>
      <c r="E1145" s="37" t="str" cm="1">
        <f t="array" ref="E1145">_xlfn.IFS(D1145="delhi","north",D1145="mumbai","west",D1145="bengaluru","south",D1145="chennai","south",D1145="kolkata","east",TRUE,"west")</f>
        <v>west</v>
      </c>
      <c r="F1145" s="37" t="s">
        <v>98</v>
      </c>
      <c r="G1145" s="37" t="str">
        <f t="shared" si="273"/>
        <v>dtdc</v>
      </c>
      <c r="H1145" s="37" t="s">
        <v>42</v>
      </c>
      <c r="I1145" s="37" t="str">
        <f t="shared" si="274"/>
        <v>surface</v>
      </c>
      <c r="J1145" s="37" t="s">
        <v>263</v>
      </c>
      <c r="K1145" s="37" t="str">
        <f t="shared" si="275"/>
        <v>apparel</v>
      </c>
      <c r="L1145" s="37" t="s">
        <v>139</v>
      </c>
      <c r="M1145" s="37" t="str">
        <f t="shared" si="276"/>
        <v>north</v>
      </c>
      <c r="N1145" s="37" t="s">
        <v>113</v>
      </c>
      <c r="O1145" s="41" t="str">
        <f t="shared" si="277"/>
        <v>Yes</v>
      </c>
      <c r="P1145" s="41" t="s">
        <v>858</v>
      </c>
      <c r="Q1145" s="41" t="s">
        <v>432</v>
      </c>
      <c r="R1145" s="42">
        <f t="shared" si="278"/>
        <v>61.5384615384615</v>
      </c>
      <c r="S1145" s="37">
        <v>4</v>
      </c>
      <c r="T1145" s="37" t="s">
        <v>3344</v>
      </c>
      <c r="U1145" s="43" t="str">
        <f t="shared" si="279"/>
        <v>21/06/2024</v>
      </c>
      <c r="V1145" s="43">
        <f t="shared" si="280"/>
        <v>45464</v>
      </c>
      <c r="W1145" s="44">
        <f t="array" ref="W1145">_xlfn.IFS(TRIM(C1145)="","",TRIM(V1145)="","",TRUE,V1145-C1145)</f>
        <v>4</v>
      </c>
      <c r="X1145" s="37">
        <f t="shared" si="281"/>
        <v>0</v>
      </c>
      <c r="Y1145" s="37" t="s">
        <v>105</v>
      </c>
      <c r="Z1145" s="37" t="str">
        <f t="shared" si="282"/>
        <v>delivered</v>
      </c>
      <c r="AA1145" s="37" t="str">
        <f t="shared" si="283"/>
        <v>On Time</v>
      </c>
      <c r="AB1145" s="37" t="str">
        <f t="shared" si="286"/>
        <v>0</v>
      </c>
      <c r="AC1145" s="37">
        <f t="shared" si="287"/>
        <v>0</v>
      </c>
      <c r="AD1145" s="45">
        <f t="shared" si="285"/>
        <v>0.532008830022075</v>
      </c>
      <c r="AE1145" s="37">
        <v>3</v>
      </c>
      <c r="AF1145" s="37" t="s">
        <v>131</v>
      </c>
      <c r="AG1145" s="37" t="str">
        <f t="shared" si="284"/>
        <v>n</v>
      </c>
      <c r="AH1145" s="37" t="str">
        <f t="array" ref="AH1145">_xlfn.IFS(LOWER(AG1145)="n","no",LOWER(AG1145)="y","yes",TRUE,LOWER(AG1145))</f>
        <v>no</v>
      </c>
      <c r="AI1145" s="37" t="s">
        <v>4692</v>
      </c>
    </row>
    <row r="1146" spans="1:35">
      <c r="A1146" s="46" t="s">
        <v>3712</v>
      </c>
      <c r="B1146" s="47">
        <v>45328</v>
      </c>
      <c r="C1146" s="39">
        <f t="shared" si="272"/>
        <v>45328</v>
      </c>
      <c r="D1146" s="48" t="s">
        <v>222</v>
      </c>
      <c r="E1146" s="37" t="str" cm="1">
        <f t="array" ref="E1146">_xlfn.IFS(D1146="delhi","north",D1146="mumbai","west",D1146="bengaluru","south",D1146="chennai","south",D1146="kolkata","east",TRUE,"west")</f>
        <v>west</v>
      </c>
      <c r="F1146" s="46" t="s">
        <v>919</v>
      </c>
      <c r="G1146" s="37" t="str">
        <f t="shared" si="273"/>
        <v>xpressbees</v>
      </c>
      <c r="H1146" s="46" t="s">
        <v>137</v>
      </c>
      <c r="I1146" s="37" t="str">
        <f t="shared" si="274"/>
        <v>road</v>
      </c>
      <c r="J1146" s="46" t="s">
        <v>664</v>
      </c>
      <c r="K1146" s="37" t="str">
        <f t="shared" si="275"/>
        <v>grocery&amp;fmcg</v>
      </c>
      <c r="L1146" s="46" t="s">
        <v>125</v>
      </c>
      <c r="M1146" s="37" t="str">
        <f t="shared" si="276"/>
        <v>east</v>
      </c>
      <c r="N1146" s="46" t="s">
        <v>294</v>
      </c>
      <c r="O1146" s="41" t="str">
        <f t="shared" si="277"/>
        <v>Yes</v>
      </c>
      <c r="P1146" s="49">
        <v>4.5</v>
      </c>
      <c r="Q1146" s="49">
        <v>227</v>
      </c>
      <c r="R1146" s="42">
        <f t="shared" si="278"/>
        <v>50.4444444444444</v>
      </c>
      <c r="S1146" s="46">
        <v>8</v>
      </c>
      <c r="T1146" s="46" t="s">
        <v>521</v>
      </c>
      <c r="U1146" s="43" t="str">
        <f t="shared" si="279"/>
        <v>2024-02-16</v>
      </c>
      <c r="V1146" s="43">
        <f t="shared" si="280"/>
        <v>45338</v>
      </c>
      <c r="W1146" s="44">
        <f t="array" ref="W1146">_xlfn.IFS(TRIM(C1146)="","",TRIM(V1146)="","",TRUE,V1146-C1146)</f>
        <v>10</v>
      </c>
      <c r="X1146" s="37">
        <f t="shared" si="281"/>
        <v>2</v>
      </c>
      <c r="Y1146" s="46" t="s">
        <v>200</v>
      </c>
      <c r="Z1146" s="37" t="str">
        <f t="shared" si="282"/>
        <v>delayed</v>
      </c>
      <c r="AA1146" s="37" t="str">
        <f t="shared" si="283"/>
        <v>Late</v>
      </c>
      <c r="AB1146" s="37" t="str">
        <f t="shared" si="286"/>
        <v>1</v>
      </c>
      <c r="AC1146" s="37">
        <f t="shared" si="287"/>
        <v>1</v>
      </c>
      <c r="AD1146" s="45">
        <f t="shared" si="285"/>
        <v>0.533185840707965</v>
      </c>
      <c r="AE1146" s="46">
        <v>2</v>
      </c>
      <c r="AF1146" s="46" t="s">
        <v>152</v>
      </c>
      <c r="AG1146" s="37" t="str">
        <f t="shared" si="284"/>
        <v>no</v>
      </c>
      <c r="AH1146" s="37" t="str">
        <f t="array" ref="AH1146">_xlfn.IFS(LOWER(AG1146)="n","no",LOWER(AG1146)="y","yes",TRUE,LOWER(AG1146))</f>
        <v>no</v>
      </c>
      <c r="AI1146" s="46" t="s">
        <v>4692</v>
      </c>
    </row>
    <row r="1147" spans="1:35">
      <c r="A1147" s="37" t="s">
        <v>3713</v>
      </c>
      <c r="B1147" s="38">
        <v>45324</v>
      </c>
      <c r="C1147" s="39">
        <f t="shared" si="272"/>
        <v>45324</v>
      </c>
      <c r="D1147" s="40" t="s">
        <v>109</v>
      </c>
      <c r="E1147" s="37" t="str" cm="1">
        <f t="array" ref="E1147">_xlfn.IFS(D1147="delhi","north",D1147="mumbai","west",D1147="bengaluru","south",D1147="chennai","south",D1147="kolkata","east",TRUE,"west")</f>
        <v>west</v>
      </c>
      <c r="F1147" s="37" t="s">
        <v>184</v>
      </c>
      <c r="G1147" s="37" t="str">
        <f t="shared" si="273"/>
        <v>ecomexpress</v>
      </c>
      <c r="H1147" s="37" t="s">
        <v>123</v>
      </c>
      <c r="I1147" s="37" t="str">
        <f t="shared" si="274"/>
        <v>air</v>
      </c>
      <c r="J1147" s="37" t="s">
        <v>430</v>
      </c>
      <c r="K1147" s="37" t="str">
        <f t="shared" si="275"/>
        <v>pharma</v>
      </c>
      <c r="L1147" s="37" t="s">
        <v>346</v>
      </c>
      <c r="M1147" s="37" t="str">
        <f t="shared" si="276"/>
        <v>north</v>
      </c>
      <c r="N1147" s="37" t="s">
        <v>354</v>
      </c>
      <c r="O1147" s="41" t="str">
        <f t="shared" si="277"/>
        <v>Yes</v>
      </c>
      <c r="P1147" s="41">
        <v>2.1</v>
      </c>
      <c r="Q1147" s="41">
        <v>295</v>
      </c>
      <c r="R1147" s="42">
        <f t="shared" si="278"/>
        <v>140.47619047619</v>
      </c>
      <c r="S1147" s="37">
        <v>4</v>
      </c>
      <c r="T1147" s="37" t="s">
        <v>1961</v>
      </c>
      <c r="U1147" s="43" t="str">
        <f t="shared" si="279"/>
        <v>07/02/2024</v>
      </c>
      <c r="V1147" s="43">
        <f t="shared" si="280"/>
        <v>45329</v>
      </c>
      <c r="W1147" s="44">
        <f t="array" ref="W1147">_xlfn.IFS(TRIM(C1147)="","",TRIM(V1147)="","",TRUE,V1147-C1147)</f>
        <v>5</v>
      </c>
      <c r="X1147" s="37">
        <f t="shared" si="281"/>
        <v>1</v>
      </c>
      <c r="Y1147" s="37" t="s">
        <v>72</v>
      </c>
      <c r="Z1147" s="37" t="str">
        <f t="shared" si="282"/>
        <v>delayed</v>
      </c>
      <c r="AA1147" s="37" t="str">
        <f t="shared" si="283"/>
        <v>Late</v>
      </c>
      <c r="AB1147" s="37" t="str">
        <f t="shared" si="286"/>
        <v>1</v>
      </c>
      <c r="AC1147" s="37">
        <f t="shared" si="287"/>
        <v>1</v>
      </c>
      <c r="AD1147" s="45">
        <f t="shared" si="285"/>
        <v>0.532150776053215</v>
      </c>
      <c r="AE1147" s="37">
        <v>1</v>
      </c>
      <c r="AF1147" s="37" t="s">
        <v>181</v>
      </c>
      <c r="AG1147" s="37" t="str">
        <f t="shared" si="284"/>
        <v>y</v>
      </c>
      <c r="AH1147" s="37" t="str">
        <f t="array" ref="AH1147">_xlfn.IFS(LOWER(AG1147)="n","no",LOWER(AG1147)="y","yes",TRUE,LOWER(AG1147))</f>
        <v>yes</v>
      </c>
      <c r="AI1147" s="37" t="s">
        <v>4692</v>
      </c>
    </row>
    <row r="1148" spans="1:35">
      <c r="A1148" s="46" t="s">
        <v>3716</v>
      </c>
      <c r="B1148" s="47">
        <v>45444</v>
      </c>
      <c r="C1148" s="39">
        <f t="shared" si="272"/>
        <v>45444</v>
      </c>
      <c r="D1148" s="48" t="s">
        <v>424</v>
      </c>
      <c r="E1148" s="37" t="str" cm="1">
        <f t="array" ref="E1148">_xlfn.IFS(D1148="delhi","north",D1148="mumbai","west",D1148="bengaluru","south",D1148="chennai","south",D1148="kolkata","east",TRUE,"west")</f>
        <v>south</v>
      </c>
      <c r="F1148" s="46" t="s">
        <v>37</v>
      </c>
      <c r="G1148" s="37" t="str">
        <f t="shared" si="273"/>
        <v>bluedart</v>
      </c>
      <c r="H1148" s="46" t="s">
        <v>244</v>
      </c>
      <c r="I1148" s="37" t="str">
        <f t="shared" si="274"/>
        <v>air</v>
      </c>
      <c r="J1148" s="46" t="s">
        <v>843</v>
      </c>
      <c r="K1148" s="37" t="str">
        <f t="shared" si="275"/>
        <v>automotiveparts</v>
      </c>
      <c r="L1148" s="46" t="s">
        <v>257</v>
      </c>
      <c r="M1148" s="37" t="str">
        <f t="shared" si="276"/>
        <v>west</v>
      </c>
      <c r="N1148" s="46" t="s">
        <v>88</v>
      </c>
      <c r="O1148" s="41" t="str">
        <f t="shared" si="277"/>
        <v>Yes</v>
      </c>
      <c r="P1148" s="49">
        <v>6.7</v>
      </c>
      <c r="Q1148" s="49">
        <v>467</v>
      </c>
      <c r="R1148" s="42">
        <f t="shared" si="278"/>
        <v>69.7014925373134</v>
      </c>
      <c r="S1148" s="46">
        <v>4</v>
      </c>
      <c r="T1148" s="46" t="s">
        <v>3470</v>
      </c>
      <c r="U1148" s="43" t="str">
        <f t="shared" si="279"/>
        <v>06/06/2024</v>
      </c>
      <c r="V1148" s="43">
        <f t="shared" si="280"/>
        <v>45449</v>
      </c>
      <c r="W1148" s="44">
        <f t="array" ref="W1148">_xlfn.IFS(TRIM(C1148)="","",TRIM(V1148)="","",TRUE,V1148-C1148)</f>
        <v>5</v>
      </c>
      <c r="X1148" s="37">
        <f t="shared" si="281"/>
        <v>1</v>
      </c>
      <c r="Y1148" s="46" t="s">
        <v>172</v>
      </c>
      <c r="Z1148" s="37" t="str">
        <f t="shared" si="282"/>
        <v>delayed</v>
      </c>
      <c r="AA1148" s="37" t="str">
        <f t="shared" si="283"/>
        <v>Late</v>
      </c>
      <c r="AB1148" s="37" t="str">
        <f t="shared" si="286"/>
        <v>1</v>
      </c>
      <c r="AC1148" s="37">
        <f t="shared" si="287"/>
        <v>1</v>
      </c>
      <c r="AD1148" s="45">
        <f t="shared" si="285"/>
        <v>0.531111111111111</v>
      </c>
      <c r="AE1148" s="46">
        <v>3</v>
      </c>
      <c r="AF1148" s="46" t="s">
        <v>181</v>
      </c>
      <c r="AG1148" s="37" t="str">
        <f t="shared" si="284"/>
        <v>y</v>
      </c>
      <c r="AH1148" s="37" t="str">
        <f t="array" ref="AH1148">_xlfn.IFS(LOWER(AG1148)="n","no",LOWER(AG1148)="y","yes",TRUE,LOWER(AG1148))</f>
        <v>yes</v>
      </c>
      <c r="AI1148" s="46" t="s">
        <v>4692</v>
      </c>
    </row>
    <row r="1149" spans="1:35">
      <c r="A1149" s="37" t="s">
        <v>3717</v>
      </c>
      <c r="B1149" s="38">
        <v>45451</v>
      </c>
      <c r="C1149" s="39">
        <f t="shared" si="272"/>
        <v>45451</v>
      </c>
      <c r="D1149" s="40" t="s">
        <v>424</v>
      </c>
      <c r="E1149" s="37" t="str" cm="1">
        <f t="array" ref="E1149">_xlfn.IFS(D1149="delhi","north",D1149="mumbai","west",D1149="bengaluru","south",D1149="chennai","south",D1149="kolkata","east",TRUE,"west")</f>
        <v>south</v>
      </c>
      <c r="F1149" s="37" t="s">
        <v>204</v>
      </c>
      <c r="G1149" s="37" t="str">
        <f t="shared" si="273"/>
        <v>delhivery</v>
      </c>
      <c r="H1149" s="37" t="s">
        <v>325</v>
      </c>
      <c r="I1149" s="37" t="str">
        <f t="shared" si="274"/>
        <v>air</v>
      </c>
      <c r="J1149" s="37" t="s">
        <v>664</v>
      </c>
      <c r="K1149" s="37" t="str">
        <f t="shared" si="275"/>
        <v>grocery&amp;fmcg</v>
      </c>
      <c r="L1149" s="37" t="s">
        <v>168</v>
      </c>
      <c r="M1149" s="37" t="str">
        <f t="shared" si="276"/>
        <v>west</v>
      </c>
      <c r="N1149" s="37" t="s">
        <v>187</v>
      </c>
      <c r="O1149" s="41" t="str">
        <f t="shared" si="277"/>
        <v>Yes</v>
      </c>
      <c r="P1149" s="41" t="s">
        <v>2903</v>
      </c>
      <c r="Q1149" s="41" t="s">
        <v>3718</v>
      </c>
      <c r="R1149" s="42">
        <f t="shared" si="278"/>
        <v>56.0759493670886</v>
      </c>
      <c r="S1149" s="37">
        <v>4</v>
      </c>
      <c r="T1149" s="37" t="s">
        <v>933</v>
      </c>
      <c r="U1149" s="43" t="str">
        <f t="shared" si="279"/>
        <v>11/06/2024</v>
      </c>
      <c r="V1149" s="43">
        <f t="shared" si="280"/>
        <v>45454</v>
      </c>
      <c r="W1149" s="44">
        <f t="array" ref="W1149">_xlfn.IFS(TRIM(C1149)="","",TRIM(V1149)="","",TRUE,V1149-C1149)</f>
        <v>3</v>
      </c>
      <c r="X1149" s="37">
        <f t="shared" si="281"/>
        <v>-1</v>
      </c>
      <c r="Y1149" s="37" t="s">
        <v>117</v>
      </c>
      <c r="Z1149" s="37" t="str">
        <f t="shared" si="282"/>
        <v>delivered</v>
      </c>
      <c r="AA1149" s="37" t="str">
        <f t="shared" si="283"/>
        <v>On Time</v>
      </c>
      <c r="AB1149" s="37" t="str">
        <f t="shared" si="286"/>
        <v>0</v>
      </c>
      <c r="AC1149" s="37">
        <f t="shared" si="287"/>
        <v>0</v>
      </c>
      <c r="AD1149" s="45">
        <f t="shared" si="285"/>
        <v>0.530066815144766</v>
      </c>
      <c r="AE1149" s="37">
        <v>3</v>
      </c>
      <c r="AF1149" s="37" t="s">
        <v>152</v>
      </c>
      <c r="AG1149" s="37" t="str">
        <f t="shared" si="284"/>
        <v>no</v>
      </c>
      <c r="AH1149" s="37" t="str">
        <f t="array" ref="AH1149">_xlfn.IFS(LOWER(AG1149)="n","no",LOWER(AG1149)="y","yes",TRUE,LOWER(AG1149))</f>
        <v>no</v>
      </c>
      <c r="AI1149" s="37" t="s">
        <v>4692</v>
      </c>
    </row>
    <row r="1150" spans="1:35">
      <c r="A1150" s="46" t="s">
        <v>3719</v>
      </c>
      <c r="B1150" s="47">
        <v>45303</v>
      </c>
      <c r="C1150" s="39">
        <f t="shared" si="272"/>
        <v>45303</v>
      </c>
      <c r="D1150" s="48" t="s">
        <v>135</v>
      </c>
      <c r="E1150" s="37" t="str" cm="1">
        <f t="array" ref="E1150">_xlfn.IFS(D1150="delhi","north",D1150="mumbai","west",D1150="bengaluru","south",D1150="chennai","south",D1150="kolkata","east",TRUE,"west")</f>
        <v>west</v>
      </c>
      <c r="F1150" s="46" t="s">
        <v>184</v>
      </c>
      <c r="G1150" s="37" t="str">
        <f t="shared" si="273"/>
        <v>ecomexpress</v>
      </c>
      <c r="H1150" s="46" t="s">
        <v>345</v>
      </c>
      <c r="I1150" s="37" t="str">
        <f t="shared" si="274"/>
        <v>surface</v>
      </c>
      <c r="J1150" s="46" t="s">
        <v>1145</v>
      </c>
      <c r="K1150" s="37" t="str">
        <f t="shared" si="275"/>
        <v>grocery&amp;fmcg</v>
      </c>
      <c r="L1150" s="46" t="s">
        <v>197</v>
      </c>
      <c r="M1150" s="37" t="str">
        <f t="shared" si="276"/>
        <v>south</v>
      </c>
      <c r="N1150" s="46" t="s">
        <v>93</v>
      </c>
      <c r="O1150" s="41" t="str">
        <f t="shared" si="277"/>
        <v>Yes</v>
      </c>
      <c r="P1150" s="49">
        <v>8.2</v>
      </c>
      <c r="Q1150" s="49">
        <v>334</v>
      </c>
      <c r="R1150" s="42">
        <f t="shared" si="278"/>
        <v>40.7317073170732</v>
      </c>
      <c r="S1150" s="46">
        <v>6</v>
      </c>
      <c r="T1150" s="46" t="s">
        <v>274</v>
      </c>
      <c r="U1150" s="43" t="str">
        <f t="shared" si="279"/>
        <v>2024-01-18</v>
      </c>
      <c r="V1150" s="43">
        <f t="shared" si="280"/>
        <v>45309</v>
      </c>
      <c r="W1150" s="44">
        <f t="array" ref="W1150">_xlfn.IFS(TRIM(C1150)="","",TRIM(V1150)="","",TRUE,V1150-C1150)</f>
        <v>6</v>
      </c>
      <c r="X1150" s="37">
        <f t="shared" si="281"/>
        <v>0</v>
      </c>
      <c r="Y1150" s="46" t="s">
        <v>105</v>
      </c>
      <c r="Z1150" s="37" t="str">
        <f t="shared" si="282"/>
        <v>delivered</v>
      </c>
      <c r="AA1150" s="37" t="str">
        <f t="shared" si="283"/>
        <v>On Time</v>
      </c>
      <c r="AB1150" s="37" t="str">
        <f t="shared" si="286"/>
        <v>0</v>
      </c>
      <c r="AC1150" s="37">
        <f t="shared" si="287"/>
        <v>0</v>
      </c>
      <c r="AD1150" s="45">
        <f t="shared" si="285"/>
        <v>0.53125</v>
      </c>
      <c r="AE1150" s="46">
        <v>2</v>
      </c>
      <c r="AF1150" s="46" t="s">
        <v>118</v>
      </c>
      <c r="AG1150" s="37" t="str">
        <f t="shared" si="284"/>
        <v>no</v>
      </c>
      <c r="AH1150" s="37" t="str">
        <f t="array" ref="AH1150">_xlfn.IFS(LOWER(AG1150)="n","no",LOWER(AG1150)="y","yes",TRUE,LOWER(AG1150))</f>
        <v>no</v>
      </c>
      <c r="AI1150" s="46" t="s">
        <v>4692</v>
      </c>
    </row>
    <row r="1151" spans="1:35">
      <c r="A1151" s="37" t="s">
        <v>3722</v>
      </c>
      <c r="B1151" s="38" t="s">
        <v>4847</v>
      </c>
      <c r="C1151" s="39">
        <f t="shared" si="272"/>
        <v>45401</v>
      </c>
      <c r="D1151" s="40" t="s">
        <v>366</v>
      </c>
      <c r="E1151" s="37" t="str" cm="1">
        <f t="array" ref="E1151">_xlfn.IFS(D1151="delhi","north",D1151="mumbai","west",D1151="bengaluru","south",D1151="chennai","south",D1151="kolkata","east",TRUE,"west")</f>
        <v>east</v>
      </c>
      <c r="F1151" s="37" t="s">
        <v>367</v>
      </c>
      <c r="G1151" s="37" t="str">
        <f t="shared" si="273"/>
        <v>dtdc</v>
      </c>
      <c r="H1151" s="37" t="s">
        <v>224</v>
      </c>
      <c r="I1151" s="37" t="str">
        <f t="shared" si="274"/>
        <v>air</v>
      </c>
      <c r="J1151" s="37" t="s">
        <v>385</v>
      </c>
      <c r="K1151" s="37" t="str">
        <f t="shared" si="275"/>
        <v>furniture</v>
      </c>
      <c r="L1151" s="37" t="s">
        <v>470</v>
      </c>
      <c r="M1151" s="37" t="str">
        <f t="shared" si="276"/>
        <v>east</v>
      </c>
      <c r="N1151" s="37" t="s">
        <v>294</v>
      </c>
      <c r="O1151" s="41" t="str">
        <f t="shared" si="277"/>
        <v>Yes</v>
      </c>
      <c r="P1151" s="41">
        <v>42.4</v>
      </c>
      <c r="Q1151" s="50">
        <v>1904</v>
      </c>
      <c r="R1151" s="42">
        <f t="shared" si="278"/>
        <v>44.9056603773585</v>
      </c>
      <c r="S1151" s="37">
        <v>2</v>
      </c>
      <c r="T1151" s="37" t="s">
        <v>1481</v>
      </c>
      <c r="U1151" s="43" t="str">
        <f t="shared" si="279"/>
        <v>2024-04-21</v>
      </c>
      <c r="V1151" s="43">
        <f t="shared" si="280"/>
        <v>45403</v>
      </c>
      <c r="W1151" s="44">
        <f t="array" ref="W1151">_xlfn.IFS(TRIM(C1151)="","",TRIM(V1151)="","",TRUE,V1151-C1151)</f>
        <v>2</v>
      </c>
      <c r="X1151" s="37">
        <f t="shared" si="281"/>
        <v>0</v>
      </c>
      <c r="Y1151" s="37" t="s">
        <v>219</v>
      </c>
      <c r="Z1151" s="37" t="str">
        <f t="shared" si="282"/>
        <v>delivered</v>
      </c>
      <c r="AA1151" s="37" t="str">
        <f t="shared" si="283"/>
        <v>On Time</v>
      </c>
      <c r="AB1151" s="37" t="str">
        <f t="shared" si="286"/>
        <v>0</v>
      </c>
      <c r="AC1151" s="37">
        <f t="shared" si="287"/>
        <v>0</v>
      </c>
      <c r="AD1151" s="45">
        <f t="shared" si="285"/>
        <v>0.532438478747204</v>
      </c>
      <c r="AE1151" s="37">
        <v>4</v>
      </c>
      <c r="AF1151" s="37" t="s">
        <v>152</v>
      </c>
      <c r="AG1151" s="37" t="str">
        <f t="shared" si="284"/>
        <v>no</v>
      </c>
      <c r="AH1151" s="37" t="str">
        <f t="array" ref="AH1151">_xlfn.IFS(LOWER(AG1151)="n","no",LOWER(AG1151)="y","yes",TRUE,LOWER(AG1151))</f>
        <v>no</v>
      </c>
      <c r="AI1151" s="37" t="s">
        <v>4692</v>
      </c>
    </row>
    <row r="1152" spans="1:35">
      <c r="A1152" s="46" t="s">
        <v>3725</v>
      </c>
      <c r="B1152" s="47">
        <v>45339</v>
      </c>
      <c r="C1152" s="39">
        <f t="shared" si="272"/>
        <v>45339</v>
      </c>
      <c r="D1152" s="48" t="s">
        <v>366</v>
      </c>
      <c r="E1152" s="37" t="str" cm="1">
        <f t="array" ref="E1152">_xlfn.IFS(D1152="delhi","north",D1152="mumbai","west",D1152="bengaluru","south",D1152="chennai","south",D1152="kolkata","east",TRUE,"west")</f>
        <v>east</v>
      </c>
      <c r="F1152" s="46" t="s">
        <v>230</v>
      </c>
      <c r="G1152" s="37" t="str">
        <f t="shared" si="273"/>
        <v>dtdc</v>
      </c>
      <c r="H1152" s="46" t="s">
        <v>147</v>
      </c>
      <c r="I1152" s="37" t="str">
        <f t="shared" si="274"/>
        <v>road</v>
      </c>
      <c r="J1152" s="46" t="s">
        <v>843</v>
      </c>
      <c r="K1152" s="37" t="str">
        <f t="shared" si="275"/>
        <v>automotiveparts</v>
      </c>
      <c r="L1152" s="46" t="s">
        <v>334</v>
      </c>
      <c r="M1152" s="37" t="str">
        <f t="shared" si="276"/>
        <v>north</v>
      </c>
      <c r="N1152" s="46" t="s">
        <v>32</v>
      </c>
      <c r="O1152" s="41" t="str">
        <f t="shared" si="277"/>
        <v>Yes</v>
      </c>
      <c r="P1152" s="49">
        <v>5.6</v>
      </c>
      <c r="Q1152" s="49" t="s">
        <v>1580</v>
      </c>
      <c r="R1152" s="42">
        <f t="shared" si="278"/>
        <v>40.8928571428571</v>
      </c>
      <c r="S1152" s="46">
        <v>8</v>
      </c>
      <c r="T1152" s="46" t="s">
        <v>831</v>
      </c>
      <c r="U1152" s="43" t="str">
        <f t="shared" si="279"/>
        <v>25/02/2024</v>
      </c>
      <c r="V1152" s="43">
        <f t="shared" si="280"/>
        <v>45347</v>
      </c>
      <c r="W1152" s="44">
        <f t="array" ref="W1152">_xlfn.IFS(TRIM(C1152)="","",TRIM(V1152)="","",TRUE,V1152-C1152)</f>
        <v>8</v>
      </c>
      <c r="X1152" s="37">
        <f t="shared" si="281"/>
        <v>0</v>
      </c>
      <c r="Y1152" s="46" t="s">
        <v>105</v>
      </c>
      <c r="Z1152" s="37" t="str">
        <f t="shared" si="282"/>
        <v>delivered</v>
      </c>
      <c r="AA1152" s="37" t="str">
        <f t="shared" si="283"/>
        <v>On Time</v>
      </c>
      <c r="AB1152" s="37" t="str">
        <f t="shared" si="286"/>
        <v>0</v>
      </c>
      <c r="AC1152" s="37">
        <f t="shared" si="287"/>
        <v>0</v>
      </c>
      <c r="AD1152" s="45">
        <f t="shared" si="285"/>
        <v>0.533632286995516</v>
      </c>
      <c r="AE1152" s="46">
        <v>2</v>
      </c>
      <c r="AF1152" s="46" t="s">
        <v>118</v>
      </c>
      <c r="AG1152" s="37" t="str">
        <f t="shared" si="284"/>
        <v>no</v>
      </c>
      <c r="AH1152" s="37" t="str">
        <f t="array" ref="AH1152">_xlfn.IFS(LOWER(AG1152)="n","no",LOWER(AG1152)="y","yes",TRUE,LOWER(AG1152))</f>
        <v>no</v>
      </c>
      <c r="AI1152" s="46" t="s">
        <v>4692</v>
      </c>
    </row>
    <row r="1153" spans="1:35">
      <c r="A1153" s="37" t="s">
        <v>3726</v>
      </c>
      <c r="B1153" s="38" t="s">
        <v>4788</v>
      </c>
      <c r="C1153" s="39">
        <f t="shared" si="272"/>
        <v>45387</v>
      </c>
      <c r="D1153" s="40" t="s">
        <v>4694</v>
      </c>
      <c r="E1153" s="37" t="str" cm="1">
        <f t="array" ref="E1153">_xlfn.IFS(D1153="delhi","north",D1153="mumbai","west",D1153="bengaluru","south",D1153="chennai","south",D1153="kolkata","east",TRUE,"west")</f>
        <v>west</v>
      </c>
      <c r="F1153" s="37" t="s">
        <v>136</v>
      </c>
      <c r="G1153" s="37" t="str">
        <f t="shared" si="273"/>
        <v>bluedart</v>
      </c>
      <c r="H1153" s="37" t="s">
        <v>123</v>
      </c>
      <c r="I1153" s="37" t="str">
        <f t="shared" si="274"/>
        <v>air</v>
      </c>
      <c r="J1153" s="37" t="s">
        <v>664</v>
      </c>
      <c r="K1153" s="37" t="str">
        <f t="shared" si="275"/>
        <v>grocery&amp;fmcg</v>
      </c>
      <c r="L1153" s="37" t="s">
        <v>168</v>
      </c>
      <c r="M1153" s="37" t="str">
        <f t="shared" si="276"/>
        <v>west</v>
      </c>
      <c r="N1153" s="37" t="s">
        <v>278</v>
      </c>
      <c r="O1153" s="41" t="str">
        <f t="shared" si="277"/>
        <v>Yes</v>
      </c>
      <c r="P1153" s="41" t="s">
        <v>3107</v>
      </c>
      <c r="Q1153" s="41">
        <v>782</v>
      </c>
      <c r="R1153" s="42">
        <f t="shared" si="278"/>
        <v>57.9259259259259</v>
      </c>
      <c r="S1153" s="37">
        <v>4</v>
      </c>
      <c r="T1153" s="37" t="s">
        <v>1791</v>
      </c>
      <c r="U1153" s="43" t="str">
        <f t="shared" si="279"/>
        <v>09/04/2024</v>
      </c>
      <c r="V1153" s="43">
        <f t="shared" si="280"/>
        <v>45391</v>
      </c>
      <c r="W1153" s="44">
        <f t="array" ref="W1153">_xlfn.IFS(TRIM(C1153)="","",TRIM(V1153)="","",TRUE,V1153-C1153)</f>
        <v>4</v>
      </c>
      <c r="X1153" s="37">
        <f t="shared" si="281"/>
        <v>0</v>
      </c>
      <c r="Y1153" s="37" t="s">
        <v>163</v>
      </c>
      <c r="Z1153" s="37" t="str">
        <f t="shared" si="282"/>
        <v>delivered</v>
      </c>
      <c r="AA1153" s="37" t="str">
        <f t="shared" si="283"/>
        <v>On Time</v>
      </c>
      <c r="AB1153" s="37" t="str">
        <f t="shared" si="286"/>
        <v>0</v>
      </c>
      <c r="AC1153" s="37">
        <f t="shared" si="287"/>
        <v>0</v>
      </c>
      <c r="AD1153" s="45">
        <f t="shared" si="285"/>
        <v>0.534831460674157</v>
      </c>
      <c r="AE1153" s="37">
        <v>4</v>
      </c>
      <c r="AF1153" s="37" t="s">
        <v>118</v>
      </c>
      <c r="AG1153" s="37" t="str">
        <f t="shared" si="284"/>
        <v>no</v>
      </c>
      <c r="AH1153" s="37" t="str">
        <f t="array" ref="AH1153">_xlfn.IFS(LOWER(AG1153)="n","no",LOWER(AG1153)="y","yes",TRUE,LOWER(AG1153))</f>
        <v>no</v>
      </c>
      <c r="AI1153" s="37" t="s">
        <v>4692</v>
      </c>
    </row>
    <row r="1154" spans="1:35">
      <c r="A1154" s="46" t="s">
        <v>3727</v>
      </c>
      <c r="B1154" s="47" t="s">
        <v>4798</v>
      </c>
      <c r="C1154" s="39">
        <f t="shared" ref="C1154:C1217" si="288">IF(ISNUMBER(B1154),B1154,DATE(RIGHT(TRIM(B1154),4),MID(TRIM(B1154),4,2),LEFT(TRIM(B1154),2)))</f>
        <v>45312</v>
      </c>
      <c r="D1154" s="48" t="s">
        <v>212</v>
      </c>
      <c r="E1154" s="37" t="str" cm="1">
        <f t="array" ref="E1154">_xlfn.IFS(D1154="delhi","north",D1154="mumbai","west",D1154="bengaluru","south",D1154="chennai","south",D1154="kolkata","east",TRUE,"west")</f>
        <v>west</v>
      </c>
      <c r="F1154" s="46" t="s">
        <v>37</v>
      </c>
      <c r="G1154" s="37" t="str">
        <f t="shared" ref="G1154:G1217" si="289">SUBSTITUTE(LOWER(F1154)," ","")</f>
        <v>bluedart</v>
      </c>
      <c r="H1154" s="46" t="s">
        <v>345</v>
      </c>
      <c r="I1154" s="37" t="str">
        <f t="shared" ref="I1154:I1217" si="290">SUBSTITUTE(LOWER(H1154)," ","")</f>
        <v>surface</v>
      </c>
      <c r="J1154" s="46" t="s">
        <v>214</v>
      </c>
      <c r="K1154" s="37" t="str">
        <f t="shared" ref="K1154:K1217" si="291">SUBSTITUTE(LOWER(J1154)," ","")</f>
        <v>grocery&amp;fmcg</v>
      </c>
      <c r="L1154" s="46" t="s">
        <v>112</v>
      </c>
      <c r="M1154" s="37" t="str">
        <f t="shared" ref="M1154:M1217" si="292">SUBSTITUTE(LOWER(L1154)," ","")</f>
        <v>north</v>
      </c>
      <c r="N1154" s="46" t="s">
        <v>113</v>
      </c>
      <c r="O1154" s="41" t="str">
        <f t="shared" ref="O1154:O1217" si="293">IF(OR(D1154="",M1154=""),"",IF(D1154=M1154,"No","Yes"))</f>
        <v>Yes</v>
      </c>
      <c r="P1154" s="49" t="s">
        <v>3728</v>
      </c>
      <c r="Q1154" s="49" t="s">
        <v>3729</v>
      </c>
      <c r="R1154" s="42">
        <f t="shared" ref="R1154:R1217" si="294">IF(OR(Q1154="",P1154="",P1154=0),"",Q1154/P1154)</f>
        <v>31.9875776397515</v>
      </c>
      <c r="S1154" s="46">
        <v>6</v>
      </c>
      <c r="T1154" s="46" t="s">
        <v>685</v>
      </c>
      <c r="U1154" s="43" t="str">
        <f t="shared" ref="U1154:U1217" si="295">SUBSTITUTE(LOWER(T1154)," ","")</f>
        <v>27-jan-2024</v>
      </c>
      <c r="V1154" s="43">
        <f t="shared" ref="V1154:V1217" si="296">DATEVALUE(TEXT(U1154,"yyyy-mm-dd"))</f>
        <v>45318</v>
      </c>
      <c r="W1154" s="44">
        <f t="array" ref="W1154">_xlfn.IFS(TRIM(C1154)="","",TRIM(V1154)="","",TRUE,V1154-C1154)</f>
        <v>6</v>
      </c>
      <c r="X1154" s="37">
        <f t="shared" ref="X1154:X1217" si="297">IF(OR(W1154="",S1154=""),"",W1154-S1154)</f>
        <v>0</v>
      </c>
      <c r="Y1154" s="46" t="s">
        <v>163</v>
      </c>
      <c r="Z1154" s="37" t="str">
        <f t="shared" ref="Z1154:Z1217" si="298">SUBSTITUTE(LOWER(Y1154)," ","")</f>
        <v>delivered</v>
      </c>
      <c r="AA1154" s="37" t="str">
        <f t="shared" ref="AA1154:AA1217" si="299">IF(Z1154="In-Transit","N/A",IF(X1154="","",IF(X1154&gt;0,"Late","On Time")))</f>
        <v>On Time</v>
      </c>
      <c r="AB1154" s="37" t="str">
        <f t="shared" si="286"/>
        <v>0</v>
      </c>
      <c r="AC1154" s="37">
        <f t="shared" si="287"/>
        <v>0</v>
      </c>
      <c r="AD1154" s="45">
        <f t="shared" si="285"/>
        <v>0.536036036036036</v>
      </c>
      <c r="AE1154" s="46">
        <v>5</v>
      </c>
      <c r="AF1154" s="46" t="s">
        <v>152</v>
      </c>
      <c r="AG1154" s="37" t="str">
        <f t="shared" ref="AG1154:AG1217" si="300">SUBSTITUTE(LOWER(AF1154)," ","")</f>
        <v>no</v>
      </c>
      <c r="AH1154" s="37" t="str">
        <f t="array" ref="AH1154">_xlfn.IFS(LOWER(AG1154)="n","no",LOWER(AG1154)="y","yes",TRUE,LOWER(AG1154))</f>
        <v>no</v>
      </c>
      <c r="AI1154" s="46" t="s">
        <v>4692</v>
      </c>
    </row>
    <row r="1155" spans="1:35">
      <c r="A1155" s="37" t="s">
        <v>3730</v>
      </c>
      <c r="B1155" s="38">
        <v>45307</v>
      </c>
      <c r="C1155" s="39">
        <f t="shared" si="288"/>
        <v>45307</v>
      </c>
      <c r="D1155" s="40" t="s">
        <v>633</v>
      </c>
      <c r="E1155" s="37" t="str" cm="1">
        <f t="array" ref="E1155">_xlfn.IFS(D1155="delhi","north",D1155="mumbai","west",D1155="bengaluru","south",D1155="chennai","south",D1155="kolkata","east",TRUE,"west")</f>
        <v>south</v>
      </c>
      <c r="F1155" s="37" t="s">
        <v>544</v>
      </c>
      <c r="G1155" s="37" t="str">
        <f t="shared" si="289"/>
        <v>bluedart</v>
      </c>
      <c r="H1155" s="37" t="s">
        <v>157</v>
      </c>
      <c r="I1155" s="37" t="str">
        <f t="shared" si="290"/>
        <v>surface</v>
      </c>
      <c r="J1155" s="37" t="s">
        <v>100</v>
      </c>
      <c r="K1155" s="37" t="str">
        <f t="shared" si="291"/>
        <v>electronics</v>
      </c>
      <c r="L1155" s="37" t="s">
        <v>51</v>
      </c>
      <c r="M1155" s="37" t="str">
        <f t="shared" si="292"/>
        <v>south</v>
      </c>
      <c r="N1155" s="37" t="s">
        <v>54</v>
      </c>
      <c r="O1155" s="41" t="str">
        <f t="shared" si="293"/>
        <v>Yes</v>
      </c>
      <c r="P1155" s="41">
        <v>4.5</v>
      </c>
      <c r="Q1155" s="41" t="s">
        <v>3731</v>
      </c>
      <c r="R1155" s="42">
        <f t="shared" si="294"/>
        <v>33.7777777777778</v>
      </c>
      <c r="S1155" s="37">
        <v>4</v>
      </c>
      <c r="T1155" s="37" t="s">
        <v>991</v>
      </c>
      <c r="U1155" s="43" t="str">
        <f t="shared" si="295"/>
        <v>20/01/2024</v>
      </c>
      <c r="V1155" s="43">
        <f t="shared" si="296"/>
        <v>45311</v>
      </c>
      <c r="W1155" s="44">
        <f t="array" ref="W1155">_xlfn.IFS(TRIM(C1155)="","",TRIM(V1155)="","",TRUE,V1155-C1155)</f>
        <v>4</v>
      </c>
      <c r="X1155" s="37">
        <f t="shared" si="297"/>
        <v>0</v>
      </c>
      <c r="Y1155" s="37" t="s">
        <v>219</v>
      </c>
      <c r="Z1155" s="37" t="str">
        <f t="shared" si="298"/>
        <v>delivered</v>
      </c>
      <c r="AA1155" s="37" t="str">
        <f t="shared" si="299"/>
        <v>On Time</v>
      </c>
      <c r="AB1155" s="37" t="str">
        <f t="shared" si="286"/>
        <v>0</v>
      </c>
      <c r="AC1155" s="37">
        <f t="shared" si="287"/>
        <v>0</v>
      </c>
      <c r="AD1155" s="45">
        <f t="shared" ref="AD1155:AD1218" si="301">COUNTIF(AC1155:AC2754,1)/COUNT(AC1155:AC2754)</f>
        <v>0.5372460496614</v>
      </c>
      <c r="AE1155" s="37">
        <v>3</v>
      </c>
      <c r="AF1155" s="37" t="s">
        <v>286</v>
      </c>
      <c r="AG1155" s="37" t="str">
        <f t="shared" si="300"/>
        <v>yes</v>
      </c>
      <c r="AH1155" s="37" t="str">
        <f t="array" ref="AH1155">_xlfn.IFS(LOWER(AG1155)="n","no",LOWER(AG1155)="y","yes",TRUE,LOWER(AG1155))</f>
        <v>yes</v>
      </c>
      <c r="AI1155" s="37" t="s">
        <v>4692</v>
      </c>
    </row>
    <row r="1156" spans="1:35">
      <c r="A1156" s="46" t="s">
        <v>3732</v>
      </c>
      <c r="B1156" s="47" t="s">
        <v>4765</v>
      </c>
      <c r="C1156" s="39">
        <f t="shared" si="288"/>
        <v>45456</v>
      </c>
      <c r="D1156" s="48" t="s">
        <v>109</v>
      </c>
      <c r="E1156" s="37" t="str" cm="1">
        <f t="array" ref="E1156">_xlfn.IFS(D1156="delhi","north",D1156="mumbai","west",D1156="bengaluru","south",D1156="chennai","south",D1156="kolkata","east",TRUE,"west")</f>
        <v>west</v>
      </c>
      <c r="F1156" s="46" t="s">
        <v>37</v>
      </c>
      <c r="G1156" s="37" t="str">
        <f t="shared" si="289"/>
        <v>bluedart</v>
      </c>
      <c r="H1156" s="46" t="s">
        <v>123</v>
      </c>
      <c r="I1156" s="37" t="str">
        <f t="shared" si="290"/>
        <v>air</v>
      </c>
      <c r="J1156" s="46" t="s">
        <v>263</v>
      </c>
      <c r="K1156" s="37" t="str">
        <f t="shared" si="291"/>
        <v>apparel</v>
      </c>
      <c r="L1156" s="46" t="s">
        <v>89</v>
      </c>
      <c r="M1156" s="37" t="str">
        <f t="shared" si="292"/>
        <v>west</v>
      </c>
      <c r="N1156" s="46" t="s">
        <v>88</v>
      </c>
      <c r="O1156" s="41" t="str">
        <f t="shared" si="293"/>
        <v>Yes</v>
      </c>
      <c r="P1156" s="49">
        <v>0.9</v>
      </c>
      <c r="Q1156" s="49">
        <v>96</v>
      </c>
      <c r="R1156" s="42">
        <f t="shared" si="294"/>
        <v>106.666666666667</v>
      </c>
      <c r="S1156" s="46">
        <v>2</v>
      </c>
      <c r="T1156" s="46" t="s">
        <v>636</v>
      </c>
      <c r="U1156" s="43" t="str">
        <f t="shared" si="295"/>
        <v>2024-06-14</v>
      </c>
      <c r="V1156" s="43">
        <f t="shared" si="296"/>
        <v>45457</v>
      </c>
      <c r="W1156" s="44">
        <f t="array" ref="W1156">_xlfn.IFS(TRIM(C1156)="","",TRIM(V1156)="","",TRUE,V1156-C1156)</f>
        <v>1</v>
      </c>
      <c r="X1156" s="37">
        <f t="shared" si="297"/>
        <v>-1</v>
      </c>
      <c r="Y1156" s="46" t="s">
        <v>219</v>
      </c>
      <c r="Z1156" s="37" t="str">
        <f t="shared" si="298"/>
        <v>delivered</v>
      </c>
      <c r="AA1156" s="37" t="str">
        <f t="shared" si="299"/>
        <v>On Time</v>
      </c>
      <c r="AB1156" s="37" t="str">
        <f t="shared" si="286"/>
        <v>0</v>
      </c>
      <c r="AC1156" s="37">
        <f t="shared" si="287"/>
        <v>0</v>
      </c>
      <c r="AD1156" s="45">
        <f t="shared" si="301"/>
        <v>0.538461538461538</v>
      </c>
      <c r="AE1156" s="46">
        <v>5</v>
      </c>
      <c r="AF1156" s="46" t="s">
        <v>152</v>
      </c>
      <c r="AG1156" s="37" t="str">
        <f t="shared" si="300"/>
        <v>no</v>
      </c>
      <c r="AH1156" s="37" t="str">
        <f t="array" ref="AH1156">_xlfn.IFS(LOWER(AG1156)="n","no",LOWER(AG1156)="y","yes",TRUE,LOWER(AG1156))</f>
        <v>no</v>
      </c>
      <c r="AI1156" s="46" t="s">
        <v>4692</v>
      </c>
    </row>
    <row r="1157" spans="1:35">
      <c r="A1157" s="37" t="s">
        <v>3733</v>
      </c>
      <c r="B1157" s="38">
        <v>45352</v>
      </c>
      <c r="C1157" s="39">
        <f t="shared" si="288"/>
        <v>45352</v>
      </c>
      <c r="D1157" s="40" t="s">
        <v>109</v>
      </c>
      <c r="E1157" s="37" t="str" cm="1">
        <f t="array" ref="E1157">_xlfn.IFS(D1157="delhi","north",D1157="mumbai","west",D1157="bengaluru","south",D1157="chennai","south",D1157="kolkata","east",TRUE,"west")</f>
        <v>west</v>
      </c>
      <c r="F1157" s="37" t="s">
        <v>312</v>
      </c>
      <c r="G1157" s="37" t="str">
        <f t="shared" si="289"/>
        <v>bluedart</v>
      </c>
      <c r="H1157" s="37" t="s">
        <v>157</v>
      </c>
      <c r="I1157" s="37" t="str">
        <f t="shared" si="290"/>
        <v>surface</v>
      </c>
      <c r="J1157" s="37" t="s">
        <v>425</v>
      </c>
      <c r="K1157" s="37" t="str">
        <f t="shared" si="291"/>
        <v>automotiveparts</v>
      </c>
      <c r="L1157" s="37" t="s">
        <v>51</v>
      </c>
      <c r="M1157" s="37" t="str">
        <f t="shared" si="292"/>
        <v>south</v>
      </c>
      <c r="N1157" s="37" t="s">
        <v>93</v>
      </c>
      <c r="O1157" s="41" t="str">
        <f t="shared" si="293"/>
        <v>Yes</v>
      </c>
      <c r="P1157" s="41">
        <v>20.9</v>
      </c>
      <c r="Q1157" s="41">
        <v>581</v>
      </c>
      <c r="R1157" s="42">
        <f t="shared" si="294"/>
        <v>27.799043062201</v>
      </c>
      <c r="S1157" s="37">
        <v>6</v>
      </c>
      <c r="T1157" s="37" t="s">
        <v>3734</v>
      </c>
      <c r="U1157" s="43" t="str">
        <f t="shared" si="295"/>
        <v>08-mar-2024</v>
      </c>
      <c r="V1157" s="43">
        <f t="shared" si="296"/>
        <v>45359</v>
      </c>
      <c r="W1157" s="44">
        <f t="array" ref="W1157">_xlfn.IFS(TRIM(C1157)="","",TRIM(V1157)="","",TRUE,V1157-C1157)</f>
        <v>7</v>
      </c>
      <c r="X1157" s="37">
        <f t="shared" si="297"/>
        <v>1</v>
      </c>
      <c r="Y1157" s="37" t="s">
        <v>143</v>
      </c>
      <c r="Z1157" s="37" t="str">
        <f t="shared" si="298"/>
        <v>delayed</v>
      </c>
      <c r="AA1157" s="37" t="str">
        <f t="shared" si="299"/>
        <v>Late</v>
      </c>
      <c r="AB1157" s="37" t="str">
        <f t="shared" si="286"/>
        <v>1</v>
      </c>
      <c r="AC1157" s="37">
        <f t="shared" si="287"/>
        <v>1</v>
      </c>
      <c r="AD1157" s="45">
        <f t="shared" si="301"/>
        <v>0.53968253968254</v>
      </c>
      <c r="AE1157" s="37">
        <v>4</v>
      </c>
      <c r="AF1157" s="37" t="s">
        <v>286</v>
      </c>
      <c r="AG1157" s="37" t="str">
        <f t="shared" si="300"/>
        <v>yes</v>
      </c>
      <c r="AH1157" s="37" t="str">
        <f t="array" ref="AH1157">_xlfn.IFS(LOWER(AG1157)="n","no",LOWER(AG1157)="y","yes",TRUE,LOWER(AG1157))</f>
        <v>yes</v>
      </c>
      <c r="AI1157" s="37" t="s">
        <v>4692</v>
      </c>
    </row>
    <row r="1158" spans="1:35">
      <c r="A1158" s="46" t="s">
        <v>3735</v>
      </c>
      <c r="B1158" s="47">
        <v>45463</v>
      </c>
      <c r="C1158" s="39">
        <f t="shared" si="288"/>
        <v>45463</v>
      </c>
      <c r="D1158" s="48" t="s">
        <v>4695</v>
      </c>
      <c r="E1158" s="37" t="str" cm="1">
        <f t="array" ref="E1158">_xlfn.IFS(D1158="delhi","north",D1158="mumbai","west",D1158="bengaluru","south",D1158="chennai","south",D1158="kolkata","east",TRUE,"west")</f>
        <v>west</v>
      </c>
      <c r="F1158" s="46" t="s">
        <v>204</v>
      </c>
      <c r="G1158" s="37" t="str">
        <f t="shared" si="289"/>
        <v>delhivery</v>
      </c>
      <c r="H1158" s="46" t="s">
        <v>224</v>
      </c>
      <c r="I1158" s="37" t="str">
        <f t="shared" si="290"/>
        <v>air</v>
      </c>
      <c r="J1158" s="46" t="s">
        <v>277</v>
      </c>
      <c r="K1158" s="37" t="str">
        <f t="shared" si="291"/>
        <v>apparel</v>
      </c>
      <c r="L1158" s="46" t="s">
        <v>101</v>
      </c>
      <c r="M1158" s="37" t="str">
        <f t="shared" si="292"/>
        <v>west</v>
      </c>
      <c r="N1158" s="46" t="s">
        <v>206</v>
      </c>
      <c r="O1158" s="41" t="str">
        <f t="shared" si="293"/>
        <v>Yes</v>
      </c>
      <c r="P1158" s="49">
        <v>7</v>
      </c>
      <c r="Q1158" s="49">
        <v>322</v>
      </c>
      <c r="R1158" s="42">
        <f t="shared" si="294"/>
        <v>46</v>
      </c>
      <c r="S1158" s="46">
        <v>2</v>
      </c>
      <c r="T1158" s="46" t="s">
        <v>627</v>
      </c>
      <c r="U1158" s="43" t="str">
        <f t="shared" si="295"/>
        <v>21-jun-2024</v>
      </c>
      <c r="V1158" s="43">
        <f t="shared" si="296"/>
        <v>45464</v>
      </c>
      <c r="W1158" s="44">
        <f t="array" ref="W1158">_xlfn.IFS(TRIM(C1158)="","",TRIM(V1158)="","",TRUE,V1158-C1158)</f>
        <v>1</v>
      </c>
      <c r="X1158" s="37">
        <f t="shared" si="297"/>
        <v>-1</v>
      </c>
      <c r="Y1158" s="46" t="s">
        <v>105</v>
      </c>
      <c r="Z1158" s="37" t="str">
        <f t="shared" si="298"/>
        <v>delivered</v>
      </c>
      <c r="AA1158" s="37" t="str">
        <f t="shared" si="299"/>
        <v>On Time</v>
      </c>
      <c r="AB1158" s="37" t="str">
        <f t="shared" ref="AB1158:AB1221" si="302">IF(Z1158="In-Transit","N/A",IF(X1158="","",IF(X1158&gt;0,"1","0")))</f>
        <v>0</v>
      </c>
      <c r="AC1158" s="37">
        <f t="shared" si="287"/>
        <v>0</v>
      </c>
      <c r="AD1158" s="45">
        <f t="shared" si="301"/>
        <v>0.538636363636364</v>
      </c>
      <c r="AE1158" s="46">
        <v>5</v>
      </c>
      <c r="AF1158" s="46" t="s">
        <v>79</v>
      </c>
      <c r="AG1158" s="37" t="str">
        <f t="shared" si="300"/>
        <v>yes</v>
      </c>
      <c r="AH1158" s="37" t="str">
        <f t="array" ref="AH1158">_xlfn.IFS(LOWER(AG1158)="n","no",LOWER(AG1158)="y","yes",TRUE,LOWER(AG1158))</f>
        <v>yes</v>
      </c>
      <c r="AI1158" s="46" t="s">
        <v>4692</v>
      </c>
    </row>
    <row r="1159" spans="1:35">
      <c r="A1159" s="37" t="s">
        <v>3737</v>
      </c>
      <c r="B1159" s="38" t="s">
        <v>4715</v>
      </c>
      <c r="C1159" s="39">
        <f t="shared" si="288"/>
        <v>45457</v>
      </c>
      <c r="D1159" s="40" t="s">
        <v>212</v>
      </c>
      <c r="E1159" s="37" t="str" cm="1">
        <f t="array" ref="E1159">_xlfn.IFS(D1159="delhi","north",D1159="mumbai","west",D1159="bengaluru","south",D1159="chennai","south",D1159="kolkata","east",TRUE,"west")</f>
        <v>west</v>
      </c>
      <c r="F1159" s="37" t="s">
        <v>270</v>
      </c>
      <c r="G1159" s="37" t="str">
        <f t="shared" si="289"/>
        <v>ecomexpress</v>
      </c>
      <c r="H1159" s="37" t="s">
        <v>345</v>
      </c>
      <c r="I1159" s="37" t="str">
        <f t="shared" si="290"/>
        <v>surface</v>
      </c>
      <c r="J1159" s="37" t="s">
        <v>385</v>
      </c>
      <c r="K1159" s="37" t="str">
        <f t="shared" si="291"/>
        <v>furniture</v>
      </c>
      <c r="L1159" s="37" t="s">
        <v>334</v>
      </c>
      <c r="M1159" s="37" t="str">
        <f t="shared" si="292"/>
        <v>north</v>
      </c>
      <c r="N1159" s="37" t="s">
        <v>113</v>
      </c>
      <c r="O1159" s="41" t="str">
        <f t="shared" si="293"/>
        <v>Yes</v>
      </c>
      <c r="P1159" s="41">
        <v>46.2</v>
      </c>
      <c r="Q1159" s="41" t="s">
        <v>3739</v>
      </c>
      <c r="R1159" s="42">
        <f t="shared" si="294"/>
        <v>26.3419913419913</v>
      </c>
      <c r="S1159" s="37">
        <v>6</v>
      </c>
      <c r="T1159" s="37" t="s">
        <v>1501</v>
      </c>
      <c r="U1159" s="43" t="str">
        <f t="shared" si="295"/>
        <v>2024-06-21</v>
      </c>
      <c r="V1159" s="43">
        <f t="shared" si="296"/>
        <v>45464</v>
      </c>
      <c r="W1159" s="44">
        <f t="array" ref="W1159">_xlfn.IFS(TRIM(C1159)="","",TRIM(V1159)="","",TRUE,V1159-C1159)</f>
        <v>7</v>
      </c>
      <c r="X1159" s="37">
        <f t="shared" si="297"/>
        <v>1</v>
      </c>
      <c r="Y1159" s="37" t="s">
        <v>172</v>
      </c>
      <c r="Z1159" s="37" t="str">
        <f t="shared" si="298"/>
        <v>delayed</v>
      </c>
      <c r="AA1159" s="37" t="str">
        <f t="shared" si="299"/>
        <v>Late</v>
      </c>
      <c r="AB1159" s="37" t="str">
        <f t="shared" si="302"/>
        <v>1</v>
      </c>
      <c r="AC1159" s="37">
        <f t="shared" ref="AC1159:AC1222" si="303">IF(TRIM(AB1159&amp;"")="","",VALUE(TRIM(AB1159&amp;"")))</f>
        <v>1</v>
      </c>
      <c r="AD1159" s="45">
        <f t="shared" si="301"/>
        <v>0.539863325740319</v>
      </c>
      <c r="AE1159" s="37">
        <v>3</v>
      </c>
      <c r="AF1159" s="37" t="s">
        <v>79</v>
      </c>
      <c r="AG1159" s="37" t="str">
        <f t="shared" si="300"/>
        <v>yes</v>
      </c>
      <c r="AH1159" s="37" t="str">
        <f t="array" ref="AH1159">_xlfn.IFS(LOWER(AG1159)="n","no",LOWER(AG1159)="y","yes",TRUE,LOWER(AG1159))</f>
        <v>yes</v>
      </c>
      <c r="AI1159" s="37" t="s">
        <v>4692</v>
      </c>
    </row>
    <row r="1160" spans="1:35">
      <c r="A1160" s="46" t="s">
        <v>3740</v>
      </c>
      <c r="B1160" s="47" t="s">
        <v>4715</v>
      </c>
      <c r="C1160" s="39">
        <f t="shared" si="288"/>
        <v>45457</v>
      </c>
      <c r="D1160" s="48" t="s">
        <v>366</v>
      </c>
      <c r="E1160" s="37" t="str" cm="1">
        <f t="array" ref="E1160">_xlfn.IFS(D1160="delhi","north",D1160="mumbai","west",D1160="bengaluru","south",D1160="chennai","south",D1160="kolkata","east",TRUE,"west")</f>
        <v>east</v>
      </c>
      <c r="F1160" s="46" t="s">
        <v>919</v>
      </c>
      <c r="G1160" s="37" t="str">
        <f t="shared" si="289"/>
        <v>xpressbees</v>
      </c>
      <c r="H1160" s="46" t="s">
        <v>185</v>
      </c>
      <c r="I1160" s="37" t="str">
        <f t="shared" si="290"/>
        <v>surface</v>
      </c>
      <c r="J1160" s="46" t="s">
        <v>167</v>
      </c>
      <c r="K1160" s="37" t="str">
        <f t="shared" si="291"/>
        <v>pharma</v>
      </c>
      <c r="L1160" s="46" t="s">
        <v>87</v>
      </c>
      <c r="M1160" s="37" t="str">
        <f t="shared" si="292"/>
        <v>north</v>
      </c>
      <c r="N1160" s="46" t="s">
        <v>113</v>
      </c>
      <c r="O1160" s="41" t="str">
        <f t="shared" si="293"/>
        <v>Yes</v>
      </c>
      <c r="P1160" s="49">
        <v>1.8</v>
      </c>
      <c r="Q1160" s="49" t="s">
        <v>3741</v>
      </c>
      <c r="R1160" s="42">
        <f t="shared" si="294"/>
        <v>104.444444444444</v>
      </c>
      <c r="S1160" s="46">
        <v>6</v>
      </c>
      <c r="T1160" s="46" t="s">
        <v>1501</v>
      </c>
      <c r="U1160" s="43" t="str">
        <f t="shared" si="295"/>
        <v>2024-06-21</v>
      </c>
      <c r="V1160" s="43">
        <f t="shared" si="296"/>
        <v>45464</v>
      </c>
      <c r="W1160" s="44">
        <f t="array" ref="W1160">_xlfn.IFS(TRIM(C1160)="","",TRIM(V1160)="","",TRUE,V1160-C1160)</f>
        <v>7</v>
      </c>
      <c r="X1160" s="37">
        <f t="shared" si="297"/>
        <v>1</v>
      </c>
      <c r="Y1160" s="46" t="s">
        <v>200</v>
      </c>
      <c r="Z1160" s="37" t="str">
        <f t="shared" si="298"/>
        <v>delayed</v>
      </c>
      <c r="AA1160" s="37" t="str">
        <f t="shared" si="299"/>
        <v>Late</v>
      </c>
      <c r="AB1160" s="37" t="str">
        <f t="shared" si="302"/>
        <v>1</v>
      </c>
      <c r="AC1160" s="37">
        <f t="shared" si="303"/>
        <v>1</v>
      </c>
      <c r="AD1160" s="45">
        <f t="shared" si="301"/>
        <v>0.538812785388128</v>
      </c>
      <c r="AE1160" s="46">
        <v>4</v>
      </c>
      <c r="AF1160" s="46" t="s">
        <v>131</v>
      </c>
      <c r="AG1160" s="37" t="str">
        <f t="shared" si="300"/>
        <v>n</v>
      </c>
      <c r="AH1160" s="37" t="str">
        <f t="array" ref="AH1160">_xlfn.IFS(LOWER(AG1160)="n","no",LOWER(AG1160)="y","yes",TRUE,LOWER(AG1160))</f>
        <v>no</v>
      </c>
      <c r="AI1160" s="46" t="s">
        <v>4692</v>
      </c>
    </row>
    <row r="1161" spans="1:35">
      <c r="A1161" s="37" t="s">
        <v>3742</v>
      </c>
      <c r="B1161" s="38" t="s">
        <v>4714</v>
      </c>
      <c r="C1161" s="39">
        <f t="shared" si="288"/>
        <v>45337</v>
      </c>
      <c r="D1161" s="40" t="s">
        <v>212</v>
      </c>
      <c r="E1161" s="37" t="str" cm="1">
        <f t="array" ref="E1161">_xlfn.IFS(D1161="delhi","north",D1161="mumbai","west",D1161="bengaluru","south",D1161="chennai","south",D1161="kolkata","east",TRUE,"west")</f>
        <v>west</v>
      </c>
      <c r="F1161" s="37" t="s">
        <v>194</v>
      </c>
      <c r="G1161" s="37" t="str">
        <f t="shared" si="289"/>
        <v>xpressbees</v>
      </c>
      <c r="H1161" s="37" t="s">
        <v>244</v>
      </c>
      <c r="I1161" s="37" t="str">
        <f t="shared" si="290"/>
        <v>air</v>
      </c>
      <c r="J1161" s="37" t="s">
        <v>430</v>
      </c>
      <c r="K1161" s="37" t="str">
        <f t="shared" si="291"/>
        <v>pharma</v>
      </c>
      <c r="L1161" s="37" t="s">
        <v>197</v>
      </c>
      <c r="M1161" s="37" t="str">
        <f t="shared" si="292"/>
        <v>south</v>
      </c>
      <c r="N1161" s="37" t="s">
        <v>93</v>
      </c>
      <c r="O1161" s="41" t="str">
        <f t="shared" si="293"/>
        <v>Yes</v>
      </c>
      <c r="P1161" s="41">
        <v>1.4</v>
      </c>
      <c r="Q1161" s="41" t="s">
        <v>988</v>
      </c>
      <c r="R1161" s="42">
        <f t="shared" si="294"/>
        <v>172.857142857143</v>
      </c>
      <c r="S1161" s="37">
        <v>4</v>
      </c>
      <c r="T1161" s="37" t="s">
        <v>947</v>
      </c>
      <c r="U1161" s="43" t="str">
        <f t="shared" si="295"/>
        <v>2024-02-23</v>
      </c>
      <c r="V1161" s="43">
        <f t="shared" si="296"/>
        <v>45345</v>
      </c>
      <c r="W1161" s="44">
        <f t="array" ref="W1161">_xlfn.IFS(TRIM(C1161)="","",TRIM(V1161)="","",TRUE,V1161-C1161)</f>
        <v>8</v>
      </c>
      <c r="X1161" s="37">
        <f t="shared" si="297"/>
        <v>4</v>
      </c>
      <c r="Y1161" s="37" t="s">
        <v>143</v>
      </c>
      <c r="Z1161" s="37" t="str">
        <f t="shared" si="298"/>
        <v>delayed</v>
      </c>
      <c r="AA1161" s="37" t="str">
        <f t="shared" si="299"/>
        <v>Late</v>
      </c>
      <c r="AB1161" s="37" t="str">
        <f t="shared" si="302"/>
        <v>1</v>
      </c>
      <c r="AC1161" s="37">
        <f t="shared" si="303"/>
        <v>1</v>
      </c>
      <c r="AD1161" s="45">
        <f t="shared" si="301"/>
        <v>0.537757437070938</v>
      </c>
      <c r="AE1161" s="37">
        <v>2</v>
      </c>
      <c r="AF1161" s="37" t="s">
        <v>79</v>
      </c>
      <c r="AG1161" s="37" t="str">
        <f t="shared" si="300"/>
        <v>yes</v>
      </c>
      <c r="AH1161" s="37" t="str">
        <f t="array" ref="AH1161">_xlfn.IFS(LOWER(AG1161)="n","no",LOWER(AG1161)="y","yes",TRUE,LOWER(AG1161))</f>
        <v>yes</v>
      </c>
      <c r="AI1161" s="37" t="s">
        <v>4692</v>
      </c>
    </row>
    <row r="1162" spans="1:35">
      <c r="A1162" s="46" t="s">
        <v>3743</v>
      </c>
      <c r="B1162" s="47">
        <v>45424</v>
      </c>
      <c r="C1162" s="39">
        <f t="shared" si="288"/>
        <v>45424</v>
      </c>
      <c r="D1162" s="48" t="s">
        <v>243</v>
      </c>
      <c r="E1162" s="37" t="str" cm="1">
        <f t="array" ref="E1162">_xlfn.IFS(D1162="delhi","north",D1162="mumbai","west",D1162="bengaluru","south",D1162="chennai","south",D1162="kolkata","east",TRUE,"west")</f>
        <v>west</v>
      </c>
      <c r="F1162" s="46" t="s">
        <v>919</v>
      </c>
      <c r="G1162" s="37" t="str">
        <f t="shared" si="289"/>
        <v>xpressbees</v>
      </c>
      <c r="H1162" s="46" t="s">
        <v>185</v>
      </c>
      <c r="I1162" s="37" t="str">
        <f t="shared" si="290"/>
        <v>surface</v>
      </c>
      <c r="J1162" s="46" t="s">
        <v>368</v>
      </c>
      <c r="K1162" s="37" t="str">
        <f t="shared" si="291"/>
        <v>furniture</v>
      </c>
      <c r="L1162" s="46" t="s">
        <v>418</v>
      </c>
      <c r="M1162" s="37" t="str">
        <f t="shared" si="292"/>
        <v>south</v>
      </c>
      <c r="N1162" s="46" t="s">
        <v>54</v>
      </c>
      <c r="O1162" s="41" t="str">
        <f t="shared" si="293"/>
        <v>Yes</v>
      </c>
      <c r="P1162" s="49">
        <v>19</v>
      </c>
      <c r="Q1162" s="49">
        <v>442</v>
      </c>
      <c r="R1162" s="42">
        <f t="shared" si="294"/>
        <v>23.2631578947368</v>
      </c>
      <c r="S1162" s="46">
        <v>4</v>
      </c>
      <c r="T1162" s="46" t="s">
        <v>2305</v>
      </c>
      <c r="U1162" s="43" t="str">
        <f t="shared" si="295"/>
        <v>2024-05-16</v>
      </c>
      <c r="V1162" s="43">
        <f t="shared" si="296"/>
        <v>45428</v>
      </c>
      <c r="W1162" s="44">
        <f t="array" ref="W1162">_xlfn.IFS(TRIM(C1162)="","",TRIM(V1162)="","",TRUE,V1162-C1162)</f>
        <v>4</v>
      </c>
      <c r="X1162" s="37">
        <f t="shared" si="297"/>
        <v>0</v>
      </c>
      <c r="Y1162" s="46" t="s">
        <v>163</v>
      </c>
      <c r="Z1162" s="37" t="str">
        <f t="shared" si="298"/>
        <v>delivered</v>
      </c>
      <c r="AA1162" s="37" t="str">
        <f t="shared" si="299"/>
        <v>On Time</v>
      </c>
      <c r="AB1162" s="37" t="str">
        <f t="shared" si="302"/>
        <v>0</v>
      </c>
      <c r="AC1162" s="37">
        <f t="shared" si="303"/>
        <v>0</v>
      </c>
      <c r="AD1162" s="45">
        <f t="shared" si="301"/>
        <v>0.536697247706422</v>
      </c>
      <c r="AE1162" s="46">
        <v>4</v>
      </c>
      <c r="AF1162" s="46" t="s">
        <v>79</v>
      </c>
      <c r="AG1162" s="37" t="str">
        <f t="shared" si="300"/>
        <v>yes</v>
      </c>
      <c r="AH1162" s="37" t="str">
        <f t="array" ref="AH1162">_xlfn.IFS(LOWER(AG1162)="n","no",LOWER(AG1162)="y","yes",TRUE,LOWER(AG1162))</f>
        <v>yes</v>
      </c>
      <c r="AI1162" s="46" t="s">
        <v>4692</v>
      </c>
    </row>
    <row r="1163" spans="1:35">
      <c r="A1163" s="37" t="s">
        <v>3745</v>
      </c>
      <c r="B1163" s="38">
        <v>45343</v>
      </c>
      <c r="C1163" s="39">
        <f t="shared" si="288"/>
        <v>45343</v>
      </c>
      <c r="D1163" s="40" t="s">
        <v>4699</v>
      </c>
      <c r="E1163" s="37" t="str" cm="1">
        <f t="array" ref="E1163">_xlfn.IFS(D1163="delhi","north",D1163="mumbai","west",D1163="bengaluru","south",D1163="chennai","south",D1163="kolkata","east",TRUE,"west")</f>
        <v>west</v>
      </c>
      <c r="F1163" s="37" t="s">
        <v>194</v>
      </c>
      <c r="G1163" s="37" t="str">
        <f t="shared" si="289"/>
        <v>xpressbees</v>
      </c>
      <c r="H1163" s="37" t="s">
        <v>147</v>
      </c>
      <c r="I1163" s="37" t="str">
        <f t="shared" si="290"/>
        <v>road</v>
      </c>
      <c r="J1163" s="37" t="s">
        <v>1794</v>
      </c>
      <c r="K1163" s="37" t="str">
        <f t="shared" si="291"/>
        <v>grocery&amp;fmcg</v>
      </c>
      <c r="L1163" s="37" t="s">
        <v>159</v>
      </c>
      <c r="M1163" s="37" t="str">
        <f t="shared" si="292"/>
        <v>south</v>
      </c>
      <c r="N1163" s="37" t="s">
        <v>90</v>
      </c>
      <c r="O1163" s="41" t="str">
        <f t="shared" si="293"/>
        <v>Yes</v>
      </c>
      <c r="P1163" s="41">
        <v>18.8</v>
      </c>
      <c r="Q1163" s="41">
        <v>420</v>
      </c>
      <c r="R1163" s="42">
        <f t="shared" si="294"/>
        <v>22.3404255319149</v>
      </c>
      <c r="S1163" s="37">
        <v>8</v>
      </c>
      <c r="T1163" s="37" t="s">
        <v>306</v>
      </c>
      <c r="U1163" s="43" t="str">
        <f t="shared" si="295"/>
        <v>28/02/2024</v>
      </c>
      <c r="V1163" s="43">
        <f t="shared" si="296"/>
        <v>45350</v>
      </c>
      <c r="W1163" s="44">
        <f t="array" ref="W1163">_xlfn.IFS(TRIM(C1163)="","",TRIM(V1163)="","",TRUE,V1163-C1163)</f>
        <v>7</v>
      </c>
      <c r="X1163" s="37">
        <f t="shared" si="297"/>
        <v>-1</v>
      </c>
      <c r="Y1163" s="37" t="s">
        <v>163</v>
      </c>
      <c r="Z1163" s="37" t="str">
        <f t="shared" si="298"/>
        <v>delivered</v>
      </c>
      <c r="AA1163" s="37" t="str">
        <f t="shared" si="299"/>
        <v>On Time</v>
      </c>
      <c r="AB1163" s="37" t="str">
        <f t="shared" si="302"/>
        <v>0</v>
      </c>
      <c r="AC1163" s="37">
        <f t="shared" si="303"/>
        <v>0</v>
      </c>
      <c r="AD1163" s="45">
        <f t="shared" si="301"/>
        <v>0.537931034482759</v>
      </c>
      <c r="AE1163" s="37">
        <v>4</v>
      </c>
      <c r="AF1163" s="37" t="s">
        <v>191</v>
      </c>
      <c r="AG1163" s="37" t="str">
        <f t="shared" si="300"/>
        <v>no</v>
      </c>
      <c r="AH1163" s="37" t="str">
        <f t="array" ref="AH1163">_xlfn.IFS(LOWER(AG1163)="n","no",LOWER(AG1163)="y","yes",TRUE,LOWER(AG1163))</f>
        <v>no</v>
      </c>
      <c r="AI1163" s="37" t="s">
        <v>4692</v>
      </c>
    </row>
    <row r="1164" spans="1:35">
      <c r="A1164" s="46" t="s">
        <v>3748</v>
      </c>
      <c r="B1164" s="47">
        <v>45432</v>
      </c>
      <c r="C1164" s="39">
        <f t="shared" si="288"/>
        <v>45432</v>
      </c>
      <c r="D1164" s="48" t="s">
        <v>4712</v>
      </c>
      <c r="E1164" s="37" t="str" cm="1">
        <f t="array" ref="E1164">_xlfn.IFS(D1164="delhi","north",D1164="mumbai","west",D1164="bengaluru","south",D1164="chennai","south",D1164="kolkata","east",TRUE,"west")</f>
        <v>west</v>
      </c>
      <c r="F1164" s="46" t="s">
        <v>367</v>
      </c>
      <c r="G1164" s="37" t="str">
        <f t="shared" si="289"/>
        <v>dtdc</v>
      </c>
      <c r="H1164" s="46" t="s">
        <v>185</v>
      </c>
      <c r="I1164" s="37" t="str">
        <f t="shared" si="290"/>
        <v>surface</v>
      </c>
      <c r="J1164" s="46" t="s">
        <v>271</v>
      </c>
      <c r="K1164" s="37" t="str">
        <f t="shared" si="291"/>
        <v>electronics</v>
      </c>
      <c r="L1164" s="46" t="s">
        <v>159</v>
      </c>
      <c r="M1164" s="37" t="str">
        <f t="shared" si="292"/>
        <v>south</v>
      </c>
      <c r="N1164" s="46" t="s">
        <v>54</v>
      </c>
      <c r="O1164" s="41" t="str">
        <f t="shared" si="293"/>
        <v>Yes</v>
      </c>
      <c r="P1164" s="49">
        <v>2</v>
      </c>
      <c r="Q1164" s="49" t="s">
        <v>432</v>
      </c>
      <c r="R1164" s="42">
        <f t="shared" si="294"/>
        <v>40</v>
      </c>
      <c r="S1164" s="46">
        <v>4</v>
      </c>
      <c r="T1164" s="46" t="s">
        <v>383</v>
      </c>
      <c r="U1164" s="43" t="str">
        <f t="shared" si="295"/>
        <v>24/05/2024</v>
      </c>
      <c r="V1164" s="43">
        <f t="shared" si="296"/>
        <v>45436</v>
      </c>
      <c r="W1164" s="44">
        <f t="array" ref="W1164">_xlfn.IFS(TRIM(C1164)="","",TRIM(V1164)="","",TRUE,V1164-C1164)</f>
        <v>4</v>
      </c>
      <c r="X1164" s="37">
        <f t="shared" si="297"/>
        <v>0</v>
      </c>
      <c r="Y1164" s="46" t="s">
        <v>105</v>
      </c>
      <c r="Z1164" s="37" t="str">
        <f t="shared" si="298"/>
        <v>delivered</v>
      </c>
      <c r="AA1164" s="37" t="str">
        <f t="shared" si="299"/>
        <v>On Time</v>
      </c>
      <c r="AB1164" s="37" t="str">
        <f t="shared" si="302"/>
        <v>0</v>
      </c>
      <c r="AC1164" s="37">
        <f t="shared" si="303"/>
        <v>0</v>
      </c>
      <c r="AD1164" s="45">
        <f t="shared" si="301"/>
        <v>0.539170506912442</v>
      </c>
      <c r="AE1164" s="46">
        <v>5</v>
      </c>
      <c r="AF1164" s="46" t="s">
        <v>118</v>
      </c>
      <c r="AG1164" s="37" t="str">
        <f t="shared" si="300"/>
        <v>no</v>
      </c>
      <c r="AH1164" s="37" t="str">
        <f t="array" ref="AH1164">_xlfn.IFS(LOWER(AG1164)="n","no",LOWER(AG1164)="y","yes",TRUE,LOWER(AG1164))</f>
        <v>no</v>
      </c>
      <c r="AI1164" s="46" t="s">
        <v>4692</v>
      </c>
    </row>
    <row r="1165" spans="1:35">
      <c r="A1165" s="37" t="s">
        <v>3749</v>
      </c>
      <c r="B1165" s="38">
        <v>45297</v>
      </c>
      <c r="C1165" s="39">
        <f t="shared" si="288"/>
        <v>45297</v>
      </c>
      <c r="D1165" s="40" t="s">
        <v>4704</v>
      </c>
      <c r="E1165" s="37" t="str" cm="1">
        <f t="array" ref="E1165">_xlfn.IFS(D1165="delhi","north",D1165="mumbai","west",D1165="bengaluru","south",D1165="chennai","south",D1165="kolkata","east",TRUE,"west")</f>
        <v>west</v>
      </c>
      <c r="F1165" s="37" t="s">
        <v>175</v>
      </c>
      <c r="G1165" s="37" t="str">
        <f t="shared" si="289"/>
        <v>ecomexpress</v>
      </c>
      <c r="H1165" s="37" t="s">
        <v>42</v>
      </c>
      <c r="I1165" s="37" t="str">
        <f t="shared" si="290"/>
        <v>surface</v>
      </c>
      <c r="J1165" s="37" t="s">
        <v>283</v>
      </c>
      <c r="K1165" s="37" t="str">
        <f t="shared" si="291"/>
        <v>pharma</v>
      </c>
      <c r="L1165" s="37" t="s">
        <v>302</v>
      </c>
      <c r="M1165" s="37" t="str">
        <f t="shared" si="292"/>
        <v>east</v>
      </c>
      <c r="N1165" s="37" t="s">
        <v>126</v>
      </c>
      <c r="O1165" s="41" t="str">
        <f t="shared" si="293"/>
        <v>Yes</v>
      </c>
      <c r="P1165" s="41" t="s">
        <v>539</v>
      </c>
      <c r="Q1165" s="41">
        <v>129</v>
      </c>
      <c r="R1165" s="42">
        <f t="shared" si="294"/>
        <v>36.8571428571429</v>
      </c>
      <c r="S1165" s="37">
        <v>4</v>
      </c>
      <c r="T1165" s="37" t="s">
        <v>1401</v>
      </c>
      <c r="U1165" s="43" t="str">
        <f t="shared" si="295"/>
        <v>12/01/2024</v>
      </c>
      <c r="V1165" s="43">
        <f t="shared" si="296"/>
        <v>45303</v>
      </c>
      <c r="W1165" s="44">
        <f t="array" ref="W1165">_xlfn.IFS(TRIM(C1165)="","",TRIM(V1165)="","",TRUE,V1165-C1165)</f>
        <v>6</v>
      </c>
      <c r="X1165" s="37">
        <f t="shared" si="297"/>
        <v>2</v>
      </c>
      <c r="Y1165" s="37" t="s">
        <v>172</v>
      </c>
      <c r="Z1165" s="37" t="str">
        <f t="shared" si="298"/>
        <v>delayed</v>
      </c>
      <c r="AA1165" s="37" t="str">
        <f t="shared" si="299"/>
        <v>Late</v>
      </c>
      <c r="AB1165" s="37" t="str">
        <f t="shared" si="302"/>
        <v>1</v>
      </c>
      <c r="AC1165" s="37">
        <f t="shared" si="303"/>
        <v>1</v>
      </c>
      <c r="AD1165" s="45">
        <f t="shared" si="301"/>
        <v>0.540415704387991</v>
      </c>
      <c r="AE1165" s="37">
        <v>3</v>
      </c>
      <c r="AF1165" s="37" t="s">
        <v>118</v>
      </c>
      <c r="AG1165" s="37" t="str">
        <f t="shared" si="300"/>
        <v>no</v>
      </c>
      <c r="AH1165" s="37" t="str">
        <f t="array" ref="AH1165">_xlfn.IFS(LOWER(AG1165)="n","no",LOWER(AG1165)="y","yes",TRUE,LOWER(AG1165))</f>
        <v>no</v>
      </c>
      <c r="AI1165" s="37" t="s">
        <v>4692</v>
      </c>
    </row>
    <row r="1166" spans="1:35">
      <c r="A1166" s="46" t="s">
        <v>3751</v>
      </c>
      <c r="B1166" s="47" t="s">
        <v>4791</v>
      </c>
      <c r="C1166" s="39">
        <f t="shared" si="288"/>
        <v>45329</v>
      </c>
      <c r="D1166" s="48" t="s">
        <v>424</v>
      </c>
      <c r="E1166" s="37" t="str" cm="1">
        <f t="array" ref="E1166">_xlfn.IFS(D1166="delhi","north",D1166="mumbai","west",D1166="bengaluru","south",D1166="chennai","south",D1166="kolkata","east",TRUE,"west")</f>
        <v>south</v>
      </c>
      <c r="F1166" s="46" t="s">
        <v>184</v>
      </c>
      <c r="G1166" s="37" t="str">
        <f t="shared" si="289"/>
        <v>ecomexpress</v>
      </c>
      <c r="H1166" s="46" t="s">
        <v>195</v>
      </c>
      <c r="I1166" s="37" t="str">
        <f t="shared" si="290"/>
        <v>road</v>
      </c>
      <c r="J1166" s="46" t="s">
        <v>283</v>
      </c>
      <c r="K1166" s="37" t="str">
        <f t="shared" si="291"/>
        <v>pharma</v>
      </c>
      <c r="L1166" s="46" t="s">
        <v>264</v>
      </c>
      <c r="M1166" s="37" t="str">
        <f t="shared" si="292"/>
        <v>west</v>
      </c>
      <c r="N1166" s="46" t="s">
        <v>88</v>
      </c>
      <c r="O1166" s="41" t="str">
        <f t="shared" si="293"/>
        <v>Yes</v>
      </c>
      <c r="P1166" s="49">
        <v>4.9</v>
      </c>
      <c r="Q1166" s="49" t="s">
        <v>2457</v>
      </c>
      <c r="R1166" s="42">
        <f t="shared" si="294"/>
        <v>42.8571428571429</v>
      </c>
      <c r="S1166" s="46">
        <v>8</v>
      </c>
      <c r="T1166" s="46" t="s">
        <v>2911</v>
      </c>
      <c r="U1166" s="43" t="str">
        <f t="shared" si="295"/>
        <v>14-feb-2024</v>
      </c>
      <c r="V1166" s="43">
        <f t="shared" si="296"/>
        <v>45336</v>
      </c>
      <c r="W1166" s="44">
        <f t="array" ref="W1166">_xlfn.IFS(TRIM(C1166)="","",TRIM(V1166)="","",TRUE,V1166-C1166)</f>
        <v>7</v>
      </c>
      <c r="X1166" s="37">
        <f t="shared" si="297"/>
        <v>-1</v>
      </c>
      <c r="Y1166" s="46" t="s">
        <v>105</v>
      </c>
      <c r="Z1166" s="37" t="str">
        <f t="shared" si="298"/>
        <v>delivered</v>
      </c>
      <c r="AA1166" s="37" t="str">
        <f t="shared" si="299"/>
        <v>On Time</v>
      </c>
      <c r="AB1166" s="37" t="str">
        <f t="shared" si="302"/>
        <v>0</v>
      </c>
      <c r="AC1166" s="37">
        <f t="shared" si="303"/>
        <v>0</v>
      </c>
      <c r="AD1166" s="45">
        <f t="shared" si="301"/>
        <v>0.539351851851852</v>
      </c>
      <c r="AE1166" s="46">
        <v>5</v>
      </c>
      <c r="AF1166" s="46" t="s">
        <v>131</v>
      </c>
      <c r="AG1166" s="37" t="str">
        <f t="shared" si="300"/>
        <v>n</v>
      </c>
      <c r="AH1166" s="37" t="str">
        <f t="array" ref="AH1166">_xlfn.IFS(LOWER(AG1166)="n","no",LOWER(AG1166)="y","yes",TRUE,LOWER(AG1166))</f>
        <v>no</v>
      </c>
      <c r="AI1166" s="46" t="s">
        <v>4692</v>
      </c>
    </row>
    <row r="1167" spans="1:35">
      <c r="A1167" s="37" t="s">
        <v>3752</v>
      </c>
      <c r="B1167" s="38" t="s">
        <v>4848</v>
      </c>
      <c r="C1167" s="39">
        <f t="shared" si="288"/>
        <v>45449</v>
      </c>
      <c r="D1167" s="40" t="s">
        <v>633</v>
      </c>
      <c r="E1167" s="37" t="str" cm="1">
        <f t="array" ref="E1167">_xlfn.IFS(D1167="delhi","north",D1167="mumbai","west",D1167="bengaluru","south",D1167="chennai","south",D1167="kolkata","east",TRUE,"west")</f>
        <v>south</v>
      </c>
      <c r="F1167" s="37" t="s">
        <v>184</v>
      </c>
      <c r="G1167" s="37" t="str">
        <f t="shared" si="289"/>
        <v>ecomexpress</v>
      </c>
      <c r="H1167" s="37" t="s">
        <v>195</v>
      </c>
      <c r="I1167" s="37" t="str">
        <f t="shared" si="290"/>
        <v>road</v>
      </c>
      <c r="J1167" s="37" t="s">
        <v>313</v>
      </c>
      <c r="K1167" s="37" t="str">
        <f t="shared" si="291"/>
        <v>automotiveparts</v>
      </c>
      <c r="L1167" s="37" t="s">
        <v>264</v>
      </c>
      <c r="M1167" s="37" t="str">
        <f t="shared" si="292"/>
        <v>west</v>
      </c>
      <c r="N1167" s="37" t="s">
        <v>278</v>
      </c>
      <c r="O1167" s="41" t="str">
        <f t="shared" si="293"/>
        <v>Yes</v>
      </c>
      <c r="P1167" s="41">
        <v>13.4</v>
      </c>
      <c r="Q1167" s="41">
        <v>370</v>
      </c>
      <c r="R1167" s="42">
        <f t="shared" si="294"/>
        <v>27.6119402985075</v>
      </c>
      <c r="S1167" s="37">
        <v>8</v>
      </c>
      <c r="T1167" s="37" t="s">
        <v>2385</v>
      </c>
      <c r="U1167" s="43" t="str">
        <f t="shared" si="295"/>
        <v>14-jun-2024</v>
      </c>
      <c r="V1167" s="43">
        <f t="shared" si="296"/>
        <v>45457</v>
      </c>
      <c r="W1167" s="44">
        <f t="array" ref="W1167">_xlfn.IFS(TRIM(C1167)="","",TRIM(V1167)="","",TRUE,V1167-C1167)</f>
        <v>8</v>
      </c>
      <c r="X1167" s="37">
        <f t="shared" si="297"/>
        <v>0</v>
      </c>
      <c r="Y1167" s="37" t="s">
        <v>117</v>
      </c>
      <c r="Z1167" s="37" t="str">
        <f t="shared" si="298"/>
        <v>delivered</v>
      </c>
      <c r="AA1167" s="37" t="str">
        <f t="shared" si="299"/>
        <v>On Time</v>
      </c>
      <c r="AB1167" s="37" t="str">
        <f t="shared" si="302"/>
        <v>0</v>
      </c>
      <c r="AC1167" s="37">
        <f t="shared" si="303"/>
        <v>0</v>
      </c>
      <c r="AD1167" s="45">
        <f t="shared" si="301"/>
        <v>0.540603248259861</v>
      </c>
      <c r="AE1167" s="37">
        <v>3</v>
      </c>
      <c r="AF1167" s="37" t="s">
        <v>152</v>
      </c>
      <c r="AG1167" s="37" t="str">
        <f t="shared" si="300"/>
        <v>no</v>
      </c>
      <c r="AH1167" s="37" t="str">
        <f t="array" ref="AH1167">_xlfn.IFS(LOWER(AG1167)="n","no",LOWER(AG1167)="y","yes",TRUE,LOWER(AG1167))</f>
        <v>no</v>
      </c>
      <c r="AI1167" s="37" t="s">
        <v>4692</v>
      </c>
    </row>
    <row r="1168" spans="1:35">
      <c r="A1168" s="46" t="s">
        <v>3754</v>
      </c>
      <c r="B1168" s="47" t="s">
        <v>4845</v>
      </c>
      <c r="C1168" s="39">
        <f t="shared" si="288"/>
        <v>45452</v>
      </c>
      <c r="D1168" s="48" t="s">
        <v>366</v>
      </c>
      <c r="E1168" s="37" t="str" cm="1">
        <f t="array" ref="E1168">_xlfn.IFS(D1168="delhi","north",D1168="mumbai","west",D1168="bengaluru","south",D1168="chennai","south",D1168="kolkata","east",TRUE,"west")</f>
        <v>east</v>
      </c>
      <c r="F1168" s="46" t="s">
        <v>204</v>
      </c>
      <c r="G1168" s="37" t="str">
        <f t="shared" si="289"/>
        <v>delhivery</v>
      </c>
      <c r="H1168" s="46" t="s">
        <v>147</v>
      </c>
      <c r="I1168" s="37" t="str">
        <f t="shared" si="290"/>
        <v>road</v>
      </c>
      <c r="J1168" s="46" t="s">
        <v>214</v>
      </c>
      <c r="K1168" s="37" t="str">
        <f t="shared" si="291"/>
        <v>grocery&amp;fmcg</v>
      </c>
      <c r="L1168" s="46" t="s">
        <v>139</v>
      </c>
      <c r="M1168" s="37" t="str">
        <f t="shared" si="292"/>
        <v>north</v>
      </c>
      <c r="N1168" s="46" t="s">
        <v>215</v>
      </c>
      <c r="O1168" s="41" t="str">
        <f t="shared" si="293"/>
        <v>Yes</v>
      </c>
      <c r="P1168" s="49" t="s">
        <v>3624</v>
      </c>
      <c r="Q1168" s="49">
        <v>444</v>
      </c>
      <c r="R1168" s="42">
        <f t="shared" si="294"/>
        <v>22.6530612244898</v>
      </c>
      <c r="S1168" s="46">
        <v>8</v>
      </c>
      <c r="T1168" s="46" t="s">
        <v>3756</v>
      </c>
      <c r="U1168" s="43" t="str">
        <f t="shared" si="295"/>
        <v>2024-06-18</v>
      </c>
      <c r="V1168" s="43">
        <f t="shared" si="296"/>
        <v>45461</v>
      </c>
      <c r="W1168" s="44">
        <f t="array" ref="W1168">_xlfn.IFS(TRIM(C1168)="","",TRIM(V1168)="","",TRUE,V1168-C1168)</f>
        <v>9</v>
      </c>
      <c r="X1168" s="37">
        <f t="shared" si="297"/>
        <v>1</v>
      </c>
      <c r="Y1168" s="46" t="s">
        <v>72</v>
      </c>
      <c r="Z1168" s="37" t="str">
        <f t="shared" si="298"/>
        <v>delayed</v>
      </c>
      <c r="AA1168" s="37" t="str">
        <f t="shared" si="299"/>
        <v>Late</v>
      </c>
      <c r="AB1168" s="37" t="str">
        <f t="shared" si="302"/>
        <v>1</v>
      </c>
      <c r="AC1168" s="37">
        <f t="shared" si="303"/>
        <v>1</v>
      </c>
      <c r="AD1168" s="45">
        <f t="shared" si="301"/>
        <v>0.541860465116279</v>
      </c>
      <c r="AE1168" s="46">
        <v>4</v>
      </c>
      <c r="AF1168" s="46" t="s">
        <v>118</v>
      </c>
      <c r="AG1168" s="37" t="str">
        <f t="shared" si="300"/>
        <v>no</v>
      </c>
      <c r="AH1168" s="37" t="str">
        <f t="array" ref="AH1168">_xlfn.IFS(LOWER(AG1168)="n","no",LOWER(AG1168)="y","yes",TRUE,LOWER(AG1168))</f>
        <v>no</v>
      </c>
      <c r="AI1168" s="46" t="s">
        <v>4692</v>
      </c>
    </row>
    <row r="1169" spans="1:35">
      <c r="A1169" s="37" t="s">
        <v>3757</v>
      </c>
      <c r="B1169" s="38">
        <v>45357</v>
      </c>
      <c r="C1169" s="39">
        <f t="shared" si="288"/>
        <v>45357</v>
      </c>
      <c r="D1169" s="40" t="s">
        <v>222</v>
      </c>
      <c r="E1169" s="37" t="str" cm="1">
        <f t="array" ref="E1169">_xlfn.IFS(D1169="delhi","north",D1169="mumbai","west",D1169="bengaluru","south",D1169="chennai","south",D1169="kolkata","east",TRUE,"west")</f>
        <v>west</v>
      </c>
      <c r="F1169" s="37" t="s">
        <v>184</v>
      </c>
      <c r="G1169" s="37" t="str">
        <f t="shared" si="289"/>
        <v>ecomexpress</v>
      </c>
      <c r="H1169" s="37" t="s">
        <v>42</v>
      </c>
      <c r="I1169" s="37" t="str">
        <f t="shared" si="290"/>
        <v>surface</v>
      </c>
      <c r="J1169" s="37" t="s">
        <v>430</v>
      </c>
      <c r="K1169" s="37" t="str">
        <f t="shared" si="291"/>
        <v>pharma</v>
      </c>
      <c r="L1169" s="37" t="s">
        <v>197</v>
      </c>
      <c r="M1169" s="37" t="str">
        <f t="shared" si="292"/>
        <v>south</v>
      </c>
      <c r="N1169" s="37" t="s">
        <v>93</v>
      </c>
      <c r="O1169" s="41" t="str">
        <f t="shared" si="293"/>
        <v>Yes</v>
      </c>
      <c r="P1169" s="41">
        <v>1.2</v>
      </c>
      <c r="Q1169" s="41">
        <v>158</v>
      </c>
      <c r="R1169" s="42">
        <f t="shared" si="294"/>
        <v>131.666666666667</v>
      </c>
      <c r="S1169" s="37">
        <v>6</v>
      </c>
      <c r="T1169" s="37" t="s">
        <v>390</v>
      </c>
      <c r="U1169" s="43" t="str">
        <f t="shared" si="295"/>
        <v>2024-03-13</v>
      </c>
      <c r="V1169" s="43">
        <f t="shared" si="296"/>
        <v>45364</v>
      </c>
      <c r="W1169" s="44">
        <f t="array" ref="W1169">_xlfn.IFS(TRIM(C1169)="","",TRIM(V1169)="","",TRUE,V1169-C1169)</f>
        <v>7</v>
      </c>
      <c r="X1169" s="37">
        <f t="shared" si="297"/>
        <v>1</v>
      </c>
      <c r="Y1169" s="37" t="s">
        <v>172</v>
      </c>
      <c r="Z1169" s="37" t="str">
        <f t="shared" si="298"/>
        <v>delayed</v>
      </c>
      <c r="AA1169" s="37" t="str">
        <f t="shared" si="299"/>
        <v>Late</v>
      </c>
      <c r="AB1169" s="37" t="str">
        <f t="shared" si="302"/>
        <v>1</v>
      </c>
      <c r="AC1169" s="37">
        <f t="shared" si="303"/>
        <v>1</v>
      </c>
      <c r="AD1169" s="45">
        <f t="shared" si="301"/>
        <v>0.540792540792541</v>
      </c>
      <c r="AE1169" s="37">
        <v>3</v>
      </c>
      <c r="AF1169" s="37" t="s">
        <v>79</v>
      </c>
      <c r="AG1169" s="37" t="str">
        <f t="shared" si="300"/>
        <v>yes</v>
      </c>
      <c r="AH1169" s="37" t="str">
        <f t="array" ref="AH1169">_xlfn.IFS(LOWER(AG1169)="n","no",LOWER(AG1169)="y","yes",TRUE,LOWER(AG1169))</f>
        <v>yes</v>
      </c>
      <c r="AI1169" s="37" t="s">
        <v>4692</v>
      </c>
    </row>
    <row r="1170" spans="1:35">
      <c r="A1170" s="46" t="s">
        <v>3758</v>
      </c>
      <c r="B1170" s="47">
        <v>45293</v>
      </c>
      <c r="C1170" s="39">
        <f t="shared" si="288"/>
        <v>45293</v>
      </c>
      <c r="D1170" s="48" t="s">
        <v>366</v>
      </c>
      <c r="E1170" s="37" t="str" cm="1">
        <f t="array" ref="E1170">_xlfn.IFS(D1170="delhi","north",D1170="mumbai","west",D1170="bengaluru","south",D1170="chennai","south",D1170="kolkata","east",TRUE,"west")</f>
        <v>east</v>
      </c>
      <c r="F1170" s="46" t="s">
        <v>312</v>
      </c>
      <c r="G1170" s="37" t="str">
        <f t="shared" si="289"/>
        <v>bluedart</v>
      </c>
      <c r="H1170" s="46" t="s">
        <v>123</v>
      </c>
      <c r="I1170" s="37" t="str">
        <f t="shared" si="290"/>
        <v>air</v>
      </c>
      <c r="J1170" s="46" t="s">
        <v>425</v>
      </c>
      <c r="K1170" s="37" t="str">
        <f t="shared" si="291"/>
        <v>automotiveparts</v>
      </c>
      <c r="L1170" s="46" t="s">
        <v>87</v>
      </c>
      <c r="M1170" s="37" t="str">
        <f t="shared" si="292"/>
        <v>north</v>
      </c>
      <c r="N1170" s="46" t="s">
        <v>113</v>
      </c>
      <c r="O1170" s="41" t="str">
        <f t="shared" si="293"/>
        <v>Yes</v>
      </c>
      <c r="P1170" s="49">
        <v>17.4</v>
      </c>
      <c r="Q1170" s="49">
        <v>986</v>
      </c>
      <c r="R1170" s="42">
        <f t="shared" si="294"/>
        <v>56.6666666666667</v>
      </c>
      <c r="S1170" s="46">
        <v>4</v>
      </c>
      <c r="T1170" s="46" t="s">
        <v>240</v>
      </c>
      <c r="U1170" s="43" t="str">
        <f t="shared" si="295"/>
        <v>07/01/2024</v>
      </c>
      <c r="V1170" s="43">
        <f t="shared" si="296"/>
        <v>45298</v>
      </c>
      <c r="W1170" s="44">
        <f t="array" ref="W1170">_xlfn.IFS(TRIM(C1170)="","",TRIM(V1170)="","",TRUE,V1170-C1170)</f>
        <v>5</v>
      </c>
      <c r="X1170" s="37">
        <f t="shared" si="297"/>
        <v>1</v>
      </c>
      <c r="Y1170" s="46" t="s">
        <v>72</v>
      </c>
      <c r="Z1170" s="37" t="str">
        <f t="shared" si="298"/>
        <v>delayed</v>
      </c>
      <c r="AA1170" s="37" t="str">
        <f t="shared" si="299"/>
        <v>Late</v>
      </c>
      <c r="AB1170" s="37" t="str">
        <f t="shared" si="302"/>
        <v>1</v>
      </c>
      <c r="AC1170" s="37">
        <f t="shared" si="303"/>
        <v>1</v>
      </c>
      <c r="AD1170" s="45">
        <f t="shared" si="301"/>
        <v>0.539719626168224</v>
      </c>
      <c r="AE1170" s="46">
        <v>3</v>
      </c>
      <c r="AF1170" s="46" t="s">
        <v>131</v>
      </c>
      <c r="AG1170" s="37" t="str">
        <f t="shared" si="300"/>
        <v>n</v>
      </c>
      <c r="AH1170" s="37" t="str">
        <f t="array" ref="AH1170">_xlfn.IFS(LOWER(AG1170)="n","no",LOWER(AG1170)="y","yes",TRUE,LOWER(AG1170))</f>
        <v>no</v>
      </c>
      <c r="AI1170" s="46" t="s">
        <v>4692</v>
      </c>
    </row>
    <row r="1171" spans="1:35">
      <c r="A1171" s="37" t="s">
        <v>3762</v>
      </c>
      <c r="B1171" s="38">
        <v>45387</v>
      </c>
      <c r="C1171" s="39">
        <f t="shared" si="288"/>
        <v>45387</v>
      </c>
      <c r="D1171" s="40" t="s">
        <v>633</v>
      </c>
      <c r="E1171" s="37" t="str" cm="1">
        <f t="array" ref="E1171">_xlfn.IFS(D1171="delhi","north",D1171="mumbai","west",D1171="bengaluru","south",D1171="chennai","south",D1171="kolkata","east",TRUE,"west")</f>
        <v>south</v>
      </c>
      <c r="F1171" s="37" t="s">
        <v>98</v>
      </c>
      <c r="G1171" s="37" t="str">
        <f t="shared" si="289"/>
        <v>dtdc</v>
      </c>
      <c r="H1171" s="37" t="s">
        <v>137</v>
      </c>
      <c r="I1171" s="37" t="str">
        <f t="shared" si="290"/>
        <v>road</v>
      </c>
      <c r="J1171" s="37" t="s">
        <v>231</v>
      </c>
      <c r="K1171" s="37" t="str">
        <f t="shared" si="291"/>
        <v>furniture</v>
      </c>
      <c r="L1171" s="37" t="s">
        <v>197</v>
      </c>
      <c r="M1171" s="37" t="str">
        <f t="shared" si="292"/>
        <v>south</v>
      </c>
      <c r="N1171" s="37" t="s">
        <v>93</v>
      </c>
      <c r="O1171" s="41" t="str">
        <f t="shared" si="293"/>
        <v>Yes</v>
      </c>
      <c r="P1171" s="41" t="s">
        <v>3764</v>
      </c>
      <c r="Q1171" s="41">
        <v>972</v>
      </c>
      <c r="R1171" s="42">
        <f t="shared" si="294"/>
        <v>13.9856115107914</v>
      </c>
      <c r="S1171" s="37">
        <v>6</v>
      </c>
      <c r="T1171" s="37" t="s">
        <v>316</v>
      </c>
      <c r="U1171" s="43" t="str">
        <f t="shared" si="295"/>
        <v>10/04/2024</v>
      </c>
      <c r="V1171" s="43">
        <f t="shared" si="296"/>
        <v>45392</v>
      </c>
      <c r="W1171" s="44">
        <f t="array" ref="W1171">_xlfn.IFS(TRIM(C1171)="","",TRIM(V1171)="","",TRUE,V1171-C1171)</f>
        <v>5</v>
      </c>
      <c r="X1171" s="37">
        <f t="shared" si="297"/>
        <v>-1</v>
      </c>
      <c r="Y1171" s="37" t="s">
        <v>105</v>
      </c>
      <c r="Z1171" s="37" t="str">
        <f t="shared" si="298"/>
        <v>delivered</v>
      </c>
      <c r="AA1171" s="37" t="str">
        <f t="shared" si="299"/>
        <v>On Time</v>
      </c>
      <c r="AB1171" s="37" t="str">
        <f t="shared" si="302"/>
        <v>0</v>
      </c>
      <c r="AC1171" s="37">
        <f t="shared" si="303"/>
        <v>0</v>
      </c>
      <c r="AD1171" s="45">
        <f t="shared" si="301"/>
        <v>0.53864168618267</v>
      </c>
      <c r="AE1171" s="37">
        <v>4</v>
      </c>
      <c r="AF1171" s="37" t="s">
        <v>181</v>
      </c>
      <c r="AG1171" s="37" t="str">
        <f t="shared" si="300"/>
        <v>y</v>
      </c>
      <c r="AH1171" s="37" t="str">
        <f t="array" ref="AH1171">_xlfn.IFS(LOWER(AG1171)="n","no",LOWER(AG1171)="y","yes",TRUE,LOWER(AG1171))</f>
        <v>yes</v>
      </c>
      <c r="AI1171" s="37" t="s">
        <v>4692</v>
      </c>
    </row>
    <row r="1172" spans="1:35">
      <c r="A1172" s="46" t="s">
        <v>3766</v>
      </c>
      <c r="B1172" s="47">
        <v>45332</v>
      </c>
      <c r="C1172" s="39">
        <f t="shared" si="288"/>
        <v>45332</v>
      </c>
      <c r="D1172" s="48" t="s">
        <v>366</v>
      </c>
      <c r="E1172" s="37" t="str" cm="1">
        <f t="array" ref="E1172">_xlfn.IFS(D1172="delhi","north",D1172="mumbai","west",D1172="bengaluru","south",D1172="chennai","south",D1172="kolkata","east",TRUE,"west")</f>
        <v>east</v>
      </c>
      <c r="F1172" s="46" t="s">
        <v>230</v>
      </c>
      <c r="G1172" s="37" t="str">
        <f t="shared" si="289"/>
        <v>dtdc</v>
      </c>
      <c r="H1172" s="46" t="s">
        <v>224</v>
      </c>
      <c r="I1172" s="37" t="str">
        <f t="shared" si="290"/>
        <v>air</v>
      </c>
      <c r="J1172" s="46" t="s">
        <v>148</v>
      </c>
      <c r="K1172" s="37" t="str">
        <f t="shared" si="291"/>
        <v>electronics</v>
      </c>
      <c r="L1172" s="46" t="s">
        <v>470</v>
      </c>
      <c r="M1172" s="37" t="str">
        <f t="shared" si="292"/>
        <v>east</v>
      </c>
      <c r="N1172" s="46" t="s">
        <v>91</v>
      </c>
      <c r="O1172" s="41" t="str">
        <f t="shared" si="293"/>
        <v>Yes</v>
      </c>
      <c r="P1172" s="49">
        <v>2.3</v>
      </c>
      <c r="Q1172" s="49">
        <v>132</v>
      </c>
      <c r="R1172" s="42">
        <f t="shared" si="294"/>
        <v>57.3913043478261</v>
      </c>
      <c r="S1172" s="46">
        <v>2</v>
      </c>
      <c r="T1172" s="46" t="s">
        <v>1224</v>
      </c>
      <c r="U1172" s="43" t="str">
        <f t="shared" si="295"/>
        <v>21-feb-2024</v>
      </c>
      <c r="V1172" s="43">
        <f t="shared" si="296"/>
        <v>45343</v>
      </c>
      <c r="W1172" s="44">
        <f t="array" ref="W1172">_xlfn.IFS(TRIM(C1172)="","",TRIM(V1172)="","",TRUE,V1172-C1172)</f>
        <v>11</v>
      </c>
      <c r="X1172" s="37">
        <f t="shared" si="297"/>
        <v>9</v>
      </c>
      <c r="Y1172" s="46" t="s">
        <v>200</v>
      </c>
      <c r="Z1172" s="37" t="str">
        <f t="shared" si="298"/>
        <v>delayed</v>
      </c>
      <c r="AA1172" s="37" t="str">
        <f t="shared" si="299"/>
        <v>Late</v>
      </c>
      <c r="AB1172" s="37" t="str">
        <f t="shared" si="302"/>
        <v>1</v>
      </c>
      <c r="AC1172" s="37">
        <f t="shared" si="303"/>
        <v>1</v>
      </c>
      <c r="AD1172" s="45">
        <f t="shared" si="301"/>
        <v>0.539906103286385</v>
      </c>
      <c r="AE1172" s="46">
        <v>3</v>
      </c>
      <c r="AF1172" s="46" t="s">
        <v>286</v>
      </c>
      <c r="AG1172" s="37" t="str">
        <f t="shared" si="300"/>
        <v>yes</v>
      </c>
      <c r="AH1172" s="37" t="str">
        <f t="array" ref="AH1172">_xlfn.IFS(LOWER(AG1172)="n","no",LOWER(AG1172)="y","yes",TRUE,LOWER(AG1172))</f>
        <v>yes</v>
      </c>
      <c r="AI1172" s="46" t="s">
        <v>4692</v>
      </c>
    </row>
    <row r="1173" spans="1:35">
      <c r="A1173" s="37" t="s">
        <v>3768</v>
      </c>
      <c r="B1173" s="38">
        <v>45444</v>
      </c>
      <c r="C1173" s="39">
        <f t="shared" si="288"/>
        <v>45444</v>
      </c>
      <c r="D1173" s="40" t="s">
        <v>135</v>
      </c>
      <c r="E1173" s="37" t="str" cm="1">
        <f t="array" ref="E1173">_xlfn.IFS(D1173="delhi","north",D1173="mumbai","west",D1173="bengaluru","south",D1173="chennai","south",D1173="kolkata","east",TRUE,"west")</f>
        <v>west</v>
      </c>
      <c r="F1173" s="37" t="s">
        <v>352</v>
      </c>
      <c r="G1173" s="37" t="str">
        <f t="shared" si="289"/>
        <v>delhivery</v>
      </c>
      <c r="H1173" s="37" t="s">
        <v>137</v>
      </c>
      <c r="I1173" s="37" t="str">
        <f t="shared" si="290"/>
        <v>road</v>
      </c>
      <c r="J1173" s="37" t="s">
        <v>326</v>
      </c>
      <c r="K1173" s="37" t="str">
        <f t="shared" si="291"/>
        <v>apparel</v>
      </c>
      <c r="L1173" s="37" t="s">
        <v>346</v>
      </c>
      <c r="M1173" s="37" t="str">
        <f t="shared" si="292"/>
        <v>north</v>
      </c>
      <c r="N1173" s="37" t="s">
        <v>354</v>
      </c>
      <c r="O1173" s="41" t="str">
        <f t="shared" si="293"/>
        <v>Yes</v>
      </c>
      <c r="P1173" s="41">
        <v>0.9</v>
      </c>
      <c r="Q1173" s="41">
        <v>210</v>
      </c>
      <c r="R1173" s="42">
        <f t="shared" si="294"/>
        <v>233.333333333333</v>
      </c>
      <c r="S1173" s="37">
        <v>8</v>
      </c>
      <c r="T1173" s="37" t="s">
        <v>1072</v>
      </c>
      <c r="U1173" s="43" t="str">
        <f t="shared" si="295"/>
        <v>08/06/2024</v>
      </c>
      <c r="V1173" s="43">
        <f t="shared" si="296"/>
        <v>45451</v>
      </c>
      <c r="W1173" s="44">
        <f t="array" ref="W1173">_xlfn.IFS(TRIM(C1173)="","",TRIM(V1173)="","",TRUE,V1173-C1173)</f>
        <v>7</v>
      </c>
      <c r="X1173" s="37">
        <f t="shared" si="297"/>
        <v>-1</v>
      </c>
      <c r="Y1173" s="37" t="s">
        <v>817</v>
      </c>
      <c r="Z1173" s="37" t="str">
        <f t="shared" si="298"/>
        <v>returned</v>
      </c>
      <c r="AA1173" s="37" t="str">
        <f t="shared" si="299"/>
        <v>On Time</v>
      </c>
      <c r="AB1173" s="37" t="str">
        <f t="shared" si="302"/>
        <v>0</v>
      </c>
      <c r="AC1173" s="37">
        <f t="shared" si="303"/>
        <v>0</v>
      </c>
      <c r="AD1173" s="45">
        <f t="shared" si="301"/>
        <v>0.538823529411765</v>
      </c>
      <c r="AE1173" s="37"/>
      <c r="AF1173" s="37" t="s">
        <v>152</v>
      </c>
      <c r="AG1173" s="37" t="str">
        <f t="shared" si="300"/>
        <v>no</v>
      </c>
      <c r="AH1173" s="37" t="str">
        <f t="array" ref="AH1173">_xlfn.IFS(LOWER(AG1173)="n","no",LOWER(AG1173)="y","yes",TRUE,LOWER(AG1173))</f>
        <v>no</v>
      </c>
      <c r="AI1173" s="37" t="s">
        <v>818</v>
      </c>
    </row>
    <row r="1174" spans="1:35">
      <c r="A1174" s="37" t="s">
        <v>3769</v>
      </c>
      <c r="B1174" s="38" t="s">
        <v>4847</v>
      </c>
      <c r="C1174" s="39">
        <f t="shared" si="288"/>
        <v>45401</v>
      </c>
      <c r="D1174" s="40" t="s">
        <v>109</v>
      </c>
      <c r="E1174" s="37" t="str" cm="1">
        <f t="array" ref="E1174">_xlfn.IFS(D1174="delhi","north",D1174="mumbai","west",D1174="bengaluru","south",D1174="chennai","south",D1174="kolkata","east",TRUE,"west")</f>
        <v>west</v>
      </c>
      <c r="F1174" s="37" t="s">
        <v>270</v>
      </c>
      <c r="G1174" s="37" t="str">
        <f t="shared" si="289"/>
        <v>ecomexpress</v>
      </c>
      <c r="H1174" s="37" t="s">
        <v>195</v>
      </c>
      <c r="I1174" s="37" t="str">
        <f t="shared" si="290"/>
        <v>road</v>
      </c>
      <c r="J1174" s="37" t="s">
        <v>271</v>
      </c>
      <c r="K1174" s="37" t="str">
        <f t="shared" si="291"/>
        <v>electronics</v>
      </c>
      <c r="L1174" s="37" t="s">
        <v>264</v>
      </c>
      <c r="M1174" s="37" t="str">
        <f t="shared" si="292"/>
        <v>west</v>
      </c>
      <c r="N1174" s="37" t="s">
        <v>278</v>
      </c>
      <c r="O1174" s="41" t="str">
        <f t="shared" si="293"/>
        <v>Yes</v>
      </c>
      <c r="P1174" s="41">
        <v>6.8</v>
      </c>
      <c r="Q1174" s="41" t="s">
        <v>3771</v>
      </c>
      <c r="R1174" s="42">
        <f t="shared" si="294"/>
        <v>20.7352941176471</v>
      </c>
      <c r="S1174" s="37">
        <v>6</v>
      </c>
      <c r="T1174" s="37" t="s">
        <v>2933</v>
      </c>
      <c r="U1174" s="43" t="str">
        <f t="shared" si="295"/>
        <v>24/04/2024</v>
      </c>
      <c r="V1174" s="43">
        <f t="shared" si="296"/>
        <v>45406</v>
      </c>
      <c r="W1174" s="44">
        <f t="array" ref="W1174">_xlfn.IFS(TRIM(C1174)="","",TRIM(V1174)="","",TRUE,V1174-C1174)</f>
        <v>5</v>
      </c>
      <c r="X1174" s="37">
        <f t="shared" si="297"/>
        <v>-1</v>
      </c>
      <c r="Y1174" s="37" t="s">
        <v>163</v>
      </c>
      <c r="Z1174" s="37" t="str">
        <f t="shared" si="298"/>
        <v>delivered</v>
      </c>
      <c r="AA1174" s="37" t="str">
        <f t="shared" si="299"/>
        <v>On Time</v>
      </c>
      <c r="AB1174" s="37" t="str">
        <f t="shared" si="302"/>
        <v>0</v>
      </c>
      <c r="AC1174" s="37">
        <f t="shared" si="303"/>
        <v>0</v>
      </c>
      <c r="AD1174" s="45">
        <f t="shared" si="301"/>
        <v>0.540094339622642</v>
      </c>
      <c r="AE1174" s="37">
        <v>5</v>
      </c>
      <c r="AF1174" s="37" t="s">
        <v>131</v>
      </c>
      <c r="AG1174" s="37" t="str">
        <f t="shared" si="300"/>
        <v>n</v>
      </c>
      <c r="AH1174" s="37" t="str">
        <f t="array" ref="AH1174">_xlfn.IFS(LOWER(AG1174)="n","no",LOWER(AG1174)="y","yes",TRUE,LOWER(AG1174))</f>
        <v>no</v>
      </c>
      <c r="AI1174" s="37" t="s">
        <v>4692</v>
      </c>
    </row>
    <row r="1175" spans="1:35">
      <c r="A1175" s="46" t="s">
        <v>3772</v>
      </c>
      <c r="B1175" s="47">
        <v>45456</v>
      </c>
      <c r="C1175" s="39">
        <f t="shared" si="288"/>
        <v>45456</v>
      </c>
      <c r="D1175" s="48" t="s">
        <v>212</v>
      </c>
      <c r="E1175" s="37" t="str" cm="1">
        <f t="array" ref="E1175">_xlfn.IFS(D1175="delhi","north",D1175="mumbai","west",D1175="bengaluru","south",D1175="chennai","south",D1175="kolkata","east",TRUE,"west")</f>
        <v>west</v>
      </c>
      <c r="F1175" s="46" t="s">
        <v>204</v>
      </c>
      <c r="G1175" s="37" t="str">
        <f t="shared" si="289"/>
        <v>delhivery</v>
      </c>
      <c r="H1175" s="46" t="s">
        <v>185</v>
      </c>
      <c r="I1175" s="37" t="str">
        <f t="shared" si="290"/>
        <v>surface</v>
      </c>
      <c r="J1175" s="46" t="s">
        <v>271</v>
      </c>
      <c r="K1175" s="37" t="str">
        <f t="shared" si="291"/>
        <v>electronics</v>
      </c>
      <c r="L1175" s="46" t="s">
        <v>168</v>
      </c>
      <c r="M1175" s="37" t="str">
        <f t="shared" si="292"/>
        <v>west</v>
      </c>
      <c r="N1175" s="46" t="s">
        <v>88</v>
      </c>
      <c r="O1175" s="41" t="str">
        <f t="shared" si="293"/>
        <v>Yes</v>
      </c>
      <c r="P1175" s="49">
        <v>11.5</v>
      </c>
      <c r="Q1175" s="49">
        <v>236</v>
      </c>
      <c r="R1175" s="42">
        <f t="shared" si="294"/>
        <v>20.5217391304348</v>
      </c>
      <c r="S1175" s="46">
        <v>4</v>
      </c>
      <c r="T1175" s="46" t="s">
        <v>571</v>
      </c>
      <c r="U1175" s="43" t="str">
        <f t="shared" si="295"/>
        <v>17-jun-2024</v>
      </c>
      <c r="V1175" s="43">
        <f t="shared" si="296"/>
        <v>45460</v>
      </c>
      <c r="W1175" s="44">
        <f t="array" ref="W1175">_xlfn.IFS(TRIM(C1175)="","",TRIM(V1175)="","",TRUE,V1175-C1175)</f>
        <v>4</v>
      </c>
      <c r="X1175" s="37">
        <f t="shared" si="297"/>
        <v>0</v>
      </c>
      <c r="Y1175" s="46" t="s">
        <v>163</v>
      </c>
      <c r="Z1175" s="37" t="str">
        <f t="shared" si="298"/>
        <v>delivered</v>
      </c>
      <c r="AA1175" s="37" t="str">
        <f t="shared" si="299"/>
        <v>On Time</v>
      </c>
      <c r="AB1175" s="37" t="str">
        <f t="shared" si="302"/>
        <v>0</v>
      </c>
      <c r="AC1175" s="37">
        <f t="shared" si="303"/>
        <v>0</v>
      </c>
      <c r="AD1175" s="45">
        <f t="shared" si="301"/>
        <v>0.541371158392435</v>
      </c>
      <c r="AE1175" s="46">
        <v>5</v>
      </c>
      <c r="AF1175" s="46" t="s">
        <v>106</v>
      </c>
      <c r="AG1175" s="37" t="str">
        <f t="shared" si="300"/>
        <v>yes</v>
      </c>
      <c r="AH1175" s="37" t="str">
        <f t="array" ref="AH1175">_xlfn.IFS(LOWER(AG1175)="n","no",LOWER(AG1175)="y","yes",TRUE,LOWER(AG1175))</f>
        <v>yes</v>
      </c>
      <c r="AI1175" s="46" t="s">
        <v>4692</v>
      </c>
    </row>
    <row r="1176" spans="1:35">
      <c r="A1176" s="37" t="s">
        <v>3773</v>
      </c>
      <c r="B1176" s="38">
        <v>45424</v>
      </c>
      <c r="C1176" s="39">
        <f t="shared" si="288"/>
        <v>45424</v>
      </c>
      <c r="D1176" s="40" t="s">
        <v>424</v>
      </c>
      <c r="E1176" s="37" t="str" cm="1">
        <f t="array" ref="E1176">_xlfn.IFS(D1176="delhi","north",D1176="mumbai","west",D1176="bengaluru","south",D1176="chennai","south",D1176="kolkata","east",TRUE,"west")</f>
        <v>south</v>
      </c>
      <c r="F1176" s="37" t="s">
        <v>230</v>
      </c>
      <c r="G1176" s="37" t="str">
        <f t="shared" si="289"/>
        <v>dtdc</v>
      </c>
      <c r="H1176" s="37" t="s">
        <v>147</v>
      </c>
      <c r="I1176" s="37" t="str">
        <f t="shared" si="290"/>
        <v>road</v>
      </c>
      <c r="J1176" s="37" t="s">
        <v>313</v>
      </c>
      <c r="K1176" s="37" t="str">
        <f t="shared" si="291"/>
        <v>automotiveparts</v>
      </c>
      <c r="L1176" s="37" t="s">
        <v>334</v>
      </c>
      <c r="M1176" s="37" t="str">
        <f t="shared" si="292"/>
        <v>north</v>
      </c>
      <c r="N1176" s="37" t="s">
        <v>32</v>
      </c>
      <c r="O1176" s="41" t="str">
        <f t="shared" si="293"/>
        <v>Yes</v>
      </c>
      <c r="P1176" s="41">
        <v>11.1</v>
      </c>
      <c r="Q1176" s="41" t="s">
        <v>3775</v>
      </c>
      <c r="R1176" s="42">
        <f t="shared" si="294"/>
        <v>28.2882882882883</v>
      </c>
      <c r="S1176" s="37">
        <v>8</v>
      </c>
      <c r="T1176" s="37" t="s">
        <v>2720</v>
      </c>
      <c r="U1176" s="43" t="str">
        <f t="shared" si="295"/>
        <v>20/05/2024</v>
      </c>
      <c r="V1176" s="43">
        <f t="shared" si="296"/>
        <v>45432</v>
      </c>
      <c r="W1176" s="44">
        <f t="array" ref="W1176">_xlfn.IFS(TRIM(C1176)="","",TRIM(V1176)="","",TRUE,V1176-C1176)</f>
        <v>8</v>
      </c>
      <c r="X1176" s="37">
        <f t="shared" si="297"/>
        <v>0</v>
      </c>
      <c r="Y1176" s="37" t="s">
        <v>117</v>
      </c>
      <c r="Z1176" s="37" t="str">
        <f t="shared" si="298"/>
        <v>delivered</v>
      </c>
      <c r="AA1176" s="37" t="str">
        <f t="shared" si="299"/>
        <v>On Time</v>
      </c>
      <c r="AB1176" s="37" t="str">
        <f t="shared" si="302"/>
        <v>0</v>
      </c>
      <c r="AC1176" s="37">
        <f t="shared" si="303"/>
        <v>0</v>
      </c>
      <c r="AD1176" s="45">
        <f t="shared" si="301"/>
        <v>0.542654028436019</v>
      </c>
      <c r="AE1176" s="37">
        <v>5</v>
      </c>
      <c r="AF1176" s="37" t="s">
        <v>79</v>
      </c>
      <c r="AG1176" s="37" t="str">
        <f t="shared" si="300"/>
        <v>yes</v>
      </c>
      <c r="AH1176" s="37" t="str">
        <f t="array" ref="AH1176">_xlfn.IFS(LOWER(AG1176)="n","no",LOWER(AG1176)="y","yes",TRUE,LOWER(AG1176))</f>
        <v>yes</v>
      </c>
      <c r="AI1176" s="37" t="s">
        <v>4692</v>
      </c>
    </row>
    <row r="1177" spans="1:35">
      <c r="A1177" s="46" t="s">
        <v>3776</v>
      </c>
      <c r="B1177" s="47" t="s">
        <v>4848</v>
      </c>
      <c r="C1177" s="39">
        <f t="shared" si="288"/>
        <v>45449</v>
      </c>
      <c r="D1177" s="48" t="s">
        <v>212</v>
      </c>
      <c r="E1177" s="37" t="str" cm="1">
        <f t="array" ref="E1177">_xlfn.IFS(D1177="delhi","north",D1177="mumbai","west",D1177="bengaluru","south",D1177="chennai","south",D1177="kolkata","east",TRUE,"west")</f>
        <v>west</v>
      </c>
      <c r="F1177" s="46" t="s">
        <v>175</v>
      </c>
      <c r="G1177" s="37" t="str">
        <f t="shared" si="289"/>
        <v>ecomexpress</v>
      </c>
      <c r="H1177" s="46" t="s">
        <v>345</v>
      </c>
      <c r="I1177" s="37" t="str">
        <f t="shared" si="290"/>
        <v>surface</v>
      </c>
      <c r="J1177" s="46" t="s">
        <v>612</v>
      </c>
      <c r="K1177" s="37" t="str">
        <f t="shared" si="291"/>
        <v>grocery&amp;fmcg</v>
      </c>
      <c r="L1177" s="46" t="s">
        <v>168</v>
      </c>
      <c r="M1177" s="37" t="str">
        <f t="shared" si="292"/>
        <v>west</v>
      </c>
      <c r="N1177" s="46" t="s">
        <v>206</v>
      </c>
      <c r="O1177" s="41" t="str">
        <f t="shared" si="293"/>
        <v>Yes</v>
      </c>
      <c r="P1177" s="49">
        <v>13</v>
      </c>
      <c r="Q1177" s="49" t="s">
        <v>629</v>
      </c>
      <c r="R1177" s="42">
        <f t="shared" si="294"/>
        <v>21.4615384615385</v>
      </c>
      <c r="S1177" s="46">
        <v>4</v>
      </c>
      <c r="T1177" s="46" t="s">
        <v>1814</v>
      </c>
      <c r="U1177" s="43" t="str">
        <f t="shared" si="295"/>
        <v>09-jun-2024</v>
      </c>
      <c r="V1177" s="43">
        <f t="shared" si="296"/>
        <v>45452</v>
      </c>
      <c r="W1177" s="44">
        <f t="array" ref="W1177">_xlfn.IFS(TRIM(C1177)="","",TRIM(V1177)="","",TRUE,V1177-C1177)</f>
        <v>3</v>
      </c>
      <c r="X1177" s="37">
        <f t="shared" si="297"/>
        <v>-1</v>
      </c>
      <c r="Y1177" s="46" t="s">
        <v>117</v>
      </c>
      <c r="Z1177" s="37" t="str">
        <f t="shared" si="298"/>
        <v>delivered</v>
      </c>
      <c r="AA1177" s="37" t="str">
        <f t="shared" si="299"/>
        <v>On Time</v>
      </c>
      <c r="AB1177" s="37" t="str">
        <f t="shared" si="302"/>
        <v>0</v>
      </c>
      <c r="AC1177" s="37">
        <f t="shared" si="303"/>
        <v>0</v>
      </c>
      <c r="AD1177" s="45">
        <f t="shared" si="301"/>
        <v>0.543942992874109</v>
      </c>
      <c r="AE1177" s="46">
        <v>3</v>
      </c>
      <c r="AF1177" s="46" t="s">
        <v>131</v>
      </c>
      <c r="AG1177" s="37" t="str">
        <f t="shared" si="300"/>
        <v>n</v>
      </c>
      <c r="AH1177" s="37" t="str">
        <f t="array" ref="AH1177">_xlfn.IFS(LOWER(AG1177)="n","no",LOWER(AG1177)="y","yes",TRUE,LOWER(AG1177))</f>
        <v>no</v>
      </c>
      <c r="AI1177" s="46" t="s">
        <v>4692</v>
      </c>
    </row>
    <row r="1178" spans="1:35">
      <c r="A1178" s="37" t="s">
        <v>3778</v>
      </c>
      <c r="B1178" s="38" t="s">
        <v>4769</v>
      </c>
      <c r="C1178" s="39">
        <f t="shared" si="288"/>
        <v>45404</v>
      </c>
      <c r="D1178" s="40" t="s">
        <v>4699</v>
      </c>
      <c r="E1178" s="37" t="str" cm="1">
        <f t="array" ref="E1178">_xlfn.IFS(D1178="delhi","north",D1178="mumbai","west",D1178="bengaluru","south",D1178="chennai","south",D1178="kolkata","east",TRUE,"west")</f>
        <v>west</v>
      </c>
      <c r="F1178" s="37" t="s">
        <v>312</v>
      </c>
      <c r="G1178" s="37" t="str">
        <f t="shared" si="289"/>
        <v>bluedart</v>
      </c>
      <c r="H1178" s="37" t="s">
        <v>137</v>
      </c>
      <c r="I1178" s="37" t="str">
        <f t="shared" si="290"/>
        <v>road</v>
      </c>
      <c r="J1178" s="37" t="s">
        <v>100</v>
      </c>
      <c r="K1178" s="37" t="str">
        <f t="shared" si="291"/>
        <v>electronics</v>
      </c>
      <c r="L1178" s="37" t="s">
        <v>380</v>
      </c>
      <c r="M1178" s="37" t="str">
        <f t="shared" si="292"/>
        <v>east</v>
      </c>
      <c r="N1178" s="37" t="s">
        <v>91</v>
      </c>
      <c r="O1178" s="41" t="str">
        <f t="shared" si="293"/>
        <v>Yes</v>
      </c>
      <c r="P1178" s="41">
        <v>9.9</v>
      </c>
      <c r="Q1178" s="41">
        <v>288</v>
      </c>
      <c r="R1178" s="42">
        <f t="shared" si="294"/>
        <v>29.0909090909091</v>
      </c>
      <c r="S1178" s="37">
        <v>8</v>
      </c>
      <c r="T1178" s="37" t="s">
        <v>1050</v>
      </c>
      <c r="U1178" s="43" t="str">
        <f t="shared" si="295"/>
        <v>2024-05-08</v>
      </c>
      <c r="V1178" s="43">
        <f t="shared" si="296"/>
        <v>45420</v>
      </c>
      <c r="W1178" s="44">
        <f t="array" ref="W1178">_xlfn.IFS(TRIM(C1178)="","",TRIM(V1178)="","",TRUE,V1178-C1178)</f>
        <v>16</v>
      </c>
      <c r="X1178" s="37">
        <f t="shared" si="297"/>
        <v>8</v>
      </c>
      <c r="Y1178" s="37" t="s">
        <v>72</v>
      </c>
      <c r="Z1178" s="37" t="str">
        <f t="shared" si="298"/>
        <v>delayed</v>
      </c>
      <c r="AA1178" s="37" t="str">
        <f t="shared" si="299"/>
        <v>Late</v>
      </c>
      <c r="AB1178" s="37" t="str">
        <f t="shared" si="302"/>
        <v>1</v>
      </c>
      <c r="AC1178" s="37">
        <f t="shared" si="303"/>
        <v>1</v>
      </c>
      <c r="AD1178" s="45">
        <f t="shared" si="301"/>
        <v>0.545238095238095</v>
      </c>
      <c r="AE1178" s="37">
        <v>4</v>
      </c>
      <c r="AF1178" s="37" t="s">
        <v>181</v>
      </c>
      <c r="AG1178" s="37" t="str">
        <f t="shared" si="300"/>
        <v>y</v>
      </c>
      <c r="AH1178" s="37" t="str">
        <f t="array" ref="AH1178">_xlfn.IFS(LOWER(AG1178)="n","no",LOWER(AG1178)="y","yes",TRUE,LOWER(AG1178))</f>
        <v>yes</v>
      </c>
      <c r="AI1178" s="37" t="s">
        <v>4692</v>
      </c>
    </row>
    <row r="1179" spans="1:35">
      <c r="A1179" s="46" t="s">
        <v>3780</v>
      </c>
      <c r="B1179" s="47">
        <v>45370</v>
      </c>
      <c r="C1179" s="39">
        <f t="shared" si="288"/>
        <v>45370</v>
      </c>
      <c r="D1179" s="48" t="s">
        <v>633</v>
      </c>
      <c r="E1179" s="37" t="str" cm="1">
        <f t="array" ref="E1179">_xlfn.IFS(D1179="delhi","north",D1179="mumbai","west",D1179="bengaluru","south",D1179="chennai","south",D1179="kolkata","east",TRUE,"west")</f>
        <v>south</v>
      </c>
      <c r="F1179" s="46" t="s">
        <v>919</v>
      </c>
      <c r="G1179" s="37" t="str">
        <f t="shared" si="289"/>
        <v>xpressbees</v>
      </c>
      <c r="H1179" s="46" t="s">
        <v>440</v>
      </c>
      <c r="I1179" s="37" t="str">
        <f t="shared" si="290"/>
        <v>road</v>
      </c>
      <c r="J1179" s="46" t="s">
        <v>138</v>
      </c>
      <c r="K1179" s="37" t="str">
        <f t="shared" si="291"/>
        <v>apparel</v>
      </c>
      <c r="L1179" s="46" t="s">
        <v>197</v>
      </c>
      <c r="M1179" s="37" t="str">
        <f t="shared" si="292"/>
        <v>south</v>
      </c>
      <c r="N1179" s="46" t="s">
        <v>54</v>
      </c>
      <c r="O1179" s="41" t="str">
        <f t="shared" si="293"/>
        <v>Yes</v>
      </c>
      <c r="P1179" s="49" t="s">
        <v>583</v>
      </c>
      <c r="Q1179" s="49">
        <v>111</v>
      </c>
      <c r="R1179" s="42">
        <f t="shared" si="294"/>
        <v>16.3235294117647</v>
      </c>
      <c r="S1179" s="46">
        <v>6</v>
      </c>
      <c r="T1179" s="46" t="s">
        <v>1755</v>
      </c>
      <c r="U1179" s="43" t="str">
        <f t="shared" si="295"/>
        <v>24/03/2024</v>
      </c>
      <c r="V1179" s="43">
        <f t="shared" si="296"/>
        <v>45375</v>
      </c>
      <c r="W1179" s="44">
        <f t="array" ref="W1179">_xlfn.IFS(TRIM(C1179)="","",TRIM(V1179)="","",TRUE,V1179-C1179)</f>
        <v>5</v>
      </c>
      <c r="X1179" s="37">
        <f t="shared" si="297"/>
        <v>-1</v>
      </c>
      <c r="Y1179" s="46" t="s">
        <v>219</v>
      </c>
      <c r="Z1179" s="37" t="str">
        <f t="shared" si="298"/>
        <v>delivered</v>
      </c>
      <c r="AA1179" s="37" t="str">
        <f t="shared" si="299"/>
        <v>On Time</v>
      </c>
      <c r="AB1179" s="37" t="str">
        <f t="shared" si="302"/>
        <v>0</v>
      </c>
      <c r="AC1179" s="37">
        <f t="shared" si="303"/>
        <v>0</v>
      </c>
      <c r="AD1179" s="45">
        <f t="shared" si="301"/>
        <v>0.544152744630072</v>
      </c>
      <c r="AE1179" s="46">
        <v>5</v>
      </c>
      <c r="AF1179" s="46" t="s">
        <v>79</v>
      </c>
      <c r="AG1179" s="37" t="str">
        <f t="shared" si="300"/>
        <v>yes</v>
      </c>
      <c r="AH1179" s="37" t="str">
        <f t="array" ref="AH1179">_xlfn.IFS(LOWER(AG1179)="n","no",LOWER(AG1179)="y","yes",TRUE,LOWER(AG1179))</f>
        <v>yes</v>
      </c>
      <c r="AI1179" s="46" t="s">
        <v>4692</v>
      </c>
    </row>
    <row r="1180" spans="1:35">
      <c r="A1180" s="37" t="s">
        <v>3782</v>
      </c>
      <c r="B1180" s="38">
        <v>45304</v>
      </c>
      <c r="C1180" s="39">
        <f t="shared" si="288"/>
        <v>45304</v>
      </c>
      <c r="D1180" s="40" t="s">
        <v>633</v>
      </c>
      <c r="E1180" s="37" t="str" cm="1">
        <f t="array" ref="E1180">_xlfn.IFS(D1180="delhi","north",D1180="mumbai","west",D1180="bengaluru","south",D1180="chennai","south",D1180="kolkata","east",TRUE,"west")</f>
        <v>south</v>
      </c>
      <c r="F1180" s="37" t="s">
        <v>37</v>
      </c>
      <c r="G1180" s="37" t="str">
        <f t="shared" si="289"/>
        <v>bluedart</v>
      </c>
      <c r="H1180" s="37" t="s">
        <v>185</v>
      </c>
      <c r="I1180" s="37" t="str">
        <f t="shared" si="290"/>
        <v>surface</v>
      </c>
      <c r="J1180" s="37" t="s">
        <v>353</v>
      </c>
      <c r="K1180" s="37" t="str">
        <f t="shared" si="291"/>
        <v>automotiveparts</v>
      </c>
      <c r="L1180" s="37" t="s">
        <v>168</v>
      </c>
      <c r="M1180" s="37" t="str">
        <f t="shared" si="292"/>
        <v>west</v>
      </c>
      <c r="N1180" s="37" t="s">
        <v>88</v>
      </c>
      <c r="O1180" s="41" t="str">
        <f t="shared" si="293"/>
        <v>Yes</v>
      </c>
      <c r="P1180" s="41">
        <v>13.2</v>
      </c>
      <c r="Q1180" s="41">
        <v>490</v>
      </c>
      <c r="R1180" s="42">
        <f t="shared" si="294"/>
        <v>37.1212121212121</v>
      </c>
      <c r="S1180" s="37">
        <v>6</v>
      </c>
      <c r="T1180" s="37" t="s">
        <v>967</v>
      </c>
      <c r="U1180" s="43" t="str">
        <f t="shared" si="295"/>
        <v>2024-01-20</v>
      </c>
      <c r="V1180" s="43">
        <f t="shared" si="296"/>
        <v>45311</v>
      </c>
      <c r="W1180" s="44">
        <f t="array" ref="W1180">_xlfn.IFS(TRIM(C1180)="","",TRIM(V1180)="","",TRUE,V1180-C1180)</f>
        <v>7</v>
      </c>
      <c r="X1180" s="37">
        <f t="shared" si="297"/>
        <v>1</v>
      </c>
      <c r="Y1180" s="37" t="s">
        <v>172</v>
      </c>
      <c r="Z1180" s="37" t="str">
        <f t="shared" si="298"/>
        <v>delayed</v>
      </c>
      <c r="AA1180" s="37" t="str">
        <f t="shared" si="299"/>
        <v>Late</v>
      </c>
      <c r="AB1180" s="37" t="str">
        <f t="shared" si="302"/>
        <v>1</v>
      </c>
      <c r="AC1180" s="37">
        <f t="shared" si="303"/>
        <v>1</v>
      </c>
      <c r="AD1180" s="45">
        <f t="shared" si="301"/>
        <v>0.545454545454545</v>
      </c>
      <c r="AE1180" s="37">
        <v>2</v>
      </c>
      <c r="AF1180" s="37" t="s">
        <v>191</v>
      </c>
      <c r="AG1180" s="37" t="str">
        <f t="shared" si="300"/>
        <v>no</v>
      </c>
      <c r="AH1180" s="37" t="str">
        <f t="array" ref="AH1180">_xlfn.IFS(LOWER(AG1180)="n","no",LOWER(AG1180)="y","yes",TRUE,LOWER(AG1180))</f>
        <v>no</v>
      </c>
      <c r="AI1180" s="37" t="s">
        <v>4692</v>
      </c>
    </row>
    <row r="1181" spans="1:35">
      <c r="A1181" s="46" t="s">
        <v>3784</v>
      </c>
      <c r="B1181" s="47">
        <v>45468</v>
      </c>
      <c r="C1181" s="39">
        <f t="shared" si="288"/>
        <v>45468</v>
      </c>
      <c r="D1181" s="48" t="s">
        <v>166</v>
      </c>
      <c r="E1181" s="37" t="str" cm="1">
        <f t="array" ref="E1181">_xlfn.IFS(D1181="delhi","north",D1181="mumbai","west",D1181="bengaluru","south",D1181="chennai","south",D1181="kolkata","east",TRUE,"west")</f>
        <v>west</v>
      </c>
      <c r="F1181" s="46" t="s">
        <v>37</v>
      </c>
      <c r="G1181" s="37" t="str">
        <f t="shared" si="289"/>
        <v>bluedart</v>
      </c>
      <c r="H1181" s="46" t="s">
        <v>123</v>
      </c>
      <c r="I1181" s="37" t="str">
        <f t="shared" si="290"/>
        <v>air</v>
      </c>
      <c r="J1181" s="46" t="s">
        <v>237</v>
      </c>
      <c r="K1181" s="37" t="str">
        <f t="shared" si="291"/>
        <v>automotiveparts</v>
      </c>
      <c r="L1181" s="46" t="s">
        <v>401</v>
      </c>
      <c r="M1181" s="37" t="str">
        <f t="shared" si="292"/>
        <v>south</v>
      </c>
      <c r="N1181" s="46" t="s">
        <v>93</v>
      </c>
      <c r="O1181" s="41" t="str">
        <f t="shared" si="293"/>
        <v>Yes</v>
      </c>
      <c r="P1181" s="49">
        <v>22.2</v>
      </c>
      <c r="Q1181" s="49">
        <v>1177</v>
      </c>
      <c r="R1181" s="42">
        <f t="shared" si="294"/>
        <v>53.018018018018</v>
      </c>
      <c r="S1181" s="46">
        <v>4</v>
      </c>
      <c r="T1181" s="46" t="s">
        <v>772</v>
      </c>
      <c r="U1181" s="43" t="str">
        <f t="shared" si="295"/>
        <v>03-jul-2024</v>
      </c>
      <c r="V1181" s="43">
        <f t="shared" si="296"/>
        <v>45476</v>
      </c>
      <c r="W1181" s="44">
        <f t="array" ref="W1181">_xlfn.IFS(TRIM(C1181)="","",TRIM(V1181)="","",TRUE,V1181-C1181)</f>
        <v>8</v>
      </c>
      <c r="X1181" s="37">
        <f t="shared" si="297"/>
        <v>4</v>
      </c>
      <c r="Y1181" s="46" t="s">
        <v>172</v>
      </c>
      <c r="Z1181" s="37" t="str">
        <f t="shared" si="298"/>
        <v>delayed</v>
      </c>
      <c r="AA1181" s="37" t="str">
        <f t="shared" si="299"/>
        <v>Late</v>
      </c>
      <c r="AB1181" s="37" t="str">
        <f t="shared" si="302"/>
        <v>1</v>
      </c>
      <c r="AC1181" s="37">
        <f t="shared" si="303"/>
        <v>1</v>
      </c>
      <c r="AD1181" s="45">
        <f t="shared" si="301"/>
        <v>0.544364508393285</v>
      </c>
      <c r="AE1181" s="46">
        <v>4</v>
      </c>
      <c r="AF1181" s="46" t="s">
        <v>106</v>
      </c>
      <c r="AG1181" s="37" t="str">
        <f t="shared" si="300"/>
        <v>yes</v>
      </c>
      <c r="AH1181" s="37" t="str">
        <f t="array" ref="AH1181">_xlfn.IFS(LOWER(AG1181)="n","no",LOWER(AG1181)="y","yes",TRUE,LOWER(AG1181))</f>
        <v>yes</v>
      </c>
      <c r="AI1181" s="46" t="s">
        <v>4692</v>
      </c>
    </row>
    <row r="1182" spans="1:35">
      <c r="A1182" s="37" t="s">
        <v>3787</v>
      </c>
      <c r="B1182" s="38">
        <v>45296</v>
      </c>
      <c r="C1182" s="39">
        <f t="shared" si="288"/>
        <v>45296</v>
      </c>
      <c r="D1182" s="40" t="s">
        <v>633</v>
      </c>
      <c r="E1182" s="37" t="str" cm="1">
        <f t="array" ref="E1182">_xlfn.IFS(D1182="delhi","north",D1182="mumbai","west",D1182="bengaluru","south",D1182="chennai","south",D1182="kolkata","east",TRUE,"west")</f>
        <v>south</v>
      </c>
      <c r="F1182" s="37" t="s">
        <v>37</v>
      </c>
      <c r="G1182" s="37" t="str">
        <f t="shared" si="289"/>
        <v>bluedart</v>
      </c>
      <c r="H1182" s="37" t="s">
        <v>137</v>
      </c>
      <c r="I1182" s="37" t="str">
        <f t="shared" si="290"/>
        <v>road</v>
      </c>
      <c r="J1182" s="37" t="s">
        <v>319</v>
      </c>
      <c r="K1182" s="37" t="str">
        <f t="shared" si="291"/>
        <v>electronics</v>
      </c>
      <c r="L1182" s="37" t="s">
        <v>51</v>
      </c>
      <c r="M1182" s="37" t="str">
        <f t="shared" si="292"/>
        <v>south</v>
      </c>
      <c r="N1182" s="37" t="s">
        <v>327</v>
      </c>
      <c r="O1182" s="41" t="str">
        <f t="shared" si="293"/>
        <v>Yes</v>
      </c>
      <c r="P1182" s="41" t="s">
        <v>1382</v>
      </c>
      <c r="Q1182" s="41">
        <v>133</v>
      </c>
      <c r="R1182" s="42">
        <f t="shared" si="294"/>
        <v>20.1515151515152</v>
      </c>
      <c r="S1182" s="37">
        <v>6</v>
      </c>
      <c r="T1182" s="37" t="s">
        <v>851</v>
      </c>
      <c r="U1182" s="43" t="str">
        <f t="shared" si="295"/>
        <v>10/01/2024</v>
      </c>
      <c r="V1182" s="43">
        <f t="shared" si="296"/>
        <v>45301</v>
      </c>
      <c r="W1182" s="44">
        <f t="array" ref="W1182">_xlfn.IFS(TRIM(C1182)="","",TRIM(V1182)="","",TRUE,V1182-C1182)</f>
        <v>5</v>
      </c>
      <c r="X1182" s="37">
        <f t="shared" si="297"/>
        <v>-1</v>
      </c>
      <c r="Y1182" s="37" t="s">
        <v>219</v>
      </c>
      <c r="Z1182" s="37" t="str">
        <f t="shared" si="298"/>
        <v>delivered</v>
      </c>
      <c r="AA1182" s="37" t="str">
        <f t="shared" si="299"/>
        <v>On Time</v>
      </c>
      <c r="AB1182" s="37" t="str">
        <f t="shared" si="302"/>
        <v>0</v>
      </c>
      <c r="AC1182" s="37">
        <f t="shared" si="303"/>
        <v>0</v>
      </c>
      <c r="AD1182" s="45">
        <f t="shared" si="301"/>
        <v>0.543269230769231</v>
      </c>
      <c r="AE1182" s="37">
        <v>1</v>
      </c>
      <c r="AF1182" s="37" t="s">
        <v>106</v>
      </c>
      <c r="AG1182" s="37" t="str">
        <f t="shared" si="300"/>
        <v>yes</v>
      </c>
      <c r="AH1182" s="37" t="str">
        <f t="array" ref="AH1182">_xlfn.IFS(LOWER(AG1182)="n","no",LOWER(AG1182)="y","yes",TRUE,LOWER(AG1182))</f>
        <v>yes</v>
      </c>
      <c r="AI1182" s="37" t="s">
        <v>4692</v>
      </c>
    </row>
    <row r="1183" spans="1:35">
      <c r="A1183" s="46" t="s">
        <v>3789</v>
      </c>
      <c r="B1183" s="47">
        <v>45385</v>
      </c>
      <c r="C1183" s="39">
        <f t="shared" si="288"/>
        <v>45385</v>
      </c>
      <c r="D1183" s="48" t="s">
        <v>300</v>
      </c>
      <c r="E1183" s="37" t="str" cm="1">
        <f t="array" ref="E1183">_xlfn.IFS(D1183="delhi","north",D1183="mumbai","west",D1183="bengaluru","south",D1183="chennai","south",D1183="kolkata","east",TRUE,"west")</f>
        <v>west</v>
      </c>
      <c r="F1183" s="46" t="s">
        <v>156</v>
      </c>
      <c r="G1183" s="37" t="str">
        <f t="shared" si="289"/>
        <v>xpressbees</v>
      </c>
      <c r="H1183" s="46" t="s">
        <v>99</v>
      </c>
      <c r="I1183" s="37" t="str">
        <f t="shared" si="290"/>
        <v>air</v>
      </c>
      <c r="J1183" s="46" t="s">
        <v>385</v>
      </c>
      <c r="K1183" s="37" t="str">
        <f t="shared" si="291"/>
        <v>furniture</v>
      </c>
      <c r="L1183" s="46" t="s">
        <v>87</v>
      </c>
      <c r="M1183" s="37" t="str">
        <f t="shared" si="292"/>
        <v>north</v>
      </c>
      <c r="N1183" s="46" t="s">
        <v>32</v>
      </c>
      <c r="O1183" s="41" t="str">
        <f t="shared" si="293"/>
        <v>Yes</v>
      </c>
      <c r="P1183" s="49">
        <v>52.7</v>
      </c>
      <c r="Q1183" s="49">
        <v>2522</v>
      </c>
      <c r="R1183" s="42">
        <f t="shared" si="294"/>
        <v>47.8557874762808</v>
      </c>
      <c r="S1183" s="46">
        <v>4</v>
      </c>
      <c r="T1183" s="46" t="s">
        <v>339</v>
      </c>
      <c r="U1183" s="43" t="str">
        <f t="shared" si="295"/>
        <v>11/04/2024</v>
      </c>
      <c r="V1183" s="43">
        <f t="shared" si="296"/>
        <v>45393</v>
      </c>
      <c r="W1183" s="44">
        <f t="array" ref="W1183">_xlfn.IFS(TRIM(C1183)="","",TRIM(V1183)="","",TRUE,V1183-C1183)</f>
        <v>8</v>
      </c>
      <c r="X1183" s="37">
        <f t="shared" si="297"/>
        <v>4</v>
      </c>
      <c r="Y1183" s="46" t="s">
        <v>1513</v>
      </c>
      <c r="Z1183" s="37" t="str">
        <f t="shared" si="298"/>
        <v>damaged</v>
      </c>
      <c r="AA1183" s="37" t="str">
        <f t="shared" si="299"/>
        <v>Late</v>
      </c>
      <c r="AB1183" s="37" t="str">
        <f t="shared" si="302"/>
        <v>1</v>
      </c>
      <c r="AC1183" s="37">
        <f t="shared" si="303"/>
        <v>1</v>
      </c>
      <c r="AD1183" s="45">
        <f t="shared" si="301"/>
        <v>0.544578313253012</v>
      </c>
      <c r="AE1183" s="46"/>
      <c r="AF1183" s="46" t="s">
        <v>181</v>
      </c>
      <c r="AG1183" s="37" t="str">
        <f t="shared" si="300"/>
        <v>y</v>
      </c>
      <c r="AH1183" s="37" t="str">
        <f t="array" ref="AH1183">_xlfn.IFS(LOWER(AG1183)="n","no",LOWER(AG1183)="y","yes",TRUE,LOWER(AG1183))</f>
        <v>yes</v>
      </c>
      <c r="AI1183" s="46" t="s">
        <v>759</v>
      </c>
    </row>
    <row r="1184" spans="1:35">
      <c r="A1184" s="37" t="s">
        <v>3792</v>
      </c>
      <c r="B1184" s="38">
        <v>45383</v>
      </c>
      <c r="C1184" s="39">
        <f t="shared" si="288"/>
        <v>45383</v>
      </c>
      <c r="D1184" s="40" t="s">
        <v>109</v>
      </c>
      <c r="E1184" s="37" t="str" cm="1">
        <f t="array" ref="E1184">_xlfn.IFS(D1184="delhi","north",D1184="mumbai","west",D1184="bengaluru","south",D1184="chennai","south",D1184="kolkata","east",TRUE,"west")</f>
        <v>west</v>
      </c>
      <c r="F1184" s="37" t="s">
        <v>213</v>
      </c>
      <c r="G1184" s="37" t="str">
        <f t="shared" si="289"/>
        <v>dtdc</v>
      </c>
      <c r="H1184" s="37" t="s">
        <v>42</v>
      </c>
      <c r="I1184" s="37" t="str">
        <f t="shared" si="290"/>
        <v>surface</v>
      </c>
      <c r="J1184" s="37" t="s">
        <v>263</v>
      </c>
      <c r="K1184" s="37" t="str">
        <f t="shared" si="291"/>
        <v>apparel</v>
      </c>
      <c r="L1184" s="37" t="s">
        <v>92</v>
      </c>
      <c r="M1184" s="37" t="str">
        <f t="shared" si="292"/>
        <v>east</v>
      </c>
      <c r="N1184" s="37" t="s">
        <v>91</v>
      </c>
      <c r="O1184" s="41" t="str">
        <f t="shared" si="293"/>
        <v>Yes</v>
      </c>
      <c r="P1184" s="41" t="s">
        <v>2327</v>
      </c>
      <c r="Q1184" s="41" t="s">
        <v>266</v>
      </c>
      <c r="R1184" s="42">
        <f t="shared" si="294"/>
        <v>225.555555555556</v>
      </c>
      <c r="S1184" s="37">
        <v>6</v>
      </c>
      <c r="T1184" s="37" t="s">
        <v>1456</v>
      </c>
      <c r="U1184" s="43" t="str">
        <f t="shared" si="295"/>
        <v>2024-04-08</v>
      </c>
      <c r="V1184" s="43">
        <f t="shared" si="296"/>
        <v>45390</v>
      </c>
      <c r="W1184" s="44">
        <f t="array" ref="W1184">_xlfn.IFS(TRIM(C1184)="","",TRIM(V1184)="","",TRUE,V1184-C1184)</f>
        <v>7</v>
      </c>
      <c r="X1184" s="37">
        <f t="shared" si="297"/>
        <v>1</v>
      </c>
      <c r="Y1184" s="37" t="s">
        <v>72</v>
      </c>
      <c r="Z1184" s="37" t="str">
        <f t="shared" si="298"/>
        <v>delayed</v>
      </c>
      <c r="AA1184" s="37" t="str">
        <f t="shared" si="299"/>
        <v>Late</v>
      </c>
      <c r="AB1184" s="37" t="str">
        <f t="shared" si="302"/>
        <v>1</v>
      </c>
      <c r="AC1184" s="37">
        <f t="shared" si="303"/>
        <v>1</v>
      </c>
      <c r="AD1184" s="45">
        <f t="shared" si="301"/>
        <v>0.543478260869565</v>
      </c>
      <c r="AE1184" s="37">
        <v>2</v>
      </c>
      <c r="AF1184" s="37" t="s">
        <v>131</v>
      </c>
      <c r="AG1184" s="37" t="str">
        <f t="shared" si="300"/>
        <v>n</v>
      </c>
      <c r="AH1184" s="37" t="str">
        <f t="array" ref="AH1184">_xlfn.IFS(LOWER(AG1184)="n","no",LOWER(AG1184)="y","yes",TRUE,LOWER(AG1184))</f>
        <v>no</v>
      </c>
      <c r="AI1184" s="37" t="s">
        <v>4692</v>
      </c>
    </row>
    <row r="1185" spans="1:35">
      <c r="A1185" s="46" t="s">
        <v>3793</v>
      </c>
      <c r="B1185" s="47">
        <v>45466</v>
      </c>
      <c r="C1185" s="39">
        <f t="shared" si="288"/>
        <v>45466</v>
      </c>
      <c r="D1185" s="48" t="s">
        <v>109</v>
      </c>
      <c r="E1185" s="37" t="str" cm="1">
        <f t="array" ref="E1185">_xlfn.IFS(D1185="delhi","north",D1185="mumbai","west",D1185="bengaluru","south",D1185="chennai","south",D1185="kolkata","east",TRUE,"west")</f>
        <v>west</v>
      </c>
      <c r="F1185" s="46" t="s">
        <v>37</v>
      </c>
      <c r="G1185" s="37" t="str">
        <f t="shared" si="289"/>
        <v>bluedart</v>
      </c>
      <c r="H1185" s="46" t="s">
        <v>176</v>
      </c>
      <c r="I1185" s="37" t="str">
        <f t="shared" si="290"/>
        <v>road</v>
      </c>
      <c r="J1185" s="46" t="s">
        <v>425</v>
      </c>
      <c r="K1185" s="37" t="str">
        <f t="shared" si="291"/>
        <v>automotiveparts</v>
      </c>
      <c r="L1185" s="46" t="s">
        <v>418</v>
      </c>
      <c r="M1185" s="37" t="str">
        <f t="shared" si="292"/>
        <v>south</v>
      </c>
      <c r="N1185" s="46" t="s">
        <v>93</v>
      </c>
      <c r="O1185" s="41" t="str">
        <f t="shared" si="293"/>
        <v>Yes</v>
      </c>
      <c r="P1185" s="49">
        <v>11.5</v>
      </c>
      <c r="Q1185" s="49" t="s">
        <v>3391</v>
      </c>
      <c r="R1185" s="42">
        <f t="shared" si="294"/>
        <v>25.2173913043478</v>
      </c>
      <c r="S1185" s="46">
        <v>8</v>
      </c>
      <c r="T1185" s="46" t="s">
        <v>585</v>
      </c>
      <c r="U1185" s="43" t="str">
        <f t="shared" si="295"/>
        <v>30/06/2024</v>
      </c>
      <c r="V1185" s="43">
        <f t="shared" si="296"/>
        <v>45473</v>
      </c>
      <c r="W1185" s="44">
        <f t="array" ref="W1185">_xlfn.IFS(TRIM(C1185)="","",TRIM(V1185)="","",TRUE,V1185-C1185)</f>
        <v>7</v>
      </c>
      <c r="X1185" s="37">
        <f t="shared" si="297"/>
        <v>-1</v>
      </c>
      <c r="Y1185" s="46" t="s">
        <v>117</v>
      </c>
      <c r="Z1185" s="37" t="str">
        <f t="shared" si="298"/>
        <v>delivered</v>
      </c>
      <c r="AA1185" s="37" t="str">
        <f t="shared" si="299"/>
        <v>On Time</v>
      </c>
      <c r="AB1185" s="37" t="str">
        <f t="shared" si="302"/>
        <v>0</v>
      </c>
      <c r="AC1185" s="37">
        <f t="shared" si="303"/>
        <v>0</v>
      </c>
      <c r="AD1185" s="45">
        <f t="shared" si="301"/>
        <v>0.542372881355932</v>
      </c>
      <c r="AE1185" s="46">
        <v>4</v>
      </c>
      <c r="AF1185" s="46" t="s">
        <v>79</v>
      </c>
      <c r="AG1185" s="37" t="str">
        <f t="shared" si="300"/>
        <v>yes</v>
      </c>
      <c r="AH1185" s="37" t="str">
        <f t="array" ref="AH1185">_xlfn.IFS(LOWER(AG1185)="n","no",LOWER(AG1185)="y","yes",TRUE,LOWER(AG1185))</f>
        <v>yes</v>
      </c>
      <c r="AI1185" s="46" t="s">
        <v>4692</v>
      </c>
    </row>
    <row r="1186" spans="1:35">
      <c r="A1186" s="37" t="s">
        <v>3795</v>
      </c>
      <c r="B1186" s="38">
        <v>45368</v>
      </c>
      <c r="C1186" s="39">
        <f t="shared" si="288"/>
        <v>45368</v>
      </c>
      <c r="D1186" s="40" t="s">
        <v>121</v>
      </c>
      <c r="E1186" s="37" t="str" cm="1">
        <f t="array" ref="E1186">_xlfn.IFS(D1186="delhi","north",D1186="mumbai","west",D1186="bengaluru","south",D1186="chennai","south",D1186="kolkata","east",TRUE,"west")</f>
        <v>west</v>
      </c>
      <c r="F1186" s="37" t="s">
        <v>223</v>
      </c>
      <c r="G1186" s="37" t="str">
        <f t="shared" si="289"/>
        <v>xpressbees</v>
      </c>
      <c r="H1186" s="37" t="s">
        <v>176</v>
      </c>
      <c r="I1186" s="37" t="str">
        <f t="shared" si="290"/>
        <v>road</v>
      </c>
      <c r="J1186" s="37" t="s">
        <v>167</v>
      </c>
      <c r="K1186" s="37" t="str">
        <f t="shared" si="291"/>
        <v>pharma</v>
      </c>
      <c r="L1186" s="37" t="s">
        <v>257</v>
      </c>
      <c r="M1186" s="37" t="str">
        <f t="shared" si="292"/>
        <v>west</v>
      </c>
      <c r="N1186" s="37" t="s">
        <v>187</v>
      </c>
      <c r="O1186" s="41" t="str">
        <f t="shared" si="293"/>
        <v>Yes</v>
      </c>
      <c r="P1186" s="41" t="s">
        <v>999</v>
      </c>
      <c r="Q1186" s="41">
        <v>206</v>
      </c>
      <c r="R1186" s="42">
        <f t="shared" si="294"/>
        <v>66.4516129032258</v>
      </c>
      <c r="S1186" s="37">
        <v>8</v>
      </c>
      <c r="T1186" s="37" t="s">
        <v>1755</v>
      </c>
      <c r="U1186" s="43" t="str">
        <f t="shared" si="295"/>
        <v>24/03/2024</v>
      </c>
      <c r="V1186" s="43">
        <f t="shared" si="296"/>
        <v>45375</v>
      </c>
      <c r="W1186" s="44">
        <f t="array" ref="W1186">_xlfn.IFS(TRIM(C1186)="","",TRIM(V1186)="","",TRUE,V1186-C1186)</f>
        <v>7</v>
      </c>
      <c r="X1186" s="37">
        <f t="shared" si="297"/>
        <v>-1</v>
      </c>
      <c r="Y1186" s="37" t="s">
        <v>163</v>
      </c>
      <c r="Z1186" s="37" t="str">
        <f t="shared" si="298"/>
        <v>delivered</v>
      </c>
      <c r="AA1186" s="37" t="str">
        <f t="shared" si="299"/>
        <v>On Time</v>
      </c>
      <c r="AB1186" s="37" t="str">
        <f t="shared" si="302"/>
        <v>0</v>
      </c>
      <c r="AC1186" s="37">
        <f t="shared" si="303"/>
        <v>0</v>
      </c>
      <c r="AD1186" s="45">
        <f t="shared" si="301"/>
        <v>0.543689320388349</v>
      </c>
      <c r="AE1186" s="37">
        <v>5</v>
      </c>
      <c r="AF1186" s="37" t="s">
        <v>152</v>
      </c>
      <c r="AG1186" s="37" t="str">
        <f t="shared" si="300"/>
        <v>no</v>
      </c>
      <c r="AH1186" s="37" t="str">
        <f t="array" ref="AH1186">_xlfn.IFS(LOWER(AG1186)="n","no",LOWER(AG1186)="y","yes",TRUE,LOWER(AG1186))</f>
        <v>no</v>
      </c>
      <c r="AI1186" s="37" t="s">
        <v>4692</v>
      </c>
    </row>
    <row r="1187" spans="1:35">
      <c r="A1187" s="46" t="s">
        <v>3796</v>
      </c>
      <c r="B1187" s="47" t="s">
        <v>4849</v>
      </c>
      <c r="C1187" s="39">
        <f t="shared" si="288"/>
        <v>45386</v>
      </c>
      <c r="D1187" s="48" t="s">
        <v>4699</v>
      </c>
      <c r="E1187" s="37" t="str" cm="1">
        <f t="array" ref="E1187">_xlfn.IFS(D1187="delhi","north",D1187="mumbai","west",D1187="bengaluru","south",D1187="chennai","south",D1187="kolkata","east",TRUE,"west")</f>
        <v>west</v>
      </c>
      <c r="F1187" s="46" t="s">
        <v>223</v>
      </c>
      <c r="G1187" s="37" t="str">
        <f t="shared" si="289"/>
        <v>xpressbees</v>
      </c>
      <c r="H1187" s="46" t="s">
        <v>440</v>
      </c>
      <c r="I1187" s="37" t="str">
        <f t="shared" si="290"/>
        <v>road</v>
      </c>
      <c r="J1187" s="46" t="s">
        <v>205</v>
      </c>
      <c r="K1187" s="37" t="str">
        <f t="shared" si="291"/>
        <v>furniture</v>
      </c>
      <c r="L1187" s="46" t="s">
        <v>401</v>
      </c>
      <c r="M1187" s="37" t="str">
        <f t="shared" si="292"/>
        <v>south</v>
      </c>
      <c r="N1187" s="46" t="s">
        <v>90</v>
      </c>
      <c r="O1187" s="41" t="str">
        <f t="shared" si="293"/>
        <v>Yes</v>
      </c>
      <c r="P1187" s="49" t="s">
        <v>3798</v>
      </c>
      <c r="Q1187" s="49" t="s">
        <v>3799</v>
      </c>
      <c r="R1187" s="42">
        <f t="shared" si="294"/>
        <v>16.5162200282087</v>
      </c>
      <c r="S1187" s="46">
        <v>8</v>
      </c>
      <c r="T1187" s="46" t="s">
        <v>3354</v>
      </c>
      <c r="U1187" s="43" t="str">
        <f t="shared" si="295"/>
        <v>13-apr-2024</v>
      </c>
      <c r="V1187" s="43">
        <f t="shared" si="296"/>
        <v>45395</v>
      </c>
      <c r="W1187" s="44">
        <f t="array" ref="W1187">_xlfn.IFS(TRIM(C1187)="","",TRIM(V1187)="","",TRUE,V1187-C1187)</f>
        <v>9</v>
      </c>
      <c r="X1187" s="37">
        <f t="shared" si="297"/>
        <v>1</v>
      </c>
      <c r="Y1187" s="46" t="s">
        <v>200</v>
      </c>
      <c r="Z1187" s="37" t="str">
        <f t="shared" si="298"/>
        <v>delayed</v>
      </c>
      <c r="AA1187" s="37" t="str">
        <f t="shared" si="299"/>
        <v>Late</v>
      </c>
      <c r="AB1187" s="37" t="str">
        <f t="shared" si="302"/>
        <v>1</v>
      </c>
      <c r="AC1187" s="37">
        <f t="shared" si="303"/>
        <v>1</v>
      </c>
      <c r="AD1187" s="45">
        <f t="shared" si="301"/>
        <v>0.545012165450122</v>
      </c>
      <c r="AE1187" s="46">
        <v>5</v>
      </c>
      <c r="AF1187" s="46" t="s">
        <v>79</v>
      </c>
      <c r="AG1187" s="37" t="str">
        <f t="shared" si="300"/>
        <v>yes</v>
      </c>
      <c r="AH1187" s="37" t="str">
        <f t="array" ref="AH1187">_xlfn.IFS(LOWER(AG1187)="n","no",LOWER(AG1187)="y","yes",TRUE,LOWER(AG1187))</f>
        <v>yes</v>
      </c>
      <c r="AI1187" s="46" t="s">
        <v>4692</v>
      </c>
    </row>
    <row r="1188" spans="1:35">
      <c r="A1188" s="37" t="s">
        <v>3800</v>
      </c>
      <c r="B1188" s="38">
        <v>45466</v>
      </c>
      <c r="C1188" s="39">
        <f t="shared" si="288"/>
        <v>45466</v>
      </c>
      <c r="D1188" s="40" t="s">
        <v>4699</v>
      </c>
      <c r="E1188" s="37" t="str" cm="1">
        <f t="array" ref="E1188">_xlfn.IFS(D1188="delhi","north",D1188="mumbai","west",D1188="bengaluru","south",D1188="chennai","south",D1188="kolkata","east",TRUE,"west")</f>
        <v>west</v>
      </c>
      <c r="F1188" s="37" t="s">
        <v>919</v>
      </c>
      <c r="G1188" s="37" t="str">
        <f t="shared" si="289"/>
        <v>xpressbees</v>
      </c>
      <c r="H1188" s="37" t="s">
        <v>185</v>
      </c>
      <c r="I1188" s="37" t="str">
        <f t="shared" si="290"/>
        <v>surface</v>
      </c>
      <c r="J1188" s="37" t="s">
        <v>430</v>
      </c>
      <c r="K1188" s="37" t="str">
        <f t="shared" si="291"/>
        <v>pharma</v>
      </c>
      <c r="L1188" s="37" t="s">
        <v>380</v>
      </c>
      <c r="M1188" s="37" t="str">
        <f t="shared" si="292"/>
        <v>east</v>
      </c>
      <c r="N1188" s="37" t="s">
        <v>126</v>
      </c>
      <c r="O1188" s="41" t="str">
        <f t="shared" si="293"/>
        <v>Yes</v>
      </c>
      <c r="P1188" s="41">
        <v>3.9</v>
      </c>
      <c r="Q1188" s="41">
        <v>294</v>
      </c>
      <c r="R1188" s="42">
        <f t="shared" si="294"/>
        <v>75.3846153846154</v>
      </c>
      <c r="S1188" s="37">
        <v>6</v>
      </c>
      <c r="T1188" s="37" t="s">
        <v>1450</v>
      </c>
      <c r="U1188" s="43" t="str">
        <f t="shared" si="295"/>
        <v>2024-06-28</v>
      </c>
      <c r="V1188" s="43">
        <f t="shared" si="296"/>
        <v>45471</v>
      </c>
      <c r="W1188" s="44">
        <f t="array" ref="W1188">_xlfn.IFS(TRIM(C1188)="","",TRIM(V1188)="","",TRUE,V1188-C1188)</f>
        <v>5</v>
      </c>
      <c r="X1188" s="37">
        <f t="shared" si="297"/>
        <v>-1</v>
      </c>
      <c r="Y1188" s="37" t="s">
        <v>219</v>
      </c>
      <c r="Z1188" s="37" t="str">
        <f t="shared" si="298"/>
        <v>delivered</v>
      </c>
      <c r="AA1188" s="37" t="str">
        <f t="shared" si="299"/>
        <v>On Time</v>
      </c>
      <c r="AB1188" s="37" t="str">
        <f t="shared" si="302"/>
        <v>0</v>
      </c>
      <c r="AC1188" s="37">
        <f t="shared" si="303"/>
        <v>0</v>
      </c>
      <c r="AD1188" s="45">
        <f t="shared" si="301"/>
        <v>0.54390243902439</v>
      </c>
      <c r="AE1188" s="37">
        <v>5</v>
      </c>
      <c r="AF1188" s="37" t="s">
        <v>79</v>
      </c>
      <c r="AG1188" s="37" t="str">
        <f t="shared" si="300"/>
        <v>yes</v>
      </c>
      <c r="AH1188" s="37" t="str">
        <f t="array" ref="AH1188">_xlfn.IFS(LOWER(AG1188)="n","no",LOWER(AG1188)="y","yes",TRUE,LOWER(AG1188))</f>
        <v>yes</v>
      </c>
      <c r="AI1188" s="37" t="s">
        <v>4692</v>
      </c>
    </row>
    <row r="1189" spans="1:35">
      <c r="A1189" s="46" t="s">
        <v>3802</v>
      </c>
      <c r="B1189" s="47">
        <v>45433</v>
      </c>
      <c r="C1189" s="39">
        <f t="shared" si="288"/>
        <v>45433</v>
      </c>
      <c r="D1189" s="48" t="s">
        <v>4694</v>
      </c>
      <c r="E1189" s="37" t="str" cm="1">
        <f t="array" ref="E1189">_xlfn.IFS(D1189="delhi","north",D1189="mumbai","west",D1189="bengaluru","south",D1189="chennai","south",D1189="kolkata","east",TRUE,"west")</f>
        <v>west</v>
      </c>
      <c r="F1189" s="46" t="s">
        <v>122</v>
      </c>
      <c r="G1189" s="37" t="str">
        <f t="shared" si="289"/>
        <v>delhivery</v>
      </c>
      <c r="H1189" s="46" t="s">
        <v>110</v>
      </c>
      <c r="I1189" s="37" t="str">
        <f t="shared" si="290"/>
        <v>surface</v>
      </c>
      <c r="J1189" s="46" t="s">
        <v>47</v>
      </c>
      <c r="K1189" s="37" t="str">
        <f t="shared" si="291"/>
        <v>electronics</v>
      </c>
      <c r="L1189" s="46" t="s">
        <v>101</v>
      </c>
      <c r="M1189" s="37" t="str">
        <f t="shared" si="292"/>
        <v>west</v>
      </c>
      <c r="N1189" s="46" t="s">
        <v>187</v>
      </c>
      <c r="O1189" s="41" t="str">
        <f t="shared" si="293"/>
        <v>Yes</v>
      </c>
      <c r="P1189" s="49">
        <v>3.1</v>
      </c>
      <c r="Q1189" s="49" t="s">
        <v>935</v>
      </c>
      <c r="R1189" s="42">
        <f t="shared" si="294"/>
        <v>76.7741935483871</v>
      </c>
      <c r="S1189" s="46">
        <v>6</v>
      </c>
      <c r="T1189" s="46" t="s">
        <v>799</v>
      </c>
      <c r="U1189" s="43" t="str">
        <f t="shared" si="295"/>
        <v>2024-06-01</v>
      </c>
      <c r="V1189" s="43">
        <f t="shared" si="296"/>
        <v>45444</v>
      </c>
      <c r="W1189" s="44">
        <f t="array" ref="W1189">_xlfn.IFS(TRIM(C1189)="","",TRIM(V1189)="","",TRUE,V1189-C1189)</f>
        <v>11</v>
      </c>
      <c r="X1189" s="37">
        <f t="shared" si="297"/>
        <v>5</v>
      </c>
      <c r="Y1189" s="46" t="s">
        <v>143</v>
      </c>
      <c r="Z1189" s="37" t="str">
        <f t="shared" si="298"/>
        <v>delayed</v>
      </c>
      <c r="AA1189" s="37" t="str">
        <f t="shared" si="299"/>
        <v>Late</v>
      </c>
      <c r="AB1189" s="37" t="str">
        <f t="shared" si="302"/>
        <v>1</v>
      </c>
      <c r="AC1189" s="37">
        <f t="shared" si="303"/>
        <v>1</v>
      </c>
      <c r="AD1189" s="45">
        <f t="shared" si="301"/>
        <v>0.545232273838631</v>
      </c>
      <c r="AE1189" s="46">
        <v>4</v>
      </c>
      <c r="AF1189" s="46" t="s">
        <v>286</v>
      </c>
      <c r="AG1189" s="37" t="str">
        <f t="shared" si="300"/>
        <v>yes</v>
      </c>
      <c r="AH1189" s="37" t="str">
        <f t="array" ref="AH1189">_xlfn.IFS(LOWER(AG1189)="n","no",LOWER(AG1189)="y","yes",TRUE,LOWER(AG1189))</f>
        <v>yes</v>
      </c>
      <c r="AI1189" s="46" t="s">
        <v>4692</v>
      </c>
    </row>
    <row r="1190" spans="1:35">
      <c r="A1190" s="37" t="s">
        <v>3803</v>
      </c>
      <c r="B1190" s="38">
        <v>45396</v>
      </c>
      <c r="C1190" s="39">
        <f t="shared" si="288"/>
        <v>45396</v>
      </c>
      <c r="D1190" s="40" t="s">
        <v>212</v>
      </c>
      <c r="E1190" s="37" t="str" cm="1">
        <f t="array" ref="E1190">_xlfn.IFS(D1190="delhi","north",D1190="mumbai","west",D1190="bengaluru","south",D1190="chennai","south",D1190="kolkata","east",TRUE,"west")</f>
        <v>west</v>
      </c>
      <c r="F1190" s="37" t="s">
        <v>333</v>
      </c>
      <c r="G1190" s="37" t="str">
        <f t="shared" si="289"/>
        <v>delhivery</v>
      </c>
      <c r="H1190" s="37" t="s">
        <v>176</v>
      </c>
      <c r="I1190" s="37" t="str">
        <f t="shared" si="290"/>
        <v>road</v>
      </c>
      <c r="J1190" s="37" t="s">
        <v>100</v>
      </c>
      <c r="K1190" s="37" t="str">
        <f t="shared" si="291"/>
        <v>electronics</v>
      </c>
      <c r="L1190" s="37" t="s">
        <v>257</v>
      </c>
      <c r="M1190" s="37" t="str">
        <f t="shared" si="292"/>
        <v>west</v>
      </c>
      <c r="N1190" s="37" t="s">
        <v>187</v>
      </c>
      <c r="O1190" s="41" t="str">
        <f t="shared" si="293"/>
        <v>Yes</v>
      </c>
      <c r="P1190" s="41"/>
      <c r="Q1190" s="41" t="s">
        <v>3804</v>
      </c>
      <c r="R1190" s="42" t="str">
        <f t="shared" si="294"/>
        <v/>
      </c>
      <c r="S1190" s="37">
        <v>6</v>
      </c>
      <c r="T1190" s="37" t="s">
        <v>1248</v>
      </c>
      <c r="U1190" s="43" t="str">
        <f t="shared" si="295"/>
        <v>19/04/2024</v>
      </c>
      <c r="V1190" s="43">
        <f t="shared" si="296"/>
        <v>45401</v>
      </c>
      <c r="W1190" s="44">
        <f t="array" ref="W1190">_xlfn.IFS(TRIM(C1190)="","",TRIM(V1190)="","",TRUE,V1190-C1190)</f>
        <v>5</v>
      </c>
      <c r="X1190" s="37">
        <f t="shared" si="297"/>
        <v>-1</v>
      </c>
      <c r="Y1190" s="37" t="s">
        <v>117</v>
      </c>
      <c r="Z1190" s="37" t="str">
        <f t="shared" si="298"/>
        <v>delivered</v>
      </c>
      <c r="AA1190" s="37" t="str">
        <f t="shared" si="299"/>
        <v>On Time</v>
      </c>
      <c r="AB1190" s="37" t="str">
        <f t="shared" si="302"/>
        <v>0</v>
      </c>
      <c r="AC1190" s="37">
        <f t="shared" si="303"/>
        <v>0</v>
      </c>
      <c r="AD1190" s="45">
        <f t="shared" si="301"/>
        <v>0.544117647058823</v>
      </c>
      <c r="AE1190" s="37">
        <v>4</v>
      </c>
      <c r="AF1190" s="37" t="s">
        <v>191</v>
      </c>
      <c r="AG1190" s="37" t="str">
        <f t="shared" si="300"/>
        <v>no</v>
      </c>
      <c r="AH1190" s="37" t="str">
        <f t="array" ref="AH1190">_xlfn.IFS(LOWER(AG1190)="n","no",LOWER(AG1190)="y","yes",TRUE,LOWER(AG1190))</f>
        <v>no</v>
      </c>
      <c r="AI1190" s="37" t="s">
        <v>4692</v>
      </c>
    </row>
    <row r="1191" spans="1:35">
      <c r="A1191" s="46" t="s">
        <v>3805</v>
      </c>
      <c r="B1191" s="47">
        <v>45303</v>
      </c>
      <c r="C1191" s="39">
        <f t="shared" si="288"/>
        <v>45303</v>
      </c>
      <c r="D1191" s="48" t="s">
        <v>109</v>
      </c>
      <c r="E1191" s="37" t="str" cm="1">
        <f t="array" ref="E1191">_xlfn.IFS(D1191="delhi","north",D1191="mumbai","west",D1191="bengaluru","south",D1191="chennai","south",D1191="kolkata","east",TRUE,"west")</f>
        <v>west</v>
      </c>
      <c r="F1191" s="46" t="s">
        <v>367</v>
      </c>
      <c r="G1191" s="37" t="str">
        <f t="shared" si="289"/>
        <v>dtdc</v>
      </c>
      <c r="H1191" s="46" t="s">
        <v>244</v>
      </c>
      <c r="I1191" s="37" t="str">
        <f t="shared" si="290"/>
        <v>air</v>
      </c>
      <c r="J1191" s="46" t="s">
        <v>167</v>
      </c>
      <c r="K1191" s="37" t="str">
        <f t="shared" si="291"/>
        <v>pharma</v>
      </c>
      <c r="L1191" s="46" t="s">
        <v>197</v>
      </c>
      <c r="M1191" s="37" t="str">
        <f t="shared" si="292"/>
        <v>south</v>
      </c>
      <c r="N1191" s="46" t="s">
        <v>327</v>
      </c>
      <c r="O1191" s="41" t="str">
        <f t="shared" si="293"/>
        <v>Yes</v>
      </c>
      <c r="P1191" s="49">
        <v>4.2</v>
      </c>
      <c r="Q1191" s="49" t="s">
        <v>3806</v>
      </c>
      <c r="R1191" s="42">
        <f t="shared" si="294"/>
        <v>88.8095238095238</v>
      </c>
      <c r="S1191" s="46">
        <v>4</v>
      </c>
      <c r="T1191" s="46" t="s">
        <v>1763</v>
      </c>
      <c r="U1191" s="43" t="str">
        <f t="shared" si="295"/>
        <v>16-jan-2024</v>
      </c>
      <c r="V1191" s="43">
        <f t="shared" si="296"/>
        <v>45307</v>
      </c>
      <c r="W1191" s="44">
        <f t="array" ref="W1191">_xlfn.IFS(TRIM(C1191)="","",TRIM(V1191)="","",TRUE,V1191-C1191)</f>
        <v>4</v>
      </c>
      <c r="X1191" s="37">
        <f t="shared" si="297"/>
        <v>0</v>
      </c>
      <c r="Y1191" s="46" t="s">
        <v>163</v>
      </c>
      <c r="Z1191" s="37" t="str">
        <f t="shared" si="298"/>
        <v>delivered</v>
      </c>
      <c r="AA1191" s="37" t="str">
        <f t="shared" si="299"/>
        <v>On Time</v>
      </c>
      <c r="AB1191" s="37" t="str">
        <f t="shared" si="302"/>
        <v>0</v>
      </c>
      <c r="AC1191" s="37">
        <f t="shared" si="303"/>
        <v>0</v>
      </c>
      <c r="AD1191" s="45">
        <f t="shared" si="301"/>
        <v>0.545454545454545</v>
      </c>
      <c r="AE1191" s="46">
        <v>4</v>
      </c>
      <c r="AF1191" s="46" t="s">
        <v>118</v>
      </c>
      <c r="AG1191" s="37" t="str">
        <f t="shared" si="300"/>
        <v>no</v>
      </c>
      <c r="AH1191" s="37" t="str">
        <f t="array" ref="AH1191">_xlfn.IFS(LOWER(AG1191)="n","no",LOWER(AG1191)="y","yes",TRUE,LOWER(AG1191))</f>
        <v>no</v>
      </c>
      <c r="AI1191" s="46" t="s">
        <v>4692</v>
      </c>
    </row>
    <row r="1192" spans="1:35">
      <c r="A1192" s="37" t="s">
        <v>3807</v>
      </c>
      <c r="B1192" s="38">
        <v>45349</v>
      </c>
      <c r="C1192" s="39">
        <f t="shared" si="288"/>
        <v>45349</v>
      </c>
      <c r="D1192" s="40" t="s">
        <v>243</v>
      </c>
      <c r="E1192" s="37" t="str" cm="1">
        <f t="array" ref="E1192">_xlfn.IFS(D1192="delhi","north",D1192="mumbai","west",D1192="bengaluru","south",D1192="chennai","south",D1192="kolkata","east",TRUE,"west")</f>
        <v>west</v>
      </c>
      <c r="F1192" s="37" t="s">
        <v>194</v>
      </c>
      <c r="G1192" s="37" t="str">
        <f t="shared" si="289"/>
        <v>xpressbees</v>
      </c>
      <c r="H1192" s="37" t="s">
        <v>244</v>
      </c>
      <c r="I1192" s="37" t="str">
        <f t="shared" si="290"/>
        <v>air</v>
      </c>
      <c r="J1192" s="37" t="s">
        <v>458</v>
      </c>
      <c r="K1192" s="37" t="str">
        <f t="shared" si="291"/>
        <v>electronics</v>
      </c>
      <c r="L1192" s="37" t="s">
        <v>125</v>
      </c>
      <c r="M1192" s="37" t="str">
        <f t="shared" si="292"/>
        <v>east</v>
      </c>
      <c r="N1192" s="37" t="s">
        <v>91</v>
      </c>
      <c r="O1192" s="41" t="str">
        <f t="shared" si="293"/>
        <v>Yes</v>
      </c>
      <c r="P1192" s="41">
        <v>13.9</v>
      </c>
      <c r="Q1192" s="41">
        <v>797</v>
      </c>
      <c r="R1192" s="42">
        <f t="shared" si="294"/>
        <v>57.3381294964029</v>
      </c>
      <c r="S1192" s="37">
        <v>4</v>
      </c>
      <c r="T1192" s="37" t="s">
        <v>1349</v>
      </c>
      <c r="U1192" s="43" t="str">
        <f t="shared" si="295"/>
        <v>03/03/2024</v>
      </c>
      <c r="V1192" s="43">
        <f t="shared" si="296"/>
        <v>45354</v>
      </c>
      <c r="W1192" s="44">
        <f t="array" ref="W1192">_xlfn.IFS(TRIM(C1192)="","",TRIM(V1192)="","",TRUE,V1192-C1192)</f>
        <v>5</v>
      </c>
      <c r="X1192" s="37">
        <f t="shared" si="297"/>
        <v>1</v>
      </c>
      <c r="Y1192" s="37" t="s">
        <v>72</v>
      </c>
      <c r="Z1192" s="37" t="str">
        <f t="shared" si="298"/>
        <v>delayed</v>
      </c>
      <c r="AA1192" s="37" t="str">
        <f t="shared" si="299"/>
        <v>Late</v>
      </c>
      <c r="AB1192" s="37" t="str">
        <f t="shared" si="302"/>
        <v>1</v>
      </c>
      <c r="AC1192" s="37">
        <f t="shared" si="303"/>
        <v>1</v>
      </c>
      <c r="AD1192" s="45">
        <f t="shared" si="301"/>
        <v>0.54679802955665</v>
      </c>
      <c r="AE1192" s="37">
        <v>1</v>
      </c>
      <c r="AF1192" s="37" t="s">
        <v>286</v>
      </c>
      <c r="AG1192" s="37" t="str">
        <f t="shared" si="300"/>
        <v>yes</v>
      </c>
      <c r="AH1192" s="37" t="str">
        <f t="array" ref="AH1192">_xlfn.IFS(LOWER(AG1192)="n","no",LOWER(AG1192)="y","yes",TRUE,LOWER(AG1192))</f>
        <v>yes</v>
      </c>
      <c r="AI1192" s="37" t="s">
        <v>4692</v>
      </c>
    </row>
    <row r="1193" spans="1:35">
      <c r="A1193" s="46" t="s">
        <v>3809</v>
      </c>
      <c r="B1193" s="47" t="s">
        <v>4709</v>
      </c>
      <c r="C1193" s="39">
        <f t="shared" si="288"/>
        <v>45348</v>
      </c>
      <c r="D1193" s="48" t="s">
        <v>340</v>
      </c>
      <c r="E1193" s="37" t="str" cm="1">
        <f t="array" ref="E1193">_xlfn.IFS(D1193="delhi","north",D1193="mumbai","west",D1193="bengaluru","south",D1193="chennai","south",D1193="kolkata","east",TRUE,"west")</f>
        <v>north</v>
      </c>
      <c r="F1193" s="46" t="s">
        <v>194</v>
      </c>
      <c r="G1193" s="37" t="str">
        <f t="shared" si="289"/>
        <v>xpressbees</v>
      </c>
      <c r="H1193" s="46" t="s">
        <v>147</v>
      </c>
      <c r="I1193" s="37" t="str">
        <f t="shared" si="290"/>
        <v>road</v>
      </c>
      <c r="J1193" s="46" t="s">
        <v>1145</v>
      </c>
      <c r="K1193" s="37" t="str">
        <f t="shared" si="291"/>
        <v>grocery&amp;fmcg</v>
      </c>
      <c r="L1193" s="46" t="s">
        <v>168</v>
      </c>
      <c r="M1193" s="37" t="str">
        <f t="shared" si="292"/>
        <v>west</v>
      </c>
      <c r="N1193" s="46" t="s">
        <v>88</v>
      </c>
      <c r="O1193" s="41" t="str">
        <f t="shared" si="293"/>
        <v>Yes</v>
      </c>
      <c r="P1193" s="49">
        <v>14.1</v>
      </c>
      <c r="Q1193" s="49" t="s">
        <v>2318</v>
      </c>
      <c r="R1193" s="42">
        <f t="shared" si="294"/>
        <v>28.8652482269504</v>
      </c>
      <c r="S1193" s="46">
        <v>8</v>
      </c>
      <c r="T1193" s="46" t="s">
        <v>3102</v>
      </c>
      <c r="U1193" s="43" t="str">
        <f t="shared" si="295"/>
        <v>04/03/2024</v>
      </c>
      <c r="V1193" s="43">
        <f t="shared" si="296"/>
        <v>45355</v>
      </c>
      <c r="W1193" s="44">
        <f t="array" ref="W1193">_xlfn.IFS(TRIM(C1193)="","",TRIM(V1193)="","",TRUE,V1193-C1193)</f>
        <v>7</v>
      </c>
      <c r="X1193" s="37">
        <f t="shared" si="297"/>
        <v>-1</v>
      </c>
      <c r="Y1193" s="46" t="s">
        <v>105</v>
      </c>
      <c r="Z1193" s="37" t="str">
        <f t="shared" si="298"/>
        <v>delivered</v>
      </c>
      <c r="AA1193" s="37" t="str">
        <f t="shared" si="299"/>
        <v>On Time</v>
      </c>
      <c r="AB1193" s="37" t="str">
        <f t="shared" si="302"/>
        <v>0</v>
      </c>
      <c r="AC1193" s="37">
        <f t="shared" si="303"/>
        <v>0</v>
      </c>
      <c r="AD1193" s="45">
        <f t="shared" si="301"/>
        <v>0.545679012345679</v>
      </c>
      <c r="AE1193" s="46">
        <v>4</v>
      </c>
      <c r="AF1193" s="46" t="s">
        <v>131</v>
      </c>
      <c r="AG1193" s="37" t="str">
        <f t="shared" si="300"/>
        <v>n</v>
      </c>
      <c r="AH1193" s="37" t="str">
        <f t="array" ref="AH1193">_xlfn.IFS(LOWER(AG1193)="n","no",LOWER(AG1193)="y","yes",TRUE,LOWER(AG1193))</f>
        <v>no</v>
      </c>
      <c r="AI1193" s="46" t="s">
        <v>4692</v>
      </c>
    </row>
    <row r="1194" spans="1:35">
      <c r="A1194" s="37" t="s">
        <v>3810</v>
      </c>
      <c r="B1194" s="38" t="s">
        <v>4706</v>
      </c>
      <c r="C1194" s="39">
        <f t="shared" si="288"/>
        <v>45408</v>
      </c>
      <c r="D1194" s="40" t="s">
        <v>166</v>
      </c>
      <c r="E1194" s="37" t="str" cm="1">
        <f t="array" ref="E1194">_xlfn.IFS(D1194="delhi","north",D1194="mumbai","west",D1194="bengaluru","south",D1194="chennai","south",D1194="kolkata","east",TRUE,"west")</f>
        <v>west</v>
      </c>
      <c r="F1194" s="37" t="s">
        <v>367</v>
      </c>
      <c r="G1194" s="37" t="str">
        <f t="shared" si="289"/>
        <v>dtdc</v>
      </c>
      <c r="H1194" s="37" t="s">
        <v>176</v>
      </c>
      <c r="I1194" s="37" t="str">
        <f t="shared" si="290"/>
        <v>road</v>
      </c>
      <c r="J1194" s="37" t="s">
        <v>353</v>
      </c>
      <c r="K1194" s="37" t="str">
        <f t="shared" si="291"/>
        <v>automotiveparts</v>
      </c>
      <c r="L1194" s="37" t="s">
        <v>139</v>
      </c>
      <c r="M1194" s="37" t="str">
        <f t="shared" si="292"/>
        <v>north</v>
      </c>
      <c r="N1194" s="37" t="s">
        <v>32</v>
      </c>
      <c r="O1194" s="41" t="str">
        <f t="shared" si="293"/>
        <v>Yes</v>
      </c>
      <c r="P1194" s="41">
        <v>6.2</v>
      </c>
      <c r="Q1194" s="41">
        <v>270</v>
      </c>
      <c r="R1194" s="42">
        <f t="shared" si="294"/>
        <v>43.5483870967742</v>
      </c>
      <c r="S1194" s="37">
        <v>8</v>
      </c>
      <c r="T1194" s="37" t="s">
        <v>742</v>
      </c>
      <c r="U1194" s="43" t="str">
        <f t="shared" si="295"/>
        <v>2024-05-03</v>
      </c>
      <c r="V1194" s="43">
        <f t="shared" si="296"/>
        <v>45415</v>
      </c>
      <c r="W1194" s="44">
        <f t="array" ref="W1194">_xlfn.IFS(TRIM(C1194)="","",TRIM(V1194)="","",TRUE,V1194-C1194)</f>
        <v>7</v>
      </c>
      <c r="X1194" s="37">
        <f t="shared" si="297"/>
        <v>-1</v>
      </c>
      <c r="Y1194" s="37" t="s">
        <v>219</v>
      </c>
      <c r="Z1194" s="37" t="str">
        <f t="shared" si="298"/>
        <v>delivered</v>
      </c>
      <c r="AA1194" s="37" t="str">
        <f t="shared" si="299"/>
        <v>On Time</v>
      </c>
      <c r="AB1194" s="37" t="str">
        <f t="shared" si="302"/>
        <v>0</v>
      </c>
      <c r="AC1194" s="37">
        <f t="shared" si="303"/>
        <v>0</v>
      </c>
      <c r="AD1194" s="45">
        <f t="shared" si="301"/>
        <v>0.547029702970297</v>
      </c>
      <c r="AE1194" s="37">
        <v>4</v>
      </c>
      <c r="AF1194" s="37" t="s">
        <v>118</v>
      </c>
      <c r="AG1194" s="37" t="str">
        <f t="shared" si="300"/>
        <v>no</v>
      </c>
      <c r="AH1194" s="37" t="str">
        <f t="array" ref="AH1194">_xlfn.IFS(LOWER(AG1194)="n","no",LOWER(AG1194)="y","yes",TRUE,LOWER(AG1194))</f>
        <v>no</v>
      </c>
      <c r="AI1194" s="37" t="s">
        <v>4692</v>
      </c>
    </row>
    <row r="1195" spans="1:35">
      <c r="A1195" s="46" t="s">
        <v>3812</v>
      </c>
      <c r="B1195" s="47" t="s">
        <v>4760</v>
      </c>
      <c r="C1195" s="39">
        <f t="shared" si="288"/>
        <v>45428</v>
      </c>
      <c r="D1195" s="48" t="s">
        <v>340</v>
      </c>
      <c r="E1195" s="37" t="str" cm="1">
        <f t="array" ref="E1195">_xlfn.IFS(D1195="delhi","north",D1195="mumbai","west",D1195="bengaluru","south",D1195="chennai","south",D1195="kolkata","east",TRUE,"west")</f>
        <v>north</v>
      </c>
      <c r="F1195" s="46" t="s">
        <v>37</v>
      </c>
      <c r="G1195" s="37" t="str">
        <f t="shared" si="289"/>
        <v>bluedart</v>
      </c>
      <c r="H1195" s="46" t="s">
        <v>147</v>
      </c>
      <c r="I1195" s="37" t="str">
        <f t="shared" si="290"/>
        <v>road</v>
      </c>
      <c r="J1195" s="46" t="s">
        <v>1014</v>
      </c>
      <c r="K1195" s="37" t="str">
        <f t="shared" si="291"/>
        <v>pharma</v>
      </c>
      <c r="L1195" s="46" t="s">
        <v>139</v>
      </c>
      <c r="M1195" s="37" t="str">
        <f t="shared" si="292"/>
        <v>north</v>
      </c>
      <c r="N1195" s="46" t="s">
        <v>32</v>
      </c>
      <c r="O1195" s="41" t="str">
        <f t="shared" si="293"/>
        <v>Yes</v>
      </c>
      <c r="P1195" s="49">
        <v>1</v>
      </c>
      <c r="Q1195" s="49">
        <v>80</v>
      </c>
      <c r="R1195" s="42">
        <f t="shared" si="294"/>
        <v>80</v>
      </c>
      <c r="S1195" s="46">
        <v>6</v>
      </c>
      <c r="T1195" s="46" t="s">
        <v>720</v>
      </c>
      <c r="U1195" s="43" t="str">
        <f t="shared" si="295"/>
        <v>2024-05-21</v>
      </c>
      <c r="V1195" s="43">
        <f t="shared" si="296"/>
        <v>45433</v>
      </c>
      <c r="W1195" s="44">
        <f t="array" ref="W1195">_xlfn.IFS(TRIM(C1195)="","",TRIM(V1195)="","",TRUE,V1195-C1195)</f>
        <v>5</v>
      </c>
      <c r="X1195" s="37">
        <f t="shared" si="297"/>
        <v>-1</v>
      </c>
      <c r="Y1195" s="46" t="s">
        <v>163</v>
      </c>
      <c r="Z1195" s="37" t="str">
        <f t="shared" si="298"/>
        <v>delivered</v>
      </c>
      <c r="AA1195" s="37" t="str">
        <f t="shared" si="299"/>
        <v>On Time</v>
      </c>
      <c r="AB1195" s="37" t="str">
        <f t="shared" si="302"/>
        <v>0</v>
      </c>
      <c r="AC1195" s="37">
        <f t="shared" si="303"/>
        <v>0</v>
      </c>
      <c r="AD1195" s="45">
        <f t="shared" si="301"/>
        <v>0.548387096774194</v>
      </c>
      <c r="AE1195" s="46">
        <v>5</v>
      </c>
      <c r="AF1195" s="46" t="s">
        <v>79</v>
      </c>
      <c r="AG1195" s="37" t="str">
        <f t="shared" si="300"/>
        <v>yes</v>
      </c>
      <c r="AH1195" s="37" t="str">
        <f t="array" ref="AH1195">_xlfn.IFS(LOWER(AG1195)="n","no",LOWER(AG1195)="y","yes",TRUE,LOWER(AG1195))</f>
        <v>yes</v>
      </c>
      <c r="AI1195" s="46" t="s">
        <v>4692</v>
      </c>
    </row>
    <row r="1196" spans="1:35">
      <c r="A1196" s="37" t="s">
        <v>3813</v>
      </c>
      <c r="B1196" s="38" t="s">
        <v>4774</v>
      </c>
      <c r="C1196" s="39">
        <f t="shared" si="288"/>
        <v>45367</v>
      </c>
      <c r="D1196" s="40" t="s">
        <v>4699</v>
      </c>
      <c r="E1196" s="37" t="str" cm="1">
        <f t="array" ref="E1196">_xlfn.IFS(D1196="delhi","north",D1196="mumbai","west",D1196="bengaluru","south",D1196="chennai","south",D1196="kolkata","east",TRUE,"west")</f>
        <v>west</v>
      </c>
      <c r="F1196" s="37" t="s">
        <v>333</v>
      </c>
      <c r="G1196" s="37" t="str">
        <f t="shared" si="289"/>
        <v>delhivery</v>
      </c>
      <c r="H1196" s="37" t="s">
        <v>244</v>
      </c>
      <c r="I1196" s="37" t="str">
        <f t="shared" si="290"/>
        <v>air</v>
      </c>
      <c r="J1196" s="37" t="s">
        <v>231</v>
      </c>
      <c r="K1196" s="37" t="str">
        <f t="shared" si="291"/>
        <v>furniture</v>
      </c>
      <c r="L1196" s="37" t="s">
        <v>87</v>
      </c>
      <c r="M1196" s="37" t="str">
        <f t="shared" si="292"/>
        <v>north</v>
      </c>
      <c r="N1196" s="37" t="s">
        <v>113</v>
      </c>
      <c r="O1196" s="41" t="str">
        <f t="shared" si="293"/>
        <v>Yes</v>
      </c>
      <c r="P1196" s="41">
        <v>29.4</v>
      </c>
      <c r="Q1196" s="41" t="s">
        <v>3815</v>
      </c>
      <c r="R1196" s="42">
        <f t="shared" si="294"/>
        <v>49.9659863945578</v>
      </c>
      <c r="S1196" s="37">
        <v>4</v>
      </c>
      <c r="T1196" s="37" t="s">
        <v>1984</v>
      </c>
      <c r="U1196" s="43" t="str">
        <f t="shared" si="295"/>
        <v>20-mar-2024</v>
      </c>
      <c r="V1196" s="43">
        <f t="shared" si="296"/>
        <v>45371</v>
      </c>
      <c r="W1196" s="44">
        <f t="array" ref="W1196">_xlfn.IFS(TRIM(C1196)="","",TRIM(V1196)="","",TRUE,V1196-C1196)</f>
        <v>4</v>
      </c>
      <c r="X1196" s="37">
        <f t="shared" si="297"/>
        <v>0</v>
      </c>
      <c r="Y1196" s="37" t="s">
        <v>163</v>
      </c>
      <c r="Z1196" s="37" t="str">
        <f t="shared" si="298"/>
        <v>delivered</v>
      </c>
      <c r="AA1196" s="37" t="str">
        <f t="shared" si="299"/>
        <v>On Time</v>
      </c>
      <c r="AB1196" s="37" t="str">
        <f t="shared" si="302"/>
        <v>0</v>
      </c>
      <c r="AC1196" s="37">
        <f t="shared" si="303"/>
        <v>0</v>
      </c>
      <c r="AD1196" s="45">
        <f t="shared" si="301"/>
        <v>0.549751243781095</v>
      </c>
      <c r="AE1196" s="37">
        <v>4</v>
      </c>
      <c r="AF1196" s="37" t="s">
        <v>286</v>
      </c>
      <c r="AG1196" s="37" t="str">
        <f t="shared" si="300"/>
        <v>yes</v>
      </c>
      <c r="AH1196" s="37" t="str">
        <f t="array" ref="AH1196">_xlfn.IFS(LOWER(AG1196)="n","no",LOWER(AG1196)="y","yes",TRUE,LOWER(AG1196))</f>
        <v>yes</v>
      </c>
      <c r="AI1196" s="37" t="s">
        <v>4692</v>
      </c>
    </row>
    <row r="1197" spans="1:35">
      <c r="A1197" s="46" t="s">
        <v>3816</v>
      </c>
      <c r="B1197" s="47">
        <v>45312</v>
      </c>
      <c r="C1197" s="39">
        <f t="shared" si="288"/>
        <v>45312</v>
      </c>
      <c r="D1197" s="48" t="s">
        <v>212</v>
      </c>
      <c r="E1197" s="37" t="str" cm="1">
        <f t="array" ref="E1197">_xlfn.IFS(D1197="delhi","north",D1197="mumbai","west",D1197="bengaluru","south",D1197="chennai","south",D1197="kolkata","east",TRUE,"west")</f>
        <v>west</v>
      </c>
      <c r="F1197" s="46" t="s">
        <v>175</v>
      </c>
      <c r="G1197" s="37" t="str">
        <f t="shared" si="289"/>
        <v>ecomexpress</v>
      </c>
      <c r="H1197" s="46" t="s">
        <v>440</v>
      </c>
      <c r="I1197" s="37" t="str">
        <f t="shared" si="290"/>
        <v>road</v>
      </c>
      <c r="J1197" s="46" t="s">
        <v>425</v>
      </c>
      <c r="K1197" s="37" t="str">
        <f t="shared" si="291"/>
        <v>automotiveparts</v>
      </c>
      <c r="L1197" s="46" t="s">
        <v>470</v>
      </c>
      <c r="M1197" s="37" t="str">
        <f t="shared" si="292"/>
        <v>east</v>
      </c>
      <c r="N1197" s="46" t="s">
        <v>396</v>
      </c>
      <c r="O1197" s="41" t="str">
        <f t="shared" si="293"/>
        <v>Yes</v>
      </c>
      <c r="P1197" s="49">
        <v>22.8</v>
      </c>
      <c r="Q1197" s="49">
        <v>495</v>
      </c>
      <c r="R1197" s="42">
        <f t="shared" si="294"/>
        <v>21.7105263157895</v>
      </c>
      <c r="S1197" s="46">
        <v>8</v>
      </c>
      <c r="T1197" s="46" t="s">
        <v>3819</v>
      </c>
      <c r="U1197" s="43" t="str">
        <f t="shared" si="295"/>
        <v>29/01/2024</v>
      </c>
      <c r="V1197" s="43">
        <f t="shared" si="296"/>
        <v>45320</v>
      </c>
      <c r="W1197" s="44">
        <f t="array" ref="W1197">_xlfn.IFS(TRIM(C1197)="","",TRIM(V1197)="","",TRUE,V1197-C1197)</f>
        <v>8</v>
      </c>
      <c r="X1197" s="37">
        <f t="shared" si="297"/>
        <v>0</v>
      </c>
      <c r="Y1197" s="46" t="s">
        <v>105</v>
      </c>
      <c r="Z1197" s="37" t="str">
        <f t="shared" si="298"/>
        <v>delivered</v>
      </c>
      <c r="AA1197" s="37" t="str">
        <f t="shared" si="299"/>
        <v>On Time</v>
      </c>
      <c r="AB1197" s="37" t="str">
        <f t="shared" si="302"/>
        <v>0</v>
      </c>
      <c r="AC1197" s="37">
        <f t="shared" si="303"/>
        <v>0</v>
      </c>
      <c r="AD1197" s="45">
        <f t="shared" si="301"/>
        <v>0.551122194513716</v>
      </c>
      <c r="AE1197" s="46">
        <v>5</v>
      </c>
      <c r="AF1197" s="46" t="s">
        <v>286</v>
      </c>
      <c r="AG1197" s="37" t="str">
        <f t="shared" si="300"/>
        <v>yes</v>
      </c>
      <c r="AH1197" s="37" t="str">
        <f t="array" ref="AH1197">_xlfn.IFS(LOWER(AG1197)="n","no",LOWER(AG1197)="y","yes",TRUE,LOWER(AG1197))</f>
        <v>yes</v>
      </c>
      <c r="AI1197" s="46" t="s">
        <v>4692</v>
      </c>
    </row>
    <row r="1198" spans="1:35">
      <c r="A1198" s="37" t="s">
        <v>3820</v>
      </c>
      <c r="B1198" s="38">
        <v>45454</v>
      </c>
      <c r="C1198" s="39">
        <f t="shared" si="288"/>
        <v>45454</v>
      </c>
      <c r="D1198" s="40" t="s">
        <v>135</v>
      </c>
      <c r="E1198" s="37" t="str" cm="1">
        <f t="array" ref="E1198">_xlfn.IFS(D1198="delhi","north",D1198="mumbai","west",D1198="bengaluru","south",D1198="chennai","south",D1198="kolkata","east",TRUE,"west")</f>
        <v>west</v>
      </c>
      <c r="F1198" s="37" t="s">
        <v>98</v>
      </c>
      <c r="G1198" s="37" t="str">
        <f t="shared" si="289"/>
        <v>dtdc</v>
      </c>
      <c r="H1198" s="37" t="s">
        <v>99</v>
      </c>
      <c r="I1198" s="37" t="str">
        <f t="shared" si="290"/>
        <v>air</v>
      </c>
      <c r="J1198" s="37" t="s">
        <v>47</v>
      </c>
      <c r="K1198" s="37" t="str">
        <f t="shared" si="291"/>
        <v>electronics</v>
      </c>
      <c r="L1198" s="37" t="s">
        <v>125</v>
      </c>
      <c r="M1198" s="37" t="str">
        <f t="shared" si="292"/>
        <v>east</v>
      </c>
      <c r="N1198" s="37" t="s">
        <v>396</v>
      </c>
      <c r="O1198" s="41" t="str">
        <f t="shared" si="293"/>
        <v>Yes</v>
      </c>
      <c r="P1198" s="41">
        <v>14.1</v>
      </c>
      <c r="Q1198" s="41" t="s">
        <v>3821</v>
      </c>
      <c r="R1198" s="42">
        <f t="shared" si="294"/>
        <v>57.3758865248227</v>
      </c>
      <c r="S1198" s="37">
        <v>4</v>
      </c>
      <c r="T1198" s="37" t="s">
        <v>986</v>
      </c>
      <c r="U1198" s="43" t="str">
        <f t="shared" si="295"/>
        <v>18/06/2024</v>
      </c>
      <c r="V1198" s="43">
        <f t="shared" si="296"/>
        <v>45461</v>
      </c>
      <c r="W1198" s="44">
        <f t="array" ref="W1198">_xlfn.IFS(TRIM(C1198)="","",TRIM(V1198)="","",TRUE,V1198-C1198)</f>
        <v>7</v>
      </c>
      <c r="X1198" s="37">
        <f t="shared" si="297"/>
        <v>3</v>
      </c>
      <c r="Y1198" s="37" t="s">
        <v>172</v>
      </c>
      <c r="Z1198" s="37" t="str">
        <f t="shared" si="298"/>
        <v>delayed</v>
      </c>
      <c r="AA1198" s="37" t="str">
        <f t="shared" si="299"/>
        <v>Late</v>
      </c>
      <c r="AB1198" s="37" t="str">
        <f t="shared" si="302"/>
        <v>1</v>
      </c>
      <c r="AC1198" s="37">
        <f t="shared" si="303"/>
        <v>1</v>
      </c>
      <c r="AD1198" s="45">
        <f t="shared" si="301"/>
        <v>0.5525</v>
      </c>
      <c r="AE1198" s="37">
        <v>2</v>
      </c>
      <c r="AF1198" s="37" t="s">
        <v>131</v>
      </c>
      <c r="AG1198" s="37" t="str">
        <f t="shared" si="300"/>
        <v>n</v>
      </c>
      <c r="AH1198" s="37" t="str">
        <f t="array" ref="AH1198">_xlfn.IFS(LOWER(AG1198)="n","no",LOWER(AG1198)="y","yes",TRUE,LOWER(AG1198))</f>
        <v>no</v>
      </c>
      <c r="AI1198" s="37" t="s">
        <v>4692</v>
      </c>
    </row>
    <row r="1199" spans="1:35">
      <c r="A1199" s="46" t="s">
        <v>3822</v>
      </c>
      <c r="B1199" s="47">
        <v>45323</v>
      </c>
      <c r="C1199" s="39">
        <f t="shared" si="288"/>
        <v>45323</v>
      </c>
      <c r="D1199" s="48" t="s">
        <v>109</v>
      </c>
      <c r="E1199" s="37" t="str" cm="1">
        <f t="array" ref="E1199">_xlfn.IFS(D1199="delhi","north",D1199="mumbai","west",D1199="bengaluru","south",D1199="chennai","south",D1199="kolkata","east",TRUE,"west")</f>
        <v>west</v>
      </c>
      <c r="F1199" s="46" t="s">
        <v>98</v>
      </c>
      <c r="G1199" s="37" t="str">
        <f t="shared" si="289"/>
        <v>dtdc</v>
      </c>
      <c r="H1199" s="46" t="s">
        <v>185</v>
      </c>
      <c r="I1199" s="37" t="str">
        <f t="shared" si="290"/>
        <v>surface</v>
      </c>
      <c r="J1199" s="46" t="s">
        <v>498</v>
      </c>
      <c r="K1199" s="37" t="str">
        <f t="shared" si="291"/>
        <v>apparel</v>
      </c>
      <c r="L1199" s="46" t="s">
        <v>112</v>
      </c>
      <c r="M1199" s="37" t="str">
        <f t="shared" si="292"/>
        <v>north</v>
      </c>
      <c r="N1199" s="46" t="s">
        <v>354</v>
      </c>
      <c r="O1199" s="41" t="str">
        <f t="shared" si="293"/>
        <v>Yes</v>
      </c>
      <c r="P1199" s="49">
        <v>1.9</v>
      </c>
      <c r="Q1199" s="49">
        <v>170</v>
      </c>
      <c r="R1199" s="42">
        <f t="shared" si="294"/>
        <v>89.4736842105263</v>
      </c>
      <c r="S1199" s="46">
        <v>6</v>
      </c>
      <c r="T1199" s="46" t="s">
        <v>2121</v>
      </c>
      <c r="U1199" s="43" t="str">
        <f t="shared" si="295"/>
        <v>07-feb-2024</v>
      </c>
      <c r="V1199" s="43">
        <f t="shared" si="296"/>
        <v>45329</v>
      </c>
      <c r="W1199" s="44">
        <f t="array" ref="W1199">_xlfn.IFS(TRIM(C1199)="","",TRIM(V1199)="","",TRUE,V1199-C1199)</f>
        <v>6</v>
      </c>
      <c r="X1199" s="37">
        <f t="shared" si="297"/>
        <v>0</v>
      </c>
      <c r="Y1199" s="46" t="s">
        <v>105</v>
      </c>
      <c r="Z1199" s="37" t="str">
        <f t="shared" si="298"/>
        <v>delivered</v>
      </c>
      <c r="AA1199" s="37" t="str">
        <f t="shared" si="299"/>
        <v>On Time</v>
      </c>
      <c r="AB1199" s="37" t="str">
        <f t="shared" si="302"/>
        <v>0</v>
      </c>
      <c r="AC1199" s="37">
        <f t="shared" si="303"/>
        <v>0</v>
      </c>
      <c r="AD1199" s="45">
        <f t="shared" si="301"/>
        <v>0.551378446115288</v>
      </c>
      <c r="AE1199" s="46">
        <v>5</v>
      </c>
      <c r="AF1199" s="46" t="s">
        <v>152</v>
      </c>
      <c r="AG1199" s="37" t="str">
        <f t="shared" si="300"/>
        <v>no</v>
      </c>
      <c r="AH1199" s="37" t="str">
        <f t="array" ref="AH1199">_xlfn.IFS(LOWER(AG1199)="n","no",LOWER(AG1199)="y","yes",TRUE,LOWER(AG1199))</f>
        <v>no</v>
      </c>
      <c r="AI1199" s="46" t="s">
        <v>4692</v>
      </c>
    </row>
    <row r="1200" spans="1:35">
      <c r="A1200" s="37" t="s">
        <v>3825</v>
      </c>
      <c r="B1200" s="38">
        <v>45328</v>
      </c>
      <c r="C1200" s="39">
        <f t="shared" si="288"/>
        <v>45328</v>
      </c>
      <c r="D1200" s="40" t="s">
        <v>222</v>
      </c>
      <c r="E1200" s="37" t="str" cm="1">
        <f t="array" ref="E1200">_xlfn.IFS(D1200="delhi","north",D1200="mumbai","west",D1200="bengaluru","south",D1200="chennai","south",D1200="kolkata","east",TRUE,"west")</f>
        <v>west</v>
      </c>
      <c r="F1200" s="37" t="s">
        <v>156</v>
      </c>
      <c r="G1200" s="37" t="str">
        <f t="shared" si="289"/>
        <v>xpressbees</v>
      </c>
      <c r="H1200" s="37" t="s">
        <v>176</v>
      </c>
      <c r="I1200" s="37" t="str">
        <f t="shared" si="290"/>
        <v>road</v>
      </c>
      <c r="J1200" s="37" t="s">
        <v>582</v>
      </c>
      <c r="K1200" s="37" t="str">
        <f t="shared" si="291"/>
        <v>grocery&amp;fmcg</v>
      </c>
      <c r="L1200" s="37" t="s">
        <v>470</v>
      </c>
      <c r="M1200" s="37" t="str">
        <f t="shared" si="292"/>
        <v>east</v>
      </c>
      <c r="N1200" s="37" t="s">
        <v>396</v>
      </c>
      <c r="O1200" s="41" t="str">
        <f t="shared" si="293"/>
        <v>Yes</v>
      </c>
      <c r="P1200" s="41" t="s">
        <v>944</v>
      </c>
      <c r="Q1200" s="41">
        <v>395</v>
      </c>
      <c r="R1200" s="42">
        <f t="shared" si="294"/>
        <v>23.3727810650888</v>
      </c>
      <c r="S1200" s="37">
        <v>8</v>
      </c>
      <c r="T1200" s="37" t="s">
        <v>2243</v>
      </c>
      <c r="U1200" s="43" t="str">
        <f t="shared" si="295"/>
        <v>2024-02-22</v>
      </c>
      <c r="V1200" s="43">
        <f t="shared" si="296"/>
        <v>45344</v>
      </c>
      <c r="W1200" s="44">
        <f t="array" ref="W1200">_xlfn.IFS(TRIM(C1200)="","",TRIM(V1200)="","",TRUE,V1200-C1200)</f>
        <v>16</v>
      </c>
      <c r="X1200" s="37">
        <f t="shared" si="297"/>
        <v>8</v>
      </c>
      <c r="Y1200" s="37" t="s">
        <v>172</v>
      </c>
      <c r="Z1200" s="37" t="str">
        <f t="shared" si="298"/>
        <v>delayed</v>
      </c>
      <c r="AA1200" s="37" t="str">
        <f t="shared" si="299"/>
        <v>Late</v>
      </c>
      <c r="AB1200" s="37" t="str">
        <f t="shared" si="302"/>
        <v>1</v>
      </c>
      <c r="AC1200" s="37">
        <f t="shared" si="303"/>
        <v>1</v>
      </c>
      <c r="AD1200" s="45">
        <f t="shared" si="301"/>
        <v>0.552763819095477</v>
      </c>
      <c r="AE1200" s="37">
        <v>2</v>
      </c>
      <c r="AF1200" s="37" t="s">
        <v>181</v>
      </c>
      <c r="AG1200" s="37" t="str">
        <f t="shared" si="300"/>
        <v>y</v>
      </c>
      <c r="AH1200" s="37" t="str">
        <f t="array" ref="AH1200">_xlfn.IFS(LOWER(AG1200)="n","no",LOWER(AG1200)="y","yes",TRUE,LOWER(AG1200))</f>
        <v>yes</v>
      </c>
      <c r="AI1200" s="37" t="s">
        <v>4692</v>
      </c>
    </row>
    <row r="1201" spans="1:35">
      <c r="A1201" s="46" t="s">
        <v>3827</v>
      </c>
      <c r="B1201" s="47" t="s">
        <v>4747</v>
      </c>
      <c r="C1201" s="39">
        <f t="shared" si="288"/>
        <v>45345</v>
      </c>
      <c r="D1201" s="48" t="s">
        <v>4694</v>
      </c>
      <c r="E1201" s="37" t="str" cm="1">
        <f t="array" ref="E1201">_xlfn.IFS(D1201="delhi","north",D1201="mumbai","west",D1201="bengaluru","south",D1201="chennai","south",D1201="kolkata","east",TRUE,"west")</f>
        <v>west</v>
      </c>
      <c r="F1201" s="46" t="s">
        <v>367</v>
      </c>
      <c r="G1201" s="37" t="str">
        <f t="shared" si="289"/>
        <v>dtdc</v>
      </c>
      <c r="H1201" s="46" t="s">
        <v>195</v>
      </c>
      <c r="I1201" s="37" t="str">
        <f t="shared" si="290"/>
        <v>road</v>
      </c>
      <c r="J1201" s="46" t="s">
        <v>319</v>
      </c>
      <c r="K1201" s="37" t="str">
        <f t="shared" si="291"/>
        <v>electronics</v>
      </c>
      <c r="L1201" s="46" t="s">
        <v>112</v>
      </c>
      <c r="M1201" s="37" t="str">
        <f t="shared" si="292"/>
        <v>north</v>
      </c>
      <c r="N1201" s="46" t="s">
        <v>215</v>
      </c>
      <c r="O1201" s="41" t="str">
        <f t="shared" si="293"/>
        <v>Yes</v>
      </c>
      <c r="P1201" s="49">
        <v>13.1</v>
      </c>
      <c r="Q1201" s="49">
        <v>359</v>
      </c>
      <c r="R1201" s="42">
        <f t="shared" si="294"/>
        <v>27.4045801526718</v>
      </c>
      <c r="S1201" s="46">
        <v>8</v>
      </c>
      <c r="T1201" s="46" t="s">
        <v>1801</v>
      </c>
      <c r="U1201" s="43" t="str">
        <f t="shared" si="295"/>
        <v>2024-03-03</v>
      </c>
      <c r="V1201" s="43">
        <f t="shared" si="296"/>
        <v>45354</v>
      </c>
      <c r="W1201" s="44">
        <f t="array" ref="W1201">_xlfn.IFS(TRIM(C1201)="","",TRIM(V1201)="","",TRUE,V1201-C1201)</f>
        <v>9</v>
      </c>
      <c r="X1201" s="37">
        <f t="shared" si="297"/>
        <v>1</v>
      </c>
      <c r="Y1201" s="46" t="s">
        <v>172</v>
      </c>
      <c r="Z1201" s="37" t="str">
        <f t="shared" si="298"/>
        <v>delayed</v>
      </c>
      <c r="AA1201" s="37" t="str">
        <f t="shared" si="299"/>
        <v>Late</v>
      </c>
      <c r="AB1201" s="37" t="str">
        <f t="shared" si="302"/>
        <v>1</v>
      </c>
      <c r="AC1201" s="37">
        <f t="shared" si="303"/>
        <v>1</v>
      </c>
      <c r="AD1201" s="45">
        <f t="shared" si="301"/>
        <v>0.551637279596977</v>
      </c>
      <c r="AE1201" s="46">
        <v>1</v>
      </c>
      <c r="AF1201" s="46" t="s">
        <v>191</v>
      </c>
      <c r="AG1201" s="37" t="str">
        <f t="shared" si="300"/>
        <v>no</v>
      </c>
      <c r="AH1201" s="37" t="str">
        <f t="array" ref="AH1201">_xlfn.IFS(LOWER(AG1201)="n","no",LOWER(AG1201)="y","yes",TRUE,LOWER(AG1201))</f>
        <v>no</v>
      </c>
      <c r="AI1201" s="46" t="s">
        <v>4692</v>
      </c>
    </row>
    <row r="1202" spans="1:35">
      <c r="A1202" s="37" t="s">
        <v>3829</v>
      </c>
      <c r="B1202" s="38">
        <v>45396</v>
      </c>
      <c r="C1202" s="39">
        <f t="shared" si="288"/>
        <v>45396</v>
      </c>
      <c r="D1202" s="40" t="s">
        <v>166</v>
      </c>
      <c r="E1202" s="37" t="str" cm="1">
        <f t="array" ref="E1202">_xlfn.IFS(D1202="delhi","north",D1202="mumbai","west",D1202="bengaluru","south",D1202="chennai","south",D1202="kolkata","east",TRUE,"west")</f>
        <v>west</v>
      </c>
      <c r="F1202" s="37" t="s">
        <v>175</v>
      </c>
      <c r="G1202" s="37" t="str">
        <f t="shared" si="289"/>
        <v>ecomexpress</v>
      </c>
      <c r="H1202" s="37" t="s">
        <v>345</v>
      </c>
      <c r="I1202" s="37" t="str">
        <f t="shared" si="290"/>
        <v>surface</v>
      </c>
      <c r="J1202" s="37" t="s">
        <v>263</v>
      </c>
      <c r="K1202" s="37" t="str">
        <f t="shared" si="291"/>
        <v>apparel</v>
      </c>
      <c r="L1202" s="37" t="s">
        <v>112</v>
      </c>
      <c r="M1202" s="37" t="str">
        <f t="shared" si="292"/>
        <v>north</v>
      </c>
      <c r="N1202" s="37" t="s">
        <v>215</v>
      </c>
      <c r="O1202" s="41" t="str">
        <f t="shared" si="293"/>
        <v>Yes</v>
      </c>
      <c r="P1202" s="41">
        <v>6.8</v>
      </c>
      <c r="Q1202" s="41" t="s">
        <v>3830</v>
      </c>
      <c r="R1202" s="42">
        <f t="shared" si="294"/>
        <v>44.8529411764706</v>
      </c>
      <c r="S1202" s="37">
        <v>6</v>
      </c>
      <c r="T1202" s="37" t="s">
        <v>457</v>
      </c>
      <c r="U1202" s="43" t="str">
        <f t="shared" si="295"/>
        <v>26/04/2024</v>
      </c>
      <c r="V1202" s="43">
        <f t="shared" si="296"/>
        <v>45408</v>
      </c>
      <c r="W1202" s="44">
        <f t="array" ref="W1202">_xlfn.IFS(TRIM(C1202)="","",TRIM(V1202)="","",TRUE,V1202-C1202)</f>
        <v>12</v>
      </c>
      <c r="X1202" s="37">
        <f t="shared" si="297"/>
        <v>6</v>
      </c>
      <c r="Y1202" s="37" t="s">
        <v>172</v>
      </c>
      <c r="Z1202" s="37" t="str">
        <f t="shared" si="298"/>
        <v>delayed</v>
      </c>
      <c r="AA1202" s="37" t="str">
        <f t="shared" si="299"/>
        <v>Late</v>
      </c>
      <c r="AB1202" s="37" t="str">
        <f t="shared" si="302"/>
        <v>1</v>
      </c>
      <c r="AC1202" s="37">
        <f t="shared" si="303"/>
        <v>1</v>
      </c>
      <c r="AD1202" s="45">
        <f t="shared" si="301"/>
        <v>0.55050505050505</v>
      </c>
      <c r="AE1202" s="37">
        <v>3</v>
      </c>
      <c r="AF1202" s="37" t="s">
        <v>152</v>
      </c>
      <c r="AG1202" s="37" t="str">
        <f t="shared" si="300"/>
        <v>no</v>
      </c>
      <c r="AH1202" s="37" t="str">
        <f t="array" ref="AH1202">_xlfn.IFS(LOWER(AG1202)="n","no",LOWER(AG1202)="y","yes",TRUE,LOWER(AG1202))</f>
        <v>no</v>
      </c>
      <c r="AI1202" s="37" t="s">
        <v>4692</v>
      </c>
    </row>
    <row r="1203" spans="1:35">
      <c r="A1203" s="46" t="s">
        <v>3831</v>
      </c>
      <c r="B1203" s="47">
        <v>45423</v>
      </c>
      <c r="C1203" s="39">
        <f t="shared" si="288"/>
        <v>45423</v>
      </c>
      <c r="D1203" s="48" t="s">
        <v>212</v>
      </c>
      <c r="E1203" s="37" t="str" cm="1">
        <f t="array" ref="E1203">_xlfn.IFS(D1203="delhi","north",D1203="mumbai","west",D1203="bengaluru","south",D1203="chennai","south",D1203="kolkata","east",TRUE,"west")</f>
        <v>west</v>
      </c>
      <c r="F1203" s="46" t="s">
        <v>204</v>
      </c>
      <c r="G1203" s="37" t="str">
        <f t="shared" si="289"/>
        <v>delhivery</v>
      </c>
      <c r="H1203" s="46" t="s">
        <v>176</v>
      </c>
      <c r="I1203" s="37" t="str">
        <f t="shared" si="290"/>
        <v>road</v>
      </c>
      <c r="J1203" s="46" t="s">
        <v>158</v>
      </c>
      <c r="K1203" s="37" t="str">
        <f t="shared" si="291"/>
        <v>pharma</v>
      </c>
      <c r="L1203" s="46" t="s">
        <v>197</v>
      </c>
      <c r="M1203" s="37" t="str">
        <f t="shared" si="292"/>
        <v>south</v>
      </c>
      <c r="N1203" s="46" t="s">
        <v>54</v>
      </c>
      <c r="O1203" s="41" t="str">
        <f t="shared" si="293"/>
        <v>Yes</v>
      </c>
      <c r="P1203" s="49">
        <v>4.1</v>
      </c>
      <c r="Q1203" s="49" t="s">
        <v>1007</v>
      </c>
      <c r="R1203" s="42">
        <f t="shared" si="294"/>
        <v>47.5609756097561</v>
      </c>
      <c r="S1203" s="46">
        <v>8</v>
      </c>
      <c r="T1203" s="46" t="s">
        <v>423</v>
      </c>
      <c r="U1203" s="43" t="str">
        <f t="shared" si="295"/>
        <v>20-may-2024</v>
      </c>
      <c r="V1203" s="43">
        <f t="shared" si="296"/>
        <v>45432</v>
      </c>
      <c r="W1203" s="44">
        <f t="array" ref="W1203">_xlfn.IFS(TRIM(C1203)="","",TRIM(V1203)="","",TRUE,V1203-C1203)</f>
        <v>9</v>
      </c>
      <c r="X1203" s="37">
        <f t="shared" si="297"/>
        <v>1</v>
      </c>
      <c r="Y1203" s="46" t="s">
        <v>143</v>
      </c>
      <c r="Z1203" s="37" t="str">
        <f t="shared" si="298"/>
        <v>delayed</v>
      </c>
      <c r="AA1203" s="37" t="str">
        <f t="shared" si="299"/>
        <v>Late</v>
      </c>
      <c r="AB1203" s="37" t="str">
        <f t="shared" si="302"/>
        <v>1</v>
      </c>
      <c r="AC1203" s="37">
        <f t="shared" si="303"/>
        <v>1</v>
      </c>
      <c r="AD1203" s="45">
        <f t="shared" si="301"/>
        <v>0.549367088607595</v>
      </c>
      <c r="AE1203" s="46">
        <v>1</v>
      </c>
      <c r="AF1203" s="46" t="s">
        <v>191</v>
      </c>
      <c r="AG1203" s="37" t="str">
        <f t="shared" si="300"/>
        <v>no</v>
      </c>
      <c r="AH1203" s="37" t="str">
        <f t="array" ref="AH1203">_xlfn.IFS(LOWER(AG1203)="n","no",LOWER(AG1203)="y","yes",TRUE,LOWER(AG1203))</f>
        <v>no</v>
      </c>
      <c r="AI1203" s="46" t="s">
        <v>4692</v>
      </c>
    </row>
    <row r="1204" spans="1:35">
      <c r="A1204" s="37" t="s">
        <v>3832</v>
      </c>
      <c r="B1204" s="38">
        <v>45305</v>
      </c>
      <c r="C1204" s="39">
        <f t="shared" si="288"/>
        <v>45305</v>
      </c>
      <c r="D1204" s="40" t="s">
        <v>4699</v>
      </c>
      <c r="E1204" s="37" t="str" cm="1">
        <f t="array" ref="E1204">_xlfn.IFS(D1204="delhi","north",D1204="mumbai","west",D1204="bengaluru","south",D1204="chennai","south",D1204="kolkata","east",TRUE,"west")</f>
        <v>west</v>
      </c>
      <c r="F1204" s="37" t="s">
        <v>175</v>
      </c>
      <c r="G1204" s="37" t="str">
        <f t="shared" si="289"/>
        <v>ecomexpress</v>
      </c>
      <c r="H1204" s="37" t="s">
        <v>137</v>
      </c>
      <c r="I1204" s="37" t="str">
        <f t="shared" si="290"/>
        <v>road</v>
      </c>
      <c r="J1204" s="37" t="s">
        <v>158</v>
      </c>
      <c r="K1204" s="37" t="str">
        <f t="shared" si="291"/>
        <v>pharma</v>
      </c>
      <c r="L1204" s="37" t="s">
        <v>168</v>
      </c>
      <c r="M1204" s="37" t="str">
        <f t="shared" si="292"/>
        <v>west</v>
      </c>
      <c r="N1204" s="37" t="s">
        <v>206</v>
      </c>
      <c r="O1204" s="41" t="str">
        <f t="shared" si="293"/>
        <v>Yes</v>
      </c>
      <c r="P1204" s="41">
        <v>4.6</v>
      </c>
      <c r="Q1204" s="41">
        <v>113</v>
      </c>
      <c r="R1204" s="42">
        <f t="shared" si="294"/>
        <v>24.5652173913044</v>
      </c>
      <c r="S1204" s="37">
        <v>6</v>
      </c>
      <c r="T1204" s="37" t="s">
        <v>1703</v>
      </c>
      <c r="U1204" s="43" t="str">
        <f t="shared" si="295"/>
        <v>2024-01-21</v>
      </c>
      <c r="V1204" s="43">
        <f t="shared" si="296"/>
        <v>45312</v>
      </c>
      <c r="W1204" s="44">
        <f t="array" ref="W1204">_xlfn.IFS(TRIM(C1204)="","",TRIM(V1204)="","",TRUE,V1204-C1204)</f>
        <v>7</v>
      </c>
      <c r="X1204" s="37">
        <f t="shared" si="297"/>
        <v>1</v>
      </c>
      <c r="Y1204" s="37" t="s">
        <v>200</v>
      </c>
      <c r="Z1204" s="37" t="str">
        <f t="shared" si="298"/>
        <v>delayed</v>
      </c>
      <c r="AA1204" s="37" t="str">
        <f t="shared" si="299"/>
        <v>Late</v>
      </c>
      <c r="AB1204" s="37" t="str">
        <f t="shared" si="302"/>
        <v>1</v>
      </c>
      <c r="AC1204" s="37">
        <f t="shared" si="303"/>
        <v>1</v>
      </c>
      <c r="AD1204" s="45">
        <f t="shared" si="301"/>
        <v>0.548223350253807</v>
      </c>
      <c r="AE1204" s="37">
        <v>1</v>
      </c>
      <c r="AF1204" s="37" t="s">
        <v>152</v>
      </c>
      <c r="AG1204" s="37" t="str">
        <f t="shared" si="300"/>
        <v>no</v>
      </c>
      <c r="AH1204" s="37" t="str">
        <f t="array" ref="AH1204">_xlfn.IFS(LOWER(AG1204)="n","no",LOWER(AG1204)="y","yes",TRUE,LOWER(AG1204))</f>
        <v>no</v>
      </c>
      <c r="AI1204" s="37" t="s">
        <v>4692</v>
      </c>
    </row>
    <row r="1205" spans="1:35">
      <c r="A1205" s="46" t="s">
        <v>3834</v>
      </c>
      <c r="B1205" s="47" t="s">
        <v>4842</v>
      </c>
      <c r="C1205" s="39">
        <f t="shared" si="288"/>
        <v>45445</v>
      </c>
      <c r="D1205" s="48" t="s">
        <v>424</v>
      </c>
      <c r="E1205" s="37" t="str" cm="1">
        <f t="array" ref="E1205">_xlfn.IFS(D1205="delhi","north",D1205="mumbai","west",D1205="bengaluru","south",D1205="chennai","south",D1205="kolkata","east",TRUE,"west")</f>
        <v>south</v>
      </c>
      <c r="F1205" s="46" t="s">
        <v>122</v>
      </c>
      <c r="G1205" s="37" t="str">
        <f t="shared" si="289"/>
        <v>delhivery</v>
      </c>
      <c r="H1205" s="46" t="s">
        <v>345</v>
      </c>
      <c r="I1205" s="37" t="str">
        <f t="shared" si="290"/>
        <v>surface</v>
      </c>
      <c r="J1205" s="46" t="s">
        <v>1734</v>
      </c>
      <c r="K1205" s="37" t="str">
        <f t="shared" si="291"/>
        <v>automotiveparts</v>
      </c>
      <c r="L1205" s="46" t="s">
        <v>92</v>
      </c>
      <c r="M1205" s="37" t="str">
        <f t="shared" si="292"/>
        <v>east</v>
      </c>
      <c r="N1205" s="46" t="s">
        <v>396</v>
      </c>
      <c r="O1205" s="41" t="str">
        <f t="shared" si="293"/>
        <v>Yes</v>
      </c>
      <c r="P1205" s="49">
        <v>12.5</v>
      </c>
      <c r="Q1205" s="49">
        <v>399</v>
      </c>
      <c r="R1205" s="42">
        <f t="shared" si="294"/>
        <v>31.92</v>
      </c>
      <c r="S1205" s="46">
        <v>6</v>
      </c>
      <c r="T1205" s="46" t="s">
        <v>1072</v>
      </c>
      <c r="U1205" s="43" t="str">
        <f t="shared" si="295"/>
        <v>08/06/2024</v>
      </c>
      <c r="V1205" s="43">
        <f t="shared" si="296"/>
        <v>45451</v>
      </c>
      <c r="W1205" s="44">
        <f t="array" ref="W1205">_xlfn.IFS(TRIM(C1205)="","",TRIM(V1205)="","",TRUE,V1205-C1205)</f>
        <v>6</v>
      </c>
      <c r="X1205" s="37">
        <f t="shared" si="297"/>
        <v>0</v>
      </c>
      <c r="Y1205" s="46" t="s">
        <v>163</v>
      </c>
      <c r="Z1205" s="37" t="str">
        <f t="shared" si="298"/>
        <v>delivered</v>
      </c>
      <c r="AA1205" s="37" t="str">
        <f t="shared" si="299"/>
        <v>On Time</v>
      </c>
      <c r="AB1205" s="37" t="str">
        <f t="shared" si="302"/>
        <v>0</v>
      </c>
      <c r="AC1205" s="37">
        <f t="shared" si="303"/>
        <v>0</v>
      </c>
      <c r="AD1205" s="45">
        <f t="shared" si="301"/>
        <v>0.5470737913486</v>
      </c>
      <c r="AE1205" s="46">
        <v>4</v>
      </c>
      <c r="AF1205" s="46" t="s">
        <v>131</v>
      </c>
      <c r="AG1205" s="37" t="str">
        <f t="shared" si="300"/>
        <v>n</v>
      </c>
      <c r="AH1205" s="37" t="str">
        <f t="array" ref="AH1205">_xlfn.IFS(LOWER(AG1205)="n","no",LOWER(AG1205)="y","yes",TRUE,LOWER(AG1205))</f>
        <v>no</v>
      </c>
      <c r="AI1205" s="46" t="s">
        <v>4692</v>
      </c>
    </row>
    <row r="1206" spans="1:35">
      <c r="A1206" s="37" t="s">
        <v>3837</v>
      </c>
      <c r="B1206" s="38">
        <v>45326</v>
      </c>
      <c r="C1206" s="39">
        <f t="shared" si="288"/>
        <v>45326</v>
      </c>
      <c r="D1206" s="40" t="s">
        <v>633</v>
      </c>
      <c r="E1206" s="37" t="str" cm="1">
        <f t="array" ref="E1206">_xlfn.IFS(D1206="delhi","north",D1206="mumbai","west",D1206="bengaluru","south",D1206="chennai","south",D1206="kolkata","east",TRUE,"west")</f>
        <v>south</v>
      </c>
      <c r="F1206" s="37" t="s">
        <v>367</v>
      </c>
      <c r="G1206" s="37" t="str">
        <f t="shared" si="289"/>
        <v>dtdc</v>
      </c>
      <c r="H1206" s="37" t="s">
        <v>137</v>
      </c>
      <c r="I1206" s="37" t="str">
        <f t="shared" si="290"/>
        <v>road</v>
      </c>
      <c r="J1206" s="37" t="s">
        <v>148</v>
      </c>
      <c r="K1206" s="37" t="str">
        <f t="shared" si="291"/>
        <v>electronics</v>
      </c>
      <c r="L1206" s="37" t="s">
        <v>101</v>
      </c>
      <c r="M1206" s="37" t="str">
        <f t="shared" si="292"/>
        <v>west</v>
      </c>
      <c r="N1206" s="37" t="s">
        <v>187</v>
      </c>
      <c r="O1206" s="41" t="str">
        <f t="shared" si="293"/>
        <v>Yes</v>
      </c>
      <c r="P1206" s="41" t="s">
        <v>1829</v>
      </c>
      <c r="Q1206" s="41">
        <v>276</v>
      </c>
      <c r="R1206" s="42">
        <f t="shared" si="294"/>
        <v>47.5862068965517</v>
      </c>
      <c r="S1206" s="37">
        <v>8</v>
      </c>
      <c r="T1206" s="37" t="s">
        <v>3347</v>
      </c>
      <c r="U1206" s="43" t="str">
        <f t="shared" si="295"/>
        <v>17/02/2024</v>
      </c>
      <c r="V1206" s="43">
        <f t="shared" si="296"/>
        <v>45339</v>
      </c>
      <c r="W1206" s="44">
        <f t="array" ref="W1206">_xlfn.IFS(TRIM(C1206)="","",TRIM(V1206)="","",TRUE,V1206-C1206)</f>
        <v>13</v>
      </c>
      <c r="X1206" s="37">
        <f t="shared" si="297"/>
        <v>5</v>
      </c>
      <c r="Y1206" s="37" t="s">
        <v>817</v>
      </c>
      <c r="Z1206" s="37" t="str">
        <f t="shared" si="298"/>
        <v>returned</v>
      </c>
      <c r="AA1206" s="37" t="str">
        <f t="shared" si="299"/>
        <v>Late</v>
      </c>
      <c r="AB1206" s="37" t="str">
        <f t="shared" si="302"/>
        <v>1</v>
      </c>
      <c r="AC1206" s="37">
        <f t="shared" si="303"/>
        <v>1</v>
      </c>
      <c r="AD1206" s="45">
        <f t="shared" si="301"/>
        <v>0.548469387755102</v>
      </c>
      <c r="AE1206" s="37"/>
      <c r="AF1206" s="37" t="s">
        <v>118</v>
      </c>
      <c r="AG1206" s="37" t="str">
        <f t="shared" si="300"/>
        <v>no</v>
      </c>
      <c r="AH1206" s="37" t="str">
        <f t="array" ref="AH1206">_xlfn.IFS(LOWER(AG1206)="n","no",LOWER(AG1206)="y","yes",TRUE,LOWER(AG1206))</f>
        <v>no</v>
      </c>
      <c r="AI1206" s="37" t="s">
        <v>818</v>
      </c>
    </row>
    <row r="1207" spans="1:35">
      <c r="A1207" s="46" t="s">
        <v>3838</v>
      </c>
      <c r="B1207" s="47">
        <v>45453</v>
      </c>
      <c r="C1207" s="39">
        <f t="shared" si="288"/>
        <v>45453</v>
      </c>
      <c r="D1207" s="48" t="s">
        <v>366</v>
      </c>
      <c r="E1207" s="37" t="str" cm="1">
        <f t="array" ref="E1207">_xlfn.IFS(D1207="delhi","north",D1207="mumbai","west",D1207="bengaluru","south",D1207="chennai","south",D1207="kolkata","east",TRUE,"west")</f>
        <v>east</v>
      </c>
      <c r="F1207" s="46" t="s">
        <v>98</v>
      </c>
      <c r="G1207" s="37" t="str">
        <f t="shared" si="289"/>
        <v>dtdc</v>
      </c>
      <c r="H1207" s="46" t="s">
        <v>345</v>
      </c>
      <c r="I1207" s="37" t="str">
        <f t="shared" si="290"/>
        <v>surface</v>
      </c>
      <c r="J1207" s="46" t="s">
        <v>301</v>
      </c>
      <c r="K1207" s="37" t="str">
        <f t="shared" si="291"/>
        <v>furniture</v>
      </c>
      <c r="L1207" s="46" t="s">
        <v>89</v>
      </c>
      <c r="M1207" s="37" t="str">
        <f t="shared" si="292"/>
        <v>west</v>
      </c>
      <c r="N1207" s="46" t="s">
        <v>88</v>
      </c>
      <c r="O1207" s="41" t="str">
        <f t="shared" si="293"/>
        <v>Yes</v>
      </c>
      <c r="P1207" s="49">
        <v>77.4</v>
      </c>
      <c r="Q1207" s="49" t="s">
        <v>3840</v>
      </c>
      <c r="R1207" s="42">
        <f t="shared" si="294"/>
        <v>24.4832041343669</v>
      </c>
      <c r="S1207" s="46">
        <v>6</v>
      </c>
      <c r="T1207" s="46" t="s">
        <v>1707</v>
      </c>
      <c r="U1207" s="43" t="str">
        <f t="shared" si="295"/>
        <v>15-jun-2024</v>
      </c>
      <c r="V1207" s="43">
        <f t="shared" si="296"/>
        <v>45458</v>
      </c>
      <c r="W1207" s="44">
        <f t="array" ref="W1207">_xlfn.IFS(TRIM(C1207)="","",TRIM(V1207)="","",TRUE,V1207-C1207)</f>
        <v>5</v>
      </c>
      <c r="X1207" s="37">
        <f t="shared" si="297"/>
        <v>-1</v>
      </c>
      <c r="Y1207" s="46" t="s">
        <v>1513</v>
      </c>
      <c r="Z1207" s="37" t="str">
        <f t="shared" si="298"/>
        <v>damaged</v>
      </c>
      <c r="AA1207" s="37" t="str">
        <f t="shared" si="299"/>
        <v>On Time</v>
      </c>
      <c r="AB1207" s="37" t="str">
        <f t="shared" si="302"/>
        <v>0</v>
      </c>
      <c r="AC1207" s="37">
        <f t="shared" si="303"/>
        <v>0</v>
      </c>
      <c r="AD1207" s="45">
        <f t="shared" si="301"/>
        <v>0.547314578005115</v>
      </c>
      <c r="AE1207" s="46"/>
      <c r="AF1207" s="46" t="s">
        <v>152</v>
      </c>
      <c r="AG1207" s="37" t="str">
        <f t="shared" si="300"/>
        <v>no</v>
      </c>
      <c r="AH1207" s="37" t="str">
        <f t="array" ref="AH1207">_xlfn.IFS(LOWER(AG1207)="n","no",LOWER(AG1207)="y","yes",TRUE,LOWER(AG1207))</f>
        <v>no</v>
      </c>
      <c r="AI1207" s="46" t="s">
        <v>759</v>
      </c>
    </row>
    <row r="1208" spans="1:35">
      <c r="A1208" s="37" t="s">
        <v>3841</v>
      </c>
      <c r="B1208" s="38" t="s">
        <v>4763</v>
      </c>
      <c r="C1208" s="39">
        <f t="shared" si="288"/>
        <v>45299</v>
      </c>
      <c r="D1208" s="40" t="s">
        <v>340</v>
      </c>
      <c r="E1208" s="37" t="str" cm="1">
        <f t="array" ref="E1208">_xlfn.IFS(D1208="delhi","north",D1208="mumbai","west",D1208="bengaluru","south",D1208="chennai","south",D1208="kolkata","east",TRUE,"west")</f>
        <v>north</v>
      </c>
      <c r="F1208" s="37" t="s">
        <v>312</v>
      </c>
      <c r="G1208" s="37" t="str">
        <f t="shared" si="289"/>
        <v>bluedart</v>
      </c>
      <c r="H1208" s="37" t="s">
        <v>110</v>
      </c>
      <c r="I1208" s="37" t="str">
        <f t="shared" si="290"/>
        <v>surface</v>
      </c>
      <c r="J1208" s="37" t="s">
        <v>498</v>
      </c>
      <c r="K1208" s="37" t="str">
        <f t="shared" si="291"/>
        <v>apparel</v>
      </c>
      <c r="L1208" s="37" t="s">
        <v>92</v>
      </c>
      <c r="M1208" s="37" t="str">
        <f t="shared" si="292"/>
        <v>east</v>
      </c>
      <c r="N1208" s="37" t="s">
        <v>91</v>
      </c>
      <c r="O1208" s="41" t="str">
        <f t="shared" si="293"/>
        <v>Yes</v>
      </c>
      <c r="P1208" s="41">
        <v>5.1</v>
      </c>
      <c r="Q1208" s="41" t="s">
        <v>3843</v>
      </c>
      <c r="R1208" s="42">
        <f t="shared" si="294"/>
        <v>57.4509803921569</v>
      </c>
      <c r="S1208" s="37">
        <v>6</v>
      </c>
      <c r="T1208" s="37" t="s">
        <v>579</v>
      </c>
      <c r="U1208" s="43" t="str">
        <f t="shared" si="295"/>
        <v>13-jan-2024</v>
      </c>
      <c r="V1208" s="43">
        <f t="shared" si="296"/>
        <v>45304</v>
      </c>
      <c r="W1208" s="44">
        <f t="array" ref="W1208">_xlfn.IFS(TRIM(C1208)="","",TRIM(V1208)="","",TRUE,V1208-C1208)</f>
        <v>5</v>
      </c>
      <c r="X1208" s="37">
        <f t="shared" si="297"/>
        <v>-1</v>
      </c>
      <c r="Y1208" s="37" t="s">
        <v>117</v>
      </c>
      <c r="Z1208" s="37" t="str">
        <f t="shared" si="298"/>
        <v>delivered</v>
      </c>
      <c r="AA1208" s="37" t="str">
        <f t="shared" si="299"/>
        <v>On Time</v>
      </c>
      <c r="AB1208" s="37" t="str">
        <f t="shared" si="302"/>
        <v>0</v>
      </c>
      <c r="AC1208" s="37">
        <f t="shared" si="303"/>
        <v>0</v>
      </c>
      <c r="AD1208" s="45">
        <f t="shared" si="301"/>
        <v>0.548717948717949</v>
      </c>
      <c r="AE1208" s="37">
        <v>4</v>
      </c>
      <c r="AF1208" s="37" t="s">
        <v>191</v>
      </c>
      <c r="AG1208" s="37" t="str">
        <f t="shared" si="300"/>
        <v>no</v>
      </c>
      <c r="AH1208" s="37" t="str">
        <f t="array" ref="AH1208">_xlfn.IFS(LOWER(AG1208)="n","no",LOWER(AG1208)="y","yes",TRUE,LOWER(AG1208))</f>
        <v>no</v>
      </c>
      <c r="AI1208" s="37" t="s">
        <v>4692</v>
      </c>
    </row>
    <row r="1209" spans="1:35">
      <c r="A1209" s="46" t="s">
        <v>3844</v>
      </c>
      <c r="B1209" s="47">
        <v>45397</v>
      </c>
      <c r="C1209" s="39">
        <f t="shared" si="288"/>
        <v>45397</v>
      </c>
      <c r="D1209" s="48" t="s">
        <v>121</v>
      </c>
      <c r="E1209" s="37" t="str" cm="1">
        <f t="array" ref="E1209">_xlfn.IFS(D1209="delhi","north",D1209="mumbai","west",D1209="bengaluru","south",D1209="chennai","south",D1209="kolkata","east",TRUE,"west")</f>
        <v>west</v>
      </c>
      <c r="F1209" s="46" t="s">
        <v>194</v>
      </c>
      <c r="G1209" s="37" t="str">
        <f t="shared" si="289"/>
        <v>xpressbees</v>
      </c>
      <c r="H1209" s="46" t="s">
        <v>42</v>
      </c>
      <c r="I1209" s="37" t="str">
        <f t="shared" si="290"/>
        <v>surface</v>
      </c>
      <c r="J1209" s="46" t="s">
        <v>326</v>
      </c>
      <c r="K1209" s="37" t="str">
        <f t="shared" si="291"/>
        <v>apparel</v>
      </c>
      <c r="L1209" s="46" t="s">
        <v>380</v>
      </c>
      <c r="M1209" s="37" t="str">
        <f t="shared" si="292"/>
        <v>east</v>
      </c>
      <c r="N1209" s="46" t="s">
        <v>396</v>
      </c>
      <c r="O1209" s="41" t="str">
        <f t="shared" si="293"/>
        <v>Yes</v>
      </c>
      <c r="P1209" s="49">
        <v>6.9</v>
      </c>
      <c r="Q1209" s="49">
        <v>276</v>
      </c>
      <c r="R1209" s="42">
        <f t="shared" si="294"/>
        <v>40</v>
      </c>
      <c r="S1209" s="46">
        <v>6</v>
      </c>
      <c r="T1209" s="46" t="s">
        <v>589</v>
      </c>
      <c r="U1209" s="43" t="str">
        <f t="shared" si="295"/>
        <v>22/04/2024</v>
      </c>
      <c r="V1209" s="43">
        <f t="shared" si="296"/>
        <v>45404</v>
      </c>
      <c r="W1209" s="44">
        <f t="array" ref="W1209">_xlfn.IFS(TRIM(C1209)="","",TRIM(V1209)="","",TRUE,V1209-C1209)</f>
        <v>7</v>
      </c>
      <c r="X1209" s="37">
        <f t="shared" si="297"/>
        <v>1</v>
      </c>
      <c r="Y1209" s="46" t="s">
        <v>72</v>
      </c>
      <c r="Z1209" s="37" t="str">
        <f t="shared" si="298"/>
        <v>delayed</v>
      </c>
      <c r="AA1209" s="37" t="str">
        <f t="shared" si="299"/>
        <v>Late</v>
      </c>
      <c r="AB1209" s="37" t="str">
        <f t="shared" si="302"/>
        <v>1</v>
      </c>
      <c r="AC1209" s="37">
        <f t="shared" si="303"/>
        <v>1</v>
      </c>
      <c r="AD1209" s="45">
        <f t="shared" si="301"/>
        <v>0.55012853470437</v>
      </c>
      <c r="AE1209" s="46">
        <v>3</v>
      </c>
      <c r="AF1209" s="46" t="s">
        <v>152</v>
      </c>
      <c r="AG1209" s="37" t="str">
        <f t="shared" si="300"/>
        <v>no</v>
      </c>
      <c r="AH1209" s="37" t="str">
        <f t="array" ref="AH1209">_xlfn.IFS(LOWER(AG1209)="n","no",LOWER(AG1209)="y","yes",TRUE,LOWER(AG1209))</f>
        <v>no</v>
      </c>
      <c r="AI1209" s="46" t="s">
        <v>4692</v>
      </c>
    </row>
    <row r="1210" spans="1:35">
      <c r="A1210" s="37" t="s">
        <v>3846</v>
      </c>
      <c r="B1210" s="38">
        <v>45364</v>
      </c>
      <c r="C1210" s="39">
        <f t="shared" si="288"/>
        <v>45364</v>
      </c>
      <c r="D1210" s="40" t="s">
        <v>212</v>
      </c>
      <c r="E1210" s="37" t="str" cm="1">
        <f t="array" ref="E1210">_xlfn.IFS(D1210="delhi","north",D1210="mumbai","west",D1210="bengaluru","south",D1210="chennai","south",D1210="kolkata","east",TRUE,"west")</f>
        <v>west</v>
      </c>
      <c r="F1210" s="37" t="s">
        <v>919</v>
      </c>
      <c r="G1210" s="37" t="str">
        <f t="shared" si="289"/>
        <v>xpressbees</v>
      </c>
      <c r="H1210" s="37" t="s">
        <v>244</v>
      </c>
      <c r="I1210" s="37" t="str">
        <f t="shared" si="290"/>
        <v>air</v>
      </c>
      <c r="J1210" s="37" t="s">
        <v>186</v>
      </c>
      <c r="K1210" s="37" t="str">
        <f t="shared" si="291"/>
        <v>automotiveparts</v>
      </c>
      <c r="L1210" s="37" t="s">
        <v>139</v>
      </c>
      <c r="M1210" s="37" t="str">
        <f t="shared" si="292"/>
        <v>north</v>
      </c>
      <c r="N1210" s="37" t="s">
        <v>32</v>
      </c>
      <c r="O1210" s="41" t="str">
        <f t="shared" si="293"/>
        <v>Yes</v>
      </c>
      <c r="P1210" s="41">
        <v>17.2</v>
      </c>
      <c r="Q1210" s="41">
        <v>969</v>
      </c>
      <c r="R1210" s="42">
        <f t="shared" si="294"/>
        <v>56.3372093023256</v>
      </c>
      <c r="S1210" s="37">
        <v>4</v>
      </c>
      <c r="T1210" s="37" t="s">
        <v>2269</v>
      </c>
      <c r="U1210" s="43" t="str">
        <f t="shared" si="295"/>
        <v>20/03/2024</v>
      </c>
      <c r="V1210" s="43">
        <f t="shared" si="296"/>
        <v>45371</v>
      </c>
      <c r="W1210" s="44">
        <f t="array" ref="W1210">_xlfn.IFS(TRIM(C1210)="","",TRIM(V1210)="","",TRUE,V1210-C1210)</f>
        <v>7</v>
      </c>
      <c r="X1210" s="37">
        <f t="shared" si="297"/>
        <v>3</v>
      </c>
      <c r="Y1210" s="37" t="s">
        <v>172</v>
      </c>
      <c r="Z1210" s="37" t="str">
        <f t="shared" si="298"/>
        <v>delayed</v>
      </c>
      <c r="AA1210" s="37" t="str">
        <f t="shared" si="299"/>
        <v>Late</v>
      </c>
      <c r="AB1210" s="37" t="str">
        <f t="shared" si="302"/>
        <v>1</v>
      </c>
      <c r="AC1210" s="37">
        <f t="shared" si="303"/>
        <v>1</v>
      </c>
      <c r="AD1210" s="45">
        <f t="shared" si="301"/>
        <v>0.548969072164949</v>
      </c>
      <c r="AE1210" s="37">
        <v>2</v>
      </c>
      <c r="AF1210" s="37" t="s">
        <v>152</v>
      </c>
      <c r="AG1210" s="37" t="str">
        <f t="shared" si="300"/>
        <v>no</v>
      </c>
      <c r="AH1210" s="37" t="str">
        <f t="array" ref="AH1210">_xlfn.IFS(LOWER(AG1210)="n","no",LOWER(AG1210)="y","yes",TRUE,LOWER(AG1210))</f>
        <v>no</v>
      </c>
      <c r="AI1210" s="37" t="s">
        <v>4692</v>
      </c>
    </row>
    <row r="1211" spans="1:35">
      <c r="A1211" s="46" t="s">
        <v>3848</v>
      </c>
      <c r="B1211" s="47">
        <v>45329</v>
      </c>
      <c r="C1211" s="39">
        <f t="shared" si="288"/>
        <v>45329</v>
      </c>
      <c r="D1211" s="48" t="s">
        <v>633</v>
      </c>
      <c r="E1211" s="37" t="str" cm="1">
        <f t="array" ref="E1211">_xlfn.IFS(D1211="delhi","north",D1211="mumbai","west",D1211="bengaluru","south",D1211="chennai","south",D1211="kolkata","east",TRUE,"west")</f>
        <v>south</v>
      </c>
      <c r="F1211" s="46" t="s">
        <v>919</v>
      </c>
      <c r="G1211" s="37" t="str">
        <f t="shared" si="289"/>
        <v>xpressbees</v>
      </c>
      <c r="H1211" s="46" t="s">
        <v>147</v>
      </c>
      <c r="I1211" s="37" t="str">
        <f t="shared" si="290"/>
        <v>road</v>
      </c>
      <c r="J1211" s="46" t="s">
        <v>353</v>
      </c>
      <c r="K1211" s="37" t="str">
        <f t="shared" si="291"/>
        <v>automotiveparts</v>
      </c>
      <c r="L1211" s="46" t="s">
        <v>264</v>
      </c>
      <c r="M1211" s="37" t="str">
        <f t="shared" si="292"/>
        <v>west</v>
      </c>
      <c r="N1211" s="46" t="s">
        <v>187</v>
      </c>
      <c r="O1211" s="41" t="str">
        <f t="shared" si="293"/>
        <v>Yes</v>
      </c>
      <c r="P1211" s="49" t="s">
        <v>3849</v>
      </c>
      <c r="Q1211" s="49">
        <v>638</v>
      </c>
      <c r="R1211" s="42">
        <f t="shared" si="294"/>
        <v>19.5705521472393</v>
      </c>
      <c r="S1211" s="46">
        <v>8</v>
      </c>
      <c r="T1211" s="46" t="s">
        <v>3257</v>
      </c>
      <c r="U1211" s="43" t="str">
        <f t="shared" si="295"/>
        <v>15/02/2024</v>
      </c>
      <c r="V1211" s="43">
        <f t="shared" si="296"/>
        <v>45337</v>
      </c>
      <c r="W1211" s="44">
        <f t="array" ref="W1211">_xlfn.IFS(TRIM(C1211)="","",TRIM(V1211)="","",TRUE,V1211-C1211)</f>
        <v>8</v>
      </c>
      <c r="X1211" s="37">
        <f t="shared" si="297"/>
        <v>0</v>
      </c>
      <c r="Y1211" s="46" t="s">
        <v>163</v>
      </c>
      <c r="Z1211" s="37" t="str">
        <f t="shared" si="298"/>
        <v>delivered</v>
      </c>
      <c r="AA1211" s="37" t="str">
        <f t="shared" si="299"/>
        <v>On Time</v>
      </c>
      <c r="AB1211" s="37" t="str">
        <f t="shared" si="302"/>
        <v>0</v>
      </c>
      <c r="AC1211" s="37">
        <f t="shared" si="303"/>
        <v>0</v>
      </c>
      <c r="AD1211" s="45">
        <f t="shared" si="301"/>
        <v>0.547803617571059</v>
      </c>
      <c r="AE1211" s="46">
        <v>5</v>
      </c>
      <c r="AF1211" s="46" t="s">
        <v>131</v>
      </c>
      <c r="AG1211" s="37" t="str">
        <f t="shared" si="300"/>
        <v>n</v>
      </c>
      <c r="AH1211" s="37" t="str">
        <f t="array" ref="AH1211">_xlfn.IFS(LOWER(AG1211)="n","no",LOWER(AG1211)="y","yes",TRUE,LOWER(AG1211))</f>
        <v>no</v>
      </c>
      <c r="AI1211" s="46" t="s">
        <v>4692</v>
      </c>
    </row>
    <row r="1212" spans="1:35">
      <c r="A1212" s="37" t="s">
        <v>3851</v>
      </c>
      <c r="B1212" s="38" t="s">
        <v>4842</v>
      </c>
      <c r="C1212" s="39">
        <f t="shared" si="288"/>
        <v>45445</v>
      </c>
      <c r="D1212" s="40" t="s">
        <v>212</v>
      </c>
      <c r="E1212" s="37" t="str" cm="1">
        <f t="array" ref="E1212">_xlfn.IFS(D1212="delhi","north",D1212="mumbai","west",D1212="bengaluru","south",D1212="chennai","south",D1212="kolkata","east",TRUE,"west")</f>
        <v>west</v>
      </c>
      <c r="F1212" s="37" t="s">
        <v>223</v>
      </c>
      <c r="G1212" s="37" t="str">
        <f t="shared" si="289"/>
        <v>xpressbees</v>
      </c>
      <c r="H1212" s="37" t="s">
        <v>176</v>
      </c>
      <c r="I1212" s="37" t="str">
        <f t="shared" si="290"/>
        <v>road</v>
      </c>
      <c r="J1212" s="37" t="s">
        <v>1682</v>
      </c>
      <c r="K1212" s="37" t="str">
        <f t="shared" si="291"/>
        <v>furniture</v>
      </c>
      <c r="L1212" s="37" t="s">
        <v>334</v>
      </c>
      <c r="M1212" s="37" t="str">
        <f t="shared" si="292"/>
        <v>north</v>
      </c>
      <c r="N1212" s="37" t="s">
        <v>32</v>
      </c>
      <c r="O1212" s="41" t="str">
        <f t="shared" si="293"/>
        <v>Yes</v>
      </c>
      <c r="P1212" s="41">
        <v>32.6</v>
      </c>
      <c r="Q1212" s="41">
        <v>616</v>
      </c>
      <c r="R1212" s="42">
        <f t="shared" si="294"/>
        <v>18.8957055214724</v>
      </c>
      <c r="S1212" s="37">
        <v>8</v>
      </c>
      <c r="T1212" s="37" t="s">
        <v>108</v>
      </c>
      <c r="U1212" s="43" t="str">
        <f t="shared" si="295"/>
        <v>10/06/2024</v>
      </c>
      <c r="V1212" s="43">
        <f t="shared" si="296"/>
        <v>45453</v>
      </c>
      <c r="W1212" s="44">
        <f t="array" ref="W1212">_xlfn.IFS(TRIM(C1212)="","",TRIM(V1212)="","",TRUE,V1212-C1212)</f>
        <v>8</v>
      </c>
      <c r="X1212" s="37">
        <f t="shared" si="297"/>
        <v>0</v>
      </c>
      <c r="Y1212" s="37" t="s">
        <v>105</v>
      </c>
      <c r="Z1212" s="37" t="str">
        <f t="shared" si="298"/>
        <v>delivered</v>
      </c>
      <c r="AA1212" s="37" t="str">
        <f t="shared" si="299"/>
        <v>On Time</v>
      </c>
      <c r="AB1212" s="37" t="str">
        <f t="shared" si="302"/>
        <v>0</v>
      </c>
      <c r="AC1212" s="37">
        <f t="shared" si="303"/>
        <v>0</v>
      </c>
      <c r="AD1212" s="45">
        <f t="shared" si="301"/>
        <v>0.549222797927461</v>
      </c>
      <c r="AE1212" s="37">
        <v>5</v>
      </c>
      <c r="AF1212" s="37" t="s">
        <v>79</v>
      </c>
      <c r="AG1212" s="37" t="str">
        <f t="shared" si="300"/>
        <v>yes</v>
      </c>
      <c r="AH1212" s="37" t="str">
        <f t="array" ref="AH1212">_xlfn.IFS(LOWER(AG1212)="n","no",LOWER(AG1212)="y","yes",TRUE,LOWER(AG1212))</f>
        <v>yes</v>
      </c>
      <c r="AI1212" s="37" t="s">
        <v>4692</v>
      </c>
    </row>
    <row r="1213" spans="1:35">
      <c r="A1213" s="46" t="s">
        <v>3854</v>
      </c>
      <c r="B1213" s="47">
        <v>45299</v>
      </c>
      <c r="C1213" s="39">
        <f t="shared" si="288"/>
        <v>45299</v>
      </c>
      <c r="D1213" s="48" t="s">
        <v>4699</v>
      </c>
      <c r="E1213" s="37" t="str" cm="1">
        <f t="array" ref="E1213">_xlfn.IFS(D1213="delhi","north",D1213="mumbai","west",D1213="bengaluru","south",D1213="chennai","south",D1213="kolkata","east",TRUE,"west")</f>
        <v>west</v>
      </c>
      <c r="F1213" s="46" t="s">
        <v>175</v>
      </c>
      <c r="G1213" s="37" t="str">
        <f t="shared" si="289"/>
        <v>ecomexpress</v>
      </c>
      <c r="H1213" s="46" t="s">
        <v>244</v>
      </c>
      <c r="I1213" s="37" t="str">
        <f t="shared" si="290"/>
        <v>air</v>
      </c>
      <c r="J1213" s="46" t="s">
        <v>100</v>
      </c>
      <c r="K1213" s="37" t="str">
        <f t="shared" si="291"/>
        <v>electronics</v>
      </c>
      <c r="L1213" s="46" t="s">
        <v>112</v>
      </c>
      <c r="M1213" s="37" t="str">
        <f t="shared" si="292"/>
        <v>north</v>
      </c>
      <c r="N1213" s="46" t="s">
        <v>32</v>
      </c>
      <c r="O1213" s="41" t="str">
        <f t="shared" si="293"/>
        <v>Yes</v>
      </c>
      <c r="P1213" s="49">
        <v>3.4</v>
      </c>
      <c r="Q1213" s="49">
        <v>305</v>
      </c>
      <c r="R1213" s="42">
        <f t="shared" si="294"/>
        <v>89.7058823529412</v>
      </c>
      <c r="S1213" s="46">
        <v>4</v>
      </c>
      <c r="T1213" s="46" t="s">
        <v>269</v>
      </c>
      <c r="U1213" s="43" t="str">
        <f t="shared" si="295"/>
        <v>11/01/2024</v>
      </c>
      <c r="V1213" s="43">
        <f t="shared" si="296"/>
        <v>45302</v>
      </c>
      <c r="W1213" s="44">
        <f t="array" ref="W1213">_xlfn.IFS(TRIM(C1213)="","",TRIM(V1213)="","",TRUE,V1213-C1213)</f>
        <v>3</v>
      </c>
      <c r="X1213" s="37">
        <f t="shared" si="297"/>
        <v>-1</v>
      </c>
      <c r="Y1213" s="46" t="s">
        <v>163</v>
      </c>
      <c r="Z1213" s="37" t="str">
        <f t="shared" si="298"/>
        <v>delivered</v>
      </c>
      <c r="AA1213" s="37" t="str">
        <f t="shared" si="299"/>
        <v>On Time</v>
      </c>
      <c r="AB1213" s="37" t="str">
        <f t="shared" si="302"/>
        <v>0</v>
      </c>
      <c r="AC1213" s="37">
        <f t="shared" si="303"/>
        <v>0</v>
      </c>
      <c r="AD1213" s="45">
        <f t="shared" si="301"/>
        <v>0.550649350649351</v>
      </c>
      <c r="AE1213" s="46">
        <v>5</v>
      </c>
      <c r="AF1213" s="46" t="s">
        <v>131</v>
      </c>
      <c r="AG1213" s="37" t="str">
        <f t="shared" si="300"/>
        <v>n</v>
      </c>
      <c r="AH1213" s="37" t="str">
        <f t="array" ref="AH1213">_xlfn.IFS(LOWER(AG1213)="n","no",LOWER(AG1213)="y","yes",TRUE,LOWER(AG1213))</f>
        <v>no</v>
      </c>
      <c r="AI1213" s="46" t="s">
        <v>4692</v>
      </c>
    </row>
    <row r="1214" spans="1:35">
      <c r="A1214" s="37" t="s">
        <v>3855</v>
      </c>
      <c r="B1214" s="38">
        <v>45361</v>
      </c>
      <c r="C1214" s="39">
        <f t="shared" si="288"/>
        <v>45361</v>
      </c>
      <c r="D1214" s="40" t="s">
        <v>135</v>
      </c>
      <c r="E1214" s="37" t="str" cm="1">
        <f t="array" ref="E1214">_xlfn.IFS(D1214="delhi","north",D1214="mumbai","west",D1214="bengaluru","south",D1214="chennai","south",D1214="kolkata","east",TRUE,"west")</f>
        <v>west</v>
      </c>
      <c r="F1214" s="37" t="s">
        <v>194</v>
      </c>
      <c r="G1214" s="37" t="str">
        <f t="shared" si="289"/>
        <v>xpressbees</v>
      </c>
      <c r="H1214" s="37" t="s">
        <v>325</v>
      </c>
      <c r="I1214" s="37" t="str">
        <f t="shared" si="290"/>
        <v>air</v>
      </c>
      <c r="J1214" s="37" t="s">
        <v>271</v>
      </c>
      <c r="K1214" s="37" t="str">
        <f t="shared" si="291"/>
        <v>electronics</v>
      </c>
      <c r="L1214" s="37" t="s">
        <v>159</v>
      </c>
      <c r="M1214" s="37" t="str">
        <f t="shared" si="292"/>
        <v>south</v>
      </c>
      <c r="N1214" s="37" t="s">
        <v>54</v>
      </c>
      <c r="O1214" s="41" t="str">
        <f t="shared" si="293"/>
        <v>Yes</v>
      </c>
      <c r="P1214" s="41">
        <v>14.2</v>
      </c>
      <c r="Q1214" s="41" t="s">
        <v>3857</v>
      </c>
      <c r="R1214" s="42">
        <f t="shared" si="294"/>
        <v>59.2957746478873</v>
      </c>
      <c r="S1214" s="37">
        <v>4</v>
      </c>
      <c r="T1214" s="37" t="s">
        <v>1166</v>
      </c>
      <c r="U1214" s="43" t="str">
        <f t="shared" si="295"/>
        <v>21/03/2024</v>
      </c>
      <c r="V1214" s="43">
        <f t="shared" si="296"/>
        <v>45372</v>
      </c>
      <c r="W1214" s="44">
        <f t="array" ref="W1214">_xlfn.IFS(TRIM(C1214)="","",TRIM(V1214)="","",TRUE,V1214-C1214)</f>
        <v>11</v>
      </c>
      <c r="X1214" s="37">
        <f t="shared" si="297"/>
        <v>7</v>
      </c>
      <c r="Y1214" s="37" t="s">
        <v>200</v>
      </c>
      <c r="Z1214" s="37" t="str">
        <f t="shared" si="298"/>
        <v>delayed</v>
      </c>
      <c r="AA1214" s="37" t="str">
        <f t="shared" si="299"/>
        <v>Late</v>
      </c>
      <c r="AB1214" s="37" t="str">
        <f t="shared" si="302"/>
        <v>1</v>
      </c>
      <c r="AC1214" s="37">
        <f t="shared" si="303"/>
        <v>1</v>
      </c>
      <c r="AD1214" s="45">
        <f t="shared" si="301"/>
        <v>0.552083333333333</v>
      </c>
      <c r="AE1214" s="37">
        <v>3</v>
      </c>
      <c r="AF1214" s="37" t="s">
        <v>131</v>
      </c>
      <c r="AG1214" s="37" t="str">
        <f t="shared" si="300"/>
        <v>n</v>
      </c>
      <c r="AH1214" s="37" t="str">
        <f t="array" ref="AH1214">_xlfn.IFS(LOWER(AG1214)="n","no",LOWER(AG1214)="y","yes",TRUE,LOWER(AG1214))</f>
        <v>no</v>
      </c>
      <c r="AI1214" s="37" t="s">
        <v>4692</v>
      </c>
    </row>
    <row r="1215" spans="1:35">
      <c r="A1215" s="46" t="s">
        <v>3858</v>
      </c>
      <c r="B1215" s="47">
        <v>45325</v>
      </c>
      <c r="C1215" s="39">
        <f t="shared" si="288"/>
        <v>45325</v>
      </c>
      <c r="D1215" s="48" t="s">
        <v>633</v>
      </c>
      <c r="E1215" s="37" t="str" cm="1">
        <f t="array" ref="E1215">_xlfn.IFS(D1215="delhi","north",D1215="mumbai","west",D1215="bengaluru","south",D1215="chennai","south",D1215="kolkata","east",TRUE,"west")</f>
        <v>south</v>
      </c>
      <c r="F1215" s="46" t="s">
        <v>223</v>
      </c>
      <c r="G1215" s="37" t="str">
        <f t="shared" si="289"/>
        <v>xpressbees</v>
      </c>
      <c r="H1215" s="46" t="s">
        <v>110</v>
      </c>
      <c r="I1215" s="37" t="str">
        <f t="shared" si="290"/>
        <v>surface</v>
      </c>
      <c r="J1215" s="46" t="s">
        <v>664</v>
      </c>
      <c r="K1215" s="37" t="str">
        <f t="shared" si="291"/>
        <v>grocery&amp;fmcg</v>
      </c>
      <c r="L1215" s="46" t="s">
        <v>257</v>
      </c>
      <c r="M1215" s="37" t="str">
        <f t="shared" si="292"/>
        <v>west</v>
      </c>
      <c r="N1215" s="46" t="s">
        <v>88</v>
      </c>
      <c r="O1215" s="41" t="str">
        <f t="shared" si="293"/>
        <v>Yes</v>
      </c>
      <c r="P1215" s="49">
        <v>16.8</v>
      </c>
      <c r="Q1215" s="49">
        <v>564</v>
      </c>
      <c r="R1215" s="42">
        <f t="shared" si="294"/>
        <v>33.5714285714286</v>
      </c>
      <c r="S1215" s="46">
        <v>6</v>
      </c>
      <c r="T1215" s="46" t="s">
        <v>725</v>
      </c>
      <c r="U1215" s="43" t="str">
        <f t="shared" si="295"/>
        <v>08/02/2024</v>
      </c>
      <c r="V1215" s="43">
        <f t="shared" si="296"/>
        <v>45330</v>
      </c>
      <c r="W1215" s="44">
        <f t="array" ref="W1215">_xlfn.IFS(TRIM(C1215)="","",TRIM(V1215)="","",TRUE,V1215-C1215)</f>
        <v>5</v>
      </c>
      <c r="X1215" s="37">
        <f t="shared" si="297"/>
        <v>-1</v>
      </c>
      <c r="Y1215" s="46" t="s">
        <v>163</v>
      </c>
      <c r="Z1215" s="37" t="str">
        <f t="shared" si="298"/>
        <v>delivered</v>
      </c>
      <c r="AA1215" s="37" t="str">
        <f t="shared" si="299"/>
        <v>On Time</v>
      </c>
      <c r="AB1215" s="37" t="str">
        <f t="shared" si="302"/>
        <v>0</v>
      </c>
      <c r="AC1215" s="37">
        <f t="shared" si="303"/>
        <v>0</v>
      </c>
      <c r="AD1215" s="45">
        <f t="shared" si="301"/>
        <v>0.550913838120104</v>
      </c>
      <c r="AE1215" s="46">
        <v>4</v>
      </c>
      <c r="AF1215" s="46" t="s">
        <v>118</v>
      </c>
      <c r="AG1215" s="37" t="str">
        <f t="shared" si="300"/>
        <v>no</v>
      </c>
      <c r="AH1215" s="37" t="str">
        <f t="array" ref="AH1215">_xlfn.IFS(LOWER(AG1215)="n","no",LOWER(AG1215)="y","yes",TRUE,LOWER(AG1215))</f>
        <v>no</v>
      </c>
      <c r="AI1215" s="46" t="s">
        <v>4692</v>
      </c>
    </row>
    <row r="1216" spans="1:35">
      <c r="A1216" s="37" t="s">
        <v>3860</v>
      </c>
      <c r="B1216" s="38" t="s">
        <v>4727</v>
      </c>
      <c r="C1216" s="39">
        <f t="shared" si="288"/>
        <v>45361</v>
      </c>
      <c r="D1216" s="40" t="s">
        <v>366</v>
      </c>
      <c r="E1216" s="37" t="str" cm="1">
        <f t="array" ref="E1216">_xlfn.IFS(D1216="delhi","north",D1216="mumbai","west",D1216="bengaluru","south",D1216="chennai","south",D1216="kolkata","east",TRUE,"west")</f>
        <v>east</v>
      </c>
      <c r="F1216" s="37" t="s">
        <v>213</v>
      </c>
      <c r="G1216" s="37" t="str">
        <f t="shared" si="289"/>
        <v>dtdc</v>
      </c>
      <c r="H1216" s="37" t="s">
        <v>110</v>
      </c>
      <c r="I1216" s="37" t="str">
        <f t="shared" si="290"/>
        <v>surface</v>
      </c>
      <c r="J1216" s="37" t="s">
        <v>100</v>
      </c>
      <c r="K1216" s="37" t="str">
        <f t="shared" si="291"/>
        <v>electronics</v>
      </c>
      <c r="L1216" s="37" t="s">
        <v>470</v>
      </c>
      <c r="M1216" s="37" t="str">
        <f t="shared" si="292"/>
        <v>east</v>
      </c>
      <c r="N1216" s="37" t="s">
        <v>126</v>
      </c>
      <c r="O1216" s="41" t="str">
        <f t="shared" si="293"/>
        <v>Yes</v>
      </c>
      <c r="P1216" s="41">
        <v>11.2</v>
      </c>
      <c r="Q1216" s="41">
        <v>306</v>
      </c>
      <c r="R1216" s="42">
        <f t="shared" si="294"/>
        <v>27.3214285714286</v>
      </c>
      <c r="S1216" s="37">
        <v>4</v>
      </c>
      <c r="T1216" s="37" t="s">
        <v>171</v>
      </c>
      <c r="U1216" s="43" t="str">
        <f t="shared" si="295"/>
        <v>23-mar-2024</v>
      </c>
      <c r="V1216" s="43">
        <f t="shared" si="296"/>
        <v>45374</v>
      </c>
      <c r="W1216" s="44">
        <f t="array" ref="W1216">_xlfn.IFS(TRIM(C1216)="","",TRIM(V1216)="","",TRUE,V1216-C1216)</f>
        <v>13</v>
      </c>
      <c r="X1216" s="37">
        <f t="shared" si="297"/>
        <v>9</v>
      </c>
      <c r="Y1216" s="37" t="s">
        <v>143</v>
      </c>
      <c r="Z1216" s="37" t="str">
        <f t="shared" si="298"/>
        <v>delayed</v>
      </c>
      <c r="AA1216" s="37" t="str">
        <f t="shared" si="299"/>
        <v>Late</v>
      </c>
      <c r="AB1216" s="37" t="str">
        <f t="shared" si="302"/>
        <v>1</v>
      </c>
      <c r="AC1216" s="37">
        <f t="shared" si="303"/>
        <v>1</v>
      </c>
      <c r="AD1216" s="45">
        <f t="shared" si="301"/>
        <v>0.552356020942408</v>
      </c>
      <c r="AE1216" s="37">
        <v>5</v>
      </c>
      <c r="AF1216" s="37" t="s">
        <v>286</v>
      </c>
      <c r="AG1216" s="37" t="str">
        <f t="shared" si="300"/>
        <v>yes</v>
      </c>
      <c r="AH1216" s="37" t="str">
        <f t="array" ref="AH1216">_xlfn.IFS(LOWER(AG1216)="n","no",LOWER(AG1216)="y","yes",TRUE,LOWER(AG1216))</f>
        <v>yes</v>
      </c>
      <c r="AI1216" s="37" t="s">
        <v>4692</v>
      </c>
    </row>
    <row r="1217" spans="1:35">
      <c r="A1217" s="46" t="s">
        <v>3862</v>
      </c>
      <c r="B1217" s="47">
        <v>45391</v>
      </c>
      <c r="C1217" s="39">
        <f t="shared" si="288"/>
        <v>45391</v>
      </c>
      <c r="D1217" s="48" t="s">
        <v>340</v>
      </c>
      <c r="E1217" s="37" t="str" cm="1">
        <f t="array" ref="E1217">_xlfn.IFS(D1217="delhi","north",D1217="mumbai","west",D1217="bengaluru","south",D1217="chennai","south",D1217="kolkata","east",TRUE,"west")</f>
        <v>north</v>
      </c>
      <c r="F1217" s="46" t="s">
        <v>544</v>
      </c>
      <c r="G1217" s="37" t="str">
        <f t="shared" si="289"/>
        <v>bluedart</v>
      </c>
      <c r="H1217" s="46" t="s">
        <v>325</v>
      </c>
      <c r="I1217" s="37" t="str">
        <f t="shared" si="290"/>
        <v>air</v>
      </c>
      <c r="J1217" s="46" t="s">
        <v>271</v>
      </c>
      <c r="K1217" s="37" t="str">
        <f t="shared" si="291"/>
        <v>electronics</v>
      </c>
      <c r="L1217" s="46" t="s">
        <v>380</v>
      </c>
      <c r="M1217" s="37" t="str">
        <f t="shared" si="292"/>
        <v>east</v>
      </c>
      <c r="N1217" s="46" t="s">
        <v>91</v>
      </c>
      <c r="O1217" s="41" t="str">
        <f t="shared" si="293"/>
        <v>Yes</v>
      </c>
      <c r="P1217" s="49">
        <v>14.7</v>
      </c>
      <c r="Q1217" s="49" t="s">
        <v>3863</v>
      </c>
      <c r="R1217" s="42">
        <f t="shared" si="294"/>
        <v>54.2176870748299</v>
      </c>
      <c r="S1217" s="46">
        <v>4</v>
      </c>
      <c r="T1217" s="46" t="s">
        <v>1269</v>
      </c>
      <c r="U1217" s="43" t="str">
        <f t="shared" si="295"/>
        <v>12/04/2024</v>
      </c>
      <c r="V1217" s="43">
        <f t="shared" si="296"/>
        <v>45394</v>
      </c>
      <c r="W1217" s="44">
        <f t="array" ref="W1217">_xlfn.IFS(TRIM(C1217)="","",TRIM(V1217)="","",TRUE,V1217-C1217)</f>
        <v>3</v>
      </c>
      <c r="X1217" s="37">
        <f t="shared" si="297"/>
        <v>-1</v>
      </c>
      <c r="Y1217" s="46" t="s">
        <v>219</v>
      </c>
      <c r="Z1217" s="37" t="str">
        <f t="shared" si="298"/>
        <v>delivered</v>
      </c>
      <c r="AA1217" s="37" t="str">
        <f t="shared" si="299"/>
        <v>On Time</v>
      </c>
      <c r="AB1217" s="37" t="str">
        <f t="shared" si="302"/>
        <v>0</v>
      </c>
      <c r="AC1217" s="37">
        <f t="shared" si="303"/>
        <v>0</v>
      </c>
      <c r="AD1217" s="45">
        <f t="shared" si="301"/>
        <v>0.551181102362205</v>
      </c>
      <c r="AE1217" s="46">
        <v>5</v>
      </c>
      <c r="AF1217" s="46" t="s">
        <v>181</v>
      </c>
      <c r="AG1217" s="37" t="str">
        <f t="shared" si="300"/>
        <v>y</v>
      </c>
      <c r="AH1217" s="37" t="str">
        <f t="array" ref="AH1217">_xlfn.IFS(LOWER(AG1217)="n","no",LOWER(AG1217)="y","yes",TRUE,LOWER(AG1217))</f>
        <v>yes</v>
      </c>
      <c r="AI1217" s="46" t="s">
        <v>4692</v>
      </c>
    </row>
    <row r="1218" spans="1:35">
      <c r="A1218" s="37" t="s">
        <v>3864</v>
      </c>
      <c r="B1218" s="38">
        <v>45420</v>
      </c>
      <c r="C1218" s="39">
        <f t="shared" ref="C1218:C1281" si="304">IF(ISNUMBER(B1218),B1218,DATE(RIGHT(TRIM(B1218),4),MID(TRIM(B1218),4,2),LEFT(TRIM(B1218),2)))</f>
        <v>45420</v>
      </c>
      <c r="D1218" s="40" t="s">
        <v>212</v>
      </c>
      <c r="E1218" s="37" t="str" cm="1">
        <f t="array" ref="E1218">_xlfn.IFS(D1218="delhi","north",D1218="mumbai","west",D1218="bengaluru","south",D1218="chennai","south",D1218="kolkata","east",TRUE,"west")</f>
        <v>west</v>
      </c>
      <c r="F1218" s="37" t="s">
        <v>352</v>
      </c>
      <c r="G1218" s="37" t="str">
        <f t="shared" ref="G1218:G1281" si="305">SUBSTITUTE(LOWER(F1218)," ","")</f>
        <v>delhivery</v>
      </c>
      <c r="H1218" s="37" t="s">
        <v>42</v>
      </c>
      <c r="I1218" s="37" t="str">
        <f t="shared" ref="I1218:I1281" si="306">SUBSTITUTE(LOWER(H1218)," ","")</f>
        <v>surface</v>
      </c>
      <c r="J1218" s="37" t="s">
        <v>167</v>
      </c>
      <c r="K1218" s="37" t="str">
        <f t="shared" ref="K1218:K1281" si="307">SUBSTITUTE(LOWER(J1218)," ","")</f>
        <v>pharma</v>
      </c>
      <c r="L1218" s="37" t="s">
        <v>168</v>
      </c>
      <c r="M1218" s="37" t="str">
        <f t="shared" ref="M1218:M1281" si="308">SUBSTITUTE(LOWER(L1218)," ","")</f>
        <v>west</v>
      </c>
      <c r="N1218" s="37" t="s">
        <v>278</v>
      </c>
      <c r="O1218" s="41" t="str">
        <f t="shared" ref="O1218:O1281" si="309">IF(OR(D1218="",M1218=""),"",IF(D1218=M1218,"No","Yes"))</f>
        <v>Yes</v>
      </c>
      <c r="P1218" s="41">
        <v>0.8</v>
      </c>
      <c r="Q1218" s="41">
        <v>80</v>
      </c>
      <c r="R1218" s="42">
        <f t="shared" ref="R1218:R1281" si="310">IF(OR(Q1218="",P1218="",P1218=0),"",Q1218/P1218)</f>
        <v>100</v>
      </c>
      <c r="S1218" s="37">
        <v>4</v>
      </c>
      <c r="T1218" s="37" t="s">
        <v>276</v>
      </c>
      <c r="U1218" s="43" t="str">
        <f t="shared" ref="U1218:U1281" si="311">SUBSTITUTE(LOWER(T1218)," ","")</f>
        <v>2024-05-13</v>
      </c>
      <c r="V1218" s="43">
        <f t="shared" ref="V1218:V1281" si="312">DATEVALUE(TEXT(U1218,"yyyy-mm-dd"))</f>
        <v>45425</v>
      </c>
      <c r="W1218" s="44">
        <f t="array" ref="W1218">_xlfn.IFS(TRIM(C1218)="","",TRIM(V1218)="","",TRUE,V1218-C1218)</f>
        <v>5</v>
      </c>
      <c r="X1218" s="37">
        <f t="shared" ref="X1218:X1281" si="313">IF(OR(W1218="",S1218=""),"",W1218-S1218)</f>
        <v>1</v>
      </c>
      <c r="Y1218" s="37" t="s">
        <v>143</v>
      </c>
      <c r="Z1218" s="37" t="str">
        <f t="shared" ref="Z1218:Z1281" si="314">SUBSTITUTE(LOWER(Y1218)," ","")</f>
        <v>delayed</v>
      </c>
      <c r="AA1218" s="37" t="str">
        <f t="shared" ref="AA1218:AA1281" si="315">IF(Z1218="In-Transit","N/A",IF(X1218="","",IF(X1218&gt;0,"Late","On Time")))</f>
        <v>Late</v>
      </c>
      <c r="AB1218" s="37" t="str">
        <f t="shared" si="302"/>
        <v>1</v>
      </c>
      <c r="AC1218" s="37">
        <f t="shared" si="303"/>
        <v>1</v>
      </c>
      <c r="AD1218" s="45">
        <f t="shared" si="301"/>
        <v>0.552631578947368</v>
      </c>
      <c r="AE1218" s="37">
        <v>3</v>
      </c>
      <c r="AF1218" s="37" t="s">
        <v>152</v>
      </c>
      <c r="AG1218" s="37" t="str">
        <f t="shared" ref="AG1218:AG1281" si="316">SUBSTITUTE(LOWER(AF1218)," ","")</f>
        <v>no</v>
      </c>
      <c r="AH1218" s="37" t="str">
        <f t="array" ref="AH1218">_xlfn.IFS(LOWER(AG1218)="n","no",LOWER(AG1218)="y","yes",TRUE,LOWER(AG1218))</f>
        <v>no</v>
      </c>
      <c r="AI1218" s="37" t="s">
        <v>4692</v>
      </c>
    </row>
    <row r="1219" spans="1:35">
      <c r="A1219" s="46" t="s">
        <v>3865</v>
      </c>
      <c r="B1219" s="47">
        <v>45304</v>
      </c>
      <c r="C1219" s="39">
        <f t="shared" si="304"/>
        <v>45304</v>
      </c>
      <c r="D1219" s="48" t="s">
        <v>340</v>
      </c>
      <c r="E1219" s="37" t="str" cm="1">
        <f t="array" ref="E1219">_xlfn.IFS(D1219="delhi","north",D1219="mumbai","west",D1219="bengaluru","south",D1219="chennai","south",D1219="kolkata","east",TRUE,"west")</f>
        <v>north</v>
      </c>
      <c r="F1219" s="46" t="s">
        <v>270</v>
      </c>
      <c r="G1219" s="37" t="str">
        <f t="shared" si="305"/>
        <v>ecomexpress</v>
      </c>
      <c r="H1219" s="46" t="s">
        <v>185</v>
      </c>
      <c r="I1219" s="37" t="str">
        <f t="shared" si="306"/>
        <v>surface</v>
      </c>
      <c r="J1219" s="46" t="s">
        <v>664</v>
      </c>
      <c r="K1219" s="37" t="str">
        <f t="shared" si="307"/>
        <v>grocery&amp;fmcg</v>
      </c>
      <c r="L1219" s="46" t="s">
        <v>401</v>
      </c>
      <c r="M1219" s="37" t="str">
        <f t="shared" si="308"/>
        <v>south</v>
      </c>
      <c r="N1219" s="46" t="s">
        <v>54</v>
      </c>
      <c r="O1219" s="41" t="str">
        <f t="shared" si="309"/>
        <v>Yes</v>
      </c>
      <c r="P1219" s="49">
        <v>11.4</v>
      </c>
      <c r="Q1219" s="49">
        <v>381</v>
      </c>
      <c r="R1219" s="42">
        <f t="shared" si="310"/>
        <v>33.4210526315789</v>
      </c>
      <c r="S1219" s="46">
        <v>6</v>
      </c>
      <c r="T1219" s="46" t="s">
        <v>1606</v>
      </c>
      <c r="U1219" s="43" t="str">
        <f t="shared" si="311"/>
        <v>18-jan-2024</v>
      </c>
      <c r="V1219" s="43">
        <f t="shared" si="312"/>
        <v>45309</v>
      </c>
      <c r="W1219" s="44">
        <f t="array" ref="W1219">_xlfn.IFS(TRIM(C1219)="","",TRIM(V1219)="","",TRUE,V1219-C1219)</f>
        <v>5</v>
      </c>
      <c r="X1219" s="37">
        <f t="shared" si="313"/>
        <v>-1</v>
      </c>
      <c r="Y1219" s="46" t="s">
        <v>105</v>
      </c>
      <c r="Z1219" s="37" t="str">
        <f t="shared" si="314"/>
        <v>delivered</v>
      </c>
      <c r="AA1219" s="37" t="str">
        <f t="shared" si="315"/>
        <v>On Time</v>
      </c>
      <c r="AB1219" s="37" t="str">
        <f t="shared" si="302"/>
        <v>0</v>
      </c>
      <c r="AC1219" s="37">
        <f t="shared" si="303"/>
        <v>0</v>
      </c>
      <c r="AD1219" s="45">
        <f t="shared" ref="AD1219:AD1282" si="317">COUNTIF(AC1219:AC2818,1)/COUNT(AC1219:AC2818)</f>
        <v>0.551451187335092</v>
      </c>
      <c r="AE1219" s="46">
        <v>1</v>
      </c>
      <c r="AF1219" s="46" t="s">
        <v>79</v>
      </c>
      <c r="AG1219" s="37" t="str">
        <f t="shared" si="316"/>
        <v>yes</v>
      </c>
      <c r="AH1219" s="37" t="str">
        <f t="array" ref="AH1219">_xlfn.IFS(LOWER(AG1219)="n","no",LOWER(AG1219)="y","yes",TRUE,LOWER(AG1219))</f>
        <v>yes</v>
      </c>
      <c r="AI1219" s="46" t="s">
        <v>4692</v>
      </c>
    </row>
    <row r="1220" spans="1:35">
      <c r="A1220" s="37" t="s">
        <v>3867</v>
      </c>
      <c r="B1220" s="38">
        <v>45451</v>
      </c>
      <c r="C1220" s="39">
        <f t="shared" si="304"/>
        <v>45451</v>
      </c>
      <c r="D1220" s="40" t="s">
        <v>4694</v>
      </c>
      <c r="E1220" s="37" t="str" cm="1">
        <f t="array" ref="E1220">_xlfn.IFS(D1220="delhi","north",D1220="mumbai","west",D1220="bengaluru","south",D1220="chennai","south",D1220="kolkata","east",TRUE,"west")</f>
        <v>west</v>
      </c>
      <c r="F1220" s="37" t="s">
        <v>98</v>
      </c>
      <c r="G1220" s="37" t="str">
        <f t="shared" si="305"/>
        <v>dtdc</v>
      </c>
      <c r="H1220" s="37" t="s">
        <v>137</v>
      </c>
      <c r="I1220" s="37" t="str">
        <f t="shared" si="306"/>
        <v>road</v>
      </c>
      <c r="J1220" s="37" t="s">
        <v>664</v>
      </c>
      <c r="K1220" s="37" t="str">
        <f t="shared" si="307"/>
        <v>grocery&amp;fmcg</v>
      </c>
      <c r="L1220" s="37" t="s">
        <v>87</v>
      </c>
      <c r="M1220" s="37" t="str">
        <f t="shared" si="308"/>
        <v>north</v>
      </c>
      <c r="N1220" s="37" t="s">
        <v>113</v>
      </c>
      <c r="O1220" s="41" t="str">
        <f t="shared" si="309"/>
        <v>Yes</v>
      </c>
      <c r="P1220" s="41">
        <v>8.9</v>
      </c>
      <c r="Q1220" s="41" t="s">
        <v>3869</v>
      </c>
      <c r="R1220" s="42">
        <f t="shared" si="310"/>
        <v>33.4831460674157</v>
      </c>
      <c r="S1220" s="37">
        <v>8</v>
      </c>
      <c r="T1220" s="37" t="s">
        <v>2223</v>
      </c>
      <c r="U1220" s="43" t="str">
        <f t="shared" si="311"/>
        <v>20-jun-2024</v>
      </c>
      <c r="V1220" s="43">
        <f t="shared" si="312"/>
        <v>45463</v>
      </c>
      <c r="W1220" s="44">
        <f t="array" ref="W1220">_xlfn.IFS(TRIM(C1220)="","",TRIM(V1220)="","",TRUE,V1220-C1220)</f>
        <v>12</v>
      </c>
      <c r="X1220" s="37">
        <f t="shared" si="313"/>
        <v>4</v>
      </c>
      <c r="Y1220" s="37" t="s">
        <v>172</v>
      </c>
      <c r="Z1220" s="37" t="str">
        <f t="shared" si="314"/>
        <v>delayed</v>
      </c>
      <c r="AA1220" s="37" t="str">
        <f t="shared" si="315"/>
        <v>Late</v>
      </c>
      <c r="AB1220" s="37" t="str">
        <f t="shared" si="302"/>
        <v>1</v>
      </c>
      <c r="AC1220" s="37">
        <f t="shared" si="303"/>
        <v>1</v>
      </c>
      <c r="AD1220" s="45">
        <f t="shared" si="317"/>
        <v>0.552910052910053</v>
      </c>
      <c r="AE1220" s="37">
        <v>2</v>
      </c>
      <c r="AF1220" s="37" t="s">
        <v>79</v>
      </c>
      <c r="AG1220" s="37" t="str">
        <f t="shared" si="316"/>
        <v>yes</v>
      </c>
      <c r="AH1220" s="37" t="str">
        <f t="array" ref="AH1220">_xlfn.IFS(LOWER(AG1220)="n","no",LOWER(AG1220)="y","yes",TRUE,LOWER(AG1220))</f>
        <v>yes</v>
      </c>
      <c r="AI1220" s="37" t="s">
        <v>4692</v>
      </c>
    </row>
    <row r="1221" spans="1:35">
      <c r="A1221" s="46" t="s">
        <v>3870</v>
      </c>
      <c r="B1221" s="47" t="s">
        <v>4810</v>
      </c>
      <c r="C1221" s="39">
        <f t="shared" si="304"/>
        <v>45340</v>
      </c>
      <c r="D1221" s="48" t="s">
        <v>424</v>
      </c>
      <c r="E1221" s="37" t="str" cm="1">
        <f t="array" ref="E1221">_xlfn.IFS(D1221="delhi","north",D1221="mumbai","west",D1221="bengaluru","south",D1221="chennai","south",D1221="kolkata","east",TRUE,"west")</f>
        <v>south</v>
      </c>
      <c r="F1221" s="46" t="s">
        <v>270</v>
      </c>
      <c r="G1221" s="37" t="str">
        <f t="shared" si="305"/>
        <v>ecomexpress</v>
      </c>
      <c r="H1221" s="46" t="s">
        <v>110</v>
      </c>
      <c r="I1221" s="37" t="str">
        <f t="shared" si="306"/>
        <v>surface</v>
      </c>
      <c r="J1221" s="46" t="s">
        <v>425</v>
      </c>
      <c r="K1221" s="37" t="str">
        <f t="shared" si="307"/>
        <v>automotiveparts</v>
      </c>
      <c r="L1221" s="46" t="s">
        <v>380</v>
      </c>
      <c r="M1221" s="37" t="str">
        <f t="shared" si="308"/>
        <v>east</v>
      </c>
      <c r="N1221" s="46" t="s">
        <v>91</v>
      </c>
      <c r="O1221" s="41" t="str">
        <f t="shared" si="309"/>
        <v>Yes</v>
      </c>
      <c r="P1221" s="49">
        <v>10.5</v>
      </c>
      <c r="Q1221" s="49" t="s">
        <v>3601</v>
      </c>
      <c r="R1221" s="42">
        <f t="shared" si="310"/>
        <v>40.5714285714286</v>
      </c>
      <c r="S1221" s="46">
        <v>6</v>
      </c>
      <c r="T1221" s="46" t="s">
        <v>3432</v>
      </c>
      <c r="U1221" s="43" t="str">
        <f t="shared" si="311"/>
        <v>2024-02-25</v>
      </c>
      <c r="V1221" s="43">
        <f t="shared" si="312"/>
        <v>45347</v>
      </c>
      <c r="W1221" s="44">
        <f t="array" ref="W1221">_xlfn.IFS(TRIM(C1221)="","",TRIM(V1221)="","",TRUE,V1221-C1221)</f>
        <v>7</v>
      </c>
      <c r="X1221" s="37">
        <f t="shared" si="313"/>
        <v>1</v>
      </c>
      <c r="Y1221" s="46" t="s">
        <v>172</v>
      </c>
      <c r="Z1221" s="37" t="str">
        <f t="shared" si="314"/>
        <v>delayed</v>
      </c>
      <c r="AA1221" s="37" t="str">
        <f t="shared" si="315"/>
        <v>Late</v>
      </c>
      <c r="AB1221" s="37" t="str">
        <f t="shared" si="302"/>
        <v>1</v>
      </c>
      <c r="AC1221" s="37">
        <f t="shared" si="303"/>
        <v>1</v>
      </c>
      <c r="AD1221" s="45">
        <f t="shared" si="317"/>
        <v>0.551724137931034</v>
      </c>
      <c r="AE1221" s="46">
        <v>3</v>
      </c>
      <c r="AF1221" s="46" t="s">
        <v>118</v>
      </c>
      <c r="AG1221" s="37" t="str">
        <f t="shared" si="316"/>
        <v>no</v>
      </c>
      <c r="AH1221" s="37" t="str">
        <f t="array" ref="AH1221">_xlfn.IFS(LOWER(AG1221)="n","no",LOWER(AG1221)="y","yes",TRUE,LOWER(AG1221))</f>
        <v>no</v>
      </c>
      <c r="AI1221" s="46" t="s">
        <v>4692</v>
      </c>
    </row>
    <row r="1222" spans="1:35">
      <c r="A1222" s="37" t="s">
        <v>3871</v>
      </c>
      <c r="B1222" s="38">
        <v>45324</v>
      </c>
      <c r="C1222" s="39">
        <f t="shared" si="304"/>
        <v>45324</v>
      </c>
      <c r="D1222" s="40" t="s">
        <v>109</v>
      </c>
      <c r="E1222" s="37" t="str" cm="1">
        <f t="array" ref="E1222">_xlfn.IFS(D1222="delhi","north",D1222="mumbai","west",D1222="bengaluru","south",D1222="chennai","south",D1222="kolkata","east",TRUE,"west")</f>
        <v>west</v>
      </c>
      <c r="F1222" s="37" t="s">
        <v>136</v>
      </c>
      <c r="G1222" s="37" t="str">
        <f t="shared" si="305"/>
        <v>bluedart</v>
      </c>
      <c r="H1222" s="37" t="s">
        <v>244</v>
      </c>
      <c r="I1222" s="37" t="str">
        <f t="shared" si="306"/>
        <v>air</v>
      </c>
      <c r="J1222" s="37" t="s">
        <v>271</v>
      </c>
      <c r="K1222" s="37" t="str">
        <f t="shared" si="307"/>
        <v>electronics</v>
      </c>
      <c r="L1222" s="37" t="s">
        <v>89</v>
      </c>
      <c r="M1222" s="37" t="str">
        <f t="shared" si="308"/>
        <v>west</v>
      </c>
      <c r="N1222" s="37" t="s">
        <v>278</v>
      </c>
      <c r="O1222" s="41" t="str">
        <f t="shared" si="309"/>
        <v>Yes</v>
      </c>
      <c r="P1222" s="41">
        <v>9.6</v>
      </c>
      <c r="Q1222" s="41">
        <v>445</v>
      </c>
      <c r="R1222" s="42">
        <f t="shared" si="310"/>
        <v>46.3541666666667</v>
      </c>
      <c r="S1222" s="37">
        <v>2</v>
      </c>
      <c r="T1222" s="37" t="s">
        <v>688</v>
      </c>
      <c r="U1222" s="43" t="str">
        <f t="shared" si="311"/>
        <v>04/02/2024</v>
      </c>
      <c r="V1222" s="43">
        <f t="shared" si="312"/>
        <v>45326</v>
      </c>
      <c r="W1222" s="44">
        <f t="array" ref="W1222">_xlfn.IFS(TRIM(C1222)="","",TRIM(V1222)="","",TRUE,V1222-C1222)</f>
        <v>2</v>
      </c>
      <c r="X1222" s="37">
        <f t="shared" si="313"/>
        <v>0</v>
      </c>
      <c r="Y1222" s="37" t="s">
        <v>219</v>
      </c>
      <c r="Z1222" s="37" t="str">
        <f t="shared" si="314"/>
        <v>delivered</v>
      </c>
      <c r="AA1222" s="37" t="str">
        <f t="shared" si="315"/>
        <v>On Time</v>
      </c>
      <c r="AB1222" s="37" t="str">
        <f t="shared" ref="AB1222:AB1285" si="318">IF(Z1222="In-Transit","N/A",IF(X1222="","",IF(X1222&gt;0,"1","0")))</f>
        <v>0</v>
      </c>
      <c r="AC1222" s="37">
        <f t="shared" si="303"/>
        <v>0</v>
      </c>
      <c r="AD1222" s="45">
        <f t="shared" si="317"/>
        <v>0.550531914893617</v>
      </c>
      <c r="AE1222" s="37">
        <v>4</v>
      </c>
      <c r="AF1222" s="37" t="s">
        <v>181</v>
      </c>
      <c r="AG1222" s="37" t="str">
        <f t="shared" si="316"/>
        <v>y</v>
      </c>
      <c r="AH1222" s="37" t="str">
        <f t="array" ref="AH1222">_xlfn.IFS(LOWER(AG1222)="n","no",LOWER(AG1222)="y","yes",TRUE,LOWER(AG1222))</f>
        <v>yes</v>
      </c>
      <c r="AI1222" s="37" t="s">
        <v>4692</v>
      </c>
    </row>
    <row r="1223" spans="1:35">
      <c r="A1223" s="46" t="s">
        <v>3873</v>
      </c>
      <c r="B1223" s="47">
        <v>45388</v>
      </c>
      <c r="C1223" s="39">
        <f t="shared" si="304"/>
        <v>45388</v>
      </c>
      <c r="D1223" s="48" t="s">
        <v>109</v>
      </c>
      <c r="E1223" s="37" t="str" cm="1">
        <f t="array" ref="E1223">_xlfn.IFS(D1223="delhi","north",D1223="mumbai","west",D1223="bengaluru","south",D1223="chennai","south",D1223="kolkata","east",TRUE,"west")</f>
        <v>west</v>
      </c>
      <c r="F1223" s="46" t="s">
        <v>194</v>
      </c>
      <c r="G1223" s="37" t="str">
        <f t="shared" si="305"/>
        <v>xpressbees</v>
      </c>
      <c r="H1223" s="46" t="s">
        <v>123</v>
      </c>
      <c r="I1223" s="37" t="str">
        <f t="shared" si="306"/>
        <v>air</v>
      </c>
      <c r="J1223" s="46" t="s">
        <v>47</v>
      </c>
      <c r="K1223" s="37" t="str">
        <f t="shared" si="307"/>
        <v>electronics</v>
      </c>
      <c r="L1223" s="46" t="s">
        <v>92</v>
      </c>
      <c r="M1223" s="37" t="str">
        <f t="shared" si="308"/>
        <v>east</v>
      </c>
      <c r="N1223" s="46" t="s">
        <v>396</v>
      </c>
      <c r="O1223" s="41" t="str">
        <f t="shared" si="309"/>
        <v>Yes</v>
      </c>
      <c r="P1223" s="49">
        <v>2.6</v>
      </c>
      <c r="Q1223" s="49" t="s">
        <v>1812</v>
      </c>
      <c r="R1223" s="42">
        <f t="shared" si="310"/>
        <v>104.230769230769</v>
      </c>
      <c r="S1223" s="46">
        <v>4</v>
      </c>
      <c r="T1223" s="46" t="s">
        <v>1173</v>
      </c>
      <c r="U1223" s="43" t="str">
        <f t="shared" si="311"/>
        <v>11/04/2024</v>
      </c>
      <c r="V1223" s="43">
        <f t="shared" si="312"/>
        <v>45393</v>
      </c>
      <c r="W1223" s="44">
        <f t="array" ref="W1223">_xlfn.IFS(TRIM(C1223)="","",TRIM(V1223)="","",TRUE,V1223-C1223)</f>
        <v>5</v>
      </c>
      <c r="X1223" s="37">
        <f t="shared" si="313"/>
        <v>1</v>
      </c>
      <c r="Y1223" s="46" t="s">
        <v>200</v>
      </c>
      <c r="Z1223" s="37" t="str">
        <f t="shared" si="314"/>
        <v>delayed</v>
      </c>
      <c r="AA1223" s="37" t="str">
        <f t="shared" si="315"/>
        <v>Late</v>
      </c>
      <c r="AB1223" s="37" t="str">
        <f t="shared" si="318"/>
        <v>1</v>
      </c>
      <c r="AC1223" s="37">
        <f t="shared" ref="AC1223:AC1286" si="319">IF(TRIM(AB1223&amp;"")="","",VALUE(TRIM(AB1223&amp;"")))</f>
        <v>1</v>
      </c>
      <c r="AD1223" s="45">
        <f t="shared" si="317"/>
        <v>0.552</v>
      </c>
      <c r="AE1223" s="46">
        <v>1</v>
      </c>
      <c r="AF1223" s="46" t="s">
        <v>106</v>
      </c>
      <c r="AG1223" s="37" t="str">
        <f t="shared" si="316"/>
        <v>yes</v>
      </c>
      <c r="AH1223" s="37" t="str">
        <f t="array" ref="AH1223">_xlfn.IFS(LOWER(AG1223)="n","no",LOWER(AG1223)="y","yes",TRUE,LOWER(AG1223))</f>
        <v>yes</v>
      </c>
      <c r="AI1223" s="46" t="s">
        <v>4692</v>
      </c>
    </row>
    <row r="1224" spans="1:35">
      <c r="A1224" s="37" t="s">
        <v>3874</v>
      </c>
      <c r="B1224" s="38">
        <v>45375</v>
      </c>
      <c r="C1224" s="39">
        <f t="shared" si="304"/>
        <v>45375</v>
      </c>
      <c r="D1224" s="40" t="s">
        <v>4695</v>
      </c>
      <c r="E1224" s="37" t="str" cm="1">
        <f t="array" ref="E1224">_xlfn.IFS(D1224="delhi","north",D1224="mumbai","west",D1224="bengaluru","south",D1224="chennai","south",D1224="kolkata","east",TRUE,"west")</f>
        <v>west</v>
      </c>
      <c r="F1224" s="37" t="s">
        <v>136</v>
      </c>
      <c r="G1224" s="37" t="str">
        <f t="shared" si="305"/>
        <v>bluedart</v>
      </c>
      <c r="H1224" s="37" t="s">
        <v>147</v>
      </c>
      <c r="I1224" s="37" t="str">
        <f t="shared" si="306"/>
        <v>road</v>
      </c>
      <c r="J1224" s="37" t="s">
        <v>353</v>
      </c>
      <c r="K1224" s="37" t="str">
        <f t="shared" si="307"/>
        <v>automotiveparts</v>
      </c>
      <c r="L1224" s="37" t="s">
        <v>101</v>
      </c>
      <c r="M1224" s="37" t="str">
        <f t="shared" si="308"/>
        <v>west</v>
      </c>
      <c r="N1224" s="37" t="s">
        <v>187</v>
      </c>
      <c r="O1224" s="41" t="str">
        <f t="shared" si="309"/>
        <v>Yes</v>
      </c>
      <c r="P1224" s="41">
        <v>23.2</v>
      </c>
      <c r="Q1224" s="41" t="s">
        <v>599</v>
      </c>
      <c r="R1224" s="42">
        <f t="shared" si="310"/>
        <v>14.698275862069</v>
      </c>
      <c r="S1224" s="37">
        <v>6</v>
      </c>
      <c r="T1224" s="37" t="s">
        <v>2132</v>
      </c>
      <c r="U1224" s="43" t="str">
        <f t="shared" si="311"/>
        <v>30-mar-2024</v>
      </c>
      <c r="V1224" s="43">
        <f t="shared" si="312"/>
        <v>45381</v>
      </c>
      <c r="W1224" s="44">
        <f t="array" ref="W1224">_xlfn.IFS(TRIM(C1224)="","",TRIM(V1224)="","",TRUE,V1224-C1224)</f>
        <v>6</v>
      </c>
      <c r="X1224" s="37">
        <f t="shared" si="313"/>
        <v>0</v>
      </c>
      <c r="Y1224" s="37" t="s">
        <v>163</v>
      </c>
      <c r="Z1224" s="37" t="str">
        <f t="shared" si="314"/>
        <v>delivered</v>
      </c>
      <c r="AA1224" s="37" t="str">
        <f t="shared" si="315"/>
        <v>On Time</v>
      </c>
      <c r="AB1224" s="37" t="str">
        <f t="shared" si="318"/>
        <v>0</v>
      </c>
      <c r="AC1224" s="37">
        <f t="shared" si="319"/>
        <v>0</v>
      </c>
      <c r="AD1224" s="45">
        <f t="shared" si="317"/>
        <v>0.550802139037433</v>
      </c>
      <c r="AE1224" s="37">
        <v>2</v>
      </c>
      <c r="AF1224" s="37" t="s">
        <v>286</v>
      </c>
      <c r="AG1224" s="37" t="str">
        <f t="shared" si="316"/>
        <v>yes</v>
      </c>
      <c r="AH1224" s="37" t="str">
        <f t="array" ref="AH1224">_xlfn.IFS(LOWER(AG1224)="n","no",LOWER(AG1224)="y","yes",TRUE,LOWER(AG1224))</f>
        <v>yes</v>
      </c>
      <c r="AI1224" s="37" t="s">
        <v>4692</v>
      </c>
    </row>
    <row r="1225" spans="1:35">
      <c r="A1225" s="46" t="s">
        <v>3876</v>
      </c>
      <c r="B1225" s="47" t="s">
        <v>4803</v>
      </c>
      <c r="C1225" s="39">
        <f t="shared" si="304"/>
        <v>45308</v>
      </c>
      <c r="D1225" s="48" t="s">
        <v>4699</v>
      </c>
      <c r="E1225" s="37" t="str" cm="1">
        <f t="array" ref="E1225">_xlfn.IFS(D1225="delhi","north",D1225="mumbai","west",D1225="bengaluru","south",D1225="chennai","south",D1225="kolkata","east",TRUE,"west")</f>
        <v>west</v>
      </c>
      <c r="F1225" s="46" t="s">
        <v>122</v>
      </c>
      <c r="G1225" s="37" t="str">
        <f t="shared" si="305"/>
        <v>delhivery</v>
      </c>
      <c r="H1225" s="46" t="s">
        <v>147</v>
      </c>
      <c r="I1225" s="37" t="str">
        <f t="shared" si="306"/>
        <v>road</v>
      </c>
      <c r="J1225" s="46" t="s">
        <v>231</v>
      </c>
      <c r="K1225" s="37" t="str">
        <f t="shared" si="307"/>
        <v>furniture</v>
      </c>
      <c r="L1225" s="46" t="s">
        <v>51</v>
      </c>
      <c r="M1225" s="37" t="str">
        <f t="shared" si="308"/>
        <v>south</v>
      </c>
      <c r="N1225" s="46" t="s">
        <v>54</v>
      </c>
      <c r="O1225" s="41" t="str">
        <f t="shared" si="309"/>
        <v>Yes</v>
      </c>
      <c r="P1225" s="49">
        <v>44</v>
      </c>
      <c r="Q1225" s="49">
        <v>749</v>
      </c>
      <c r="R1225" s="42">
        <f t="shared" si="310"/>
        <v>17.0227272727273</v>
      </c>
      <c r="S1225" s="46">
        <v>8</v>
      </c>
      <c r="T1225" s="46" t="s">
        <v>685</v>
      </c>
      <c r="U1225" s="43" t="str">
        <f t="shared" si="311"/>
        <v>27-jan-2024</v>
      </c>
      <c r="V1225" s="43">
        <f t="shared" si="312"/>
        <v>45318</v>
      </c>
      <c r="W1225" s="44">
        <f t="array" ref="W1225">_xlfn.IFS(TRIM(C1225)="","",TRIM(V1225)="","",TRUE,V1225-C1225)</f>
        <v>10</v>
      </c>
      <c r="X1225" s="37">
        <f t="shared" si="313"/>
        <v>2</v>
      </c>
      <c r="Y1225" s="46" t="s">
        <v>143</v>
      </c>
      <c r="Z1225" s="37" t="str">
        <f t="shared" si="314"/>
        <v>delayed</v>
      </c>
      <c r="AA1225" s="37" t="str">
        <f t="shared" si="315"/>
        <v>Late</v>
      </c>
      <c r="AB1225" s="37" t="str">
        <f t="shared" si="318"/>
        <v>1</v>
      </c>
      <c r="AC1225" s="37">
        <f t="shared" si="319"/>
        <v>1</v>
      </c>
      <c r="AD1225" s="45">
        <f t="shared" si="317"/>
        <v>0.552278820375335</v>
      </c>
      <c r="AE1225" s="46">
        <v>3</v>
      </c>
      <c r="AF1225" s="46" t="s">
        <v>152</v>
      </c>
      <c r="AG1225" s="37" t="str">
        <f t="shared" si="316"/>
        <v>no</v>
      </c>
      <c r="AH1225" s="37" t="str">
        <f t="array" ref="AH1225">_xlfn.IFS(LOWER(AG1225)="n","no",LOWER(AG1225)="y","yes",TRUE,LOWER(AG1225))</f>
        <v>no</v>
      </c>
      <c r="AI1225" s="46" t="s">
        <v>4692</v>
      </c>
    </row>
    <row r="1226" spans="1:35">
      <c r="A1226" s="37" t="s">
        <v>3878</v>
      </c>
      <c r="B1226" s="38" t="s">
        <v>4850</v>
      </c>
      <c r="C1226" s="39">
        <f t="shared" si="304"/>
        <v>45347</v>
      </c>
      <c r="D1226" s="40" t="s">
        <v>300</v>
      </c>
      <c r="E1226" s="37" t="str" cm="1">
        <f t="array" ref="E1226">_xlfn.IFS(D1226="delhi","north",D1226="mumbai","west",D1226="bengaluru","south",D1226="chennai","south",D1226="kolkata","east",TRUE,"west")</f>
        <v>west</v>
      </c>
      <c r="F1226" s="37" t="s">
        <v>184</v>
      </c>
      <c r="G1226" s="37" t="str">
        <f t="shared" si="305"/>
        <v>ecomexpress</v>
      </c>
      <c r="H1226" s="37" t="s">
        <v>325</v>
      </c>
      <c r="I1226" s="37" t="str">
        <f t="shared" si="306"/>
        <v>air</v>
      </c>
      <c r="J1226" s="37" t="s">
        <v>664</v>
      </c>
      <c r="K1226" s="37" t="str">
        <f t="shared" si="307"/>
        <v>grocery&amp;fmcg</v>
      </c>
      <c r="L1226" s="37" t="s">
        <v>125</v>
      </c>
      <c r="M1226" s="37" t="str">
        <f t="shared" si="308"/>
        <v>east</v>
      </c>
      <c r="N1226" s="37" t="s">
        <v>396</v>
      </c>
      <c r="O1226" s="41" t="str">
        <f t="shared" si="309"/>
        <v>Yes</v>
      </c>
      <c r="P1226" s="41" t="s">
        <v>1357</v>
      </c>
      <c r="Q1226" s="41">
        <v>757</v>
      </c>
      <c r="R1226" s="42">
        <f t="shared" si="310"/>
        <v>55.2554744525548</v>
      </c>
      <c r="S1226" s="37">
        <v>4</v>
      </c>
      <c r="T1226" s="37" t="s">
        <v>363</v>
      </c>
      <c r="U1226" s="43" t="str">
        <f t="shared" si="311"/>
        <v>07/03/2024</v>
      </c>
      <c r="V1226" s="43">
        <f t="shared" si="312"/>
        <v>45358</v>
      </c>
      <c r="W1226" s="44">
        <f t="array" ref="W1226">_xlfn.IFS(TRIM(C1226)="","",TRIM(V1226)="","",TRUE,V1226-C1226)</f>
        <v>11</v>
      </c>
      <c r="X1226" s="37">
        <f t="shared" si="313"/>
        <v>7</v>
      </c>
      <c r="Y1226" s="37" t="s">
        <v>143</v>
      </c>
      <c r="Z1226" s="37" t="str">
        <f t="shared" si="314"/>
        <v>delayed</v>
      </c>
      <c r="AA1226" s="37" t="str">
        <f t="shared" si="315"/>
        <v>Late</v>
      </c>
      <c r="AB1226" s="37" t="str">
        <f t="shared" si="318"/>
        <v>1</v>
      </c>
      <c r="AC1226" s="37">
        <f t="shared" si="319"/>
        <v>1</v>
      </c>
      <c r="AD1226" s="45">
        <f t="shared" si="317"/>
        <v>0.551075268817204</v>
      </c>
      <c r="AE1226" s="37">
        <v>4</v>
      </c>
      <c r="AF1226" s="37" t="s">
        <v>191</v>
      </c>
      <c r="AG1226" s="37" t="str">
        <f t="shared" si="316"/>
        <v>no</v>
      </c>
      <c r="AH1226" s="37" t="str">
        <f t="array" ref="AH1226">_xlfn.IFS(LOWER(AG1226)="n","no",LOWER(AG1226)="y","yes",TRUE,LOWER(AG1226))</f>
        <v>no</v>
      </c>
      <c r="AI1226" s="37" t="s">
        <v>4692</v>
      </c>
    </row>
    <row r="1227" spans="1:35">
      <c r="A1227" s="46" t="s">
        <v>3880</v>
      </c>
      <c r="B1227" s="47">
        <v>45341</v>
      </c>
      <c r="C1227" s="39">
        <f t="shared" si="304"/>
        <v>45341</v>
      </c>
      <c r="D1227" s="48" t="s">
        <v>424</v>
      </c>
      <c r="E1227" s="37" t="str" cm="1">
        <f t="array" ref="E1227">_xlfn.IFS(D1227="delhi","north",D1227="mumbai","west",D1227="bengaluru","south",D1227="chennai","south",D1227="kolkata","east",TRUE,"west")</f>
        <v>south</v>
      </c>
      <c r="F1227" s="46" t="s">
        <v>184</v>
      </c>
      <c r="G1227" s="37" t="str">
        <f t="shared" si="305"/>
        <v>ecomexpress</v>
      </c>
      <c r="H1227" s="46" t="s">
        <v>110</v>
      </c>
      <c r="I1227" s="37" t="str">
        <f t="shared" si="306"/>
        <v>surface</v>
      </c>
      <c r="J1227" s="46" t="s">
        <v>177</v>
      </c>
      <c r="K1227" s="37" t="str">
        <f t="shared" si="307"/>
        <v>pharma</v>
      </c>
      <c r="L1227" s="46" t="s">
        <v>125</v>
      </c>
      <c r="M1227" s="37" t="str">
        <f t="shared" si="308"/>
        <v>east</v>
      </c>
      <c r="N1227" s="46" t="s">
        <v>294</v>
      </c>
      <c r="O1227" s="41" t="str">
        <f t="shared" si="309"/>
        <v>Yes</v>
      </c>
      <c r="P1227" s="49">
        <v>0.8</v>
      </c>
      <c r="Q1227" s="49">
        <v>201</v>
      </c>
      <c r="R1227" s="42">
        <f t="shared" si="310"/>
        <v>251.25</v>
      </c>
      <c r="S1227" s="46">
        <v>6</v>
      </c>
      <c r="T1227" s="46" t="s">
        <v>3432</v>
      </c>
      <c r="U1227" s="43" t="str">
        <f t="shared" si="311"/>
        <v>2024-02-25</v>
      </c>
      <c r="V1227" s="43">
        <f t="shared" si="312"/>
        <v>45347</v>
      </c>
      <c r="W1227" s="44">
        <f t="array" ref="W1227">_xlfn.IFS(TRIM(C1227)="","",TRIM(V1227)="","",TRUE,V1227-C1227)</f>
        <v>6</v>
      </c>
      <c r="X1227" s="37">
        <f t="shared" si="313"/>
        <v>0</v>
      </c>
      <c r="Y1227" s="46" t="s">
        <v>117</v>
      </c>
      <c r="Z1227" s="37" t="str">
        <f t="shared" si="314"/>
        <v>delivered</v>
      </c>
      <c r="AA1227" s="37" t="str">
        <f t="shared" si="315"/>
        <v>On Time</v>
      </c>
      <c r="AB1227" s="37" t="str">
        <f t="shared" si="318"/>
        <v>0</v>
      </c>
      <c r="AC1227" s="37">
        <f t="shared" si="319"/>
        <v>0</v>
      </c>
      <c r="AD1227" s="45">
        <f t="shared" si="317"/>
        <v>0.549865229110512</v>
      </c>
      <c r="AE1227" s="46">
        <v>5</v>
      </c>
      <c r="AF1227" s="46" t="s">
        <v>118</v>
      </c>
      <c r="AG1227" s="37" t="str">
        <f t="shared" si="316"/>
        <v>no</v>
      </c>
      <c r="AH1227" s="37" t="str">
        <f t="array" ref="AH1227">_xlfn.IFS(LOWER(AG1227)="n","no",LOWER(AG1227)="y","yes",TRUE,LOWER(AG1227))</f>
        <v>no</v>
      </c>
      <c r="AI1227" s="46" t="s">
        <v>4692</v>
      </c>
    </row>
    <row r="1228" spans="1:35">
      <c r="A1228" s="37" t="s">
        <v>3881</v>
      </c>
      <c r="B1228" s="38">
        <v>45304</v>
      </c>
      <c r="C1228" s="39">
        <f t="shared" si="304"/>
        <v>45304</v>
      </c>
      <c r="D1228" s="40" t="s">
        <v>424</v>
      </c>
      <c r="E1228" s="37" t="str" cm="1">
        <f t="array" ref="E1228">_xlfn.IFS(D1228="delhi","north",D1228="mumbai","west",D1228="bengaluru","south",D1228="chennai","south",D1228="kolkata","east",TRUE,"west")</f>
        <v>south</v>
      </c>
      <c r="F1228" s="37" t="s">
        <v>194</v>
      </c>
      <c r="G1228" s="37" t="str">
        <f t="shared" si="305"/>
        <v>xpressbees</v>
      </c>
      <c r="H1228" s="37" t="s">
        <v>176</v>
      </c>
      <c r="I1228" s="37" t="str">
        <f t="shared" si="306"/>
        <v>road</v>
      </c>
      <c r="J1228" s="37" t="s">
        <v>47</v>
      </c>
      <c r="K1228" s="37" t="str">
        <f t="shared" si="307"/>
        <v>electronics</v>
      </c>
      <c r="L1228" s="37" t="s">
        <v>87</v>
      </c>
      <c r="M1228" s="37" t="str">
        <f t="shared" si="308"/>
        <v>north</v>
      </c>
      <c r="N1228" s="37" t="s">
        <v>215</v>
      </c>
      <c r="O1228" s="41" t="str">
        <f t="shared" si="309"/>
        <v>Yes</v>
      </c>
      <c r="P1228" s="41">
        <v>1.8</v>
      </c>
      <c r="Q1228" s="41">
        <v>219</v>
      </c>
      <c r="R1228" s="42">
        <f t="shared" si="310"/>
        <v>121.666666666667</v>
      </c>
      <c r="S1228" s="37">
        <v>8</v>
      </c>
      <c r="T1228" s="37" t="s">
        <v>3883</v>
      </c>
      <c r="U1228" s="43" t="str">
        <f t="shared" si="311"/>
        <v>21/01/2024</v>
      </c>
      <c r="V1228" s="43">
        <f t="shared" si="312"/>
        <v>45312</v>
      </c>
      <c r="W1228" s="44">
        <f t="array" ref="W1228">_xlfn.IFS(TRIM(C1228)="","",TRIM(V1228)="","",TRUE,V1228-C1228)</f>
        <v>8</v>
      </c>
      <c r="X1228" s="37">
        <f t="shared" si="313"/>
        <v>0</v>
      </c>
      <c r="Y1228" s="37" t="s">
        <v>219</v>
      </c>
      <c r="Z1228" s="37" t="str">
        <f t="shared" si="314"/>
        <v>delivered</v>
      </c>
      <c r="AA1228" s="37" t="str">
        <f t="shared" si="315"/>
        <v>On Time</v>
      </c>
      <c r="AB1228" s="37" t="str">
        <f t="shared" si="318"/>
        <v>0</v>
      </c>
      <c r="AC1228" s="37">
        <f t="shared" si="319"/>
        <v>0</v>
      </c>
      <c r="AD1228" s="45">
        <f t="shared" si="317"/>
        <v>0.551351351351351</v>
      </c>
      <c r="AE1228" s="37">
        <v>5</v>
      </c>
      <c r="AF1228" s="37" t="s">
        <v>152</v>
      </c>
      <c r="AG1228" s="37" t="str">
        <f t="shared" si="316"/>
        <v>no</v>
      </c>
      <c r="AH1228" s="37" t="str">
        <f t="array" ref="AH1228">_xlfn.IFS(LOWER(AG1228)="n","no",LOWER(AG1228)="y","yes",TRUE,LOWER(AG1228))</f>
        <v>no</v>
      </c>
      <c r="AI1228" s="37" t="s">
        <v>4692</v>
      </c>
    </row>
    <row r="1229" spans="1:35">
      <c r="A1229" s="46" t="s">
        <v>3884</v>
      </c>
      <c r="B1229" s="47">
        <v>45386</v>
      </c>
      <c r="C1229" s="39">
        <f t="shared" si="304"/>
        <v>45386</v>
      </c>
      <c r="D1229" s="48" t="s">
        <v>121</v>
      </c>
      <c r="E1229" s="37" t="str" cm="1">
        <f t="array" ref="E1229">_xlfn.IFS(D1229="delhi","north",D1229="mumbai","west",D1229="bengaluru","south",D1229="chennai","south",D1229="kolkata","east",TRUE,"west")</f>
        <v>west</v>
      </c>
      <c r="F1229" s="46" t="s">
        <v>194</v>
      </c>
      <c r="G1229" s="37" t="str">
        <f t="shared" si="305"/>
        <v>xpressbees</v>
      </c>
      <c r="H1229" s="46" t="s">
        <v>157</v>
      </c>
      <c r="I1229" s="37" t="str">
        <f t="shared" si="306"/>
        <v>surface</v>
      </c>
      <c r="J1229" s="46"/>
      <c r="K1229" s="37" t="str">
        <f t="shared" si="307"/>
        <v/>
      </c>
      <c r="L1229" s="46" t="s">
        <v>125</v>
      </c>
      <c r="M1229" s="37" t="str">
        <f t="shared" si="308"/>
        <v>east</v>
      </c>
      <c r="N1229" s="46" t="s">
        <v>294</v>
      </c>
      <c r="O1229" s="41" t="str">
        <f t="shared" si="309"/>
        <v>Yes</v>
      </c>
      <c r="P1229" s="49">
        <v>30</v>
      </c>
      <c r="Q1229" s="49" t="s">
        <v>3886</v>
      </c>
      <c r="R1229" s="42">
        <f t="shared" si="310"/>
        <v>27.8</v>
      </c>
      <c r="S1229" s="46">
        <v>6</v>
      </c>
      <c r="T1229" s="46" t="s">
        <v>339</v>
      </c>
      <c r="U1229" s="43" t="str">
        <f t="shared" si="311"/>
        <v>11/04/2024</v>
      </c>
      <c r="V1229" s="43">
        <f t="shared" si="312"/>
        <v>45393</v>
      </c>
      <c r="W1229" s="44">
        <f t="array" ref="W1229">_xlfn.IFS(TRIM(C1229)="","",TRIM(V1229)="","",TRUE,V1229-C1229)</f>
        <v>7</v>
      </c>
      <c r="X1229" s="37">
        <f t="shared" si="313"/>
        <v>1</v>
      </c>
      <c r="Y1229" s="46" t="s">
        <v>2041</v>
      </c>
      <c r="Z1229" s="37" t="str">
        <f t="shared" si="314"/>
        <v>returned</v>
      </c>
      <c r="AA1229" s="37" t="str">
        <f t="shared" si="315"/>
        <v>Late</v>
      </c>
      <c r="AB1229" s="37" t="str">
        <f t="shared" si="318"/>
        <v>1</v>
      </c>
      <c r="AC1229" s="37">
        <f t="shared" si="319"/>
        <v>1</v>
      </c>
      <c r="AD1229" s="45">
        <f t="shared" si="317"/>
        <v>0.552845528455285</v>
      </c>
      <c r="AE1229" s="46"/>
      <c r="AF1229" s="46" t="s">
        <v>106</v>
      </c>
      <c r="AG1229" s="37" t="str">
        <f t="shared" si="316"/>
        <v>yes</v>
      </c>
      <c r="AH1229" s="37" t="str">
        <f t="array" ref="AH1229">_xlfn.IFS(LOWER(AG1229)="n","no",LOWER(AG1229)="y","yes",TRUE,LOWER(AG1229))</f>
        <v>yes</v>
      </c>
      <c r="AI1229" s="46" t="s">
        <v>1478</v>
      </c>
    </row>
    <row r="1230" spans="1:35">
      <c r="A1230" s="37" t="s">
        <v>3887</v>
      </c>
      <c r="B1230" s="38">
        <v>45328</v>
      </c>
      <c r="C1230" s="39">
        <f t="shared" si="304"/>
        <v>45328</v>
      </c>
      <c r="D1230" s="40" t="s">
        <v>4694</v>
      </c>
      <c r="E1230" s="37" t="str" cm="1">
        <f t="array" ref="E1230">_xlfn.IFS(D1230="delhi","north",D1230="mumbai","west",D1230="bengaluru","south",D1230="chennai","south",D1230="kolkata","east",TRUE,"west")</f>
        <v>west</v>
      </c>
      <c r="F1230" s="37" t="s">
        <v>98</v>
      </c>
      <c r="G1230" s="37" t="str">
        <f t="shared" si="305"/>
        <v>dtdc</v>
      </c>
      <c r="H1230" s="37" t="s">
        <v>147</v>
      </c>
      <c r="I1230" s="37" t="str">
        <f t="shared" si="306"/>
        <v>road</v>
      </c>
      <c r="J1230" s="37" t="s">
        <v>231</v>
      </c>
      <c r="K1230" s="37" t="str">
        <f t="shared" si="307"/>
        <v>furniture</v>
      </c>
      <c r="L1230" s="37" t="s">
        <v>346</v>
      </c>
      <c r="M1230" s="37" t="str">
        <f t="shared" si="308"/>
        <v>north</v>
      </c>
      <c r="N1230" s="37" t="s">
        <v>215</v>
      </c>
      <c r="O1230" s="41" t="str">
        <f t="shared" si="309"/>
        <v>Yes</v>
      </c>
      <c r="P1230" s="41" t="s">
        <v>3888</v>
      </c>
      <c r="Q1230" s="41">
        <v>454</v>
      </c>
      <c r="R1230" s="42">
        <f t="shared" si="310"/>
        <v>19.4849785407725</v>
      </c>
      <c r="S1230" s="37">
        <v>8</v>
      </c>
      <c r="T1230" s="37" t="s">
        <v>1222</v>
      </c>
      <c r="U1230" s="43" t="str">
        <f t="shared" si="311"/>
        <v>17-feb-2024</v>
      </c>
      <c r="V1230" s="43">
        <f t="shared" si="312"/>
        <v>45339</v>
      </c>
      <c r="W1230" s="44">
        <f t="array" ref="W1230">_xlfn.IFS(TRIM(C1230)="","",TRIM(V1230)="","",TRUE,V1230-C1230)</f>
        <v>11</v>
      </c>
      <c r="X1230" s="37">
        <f t="shared" si="313"/>
        <v>3</v>
      </c>
      <c r="Y1230" s="37" t="s">
        <v>200</v>
      </c>
      <c r="Z1230" s="37" t="str">
        <f t="shared" si="314"/>
        <v>delayed</v>
      </c>
      <c r="AA1230" s="37" t="str">
        <f t="shared" si="315"/>
        <v>Late</v>
      </c>
      <c r="AB1230" s="37" t="str">
        <f t="shared" si="318"/>
        <v>1</v>
      </c>
      <c r="AC1230" s="37">
        <f t="shared" si="319"/>
        <v>1</v>
      </c>
      <c r="AD1230" s="45">
        <f t="shared" si="317"/>
        <v>0.551630434782609</v>
      </c>
      <c r="AE1230" s="37">
        <v>2</v>
      </c>
      <c r="AF1230" s="37" t="s">
        <v>191</v>
      </c>
      <c r="AG1230" s="37" t="str">
        <f t="shared" si="316"/>
        <v>no</v>
      </c>
      <c r="AH1230" s="37" t="str">
        <f t="array" ref="AH1230">_xlfn.IFS(LOWER(AG1230)="n","no",LOWER(AG1230)="y","yes",TRUE,LOWER(AG1230))</f>
        <v>no</v>
      </c>
      <c r="AI1230" s="37" t="s">
        <v>4692</v>
      </c>
    </row>
    <row r="1231" spans="1:35">
      <c r="A1231" s="46" t="s">
        <v>3890</v>
      </c>
      <c r="B1231" s="47">
        <v>45369</v>
      </c>
      <c r="C1231" s="39">
        <f t="shared" si="304"/>
        <v>45369</v>
      </c>
      <c r="D1231" s="48" t="s">
        <v>366</v>
      </c>
      <c r="E1231" s="37" t="str" cm="1">
        <f t="array" ref="E1231">_xlfn.IFS(D1231="delhi","north",D1231="mumbai","west",D1231="bengaluru","south",D1231="chennai","south",D1231="kolkata","east",TRUE,"west")</f>
        <v>east</v>
      </c>
      <c r="F1231" s="46" t="s">
        <v>184</v>
      </c>
      <c r="G1231" s="37" t="str">
        <f t="shared" si="305"/>
        <v>ecomexpress</v>
      </c>
      <c r="H1231" s="46" t="s">
        <v>123</v>
      </c>
      <c r="I1231" s="37" t="str">
        <f t="shared" si="306"/>
        <v>air</v>
      </c>
      <c r="J1231" s="46" t="s">
        <v>167</v>
      </c>
      <c r="K1231" s="37" t="str">
        <f t="shared" si="307"/>
        <v>pharma</v>
      </c>
      <c r="L1231" s="46" t="s">
        <v>401</v>
      </c>
      <c r="M1231" s="37" t="str">
        <f t="shared" si="308"/>
        <v>south</v>
      </c>
      <c r="N1231" s="46" t="s">
        <v>90</v>
      </c>
      <c r="O1231" s="41" t="str">
        <f t="shared" si="309"/>
        <v>Yes</v>
      </c>
      <c r="P1231" s="49">
        <v>2.3</v>
      </c>
      <c r="Q1231" s="49">
        <v>270</v>
      </c>
      <c r="R1231" s="42">
        <f t="shared" si="310"/>
        <v>117.391304347826</v>
      </c>
      <c r="S1231" s="46">
        <v>4</v>
      </c>
      <c r="T1231" s="46" t="s">
        <v>543</v>
      </c>
      <c r="U1231" s="43" t="str">
        <f t="shared" si="311"/>
        <v>28/03/2024</v>
      </c>
      <c r="V1231" s="43">
        <f t="shared" si="312"/>
        <v>45379</v>
      </c>
      <c r="W1231" s="44">
        <f t="array" ref="W1231">_xlfn.IFS(TRIM(C1231)="","",TRIM(V1231)="","",TRUE,V1231-C1231)</f>
        <v>10</v>
      </c>
      <c r="X1231" s="37">
        <f t="shared" si="313"/>
        <v>6</v>
      </c>
      <c r="Y1231" s="46" t="s">
        <v>172</v>
      </c>
      <c r="Z1231" s="37" t="str">
        <f t="shared" si="314"/>
        <v>delayed</v>
      </c>
      <c r="AA1231" s="37" t="str">
        <f t="shared" si="315"/>
        <v>Late</v>
      </c>
      <c r="AB1231" s="37" t="str">
        <f t="shared" si="318"/>
        <v>1</v>
      </c>
      <c r="AC1231" s="37">
        <f t="shared" si="319"/>
        <v>1</v>
      </c>
      <c r="AD1231" s="45">
        <f t="shared" si="317"/>
        <v>0.550408719346049</v>
      </c>
      <c r="AE1231" s="46">
        <v>4</v>
      </c>
      <c r="AF1231" s="46" t="s">
        <v>118</v>
      </c>
      <c r="AG1231" s="37" t="str">
        <f t="shared" si="316"/>
        <v>no</v>
      </c>
      <c r="AH1231" s="37" t="str">
        <f t="array" ref="AH1231">_xlfn.IFS(LOWER(AG1231)="n","no",LOWER(AG1231)="y","yes",TRUE,LOWER(AG1231))</f>
        <v>no</v>
      </c>
      <c r="AI1231" s="46" t="s">
        <v>4692</v>
      </c>
    </row>
    <row r="1232" spans="1:35">
      <c r="A1232" s="37" t="s">
        <v>3891</v>
      </c>
      <c r="B1232" s="38">
        <v>45324</v>
      </c>
      <c r="C1232" s="39">
        <f t="shared" si="304"/>
        <v>45324</v>
      </c>
      <c r="D1232" s="40" t="s">
        <v>121</v>
      </c>
      <c r="E1232" s="37" t="str" cm="1">
        <f t="array" ref="E1232">_xlfn.IFS(D1232="delhi","north",D1232="mumbai","west",D1232="bengaluru","south",D1232="chennai","south",D1232="kolkata","east",TRUE,"west")</f>
        <v>west</v>
      </c>
      <c r="F1232" s="37" t="s">
        <v>194</v>
      </c>
      <c r="G1232" s="37" t="str">
        <f t="shared" si="305"/>
        <v>xpressbees</v>
      </c>
      <c r="H1232" s="37" t="s">
        <v>99</v>
      </c>
      <c r="I1232" s="37" t="str">
        <f t="shared" si="306"/>
        <v>air</v>
      </c>
      <c r="J1232" s="37" t="s">
        <v>271</v>
      </c>
      <c r="K1232" s="37" t="str">
        <f t="shared" si="307"/>
        <v>electronics</v>
      </c>
      <c r="L1232" s="37" t="s">
        <v>346</v>
      </c>
      <c r="M1232" s="37" t="str">
        <f t="shared" si="308"/>
        <v>north</v>
      </c>
      <c r="N1232" s="37" t="s">
        <v>354</v>
      </c>
      <c r="O1232" s="41" t="str">
        <f t="shared" si="309"/>
        <v>Yes</v>
      </c>
      <c r="P1232" s="41">
        <v>5.1</v>
      </c>
      <c r="Q1232" s="41" t="s">
        <v>1812</v>
      </c>
      <c r="R1232" s="42">
        <f t="shared" si="310"/>
        <v>53.1372549019608</v>
      </c>
      <c r="S1232" s="37">
        <v>2</v>
      </c>
      <c r="T1232" s="37" t="s">
        <v>3892</v>
      </c>
      <c r="U1232" s="43" t="str">
        <f t="shared" si="311"/>
        <v>2024-02-04</v>
      </c>
      <c r="V1232" s="43">
        <f t="shared" si="312"/>
        <v>45326</v>
      </c>
      <c r="W1232" s="44">
        <f t="array" ref="W1232">_xlfn.IFS(TRIM(C1232)="","",TRIM(V1232)="","",TRUE,V1232-C1232)</f>
        <v>2</v>
      </c>
      <c r="X1232" s="37">
        <f t="shared" si="313"/>
        <v>0</v>
      </c>
      <c r="Y1232" s="37" t="s">
        <v>117</v>
      </c>
      <c r="Z1232" s="37" t="str">
        <f t="shared" si="314"/>
        <v>delivered</v>
      </c>
      <c r="AA1232" s="37" t="str">
        <f t="shared" si="315"/>
        <v>On Time</v>
      </c>
      <c r="AB1232" s="37" t="str">
        <f t="shared" si="318"/>
        <v>0</v>
      </c>
      <c r="AC1232" s="37">
        <f t="shared" si="319"/>
        <v>0</v>
      </c>
      <c r="AD1232" s="45">
        <f t="shared" si="317"/>
        <v>0.549180327868853</v>
      </c>
      <c r="AE1232" s="37">
        <v>4</v>
      </c>
      <c r="AF1232" s="37" t="s">
        <v>191</v>
      </c>
      <c r="AG1232" s="37" t="str">
        <f t="shared" si="316"/>
        <v>no</v>
      </c>
      <c r="AH1232" s="37" t="str">
        <f t="array" ref="AH1232">_xlfn.IFS(LOWER(AG1232)="n","no",LOWER(AG1232)="y","yes",TRUE,LOWER(AG1232))</f>
        <v>no</v>
      </c>
      <c r="AI1232" s="37" t="s">
        <v>4692</v>
      </c>
    </row>
    <row r="1233" spans="1:35">
      <c r="A1233" s="46" t="s">
        <v>3893</v>
      </c>
      <c r="B1233" s="47" t="s">
        <v>4745</v>
      </c>
      <c r="C1233" s="39">
        <f t="shared" si="304"/>
        <v>45422</v>
      </c>
      <c r="D1233" s="48" t="s">
        <v>222</v>
      </c>
      <c r="E1233" s="37" t="str" cm="1">
        <f t="array" ref="E1233">_xlfn.IFS(D1233="delhi","north",D1233="mumbai","west",D1233="bengaluru","south",D1233="chennai","south",D1233="kolkata","east",TRUE,"west")</f>
        <v>west</v>
      </c>
      <c r="F1233" s="46" t="s">
        <v>156</v>
      </c>
      <c r="G1233" s="37" t="str">
        <f t="shared" si="305"/>
        <v>xpressbees</v>
      </c>
      <c r="H1233" s="46" t="s">
        <v>440</v>
      </c>
      <c r="I1233" s="37" t="str">
        <f t="shared" si="306"/>
        <v>road</v>
      </c>
      <c r="J1233" s="46" t="s">
        <v>158</v>
      </c>
      <c r="K1233" s="37" t="str">
        <f t="shared" si="307"/>
        <v>pharma</v>
      </c>
      <c r="L1233" s="46" t="s">
        <v>264</v>
      </c>
      <c r="M1233" s="37" t="str">
        <f t="shared" si="308"/>
        <v>west</v>
      </c>
      <c r="N1233" s="46" t="s">
        <v>206</v>
      </c>
      <c r="O1233" s="41" t="str">
        <f t="shared" si="309"/>
        <v>Yes</v>
      </c>
      <c r="P1233" s="49">
        <v>2.3</v>
      </c>
      <c r="Q1233" s="49">
        <v>80</v>
      </c>
      <c r="R1233" s="42">
        <f t="shared" si="310"/>
        <v>34.7826086956522</v>
      </c>
      <c r="S1233" s="46">
        <v>6</v>
      </c>
      <c r="T1233" s="46" t="s">
        <v>1434</v>
      </c>
      <c r="U1233" s="43" t="str">
        <f t="shared" si="311"/>
        <v>15-may-2024</v>
      </c>
      <c r="V1233" s="43">
        <f t="shared" si="312"/>
        <v>45427</v>
      </c>
      <c r="W1233" s="44">
        <f t="array" ref="W1233">_xlfn.IFS(TRIM(C1233)="","",TRIM(V1233)="","",TRUE,V1233-C1233)</f>
        <v>5</v>
      </c>
      <c r="X1233" s="37">
        <f t="shared" si="313"/>
        <v>-1</v>
      </c>
      <c r="Y1233" s="46" t="s">
        <v>337</v>
      </c>
      <c r="Z1233" s="37" t="str">
        <f t="shared" si="314"/>
        <v>damaged</v>
      </c>
      <c r="AA1233" s="37" t="str">
        <f t="shared" si="315"/>
        <v>On Time</v>
      </c>
      <c r="AB1233" s="37" t="str">
        <f t="shared" si="318"/>
        <v>0</v>
      </c>
      <c r="AC1233" s="37">
        <f t="shared" si="319"/>
        <v>0</v>
      </c>
      <c r="AD1233" s="45">
        <f t="shared" si="317"/>
        <v>0.550684931506849</v>
      </c>
      <c r="AE1233" s="46"/>
      <c r="AF1233" s="46" t="s">
        <v>131</v>
      </c>
      <c r="AG1233" s="37" t="str">
        <f t="shared" si="316"/>
        <v>n</v>
      </c>
      <c r="AH1233" s="37" t="str">
        <f t="array" ref="AH1233">_xlfn.IFS(LOWER(AG1233)="n","no",LOWER(AG1233)="y","yes",TRUE,LOWER(AG1233))</f>
        <v>no</v>
      </c>
      <c r="AI1233" s="46" t="s">
        <v>759</v>
      </c>
    </row>
    <row r="1234" spans="1:35">
      <c r="A1234" s="37" t="s">
        <v>3894</v>
      </c>
      <c r="B1234" s="38">
        <v>45308</v>
      </c>
      <c r="C1234" s="39">
        <f t="shared" si="304"/>
        <v>45308</v>
      </c>
      <c r="D1234" s="40" t="s">
        <v>109</v>
      </c>
      <c r="E1234" s="37" t="str" cm="1">
        <f t="array" ref="E1234">_xlfn.IFS(D1234="delhi","north",D1234="mumbai","west",D1234="bengaluru","south",D1234="chennai","south",D1234="kolkata","east",TRUE,"west")</f>
        <v>west</v>
      </c>
      <c r="F1234" s="37" t="s">
        <v>37</v>
      </c>
      <c r="G1234" s="37" t="str">
        <f t="shared" si="305"/>
        <v>bluedart</v>
      </c>
      <c r="H1234" s="37" t="s">
        <v>195</v>
      </c>
      <c r="I1234" s="37" t="str">
        <f t="shared" si="306"/>
        <v>road</v>
      </c>
      <c r="J1234" s="37" t="s">
        <v>612</v>
      </c>
      <c r="K1234" s="37" t="str">
        <f t="shared" si="307"/>
        <v>grocery&amp;fmcg</v>
      </c>
      <c r="L1234" s="37" t="s">
        <v>380</v>
      </c>
      <c r="M1234" s="37" t="str">
        <f t="shared" si="308"/>
        <v>east</v>
      </c>
      <c r="N1234" s="37" t="s">
        <v>91</v>
      </c>
      <c r="O1234" s="41" t="str">
        <f t="shared" si="309"/>
        <v>Yes</v>
      </c>
      <c r="P1234" s="41">
        <v>19.7</v>
      </c>
      <c r="Q1234" s="41">
        <v>409</v>
      </c>
      <c r="R1234" s="42">
        <f t="shared" si="310"/>
        <v>20.761421319797</v>
      </c>
      <c r="S1234" s="37">
        <v>8</v>
      </c>
      <c r="T1234" s="37" t="s">
        <v>1491</v>
      </c>
      <c r="U1234" s="43" t="str">
        <f t="shared" si="311"/>
        <v>24/01/2024</v>
      </c>
      <c r="V1234" s="43">
        <f t="shared" si="312"/>
        <v>45315</v>
      </c>
      <c r="W1234" s="44">
        <f t="array" ref="W1234">_xlfn.IFS(TRIM(C1234)="","",TRIM(V1234)="","",TRUE,V1234-C1234)</f>
        <v>7</v>
      </c>
      <c r="X1234" s="37">
        <f t="shared" si="313"/>
        <v>-1</v>
      </c>
      <c r="Y1234" s="37" t="s">
        <v>337</v>
      </c>
      <c r="Z1234" s="37" t="str">
        <f t="shared" si="314"/>
        <v>damaged</v>
      </c>
      <c r="AA1234" s="37" t="str">
        <f t="shared" si="315"/>
        <v>On Time</v>
      </c>
      <c r="AB1234" s="37" t="str">
        <f t="shared" si="318"/>
        <v>0</v>
      </c>
      <c r="AC1234" s="37">
        <f t="shared" si="319"/>
        <v>0</v>
      </c>
      <c r="AD1234" s="45">
        <f t="shared" si="317"/>
        <v>0.552197802197802</v>
      </c>
      <c r="AE1234" s="37"/>
      <c r="AF1234" s="37" t="s">
        <v>191</v>
      </c>
      <c r="AG1234" s="37" t="str">
        <f t="shared" si="316"/>
        <v>no</v>
      </c>
      <c r="AH1234" s="37" t="str">
        <f t="array" ref="AH1234">_xlfn.IFS(LOWER(AG1234)="n","no",LOWER(AG1234)="y","yes",TRUE,LOWER(AG1234))</f>
        <v>no</v>
      </c>
      <c r="AI1234" s="37" t="s">
        <v>132</v>
      </c>
    </row>
    <row r="1235" spans="1:35">
      <c r="A1235" s="46" t="s">
        <v>3897</v>
      </c>
      <c r="B1235" s="47">
        <v>45456</v>
      </c>
      <c r="C1235" s="39">
        <f t="shared" si="304"/>
        <v>45456</v>
      </c>
      <c r="D1235" s="48" t="s">
        <v>424</v>
      </c>
      <c r="E1235" s="37" t="str" cm="1">
        <f t="array" ref="E1235">_xlfn.IFS(D1235="delhi","north",D1235="mumbai","west",D1235="bengaluru","south",D1235="chennai","south",D1235="kolkata","east",TRUE,"west")</f>
        <v>south</v>
      </c>
      <c r="F1235" s="46" t="s">
        <v>352</v>
      </c>
      <c r="G1235" s="37" t="str">
        <f t="shared" si="305"/>
        <v>delhivery</v>
      </c>
      <c r="H1235" s="46" t="s">
        <v>224</v>
      </c>
      <c r="I1235" s="37" t="str">
        <f t="shared" si="306"/>
        <v>air</v>
      </c>
      <c r="J1235" s="46" t="s">
        <v>283</v>
      </c>
      <c r="K1235" s="37" t="str">
        <f t="shared" si="307"/>
        <v>pharma</v>
      </c>
      <c r="L1235" s="46" t="s">
        <v>112</v>
      </c>
      <c r="M1235" s="37" t="str">
        <f t="shared" si="308"/>
        <v>north</v>
      </c>
      <c r="N1235" s="46" t="s">
        <v>32</v>
      </c>
      <c r="O1235" s="41" t="str">
        <f t="shared" si="309"/>
        <v>Yes</v>
      </c>
      <c r="P1235" s="49">
        <v>2.3</v>
      </c>
      <c r="Q1235" s="49" t="s">
        <v>3898</v>
      </c>
      <c r="R1235" s="42">
        <f t="shared" si="310"/>
        <v>121.739130434783</v>
      </c>
      <c r="S1235" s="46">
        <v>4</v>
      </c>
      <c r="T1235" s="46" t="s">
        <v>1134</v>
      </c>
      <c r="U1235" s="43" t="str">
        <f t="shared" si="311"/>
        <v>17/06/2024</v>
      </c>
      <c r="V1235" s="43">
        <f t="shared" si="312"/>
        <v>45460</v>
      </c>
      <c r="W1235" s="44">
        <f t="array" ref="W1235">_xlfn.IFS(TRIM(C1235)="","",TRIM(V1235)="","",TRUE,V1235-C1235)</f>
        <v>4</v>
      </c>
      <c r="X1235" s="37">
        <f t="shared" si="313"/>
        <v>0</v>
      </c>
      <c r="Y1235" s="46" t="s">
        <v>105</v>
      </c>
      <c r="Z1235" s="37" t="str">
        <f t="shared" si="314"/>
        <v>delivered</v>
      </c>
      <c r="AA1235" s="37" t="str">
        <f t="shared" si="315"/>
        <v>On Time</v>
      </c>
      <c r="AB1235" s="37" t="str">
        <f t="shared" si="318"/>
        <v>0</v>
      </c>
      <c r="AC1235" s="37">
        <f t="shared" si="319"/>
        <v>0</v>
      </c>
      <c r="AD1235" s="45">
        <f t="shared" si="317"/>
        <v>0.553719008264463</v>
      </c>
      <c r="AE1235" s="46">
        <v>5</v>
      </c>
      <c r="AF1235" s="46" t="s">
        <v>118</v>
      </c>
      <c r="AG1235" s="37" t="str">
        <f t="shared" si="316"/>
        <v>no</v>
      </c>
      <c r="AH1235" s="37" t="str">
        <f t="array" ref="AH1235">_xlfn.IFS(LOWER(AG1235)="n","no",LOWER(AG1235)="y","yes",TRUE,LOWER(AG1235))</f>
        <v>no</v>
      </c>
      <c r="AI1235" s="46" t="s">
        <v>4692</v>
      </c>
    </row>
    <row r="1236" spans="1:35">
      <c r="A1236" s="37" t="s">
        <v>3899</v>
      </c>
      <c r="B1236" s="38">
        <v>45403</v>
      </c>
      <c r="C1236" s="39">
        <f t="shared" si="304"/>
        <v>45403</v>
      </c>
      <c r="D1236" s="40" t="s">
        <v>366</v>
      </c>
      <c r="E1236" s="37" t="str" cm="1">
        <f t="array" ref="E1236">_xlfn.IFS(D1236="delhi","north",D1236="mumbai","west",D1236="bengaluru","south",D1236="chennai","south",D1236="kolkata","east",TRUE,"west")</f>
        <v>east</v>
      </c>
      <c r="F1236" s="37" t="s">
        <v>37</v>
      </c>
      <c r="G1236" s="37" t="str">
        <f t="shared" si="305"/>
        <v>bluedart</v>
      </c>
      <c r="H1236" s="37" t="s">
        <v>110</v>
      </c>
      <c r="I1236" s="37" t="str">
        <f t="shared" si="306"/>
        <v>surface</v>
      </c>
      <c r="J1236" s="37" t="s">
        <v>283</v>
      </c>
      <c r="K1236" s="37" t="str">
        <f t="shared" si="307"/>
        <v>pharma</v>
      </c>
      <c r="L1236" s="37" t="s">
        <v>380</v>
      </c>
      <c r="M1236" s="37" t="str">
        <f t="shared" si="308"/>
        <v>east</v>
      </c>
      <c r="N1236" s="37" t="s">
        <v>294</v>
      </c>
      <c r="O1236" s="41" t="str">
        <f t="shared" si="309"/>
        <v>Yes</v>
      </c>
      <c r="P1236" s="41">
        <v>3.9</v>
      </c>
      <c r="Q1236" s="41">
        <v>144</v>
      </c>
      <c r="R1236" s="42">
        <f t="shared" si="310"/>
        <v>36.9230769230769</v>
      </c>
      <c r="S1236" s="37">
        <v>4</v>
      </c>
      <c r="T1236" s="37" t="s">
        <v>712</v>
      </c>
      <c r="U1236" s="43" t="str">
        <f t="shared" si="311"/>
        <v>26-apr-2024</v>
      </c>
      <c r="V1236" s="43">
        <f t="shared" si="312"/>
        <v>45408</v>
      </c>
      <c r="W1236" s="44">
        <f t="array" ref="W1236">_xlfn.IFS(TRIM(C1236)="","",TRIM(V1236)="","",TRUE,V1236-C1236)</f>
        <v>5</v>
      </c>
      <c r="X1236" s="37">
        <f t="shared" si="313"/>
        <v>1</v>
      </c>
      <c r="Y1236" s="37" t="s">
        <v>200</v>
      </c>
      <c r="Z1236" s="37" t="str">
        <f t="shared" si="314"/>
        <v>delayed</v>
      </c>
      <c r="AA1236" s="37" t="str">
        <f t="shared" si="315"/>
        <v>Late</v>
      </c>
      <c r="AB1236" s="37" t="str">
        <f t="shared" si="318"/>
        <v>1</v>
      </c>
      <c r="AC1236" s="37">
        <f t="shared" si="319"/>
        <v>1</v>
      </c>
      <c r="AD1236" s="45">
        <f t="shared" si="317"/>
        <v>0.55524861878453</v>
      </c>
      <c r="AE1236" s="37">
        <v>4</v>
      </c>
      <c r="AF1236" s="37" t="s">
        <v>79</v>
      </c>
      <c r="AG1236" s="37" t="str">
        <f t="shared" si="316"/>
        <v>yes</v>
      </c>
      <c r="AH1236" s="37" t="str">
        <f t="array" ref="AH1236">_xlfn.IFS(LOWER(AG1236)="n","no",LOWER(AG1236)="y","yes",TRUE,LOWER(AG1236))</f>
        <v>yes</v>
      </c>
      <c r="AI1236" s="37" t="s">
        <v>4692</v>
      </c>
    </row>
    <row r="1237" spans="1:35">
      <c r="A1237" s="46" t="s">
        <v>3901</v>
      </c>
      <c r="B1237" s="47" t="s">
        <v>4816</v>
      </c>
      <c r="C1237" s="39">
        <f t="shared" si="304"/>
        <v>45369</v>
      </c>
      <c r="D1237" s="48" t="s">
        <v>424</v>
      </c>
      <c r="E1237" s="37" t="str" cm="1">
        <f t="array" ref="E1237">_xlfn.IFS(D1237="delhi","north",D1237="mumbai","west",D1237="bengaluru","south",D1237="chennai","south",D1237="kolkata","east",TRUE,"west")</f>
        <v>south</v>
      </c>
      <c r="F1237" s="46" t="s">
        <v>156</v>
      </c>
      <c r="G1237" s="37" t="str">
        <f t="shared" si="305"/>
        <v>xpressbees</v>
      </c>
      <c r="H1237" s="46" t="s">
        <v>147</v>
      </c>
      <c r="I1237" s="37" t="str">
        <f t="shared" si="306"/>
        <v>road</v>
      </c>
      <c r="J1237" s="46" t="s">
        <v>425</v>
      </c>
      <c r="K1237" s="37" t="str">
        <f t="shared" si="307"/>
        <v>automotiveparts</v>
      </c>
      <c r="L1237" s="46" t="s">
        <v>334</v>
      </c>
      <c r="M1237" s="37" t="str">
        <f t="shared" si="308"/>
        <v>north</v>
      </c>
      <c r="N1237" s="46" t="s">
        <v>32</v>
      </c>
      <c r="O1237" s="41" t="str">
        <f t="shared" si="309"/>
        <v>Yes</v>
      </c>
      <c r="P1237" s="49">
        <v>27.3</v>
      </c>
      <c r="Q1237" s="49">
        <v>529</v>
      </c>
      <c r="R1237" s="42">
        <f t="shared" si="310"/>
        <v>19.3772893772894</v>
      </c>
      <c r="S1237" s="46">
        <v>8</v>
      </c>
      <c r="T1237" s="46" t="s">
        <v>1169</v>
      </c>
      <c r="U1237" s="43" t="str">
        <f t="shared" si="311"/>
        <v>27-mar-2024</v>
      </c>
      <c r="V1237" s="43">
        <f t="shared" si="312"/>
        <v>45378</v>
      </c>
      <c r="W1237" s="44">
        <f t="array" ref="W1237">_xlfn.IFS(TRIM(C1237)="","",TRIM(V1237)="","",TRUE,V1237-C1237)</f>
        <v>9</v>
      </c>
      <c r="X1237" s="37">
        <f t="shared" si="313"/>
        <v>1</v>
      </c>
      <c r="Y1237" s="46" t="s">
        <v>143</v>
      </c>
      <c r="Z1237" s="37" t="str">
        <f t="shared" si="314"/>
        <v>delayed</v>
      </c>
      <c r="AA1237" s="37" t="str">
        <f t="shared" si="315"/>
        <v>Late</v>
      </c>
      <c r="AB1237" s="37" t="str">
        <f t="shared" si="318"/>
        <v>1</v>
      </c>
      <c r="AC1237" s="37">
        <f t="shared" si="319"/>
        <v>1</v>
      </c>
      <c r="AD1237" s="45">
        <f t="shared" si="317"/>
        <v>0.554016620498615</v>
      </c>
      <c r="AE1237" s="46">
        <v>3</v>
      </c>
      <c r="AF1237" s="46" t="s">
        <v>131</v>
      </c>
      <c r="AG1237" s="37" t="str">
        <f t="shared" si="316"/>
        <v>n</v>
      </c>
      <c r="AH1237" s="37" t="str">
        <f t="array" ref="AH1237">_xlfn.IFS(LOWER(AG1237)="n","no",LOWER(AG1237)="y","yes",TRUE,LOWER(AG1237))</f>
        <v>no</v>
      </c>
      <c r="AI1237" s="46" t="s">
        <v>4692</v>
      </c>
    </row>
    <row r="1238" spans="1:35">
      <c r="A1238" s="37" t="s">
        <v>3904</v>
      </c>
      <c r="B1238" s="38">
        <v>45394</v>
      </c>
      <c r="C1238" s="39">
        <f t="shared" si="304"/>
        <v>45394</v>
      </c>
      <c r="D1238" s="40" t="s">
        <v>4712</v>
      </c>
      <c r="E1238" s="37" t="str" cm="1">
        <f t="array" ref="E1238">_xlfn.IFS(D1238="delhi","north",D1238="mumbai","west",D1238="bengaluru","south",D1238="chennai","south",D1238="kolkata","east",TRUE,"west")</f>
        <v>west</v>
      </c>
      <c r="F1238" s="37" t="s">
        <v>146</v>
      </c>
      <c r="G1238" s="37" t="str">
        <f t="shared" si="305"/>
        <v>ecomexpress</v>
      </c>
      <c r="H1238" s="37" t="s">
        <v>157</v>
      </c>
      <c r="I1238" s="37" t="str">
        <f t="shared" si="306"/>
        <v>surface</v>
      </c>
      <c r="J1238" s="37" t="s">
        <v>301</v>
      </c>
      <c r="K1238" s="37" t="str">
        <f t="shared" si="307"/>
        <v>furniture</v>
      </c>
      <c r="L1238" s="37" t="s">
        <v>139</v>
      </c>
      <c r="M1238" s="37" t="str">
        <f t="shared" si="308"/>
        <v>north</v>
      </c>
      <c r="N1238" s="37" t="s">
        <v>354</v>
      </c>
      <c r="O1238" s="41" t="str">
        <f t="shared" si="309"/>
        <v>Yes</v>
      </c>
      <c r="P1238" s="41">
        <v>42.1</v>
      </c>
      <c r="Q1238" s="50">
        <v>1126</v>
      </c>
      <c r="R1238" s="42">
        <f t="shared" si="310"/>
        <v>26.7458432304038</v>
      </c>
      <c r="S1238" s="37">
        <v>6</v>
      </c>
      <c r="T1238" s="37" t="s">
        <v>2933</v>
      </c>
      <c r="U1238" s="43" t="str">
        <f t="shared" si="311"/>
        <v>24/04/2024</v>
      </c>
      <c r="V1238" s="43">
        <f t="shared" si="312"/>
        <v>45406</v>
      </c>
      <c r="W1238" s="44">
        <f t="array" ref="W1238">_xlfn.IFS(TRIM(C1238)="","",TRIM(V1238)="","",TRUE,V1238-C1238)</f>
        <v>12</v>
      </c>
      <c r="X1238" s="37">
        <f t="shared" si="313"/>
        <v>6</v>
      </c>
      <c r="Y1238" s="37" t="s">
        <v>72</v>
      </c>
      <c r="Z1238" s="37" t="str">
        <f t="shared" si="314"/>
        <v>delayed</v>
      </c>
      <c r="AA1238" s="37" t="str">
        <f t="shared" si="315"/>
        <v>Late</v>
      </c>
      <c r="AB1238" s="37" t="str">
        <f t="shared" si="318"/>
        <v>1</v>
      </c>
      <c r="AC1238" s="37">
        <f t="shared" si="319"/>
        <v>1</v>
      </c>
      <c r="AD1238" s="45">
        <f t="shared" si="317"/>
        <v>0.552777777777778</v>
      </c>
      <c r="AE1238" s="37">
        <v>2</v>
      </c>
      <c r="AF1238" s="37" t="s">
        <v>181</v>
      </c>
      <c r="AG1238" s="37" t="str">
        <f t="shared" si="316"/>
        <v>y</v>
      </c>
      <c r="AH1238" s="37" t="str">
        <f t="array" ref="AH1238">_xlfn.IFS(LOWER(AG1238)="n","no",LOWER(AG1238)="y","yes",TRUE,LOWER(AG1238))</f>
        <v>yes</v>
      </c>
      <c r="AI1238" s="37" t="s">
        <v>4692</v>
      </c>
    </row>
    <row r="1239" spans="1:35">
      <c r="A1239" s="46" t="s">
        <v>3907</v>
      </c>
      <c r="B1239" s="47">
        <v>45358</v>
      </c>
      <c r="C1239" s="39">
        <f t="shared" si="304"/>
        <v>45358</v>
      </c>
      <c r="D1239" s="48" t="s">
        <v>212</v>
      </c>
      <c r="E1239" s="37" t="str" cm="1">
        <f t="array" ref="E1239">_xlfn.IFS(D1239="delhi","north",D1239="mumbai","west",D1239="bengaluru","south",D1239="chennai","south",D1239="kolkata","east",TRUE,"west")</f>
        <v>west</v>
      </c>
      <c r="F1239" s="46" t="s">
        <v>544</v>
      </c>
      <c r="G1239" s="37" t="str">
        <f t="shared" si="305"/>
        <v>bluedart</v>
      </c>
      <c r="H1239" s="46" t="s">
        <v>345</v>
      </c>
      <c r="I1239" s="37" t="str">
        <f t="shared" si="306"/>
        <v>surface</v>
      </c>
      <c r="J1239" s="46" t="s">
        <v>263</v>
      </c>
      <c r="K1239" s="37" t="str">
        <f t="shared" si="307"/>
        <v>apparel</v>
      </c>
      <c r="L1239" s="46" t="s">
        <v>101</v>
      </c>
      <c r="M1239" s="37" t="str">
        <f t="shared" si="308"/>
        <v>west</v>
      </c>
      <c r="N1239" s="46" t="s">
        <v>88</v>
      </c>
      <c r="O1239" s="41" t="str">
        <f t="shared" si="309"/>
        <v>Yes</v>
      </c>
      <c r="P1239" s="49">
        <v>7.7</v>
      </c>
      <c r="Q1239" s="49" t="s">
        <v>3731</v>
      </c>
      <c r="R1239" s="42">
        <f t="shared" si="310"/>
        <v>19.7402597402597</v>
      </c>
      <c r="S1239" s="46">
        <v>4</v>
      </c>
      <c r="T1239" s="46" t="s">
        <v>1377</v>
      </c>
      <c r="U1239" s="43" t="str">
        <f t="shared" si="311"/>
        <v>12/03/2024</v>
      </c>
      <c r="V1239" s="43">
        <f t="shared" si="312"/>
        <v>45363</v>
      </c>
      <c r="W1239" s="44">
        <f t="array" ref="W1239">_xlfn.IFS(TRIM(C1239)="","",TRIM(V1239)="","",TRUE,V1239-C1239)</f>
        <v>5</v>
      </c>
      <c r="X1239" s="37">
        <f t="shared" si="313"/>
        <v>1</v>
      </c>
      <c r="Y1239" s="46" t="s">
        <v>200</v>
      </c>
      <c r="Z1239" s="37" t="str">
        <f t="shared" si="314"/>
        <v>delayed</v>
      </c>
      <c r="AA1239" s="37" t="str">
        <f t="shared" si="315"/>
        <v>Late</v>
      </c>
      <c r="AB1239" s="37" t="str">
        <f t="shared" si="318"/>
        <v>1</v>
      </c>
      <c r="AC1239" s="37">
        <f t="shared" si="319"/>
        <v>1</v>
      </c>
      <c r="AD1239" s="45">
        <f t="shared" si="317"/>
        <v>0.551532033426184</v>
      </c>
      <c r="AE1239" s="46">
        <v>1</v>
      </c>
      <c r="AF1239" s="46" t="s">
        <v>118</v>
      </c>
      <c r="AG1239" s="37" t="str">
        <f t="shared" si="316"/>
        <v>no</v>
      </c>
      <c r="AH1239" s="37" t="str">
        <f t="array" ref="AH1239">_xlfn.IFS(LOWER(AG1239)="n","no",LOWER(AG1239)="y","yes",TRUE,LOWER(AG1239))</f>
        <v>no</v>
      </c>
      <c r="AI1239" s="46" t="s">
        <v>4692</v>
      </c>
    </row>
    <row r="1240" spans="1:35">
      <c r="A1240" s="37" t="s">
        <v>3908</v>
      </c>
      <c r="B1240" s="38">
        <v>45308</v>
      </c>
      <c r="C1240" s="39">
        <f t="shared" si="304"/>
        <v>45308</v>
      </c>
      <c r="D1240" s="40" t="s">
        <v>4694</v>
      </c>
      <c r="E1240" s="37" t="str" cm="1">
        <f t="array" ref="E1240">_xlfn.IFS(D1240="delhi","north",D1240="mumbai","west",D1240="bengaluru","south",D1240="chennai","south",D1240="kolkata","east",TRUE,"west")</f>
        <v>west</v>
      </c>
      <c r="F1240" s="37"/>
      <c r="G1240" s="37" t="str">
        <f t="shared" si="305"/>
        <v/>
      </c>
      <c r="H1240" s="37" t="s">
        <v>224</v>
      </c>
      <c r="I1240" s="37" t="str">
        <f t="shared" si="306"/>
        <v>air</v>
      </c>
      <c r="J1240" s="37" t="s">
        <v>148</v>
      </c>
      <c r="K1240" s="37" t="str">
        <f t="shared" si="307"/>
        <v>electronics</v>
      </c>
      <c r="L1240" s="37" t="s">
        <v>334</v>
      </c>
      <c r="M1240" s="37" t="str">
        <f t="shared" si="308"/>
        <v>north</v>
      </c>
      <c r="N1240" s="37" t="s">
        <v>32</v>
      </c>
      <c r="O1240" s="41" t="str">
        <f t="shared" si="309"/>
        <v>Yes</v>
      </c>
      <c r="P1240" s="41">
        <v>7</v>
      </c>
      <c r="Q1240" s="41">
        <v>496</v>
      </c>
      <c r="R1240" s="42">
        <f t="shared" si="310"/>
        <v>70.8571428571429</v>
      </c>
      <c r="S1240" s="37">
        <v>4</v>
      </c>
      <c r="T1240" s="37" t="s">
        <v>2055</v>
      </c>
      <c r="U1240" s="43" t="str">
        <f t="shared" si="311"/>
        <v>21/01/2024</v>
      </c>
      <c r="V1240" s="43">
        <f t="shared" si="312"/>
        <v>45312</v>
      </c>
      <c r="W1240" s="44">
        <f t="array" ref="W1240">_xlfn.IFS(TRIM(C1240)="","",TRIM(V1240)="","",TRUE,V1240-C1240)</f>
        <v>4</v>
      </c>
      <c r="X1240" s="37">
        <f t="shared" si="313"/>
        <v>0</v>
      </c>
      <c r="Y1240" s="37" t="s">
        <v>2041</v>
      </c>
      <c r="Z1240" s="37" t="str">
        <f t="shared" si="314"/>
        <v>returned</v>
      </c>
      <c r="AA1240" s="37" t="str">
        <f t="shared" si="315"/>
        <v>On Time</v>
      </c>
      <c r="AB1240" s="37" t="str">
        <f t="shared" si="318"/>
        <v>0</v>
      </c>
      <c r="AC1240" s="37">
        <f t="shared" si="319"/>
        <v>0</v>
      </c>
      <c r="AD1240" s="45">
        <f t="shared" si="317"/>
        <v>0.550279329608939</v>
      </c>
      <c r="AE1240" s="37"/>
      <c r="AF1240" s="37" t="s">
        <v>181</v>
      </c>
      <c r="AG1240" s="37" t="str">
        <f t="shared" si="316"/>
        <v>y</v>
      </c>
      <c r="AH1240" s="37" t="str">
        <f t="array" ref="AH1240">_xlfn.IFS(LOWER(AG1240)="n","no",LOWER(AG1240)="y","yes",TRUE,LOWER(AG1240))</f>
        <v>yes</v>
      </c>
      <c r="AI1240" s="37" t="s">
        <v>625</v>
      </c>
    </row>
    <row r="1241" spans="1:35">
      <c r="A1241" s="46" t="s">
        <v>3910</v>
      </c>
      <c r="B1241" s="47">
        <v>45329</v>
      </c>
      <c r="C1241" s="39">
        <f t="shared" si="304"/>
        <v>45329</v>
      </c>
      <c r="D1241" s="48" t="s">
        <v>340</v>
      </c>
      <c r="E1241" s="37" t="str" cm="1">
        <f t="array" ref="E1241">_xlfn.IFS(D1241="delhi","north",D1241="mumbai","west",D1241="bengaluru","south",D1241="chennai","south",D1241="kolkata","east",TRUE,"west")</f>
        <v>north</v>
      </c>
      <c r="F1241" s="46" t="s">
        <v>98</v>
      </c>
      <c r="G1241" s="37" t="str">
        <f t="shared" si="305"/>
        <v>dtdc</v>
      </c>
      <c r="H1241" s="46" t="s">
        <v>325</v>
      </c>
      <c r="I1241" s="37" t="str">
        <f t="shared" si="306"/>
        <v>air</v>
      </c>
      <c r="J1241" s="46" t="s">
        <v>368</v>
      </c>
      <c r="K1241" s="37" t="str">
        <f t="shared" si="307"/>
        <v>furniture</v>
      </c>
      <c r="L1241" s="46" t="s">
        <v>380</v>
      </c>
      <c r="M1241" s="37" t="str">
        <f t="shared" si="308"/>
        <v>east</v>
      </c>
      <c r="N1241" s="46" t="s">
        <v>91</v>
      </c>
      <c r="O1241" s="41" t="str">
        <f t="shared" si="309"/>
        <v>Yes</v>
      </c>
      <c r="P1241" s="49">
        <v>23.9</v>
      </c>
      <c r="Q1241" s="49">
        <v>1250</v>
      </c>
      <c r="R1241" s="42">
        <f t="shared" si="310"/>
        <v>52.3012552301255</v>
      </c>
      <c r="S1241" s="46">
        <v>4</v>
      </c>
      <c r="T1241" s="46" t="s">
        <v>722</v>
      </c>
      <c r="U1241" s="43" t="str">
        <f t="shared" si="311"/>
        <v>12/02/2024</v>
      </c>
      <c r="V1241" s="43">
        <f t="shared" si="312"/>
        <v>45334</v>
      </c>
      <c r="W1241" s="44">
        <f t="array" ref="W1241">_xlfn.IFS(TRIM(C1241)="","",TRIM(V1241)="","",TRUE,V1241-C1241)</f>
        <v>5</v>
      </c>
      <c r="X1241" s="37">
        <f t="shared" si="313"/>
        <v>1</v>
      </c>
      <c r="Y1241" s="46" t="s">
        <v>200</v>
      </c>
      <c r="Z1241" s="37" t="str">
        <f t="shared" si="314"/>
        <v>delayed</v>
      </c>
      <c r="AA1241" s="37" t="str">
        <f t="shared" si="315"/>
        <v>Late</v>
      </c>
      <c r="AB1241" s="37" t="str">
        <f t="shared" si="318"/>
        <v>1</v>
      </c>
      <c r="AC1241" s="37">
        <f t="shared" si="319"/>
        <v>1</v>
      </c>
      <c r="AD1241" s="45">
        <f t="shared" si="317"/>
        <v>0.551820728291317</v>
      </c>
      <c r="AE1241" s="46">
        <v>2</v>
      </c>
      <c r="AF1241" s="46" t="s">
        <v>181</v>
      </c>
      <c r="AG1241" s="37" t="str">
        <f t="shared" si="316"/>
        <v>y</v>
      </c>
      <c r="AH1241" s="37" t="str">
        <f t="array" ref="AH1241">_xlfn.IFS(LOWER(AG1241)="n","no",LOWER(AG1241)="y","yes",TRUE,LOWER(AG1241))</f>
        <v>yes</v>
      </c>
      <c r="AI1241" s="46" t="s">
        <v>4692</v>
      </c>
    </row>
    <row r="1242" spans="1:35">
      <c r="A1242" s="37" t="s">
        <v>3913</v>
      </c>
      <c r="B1242" s="38">
        <v>45333</v>
      </c>
      <c r="C1242" s="39">
        <f t="shared" si="304"/>
        <v>45333</v>
      </c>
      <c r="D1242" s="40" t="s">
        <v>212</v>
      </c>
      <c r="E1242" s="37" t="str" cm="1">
        <f t="array" ref="E1242">_xlfn.IFS(D1242="delhi","north",D1242="mumbai","west",D1242="bengaluru","south",D1242="chennai","south",D1242="kolkata","east",TRUE,"west")</f>
        <v>west</v>
      </c>
      <c r="F1242" s="37" t="s">
        <v>213</v>
      </c>
      <c r="G1242" s="37" t="str">
        <f t="shared" si="305"/>
        <v>dtdc</v>
      </c>
      <c r="H1242" s="37" t="s">
        <v>157</v>
      </c>
      <c r="I1242" s="37" t="str">
        <f t="shared" si="306"/>
        <v>surface</v>
      </c>
      <c r="J1242" s="37" t="s">
        <v>111</v>
      </c>
      <c r="K1242" s="37" t="str">
        <f t="shared" si="307"/>
        <v>grocery&amp;fmcg</v>
      </c>
      <c r="L1242" s="37" t="s">
        <v>380</v>
      </c>
      <c r="M1242" s="37" t="str">
        <f t="shared" si="308"/>
        <v>east</v>
      </c>
      <c r="N1242" s="37" t="s">
        <v>126</v>
      </c>
      <c r="O1242" s="41" t="str">
        <f t="shared" si="309"/>
        <v>Yes</v>
      </c>
      <c r="P1242" s="41">
        <v>9.2</v>
      </c>
      <c r="Q1242" s="41">
        <v>398</v>
      </c>
      <c r="R1242" s="42">
        <f t="shared" si="310"/>
        <v>43.2608695652174</v>
      </c>
      <c r="S1242" s="37">
        <v>6</v>
      </c>
      <c r="T1242" s="37" t="s">
        <v>497</v>
      </c>
      <c r="U1242" s="43" t="str">
        <f t="shared" si="311"/>
        <v>26/02/2024</v>
      </c>
      <c r="V1242" s="43">
        <f t="shared" si="312"/>
        <v>45348</v>
      </c>
      <c r="W1242" s="44">
        <f t="array" ref="W1242">_xlfn.IFS(TRIM(C1242)="","",TRIM(V1242)="","",TRUE,V1242-C1242)</f>
        <v>15</v>
      </c>
      <c r="X1242" s="37">
        <f t="shared" si="313"/>
        <v>9</v>
      </c>
      <c r="Y1242" s="37" t="s">
        <v>172</v>
      </c>
      <c r="Z1242" s="37" t="str">
        <f t="shared" si="314"/>
        <v>delayed</v>
      </c>
      <c r="AA1242" s="37" t="str">
        <f t="shared" si="315"/>
        <v>Late</v>
      </c>
      <c r="AB1242" s="37" t="str">
        <f t="shared" si="318"/>
        <v>1</v>
      </c>
      <c r="AC1242" s="37">
        <f t="shared" si="319"/>
        <v>1</v>
      </c>
      <c r="AD1242" s="45">
        <f t="shared" si="317"/>
        <v>0.550561797752809</v>
      </c>
      <c r="AE1242" s="37">
        <v>2</v>
      </c>
      <c r="AF1242" s="37" t="s">
        <v>118</v>
      </c>
      <c r="AG1242" s="37" t="str">
        <f t="shared" si="316"/>
        <v>no</v>
      </c>
      <c r="AH1242" s="37" t="str">
        <f t="array" ref="AH1242">_xlfn.IFS(LOWER(AG1242)="n","no",LOWER(AG1242)="y","yes",TRUE,LOWER(AG1242))</f>
        <v>no</v>
      </c>
      <c r="AI1242" s="37" t="s">
        <v>4692</v>
      </c>
    </row>
    <row r="1243" spans="1:35">
      <c r="A1243" s="46" t="s">
        <v>3916</v>
      </c>
      <c r="B1243" s="47">
        <v>45347</v>
      </c>
      <c r="C1243" s="39">
        <f t="shared" si="304"/>
        <v>45347</v>
      </c>
      <c r="D1243" s="48" t="s">
        <v>212</v>
      </c>
      <c r="E1243" s="37" t="str" cm="1">
        <f t="array" ref="E1243">_xlfn.IFS(D1243="delhi","north",D1243="mumbai","west",D1243="bengaluru","south",D1243="chennai","south",D1243="kolkata","east",TRUE,"west")</f>
        <v>west</v>
      </c>
      <c r="F1243" s="46" t="s">
        <v>270</v>
      </c>
      <c r="G1243" s="37" t="str">
        <f t="shared" si="305"/>
        <v>ecomexpress</v>
      </c>
      <c r="H1243" s="46" t="s">
        <v>440</v>
      </c>
      <c r="I1243" s="37" t="str">
        <f t="shared" si="306"/>
        <v>road</v>
      </c>
      <c r="J1243" s="46" t="s">
        <v>148</v>
      </c>
      <c r="K1243" s="37" t="str">
        <f t="shared" si="307"/>
        <v>electronics</v>
      </c>
      <c r="L1243" s="46" t="s">
        <v>346</v>
      </c>
      <c r="M1243" s="37" t="str">
        <f t="shared" si="308"/>
        <v>north</v>
      </c>
      <c r="N1243" s="46" t="s">
        <v>113</v>
      </c>
      <c r="O1243" s="41" t="str">
        <f t="shared" si="309"/>
        <v>Yes</v>
      </c>
      <c r="P1243" s="49">
        <v>11.9</v>
      </c>
      <c r="Q1243" s="49">
        <v>296</v>
      </c>
      <c r="R1243" s="42">
        <f t="shared" si="310"/>
        <v>24.8739495798319</v>
      </c>
      <c r="S1243" s="46">
        <v>8</v>
      </c>
      <c r="T1243" s="46" t="s">
        <v>902</v>
      </c>
      <c r="U1243" s="43" t="str">
        <f t="shared" si="311"/>
        <v>2024-03-04</v>
      </c>
      <c r="V1243" s="43">
        <f t="shared" si="312"/>
        <v>45355</v>
      </c>
      <c r="W1243" s="44">
        <f t="array" ref="W1243">_xlfn.IFS(TRIM(C1243)="","",TRIM(V1243)="","",TRUE,V1243-C1243)</f>
        <v>8</v>
      </c>
      <c r="X1243" s="37">
        <f t="shared" si="313"/>
        <v>0</v>
      </c>
      <c r="Y1243" s="46" t="s">
        <v>105</v>
      </c>
      <c r="Z1243" s="37" t="str">
        <f t="shared" si="314"/>
        <v>delivered</v>
      </c>
      <c r="AA1243" s="37" t="str">
        <f t="shared" si="315"/>
        <v>On Time</v>
      </c>
      <c r="AB1243" s="37" t="str">
        <f t="shared" si="318"/>
        <v>0</v>
      </c>
      <c r="AC1243" s="37">
        <f t="shared" si="319"/>
        <v>0</v>
      </c>
      <c r="AD1243" s="45">
        <f t="shared" si="317"/>
        <v>0.549295774647887</v>
      </c>
      <c r="AE1243" s="46">
        <v>4</v>
      </c>
      <c r="AF1243" s="46" t="s">
        <v>191</v>
      </c>
      <c r="AG1243" s="37" t="str">
        <f t="shared" si="316"/>
        <v>no</v>
      </c>
      <c r="AH1243" s="37" t="str">
        <f t="array" ref="AH1243">_xlfn.IFS(LOWER(AG1243)="n","no",LOWER(AG1243)="y","yes",TRUE,LOWER(AG1243))</f>
        <v>no</v>
      </c>
      <c r="AI1243" s="46" t="s">
        <v>4692</v>
      </c>
    </row>
    <row r="1244" spans="1:35">
      <c r="A1244" s="37" t="s">
        <v>3918</v>
      </c>
      <c r="B1244" s="38" t="s">
        <v>4702</v>
      </c>
      <c r="C1244" s="39">
        <f t="shared" si="304"/>
        <v>45393</v>
      </c>
      <c r="D1244" s="40" t="s">
        <v>4704</v>
      </c>
      <c r="E1244" s="37" t="str" cm="1">
        <f t="array" ref="E1244">_xlfn.IFS(D1244="delhi","north",D1244="mumbai","west",D1244="bengaluru","south",D1244="chennai","south",D1244="kolkata","east",TRUE,"west")</f>
        <v>west</v>
      </c>
      <c r="F1244" s="37" t="s">
        <v>270</v>
      </c>
      <c r="G1244" s="37" t="str">
        <f t="shared" si="305"/>
        <v>ecomexpress</v>
      </c>
      <c r="H1244" s="37" t="s">
        <v>147</v>
      </c>
      <c r="I1244" s="37" t="str">
        <f t="shared" si="306"/>
        <v>road</v>
      </c>
      <c r="J1244" s="37" t="s">
        <v>167</v>
      </c>
      <c r="K1244" s="37" t="str">
        <f t="shared" si="307"/>
        <v>pharma</v>
      </c>
      <c r="L1244" s="37" t="s">
        <v>101</v>
      </c>
      <c r="M1244" s="37" t="str">
        <f t="shared" si="308"/>
        <v>west</v>
      </c>
      <c r="N1244" s="37" t="s">
        <v>187</v>
      </c>
      <c r="O1244" s="41" t="str">
        <f t="shared" si="309"/>
        <v>Yes</v>
      </c>
      <c r="P1244" s="41" t="s">
        <v>3172</v>
      </c>
      <c r="Q1244" s="41">
        <v>200</v>
      </c>
      <c r="R1244" s="42">
        <f t="shared" si="310"/>
        <v>80</v>
      </c>
      <c r="S1244" s="37">
        <v>8</v>
      </c>
      <c r="T1244" s="37" t="s">
        <v>1528</v>
      </c>
      <c r="U1244" s="43" t="str">
        <f t="shared" si="311"/>
        <v>20-apr-2024</v>
      </c>
      <c r="V1244" s="43">
        <f t="shared" si="312"/>
        <v>45402</v>
      </c>
      <c r="W1244" s="44">
        <f t="array" ref="W1244">_xlfn.IFS(TRIM(C1244)="","",TRIM(V1244)="","",TRUE,V1244-C1244)</f>
        <v>9</v>
      </c>
      <c r="X1244" s="37">
        <f t="shared" si="313"/>
        <v>1</v>
      </c>
      <c r="Y1244" s="37" t="s">
        <v>172</v>
      </c>
      <c r="Z1244" s="37" t="str">
        <f t="shared" si="314"/>
        <v>delayed</v>
      </c>
      <c r="AA1244" s="37" t="str">
        <f t="shared" si="315"/>
        <v>Late</v>
      </c>
      <c r="AB1244" s="37" t="str">
        <f t="shared" si="318"/>
        <v>1</v>
      </c>
      <c r="AC1244" s="37">
        <f t="shared" si="319"/>
        <v>1</v>
      </c>
      <c r="AD1244" s="45">
        <f t="shared" si="317"/>
        <v>0.550847457627119</v>
      </c>
      <c r="AE1244" s="37">
        <v>3</v>
      </c>
      <c r="AF1244" s="37" t="s">
        <v>131</v>
      </c>
      <c r="AG1244" s="37" t="str">
        <f t="shared" si="316"/>
        <v>n</v>
      </c>
      <c r="AH1244" s="37" t="str">
        <f t="array" ref="AH1244">_xlfn.IFS(LOWER(AG1244)="n","no",LOWER(AG1244)="y","yes",TRUE,LOWER(AG1244))</f>
        <v>no</v>
      </c>
      <c r="AI1244" s="37" t="s">
        <v>4692</v>
      </c>
    </row>
    <row r="1245" spans="1:35">
      <c r="A1245" s="46" t="s">
        <v>3920</v>
      </c>
      <c r="B1245" s="47" t="s">
        <v>4740</v>
      </c>
      <c r="C1245" s="39">
        <f t="shared" si="304"/>
        <v>45448</v>
      </c>
      <c r="D1245" s="48" t="s">
        <v>4699</v>
      </c>
      <c r="E1245" s="37" t="str" cm="1">
        <f t="array" ref="E1245">_xlfn.IFS(D1245="delhi","north",D1245="mumbai","west",D1245="bengaluru","south",D1245="chennai","south",D1245="kolkata","east",TRUE,"west")</f>
        <v>west</v>
      </c>
      <c r="F1245" s="46" t="s">
        <v>352</v>
      </c>
      <c r="G1245" s="37" t="str">
        <f t="shared" si="305"/>
        <v>delhivery</v>
      </c>
      <c r="H1245" s="46" t="s">
        <v>157</v>
      </c>
      <c r="I1245" s="37" t="str">
        <f t="shared" si="306"/>
        <v>surface</v>
      </c>
      <c r="J1245" s="46" t="s">
        <v>313</v>
      </c>
      <c r="K1245" s="37" t="str">
        <f t="shared" si="307"/>
        <v>automotiveparts</v>
      </c>
      <c r="L1245" s="46" t="s">
        <v>101</v>
      </c>
      <c r="M1245" s="37" t="str">
        <f t="shared" si="308"/>
        <v>west</v>
      </c>
      <c r="N1245" s="46" t="s">
        <v>187</v>
      </c>
      <c r="O1245" s="41" t="str">
        <f t="shared" si="309"/>
        <v>Yes</v>
      </c>
      <c r="P1245" s="49" t="s">
        <v>3921</v>
      </c>
      <c r="Q1245" s="49" t="s">
        <v>3922</v>
      </c>
      <c r="R1245" s="42">
        <f t="shared" si="310"/>
        <v>22.8686327077748</v>
      </c>
      <c r="S1245" s="46">
        <v>4</v>
      </c>
      <c r="T1245" s="46" t="s">
        <v>1072</v>
      </c>
      <c r="U1245" s="43" t="str">
        <f t="shared" si="311"/>
        <v>08/06/2024</v>
      </c>
      <c r="V1245" s="43">
        <f t="shared" si="312"/>
        <v>45451</v>
      </c>
      <c r="W1245" s="44">
        <f t="array" ref="W1245">_xlfn.IFS(TRIM(C1245)="","",TRIM(V1245)="","",TRUE,V1245-C1245)</f>
        <v>3</v>
      </c>
      <c r="X1245" s="37">
        <f t="shared" si="313"/>
        <v>-1</v>
      </c>
      <c r="Y1245" s="46" t="s">
        <v>219</v>
      </c>
      <c r="Z1245" s="37" t="str">
        <f t="shared" si="314"/>
        <v>delivered</v>
      </c>
      <c r="AA1245" s="37" t="str">
        <f t="shared" si="315"/>
        <v>On Time</v>
      </c>
      <c r="AB1245" s="37" t="str">
        <f t="shared" si="318"/>
        <v>0</v>
      </c>
      <c r="AC1245" s="37">
        <f t="shared" si="319"/>
        <v>0</v>
      </c>
      <c r="AD1245" s="45">
        <f t="shared" si="317"/>
        <v>0.54957507082153</v>
      </c>
      <c r="AE1245" s="46">
        <v>3</v>
      </c>
      <c r="AF1245" s="46" t="s">
        <v>106</v>
      </c>
      <c r="AG1245" s="37" t="str">
        <f t="shared" si="316"/>
        <v>yes</v>
      </c>
      <c r="AH1245" s="37" t="str">
        <f t="array" ref="AH1245">_xlfn.IFS(LOWER(AG1245)="n","no",LOWER(AG1245)="y","yes",TRUE,LOWER(AG1245))</f>
        <v>yes</v>
      </c>
      <c r="AI1245" s="46" t="s">
        <v>4692</v>
      </c>
    </row>
    <row r="1246" spans="1:35">
      <c r="A1246" s="37" t="s">
        <v>3923</v>
      </c>
      <c r="B1246" s="38">
        <v>45467</v>
      </c>
      <c r="C1246" s="39">
        <f t="shared" si="304"/>
        <v>45467</v>
      </c>
      <c r="D1246" s="40" t="s">
        <v>212</v>
      </c>
      <c r="E1246" s="37" t="str" cm="1">
        <f t="array" ref="E1246">_xlfn.IFS(D1246="delhi","north",D1246="mumbai","west",D1246="bengaluru","south",D1246="chennai","south",D1246="kolkata","east",TRUE,"west")</f>
        <v>west</v>
      </c>
      <c r="F1246" s="37" t="s">
        <v>136</v>
      </c>
      <c r="G1246" s="37" t="str">
        <f t="shared" si="305"/>
        <v>bluedart</v>
      </c>
      <c r="H1246" s="37" t="s">
        <v>325</v>
      </c>
      <c r="I1246" s="37" t="str">
        <f t="shared" si="306"/>
        <v>air</v>
      </c>
      <c r="J1246" s="37" t="s">
        <v>167</v>
      </c>
      <c r="K1246" s="37" t="str">
        <f t="shared" si="307"/>
        <v>pharma</v>
      </c>
      <c r="L1246" s="37" t="s">
        <v>334</v>
      </c>
      <c r="M1246" s="37" t="str">
        <f t="shared" si="308"/>
        <v>north</v>
      </c>
      <c r="N1246" s="37" t="s">
        <v>32</v>
      </c>
      <c r="O1246" s="41" t="str">
        <f t="shared" si="309"/>
        <v>Yes</v>
      </c>
      <c r="P1246" s="41">
        <v>1.2</v>
      </c>
      <c r="Q1246" s="41">
        <v>253</v>
      </c>
      <c r="R1246" s="42">
        <f t="shared" si="310"/>
        <v>210.833333333333</v>
      </c>
      <c r="S1246" s="37">
        <v>4</v>
      </c>
      <c r="T1246" s="37" t="s">
        <v>769</v>
      </c>
      <c r="U1246" s="43" t="str">
        <f t="shared" si="311"/>
        <v>27/06/2024</v>
      </c>
      <c r="V1246" s="43">
        <f t="shared" si="312"/>
        <v>45470</v>
      </c>
      <c r="W1246" s="44">
        <f t="array" ref="W1246">_xlfn.IFS(TRIM(C1246)="","",TRIM(V1246)="","",TRUE,V1246-C1246)</f>
        <v>3</v>
      </c>
      <c r="X1246" s="37">
        <f t="shared" si="313"/>
        <v>-1</v>
      </c>
      <c r="Y1246" s="37" t="s">
        <v>163</v>
      </c>
      <c r="Z1246" s="37" t="str">
        <f t="shared" si="314"/>
        <v>delivered</v>
      </c>
      <c r="AA1246" s="37" t="str">
        <f t="shared" si="315"/>
        <v>On Time</v>
      </c>
      <c r="AB1246" s="37" t="str">
        <f t="shared" si="318"/>
        <v>0</v>
      </c>
      <c r="AC1246" s="37">
        <f t="shared" si="319"/>
        <v>0</v>
      </c>
      <c r="AD1246" s="45">
        <f t="shared" si="317"/>
        <v>0.551136363636364</v>
      </c>
      <c r="AE1246" s="37">
        <v>5</v>
      </c>
      <c r="AF1246" s="37" t="s">
        <v>181</v>
      </c>
      <c r="AG1246" s="37" t="str">
        <f t="shared" si="316"/>
        <v>y</v>
      </c>
      <c r="AH1246" s="37" t="str">
        <f t="array" ref="AH1246">_xlfn.IFS(LOWER(AG1246)="n","no",LOWER(AG1246)="y","yes",TRUE,LOWER(AG1246))</f>
        <v>yes</v>
      </c>
      <c r="AI1246" s="37" t="s">
        <v>4692</v>
      </c>
    </row>
    <row r="1247" spans="1:35">
      <c r="A1247" s="46" t="s">
        <v>3924</v>
      </c>
      <c r="B1247" s="47" t="s">
        <v>4730</v>
      </c>
      <c r="C1247" s="39">
        <f t="shared" si="304"/>
        <v>45314</v>
      </c>
      <c r="D1247" s="48" t="s">
        <v>166</v>
      </c>
      <c r="E1247" s="37" t="str" cm="1">
        <f t="array" ref="E1247">_xlfn.IFS(D1247="delhi","north",D1247="mumbai","west",D1247="bengaluru","south",D1247="chennai","south",D1247="kolkata","east",TRUE,"west")</f>
        <v>west</v>
      </c>
      <c r="F1247" s="46" t="s">
        <v>367</v>
      </c>
      <c r="G1247" s="37" t="str">
        <f t="shared" si="305"/>
        <v>dtdc</v>
      </c>
      <c r="H1247" s="46" t="s">
        <v>325</v>
      </c>
      <c r="I1247" s="37" t="str">
        <f t="shared" si="306"/>
        <v>air</v>
      </c>
      <c r="J1247" s="46" t="s">
        <v>283</v>
      </c>
      <c r="K1247" s="37" t="str">
        <f t="shared" si="307"/>
        <v>pharma</v>
      </c>
      <c r="L1247" s="46" t="s">
        <v>89</v>
      </c>
      <c r="M1247" s="37" t="str">
        <f t="shared" si="308"/>
        <v>west</v>
      </c>
      <c r="N1247" s="46" t="s">
        <v>88</v>
      </c>
      <c r="O1247" s="41" t="str">
        <f t="shared" si="309"/>
        <v>Yes</v>
      </c>
      <c r="P1247" s="49">
        <v>3.6</v>
      </c>
      <c r="Q1247" s="49" t="s">
        <v>3925</v>
      </c>
      <c r="R1247" s="42">
        <f t="shared" si="310"/>
        <v>93.0555555555556</v>
      </c>
      <c r="S1247" s="46">
        <v>4</v>
      </c>
      <c r="T1247" s="46" t="s">
        <v>1960</v>
      </c>
      <c r="U1247" s="43" t="str">
        <f t="shared" si="311"/>
        <v>26-jan-2024</v>
      </c>
      <c r="V1247" s="43">
        <f t="shared" si="312"/>
        <v>45317</v>
      </c>
      <c r="W1247" s="44">
        <f t="array" ref="W1247">_xlfn.IFS(TRIM(C1247)="","",TRIM(V1247)="","",TRUE,V1247-C1247)</f>
        <v>3</v>
      </c>
      <c r="X1247" s="37">
        <f t="shared" si="313"/>
        <v>-1</v>
      </c>
      <c r="Y1247" s="46" t="s">
        <v>163</v>
      </c>
      <c r="Z1247" s="37" t="str">
        <f t="shared" si="314"/>
        <v>delivered</v>
      </c>
      <c r="AA1247" s="37" t="str">
        <f t="shared" si="315"/>
        <v>On Time</v>
      </c>
      <c r="AB1247" s="37" t="str">
        <f t="shared" si="318"/>
        <v>0</v>
      </c>
      <c r="AC1247" s="37">
        <f t="shared" si="319"/>
        <v>0</v>
      </c>
      <c r="AD1247" s="45">
        <f t="shared" si="317"/>
        <v>0.552706552706553</v>
      </c>
      <c r="AE1247" s="46">
        <v>5</v>
      </c>
      <c r="AF1247" s="46" t="s">
        <v>118</v>
      </c>
      <c r="AG1247" s="37" t="str">
        <f t="shared" si="316"/>
        <v>no</v>
      </c>
      <c r="AH1247" s="37" t="str">
        <f t="array" ref="AH1247">_xlfn.IFS(LOWER(AG1247)="n","no",LOWER(AG1247)="y","yes",TRUE,LOWER(AG1247))</f>
        <v>no</v>
      </c>
      <c r="AI1247" s="46" t="s">
        <v>4692</v>
      </c>
    </row>
    <row r="1248" spans="1:35">
      <c r="A1248" s="37" t="s">
        <v>3926</v>
      </c>
      <c r="B1248" s="38">
        <v>45424</v>
      </c>
      <c r="C1248" s="39">
        <f t="shared" si="304"/>
        <v>45424</v>
      </c>
      <c r="D1248" s="40" t="s">
        <v>109</v>
      </c>
      <c r="E1248" s="37" t="str" cm="1">
        <f t="array" ref="E1248">_xlfn.IFS(D1248="delhi","north",D1248="mumbai","west",D1248="bengaluru","south",D1248="chennai","south",D1248="kolkata","east",TRUE,"west")</f>
        <v>west</v>
      </c>
      <c r="F1248" s="37" t="s">
        <v>37</v>
      </c>
      <c r="G1248" s="37" t="str">
        <f t="shared" si="305"/>
        <v>bluedart</v>
      </c>
      <c r="H1248" s="37" t="s">
        <v>176</v>
      </c>
      <c r="I1248" s="37" t="str">
        <f t="shared" si="306"/>
        <v>road</v>
      </c>
      <c r="J1248" s="37" t="s">
        <v>582</v>
      </c>
      <c r="K1248" s="37" t="str">
        <f t="shared" si="307"/>
        <v>grocery&amp;fmcg</v>
      </c>
      <c r="L1248" s="37" t="s">
        <v>51</v>
      </c>
      <c r="M1248" s="37" t="str">
        <f t="shared" si="308"/>
        <v>south</v>
      </c>
      <c r="N1248" s="37" t="s">
        <v>54</v>
      </c>
      <c r="O1248" s="41" t="str">
        <f t="shared" si="309"/>
        <v>Yes</v>
      </c>
      <c r="P1248" s="41">
        <v>14</v>
      </c>
      <c r="Q1248" s="41" t="s">
        <v>3927</v>
      </c>
      <c r="R1248" s="42">
        <f t="shared" si="310"/>
        <v>23.2142857142857</v>
      </c>
      <c r="S1248" s="37">
        <v>8</v>
      </c>
      <c r="T1248" s="37" t="s">
        <v>379</v>
      </c>
      <c r="U1248" s="43" t="str">
        <f t="shared" si="311"/>
        <v>21/05/2024</v>
      </c>
      <c r="V1248" s="43">
        <f t="shared" si="312"/>
        <v>45433</v>
      </c>
      <c r="W1248" s="44">
        <f t="array" ref="W1248">_xlfn.IFS(TRIM(C1248)="","",TRIM(V1248)="","",TRUE,V1248-C1248)</f>
        <v>9</v>
      </c>
      <c r="X1248" s="37">
        <f t="shared" si="313"/>
        <v>1</v>
      </c>
      <c r="Y1248" s="37" t="s">
        <v>200</v>
      </c>
      <c r="Z1248" s="37" t="str">
        <f t="shared" si="314"/>
        <v>delayed</v>
      </c>
      <c r="AA1248" s="37" t="str">
        <f t="shared" si="315"/>
        <v>Late</v>
      </c>
      <c r="AB1248" s="37" t="str">
        <f t="shared" si="318"/>
        <v>1</v>
      </c>
      <c r="AC1248" s="37">
        <f t="shared" si="319"/>
        <v>1</v>
      </c>
      <c r="AD1248" s="45">
        <f t="shared" si="317"/>
        <v>0.554285714285714</v>
      </c>
      <c r="AE1248" s="37">
        <v>4</v>
      </c>
      <c r="AF1248" s="37" t="s">
        <v>79</v>
      </c>
      <c r="AG1248" s="37" t="str">
        <f t="shared" si="316"/>
        <v>yes</v>
      </c>
      <c r="AH1248" s="37" t="str">
        <f t="array" ref="AH1248">_xlfn.IFS(LOWER(AG1248)="n","no",LOWER(AG1248)="y","yes",TRUE,LOWER(AG1248))</f>
        <v>yes</v>
      </c>
      <c r="AI1248" s="37" t="s">
        <v>4692</v>
      </c>
    </row>
    <row r="1249" spans="1:35">
      <c r="A1249" s="46" t="s">
        <v>3928</v>
      </c>
      <c r="B1249" s="47" t="s">
        <v>4788</v>
      </c>
      <c r="C1249" s="39">
        <f t="shared" si="304"/>
        <v>45387</v>
      </c>
      <c r="D1249" s="48" t="s">
        <v>166</v>
      </c>
      <c r="E1249" s="37" t="str" cm="1">
        <f t="array" ref="E1249">_xlfn.IFS(D1249="delhi","north",D1249="mumbai","west",D1249="bengaluru","south",D1249="chennai","south",D1249="kolkata","east",TRUE,"west")</f>
        <v>west</v>
      </c>
      <c r="F1249" s="46" t="s">
        <v>37</v>
      </c>
      <c r="G1249" s="37" t="str">
        <f t="shared" si="305"/>
        <v>bluedart</v>
      </c>
      <c r="H1249" s="46" t="s">
        <v>185</v>
      </c>
      <c r="I1249" s="37" t="str">
        <f t="shared" si="306"/>
        <v>surface</v>
      </c>
      <c r="J1249" s="46" t="s">
        <v>158</v>
      </c>
      <c r="K1249" s="37" t="str">
        <f t="shared" si="307"/>
        <v>pharma</v>
      </c>
      <c r="L1249" s="46" t="s">
        <v>89</v>
      </c>
      <c r="M1249" s="37" t="str">
        <f t="shared" si="308"/>
        <v>west</v>
      </c>
      <c r="N1249" s="46" t="s">
        <v>88</v>
      </c>
      <c r="O1249" s="41" t="str">
        <f t="shared" si="309"/>
        <v>Yes</v>
      </c>
      <c r="P1249" s="49" t="s">
        <v>3929</v>
      </c>
      <c r="Q1249" s="49">
        <v>250</v>
      </c>
      <c r="R1249" s="42">
        <f t="shared" si="310"/>
        <v>67.5675675675676</v>
      </c>
      <c r="S1249" s="46">
        <v>6</v>
      </c>
      <c r="T1249" s="46" t="s">
        <v>2379</v>
      </c>
      <c r="U1249" s="43" t="str">
        <f t="shared" si="311"/>
        <v>11-apr-2024</v>
      </c>
      <c r="V1249" s="43">
        <f t="shared" si="312"/>
        <v>45393</v>
      </c>
      <c r="W1249" s="44">
        <f t="array" ref="W1249">_xlfn.IFS(TRIM(C1249)="","",TRIM(V1249)="","",TRUE,V1249-C1249)</f>
        <v>6</v>
      </c>
      <c r="X1249" s="37">
        <f t="shared" si="313"/>
        <v>0</v>
      </c>
      <c r="Y1249" s="46" t="s">
        <v>105</v>
      </c>
      <c r="Z1249" s="37" t="str">
        <f t="shared" si="314"/>
        <v>delivered</v>
      </c>
      <c r="AA1249" s="37" t="str">
        <f t="shared" si="315"/>
        <v>On Time</v>
      </c>
      <c r="AB1249" s="37" t="str">
        <f t="shared" si="318"/>
        <v>0</v>
      </c>
      <c r="AC1249" s="37">
        <f t="shared" si="319"/>
        <v>0</v>
      </c>
      <c r="AD1249" s="45">
        <f t="shared" si="317"/>
        <v>0.553008595988539</v>
      </c>
      <c r="AE1249" s="46">
        <v>3</v>
      </c>
      <c r="AF1249" s="46" t="s">
        <v>181</v>
      </c>
      <c r="AG1249" s="37" t="str">
        <f t="shared" si="316"/>
        <v>y</v>
      </c>
      <c r="AH1249" s="37" t="str">
        <f t="array" ref="AH1249">_xlfn.IFS(LOWER(AG1249)="n","no",LOWER(AG1249)="y","yes",TRUE,LOWER(AG1249))</f>
        <v>yes</v>
      </c>
      <c r="AI1249" s="46" t="s">
        <v>4692</v>
      </c>
    </row>
    <row r="1250" spans="1:35">
      <c r="A1250" s="37" t="s">
        <v>3931</v>
      </c>
      <c r="B1250" s="38">
        <v>45337</v>
      </c>
      <c r="C1250" s="39">
        <f t="shared" si="304"/>
        <v>45337</v>
      </c>
      <c r="D1250" s="40" t="s">
        <v>222</v>
      </c>
      <c r="E1250" s="37" t="str" cm="1">
        <f t="array" ref="E1250">_xlfn.IFS(D1250="delhi","north",D1250="mumbai","west",D1250="bengaluru","south",D1250="chennai","south",D1250="kolkata","east",TRUE,"west")</f>
        <v>west</v>
      </c>
      <c r="F1250" s="37" t="s">
        <v>352</v>
      </c>
      <c r="G1250" s="37" t="str">
        <f t="shared" si="305"/>
        <v>delhivery</v>
      </c>
      <c r="H1250" s="37" t="s">
        <v>157</v>
      </c>
      <c r="I1250" s="37" t="str">
        <f t="shared" si="306"/>
        <v>surface</v>
      </c>
      <c r="J1250" s="37" t="s">
        <v>214</v>
      </c>
      <c r="K1250" s="37" t="str">
        <f t="shared" si="307"/>
        <v>grocery&amp;fmcg</v>
      </c>
      <c r="L1250" s="37" t="s">
        <v>87</v>
      </c>
      <c r="M1250" s="37" t="str">
        <f t="shared" si="308"/>
        <v>north</v>
      </c>
      <c r="N1250" s="37" t="s">
        <v>113</v>
      </c>
      <c r="O1250" s="41" t="str">
        <f t="shared" si="309"/>
        <v>Yes</v>
      </c>
      <c r="P1250" s="41">
        <v>17.8</v>
      </c>
      <c r="Q1250" s="41">
        <v>531</v>
      </c>
      <c r="R1250" s="42">
        <f t="shared" si="310"/>
        <v>29.8314606741573</v>
      </c>
      <c r="S1250" s="37">
        <v>6</v>
      </c>
      <c r="T1250" s="37" t="s">
        <v>828</v>
      </c>
      <c r="U1250" s="43" t="str">
        <f t="shared" si="311"/>
        <v>22/02/2024</v>
      </c>
      <c r="V1250" s="43">
        <f t="shared" si="312"/>
        <v>45344</v>
      </c>
      <c r="W1250" s="44">
        <f t="array" ref="W1250">_xlfn.IFS(TRIM(C1250)="","",TRIM(V1250)="","",TRUE,V1250-C1250)</f>
        <v>7</v>
      </c>
      <c r="X1250" s="37">
        <f t="shared" si="313"/>
        <v>1</v>
      </c>
      <c r="Y1250" s="37" t="s">
        <v>200</v>
      </c>
      <c r="Z1250" s="37" t="str">
        <f t="shared" si="314"/>
        <v>delayed</v>
      </c>
      <c r="AA1250" s="37" t="str">
        <f t="shared" si="315"/>
        <v>Late</v>
      </c>
      <c r="AB1250" s="37" t="str">
        <f t="shared" si="318"/>
        <v>1</v>
      </c>
      <c r="AC1250" s="37">
        <f t="shared" si="319"/>
        <v>1</v>
      </c>
      <c r="AD1250" s="45">
        <f t="shared" si="317"/>
        <v>0.554597701149425</v>
      </c>
      <c r="AE1250" s="37">
        <v>3</v>
      </c>
      <c r="AF1250" s="37" t="s">
        <v>152</v>
      </c>
      <c r="AG1250" s="37" t="str">
        <f t="shared" si="316"/>
        <v>no</v>
      </c>
      <c r="AH1250" s="37" t="str">
        <f t="array" ref="AH1250">_xlfn.IFS(LOWER(AG1250)="n","no",LOWER(AG1250)="y","yes",TRUE,LOWER(AG1250))</f>
        <v>no</v>
      </c>
      <c r="AI1250" s="37" t="s">
        <v>4692</v>
      </c>
    </row>
    <row r="1251" spans="1:35">
      <c r="A1251" s="46" t="s">
        <v>3934</v>
      </c>
      <c r="B1251" s="47">
        <v>45399</v>
      </c>
      <c r="C1251" s="39">
        <f t="shared" si="304"/>
        <v>45399</v>
      </c>
      <c r="D1251" s="48" t="s">
        <v>4699</v>
      </c>
      <c r="E1251" s="37" t="str" cm="1">
        <f t="array" ref="E1251">_xlfn.IFS(D1251="delhi","north",D1251="mumbai","west",D1251="bengaluru","south",D1251="chennai","south",D1251="kolkata","east",TRUE,"west")</f>
        <v>west</v>
      </c>
      <c r="F1251" s="46" t="s">
        <v>184</v>
      </c>
      <c r="G1251" s="37" t="str">
        <f t="shared" si="305"/>
        <v>ecomexpress</v>
      </c>
      <c r="H1251" s="46" t="s">
        <v>195</v>
      </c>
      <c r="I1251" s="37" t="str">
        <f t="shared" si="306"/>
        <v>road</v>
      </c>
      <c r="J1251" s="46" t="s">
        <v>664</v>
      </c>
      <c r="K1251" s="37" t="str">
        <f t="shared" si="307"/>
        <v>grocery&amp;fmcg</v>
      </c>
      <c r="L1251" s="46" t="s">
        <v>380</v>
      </c>
      <c r="M1251" s="37" t="str">
        <f t="shared" si="308"/>
        <v>east</v>
      </c>
      <c r="N1251" s="46" t="s">
        <v>126</v>
      </c>
      <c r="O1251" s="41" t="str">
        <f t="shared" si="309"/>
        <v>Yes</v>
      </c>
      <c r="P1251" s="49">
        <v>12.9</v>
      </c>
      <c r="Q1251" s="49">
        <v>386</v>
      </c>
      <c r="R1251" s="42">
        <f t="shared" si="310"/>
        <v>29.922480620155</v>
      </c>
      <c r="S1251" s="46">
        <v>8</v>
      </c>
      <c r="T1251" s="46" t="s">
        <v>151</v>
      </c>
      <c r="U1251" s="43" t="str">
        <f t="shared" si="311"/>
        <v>25/04/2024</v>
      </c>
      <c r="V1251" s="43">
        <f t="shared" si="312"/>
        <v>45407</v>
      </c>
      <c r="W1251" s="44">
        <f t="array" ref="W1251">_xlfn.IFS(TRIM(C1251)="","",TRIM(V1251)="","",TRUE,V1251-C1251)</f>
        <v>8</v>
      </c>
      <c r="X1251" s="37">
        <f t="shared" si="313"/>
        <v>0</v>
      </c>
      <c r="Y1251" s="46" t="s">
        <v>117</v>
      </c>
      <c r="Z1251" s="37" t="str">
        <f t="shared" si="314"/>
        <v>delivered</v>
      </c>
      <c r="AA1251" s="37" t="str">
        <f t="shared" si="315"/>
        <v>On Time</v>
      </c>
      <c r="AB1251" s="37" t="str">
        <f t="shared" si="318"/>
        <v>0</v>
      </c>
      <c r="AC1251" s="37">
        <f t="shared" si="319"/>
        <v>0</v>
      </c>
      <c r="AD1251" s="45">
        <f t="shared" si="317"/>
        <v>0.553314121037464</v>
      </c>
      <c r="AE1251" s="46">
        <v>5</v>
      </c>
      <c r="AF1251" s="46" t="s">
        <v>131</v>
      </c>
      <c r="AG1251" s="37" t="str">
        <f t="shared" si="316"/>
        <v>n</v>
      </c>
      <c r="AH1251" s="37" t="str">
        <f t="array" ref="AH1251">_xlfn.IFS(LOWER(AG1251)="n","no",LOWER(AG1251)="y","yes",TRUE,LOWER(AG1251))</f>
        <v>no</v>
      </c>
      <c r="AI1251" s="46" t="s">
        <v>4692</v>
      </c>
    </row>
    <row r="1252" spans="1:35">
      <c r="A1252" s="37" t="s">
        <v>3936</v>
      </c>
      <c r="B1252" s="38">
        <v>45419</v>
      </c>
      <c r="C1252" s="39">
        <f t="shared" si="304"/>
        <v>45419</v>
      </c>
      <c r="D1252" s="40" t="s">
        <v>366</v>
      </c>
      <c r="E1252" s="37" t="str" cm="1">
        <f t="array" ref="E1252">_xlfn.IFS(D1252="delhi","north",D1252="mumbai","west",D1252="bengaluru","south",D1252="chennai","south",D1252="kolkata","east",TRUE,"west")</f>
        <v>east</v>
      </c>
      <c r="F1252" s="37" t="s">
        <v>352</v>
      </c>
      <c r="G1252" s="37" t="str">
        <f t="shared" si="305"/>
        <v>delhivery</v>
      </c>
      <c r="H1252" s="37" t="s">
        <v>176</v>
      </c>
      <c r="I1252" s="37" t="str">
        <f t="shared" si="306"/>
        <v>road</v>
      </c>
      <c r="J1252" s="37" t="s">
        <v>47</v>
      </c>
      <c r="K1252" s="37" t="str">
        <f t="shared" si="307"/>
        <v>electronics</v>
      </c>
      <c r="L1252" s="37" t="s">
        <v>168</v>
      </c>
      <c r="M1252" s="37" t="str">
        <f t="shared" si="308"/>
        <v>west</v>
      </c>
      <c r="N1252" s="37" t="s">
        <v>278</v>
      </c>
      <c r="O1252" s="41" t="str">
        <f t="shared" si="309"/>
        <v>Yes</v>
      </c>
      <c r="P1252" s="41">
        <v>4.4</v>
      </c>
      <c r="Q1252" s="41">
        <v>248</v>
      </c>
      <c r="R1252" s="42">
        <f t="shared" si="310"/>
        <v>56.3636363636364</v>
      </c>
      <c r="S1252" s="37">
        <v>8</v>
      </c>
      <c r="T1252" s="37" t="s">
        <v>1588</v>
      </c>
      <c r="U1252" s="43" t="str">
        <f t="shared" si="311"/>
        <v>14-may-2024</v>
      </c>
      <c r="V1252" s="43">
        <f t="shared" si="312"/>
        <v>45426</v>
      </c>
      <c r="W1252" s="44">
        <f t="array" ref="W1252">_xlfn.IFS(TRIM(C1252)="","",TRIM(V1252)="","",TRUE,V1252-C1252)</f>
        <v>7</v>
      </c>
      <c r="X1252" s="37">
        <f t="shared" si="313"/>
        <v>-1</v>
      </c>
      <c r="Y1252" s="37" t="s">
        <v>105</v>
      </c>
      <c r="Z1252" s="37" t="str">
        <f t="shared" si="314"/>
        <v>delivered</v>
      </c>
      <c r="AA1252" s="37" t="str">
        <f t="shared" si="315"/>
        <v>On Time</v>
      </c>
      <c r="AB1252" s="37" t="str">
        <f t="shared" si="318"/>
        <v>0</v>
      </c>
      <c r="AC1252" s="37">
        <f t="shared" si="319"/>
        <v>0</v>
      </c>
      <c r="AD1252" s="45">
        <f t="shared" si="317"/>
        <v>0.554913294797688</v>
      </c>
      <c r="AE1252" s="37">
        <v>5</v>
      </c>
      <c r="AF1252" s="37" t="s">
        <v>131</v>
      </c>
      <c r="AG1252" s="37" t="str">
        <f t="shared" si="316"/>
        <v>n</v>
      </c>
      <c r="AH1252" s="37" t="str">
        <f t="array" ref="AH1252">_xlfn.IFS(LOWER(AG1252)="n","no",LOWER(AG1252)="y","yes",TRUE,LOWER(AG1252))</f>
        <v>no</v>
      </c>
      <c r="AI1252" s="37" t="s">
        <v>4692</v>
      </c>
    </row>
    <row r="1253" spans="1:35">
      <c r="A1253" s="46" t="s">
        <v>3937</v>
      </c>
      <c r="B1253" s="47">
        <v>45471</v>
      </c>
      <c r="C1253" s="39">
        <f t="shared" si="304"/>
        <v>45471</v>
      </c>
      <c r="D1253" s="48" t="s">
        <v>633</v>
      </c>
      <c r="E1253" s="37" t="str" cm="1">
        <f t="array" ref="E1253">_xlfn.IFS(D1253="delhi","north",D1253="mumbai","west",D1253="bengaluru","south",D1253="chennai","south",D1253="kolkata","east",TRUE,"west")</f>
        <v>south</v>
      </c>
      <c r="F1253" s="46" t="s">
        <v>146</v>
      </c>
      <c r="G1253" s="37" t="str">
        <f t="shared" si="305"/>
        <v>ecomexpress</v>
      </c>
      <c r="H1253" s="46" t="s">
        <v>224</v>
      </c>
      <c r="I1253" s="37" t="str">
        <f t="shared" si="306"/>
        <v>air</v>
      </c>
      <c r="J1253" s="46" t="s">
        <v>177</v>
      </c>
      <c r="K1253" s="37" t="str">
        <f t="shared" si="307"/>
        <v>pharma</v>
      </c>
      <c r="L1253" s="46" t="s">
        <v>89</v>
      </c>
      <c r="M1253" s="37" t="str">
        <f t="shared" si="308"/>
        <v>west</v>
      </c>
      <c r="N1253" s="46" t="s">
        <v>88</v>
      </c>
      <c r="O1253" s="41" t="str">
        <f t="shared" si="309"/>
        <v>Yes</v>
      </c>
      <c r="P1253" s="49">
        <v>3.8</v>
      </c>
      <c r="Q1253" s="49" t="s">
        <v>3938</v>
      </c>
      <c r="R1253" s="42">
        <f t="shared" si="310"/>
        <v>88.9473684210526</v>
      </c>
      <c r="S1253" s="46">
        <v>4</v>
      </c>
      <c r="T1253" s="46"/>
      <c r="U1253" s="43" t="str">
        <f t="shared" si="311"/>
        <v/>
      </c>
      <c r="V1253" s="43" t="e">
        <f t="shared" si="312"/>
        <v>#VALUE!</v>
      </c>
      <c r="W1253" s="44" t="e">
        <f t="array" ref="W1253">_xlfn.IFS(TRIM(C1253)="","",TRIM(V1253)="","",TRUE,V1253-C1253)</f>
        <v>#VALUE!</v>
      </c>
      <c r="X1253" s="37" t="e">
        <f t="shared" si="313"/>
        <v>#VALUE!</v>
      </c>
      <c r="Y1253" s="46" t="s">
        <v>2073</v>
      </c>
      <c r="Z1253" s="37" t="str">
        <f t="shared" si="314"/>
        <v>in-transit</v>
      </c>
      <c r="AA1253" s="37" t="str">
        <f t="shared" si="315"/>
        <v>N/A</v>
      </c>
      <c r="AB1253" s="37" t="str">
        <f t="shared" si="318"/>
        <v>N/A</v>
      </c>
      <c r="AC1253" s="37" t="e">
        <f t="shared" si="319"/>
        <v>#VALUE!</v>
      </c>
      <c r="AD1253" s="45">
        <f t="shared" si="317"/>
        <v>0.556521739130435</v>
      </c>
      <c r="AE1253" s="46"/>
      <c r="AF1253" s="46" t="s">
        <v>191</v>
      </c>
      <c r="AG1253" s="37" t="str">
        <f t="shared" si="316"/>
        <v>no</v>
      </c>
      <c r="AH1253" s="37" t="str">
        <f t="array" ref="AH1253">_xlfn.IFS(LOWER(AG1253)="n","no",LOWER(AG1253)="y","yes",TRUE,LOWER(AG1253))</f>
        <v>no</v>
      </c>
      <c r="AI1253" s="46" t="s">
        <v>4692</v>
      </c>
    </row>
    <row r="1254" spans="1:35">
      <c r="A1254" s="37" t="s">
        <v>3939</v>
      </c>
      <c r="B1254" s="38">
        <v>45319</v>
      </c>
      <c r="C1254" s="39">
        <f t="shared" si="304"/>
        <v>45319</v>
      </c>
      <c r="D1254" s="40" t="s">
        <v>212</v>
      </c>
      <c r="E1254" s="37" t="str" cm="1">
        <f t="array" ref="E1254">_xlfn.IFS(D1254="delhi","north",D1254="mumbai","west",D1254="bengaluru","south",D1254="chennai","south",D1254="kolkata","east",TRUE,"west")</f>
        <v>west</v>
      </c>
      <c r="F1254" s="37" t="s">
        <v>333</v>
      </c>
      <c r="G1254" s="37" t="str">
        <f t="shared" si="305"/>
        <v>delhivery</v>
      </c>
      <c r="H1254" s="37" t="s">
        <v>325</v>
      </c>
      <c r="I1254" s="37" t="str">
        <f t="shared" si="306"/>
        <v>air</v>
      </c>
      <c r="J1254" s="37" t="s">
        <v>326</v>
      </c>
      <c r="K1254" s="37" t="str">
        <f t="shared" si="307"/>
        <v>apparel</v>
      </c>
      <c r="L1254" s="37" t="s">
        <v>380</v>
      </c>
      <c r="M1254" s="37" t="str">
        <f t="shared" si="308"/>
        <v>east</v>
      </c>
      <c r="N1254" s="37" t="s">
        <v>294</v>
      </c>
      <c r="O1254" s="41" t="str">
        <f t="shared" si="309"/>
        <v>Yes</v>
      </c>
      <c r="P1254" s="41">
        <v>5.2</v>
      </c>
      <c r="Q1254" s="41">
        <v>420</v>
      </c>
      <c r="R1254" s="42">
        <f t="shared" si="310"/>
        <v>80.7692307692308</v>
      </c>
      <c r="S1254" s="37">
        <v>4</v>
      </c>
      <c r="T1254" s="37" t="s">
        <v>318</v>
      </c>
      <c r="U1254" s="43" t="str">
        <f t="shared" si="311"/>
        <v>01-feb-2024</v>
      </c>
      <c r="V1254" s="43">
        <f t="shared" si="312"/>
        <v>45323</v>
      </c>
      <c r="W1254" s="44">
        <f t="array" ref="W1254">_xlfn.IFS(TRIM(C1254)="","",TRIM(V1254)="","",TRUE,V1254-C1254)</f>
        <v>4</v>
      </c>
      <c r="X1254" s="37">
        <f t="shared" si="313"/>
        <v>0</v>
      </c>
      <c r="Y1254" s="37" t="s">
        <v>105</v>
      </c>
      <c r="Z1254" s="37" t="str">
        <f t="shared" si="314"/>
        <v>delivered</v>
      </c>
      <c r="AA1254" s="37" t="str">
        <f t="shared" si="315"/>
        <v>On Time</v>
      </c>
      <c r="AB1254" s="37" t="str">
        <f t="shared" si="318"/>
        <v>0</v>
      </c>
      <c r="AC1254" s="37">
        <f t="shared" si="319"/>
        <v>0</v>
      </c>
      <c r="AD1254" s="45">
        <f t="shared" si="317"/>
        <v>0.556521739130435</v>
      </c>
      <c r="AE1254" s="37">
        <v>2</v>
      </c>
      <c r="AF1254" s="37" t="s">
        <v>152</v>
      </c>
      <c r="AG1254" s="37" t="str">
        <f t="shared" si="316"/>
        <v>no</v>
      </c>
      <c r="AH1254" s="37" t="str">
        <f t="array" ref="AH1254">_xlfn.IFS(LOWER(AG1254)="n","no",LOWER(AG1254)="y","yes",TRUE,LOWER(AG1254))</f>
        <v>no</v>
      </c>
      <c r="AI1254" s="37" t="s">
        <v>4692</v>
      </c>
    </row>
    <row r="1255" spans="1:35">
      <c r="A1255" s="46" t="s">
        <v>3941</v>
      </c>
      <c r="B1255" s="47">
        <v>45317</v>
      </c>
      <c r="C1255" s="39">
        <f t="shared" si="304"/>
        <v>45317</v>
      </c>
      <c r="D1255" s="48" t="s">
        <v>366</v>
      </c>
      <c r="E1255" s="37" t="str" cm="1">
        <f t="array" ref="E1255">_xlfn.IFS(D1255="delhi","north",D1255="mumbai","west",D1255="bengaluru","south",D1255="chennai","south",D1255="kolkata","east",TRUE,"west")</f>
        <v>east</v>
      </c>
      <c r="F1255" s="46" t="s">
        <v>156</v>
      </c>
      <c r="G1255" s="37" t="str">
        <f t="shared" si="305"/>
        <v>xpressbees</v>
      </c>
      <c r="H1255" s="46" t="s">
        <v>440</v>
      </c>
      <c r="I1255" s="37" t="str">
        <f t="shared" si="306"/>
        <v>road</v>
      </c>
      <c r="J1255" s="46" t="s">
        <v>158</v>
      </c>
      <c r="K1255" s="37" t="str">
        <f t="shared" si="307"/>
        <v>pharma</v>
      </c>
      <c r="L1255" s="46" t="s">
        <v>346</v>
      </c>
      <c r="M1255" s="37" t="str">
        <f t="shared" si="308"/>
        <v>north</v>
      </c>
      <c r="N1255" s="46" t="s">
        <v>32</v>
      </c>
      <c r="O1255" s="41" t="str">
        <f t="shared" si="309"/>
        <v>Yes</v>
      </c>
      <c r="P1255" s="49">
        <v>2.1</v>
      </c>
      <c r="Q1255" s="49" t="s">
        <v>731</v>
      </c>
      <c r="R1255" s="42">
        <f t="shared" si="310"/>
        <v>93.3333333333333</v>
      </c>
      <c r="S1255" s="46">
        <v>8</v>
      </c>
      <c r="T1255" s="46" t="s">
        <v>180</v>
      </c>
      <c r="U1255" s="43" t="str">
        <f t="shared" si="311"/>
        <v>02/02/2024</v>
      </c>
      <c r="V1255" s="43">
        <f t="shared" si="312"/>
        <v>45324</v>
      </c>
      <c r="W1255" s="44">
        <f t="array" ref="W1255">_xlfn.IFS(TRIM(C1255)="","",TRIM(V1255)="","",TRUE,V1255-C1255)</f>
        <v>7</v>
      </c>
      <c r="X1255" s="37">
        <f t="shared" si="313"/>
        <v>-1</v>
      </c>
      <c r="Y1255" s="46" t="s">
        <v>117</v>
      </c>
      <c r="Z1255" s="37" t="str">
        <f t="shared" si="314"/>
        <v>delivered</v>
      </c>
      <c r="AA1255" s="37" t="str">
        <f t="shared" si="315"/>
        <v>On Time</v>
      </c>
      <c r="AB1255" s="37" t="str">
        <f t="shared" si="318"/>
        <v>0</v>
      </c>
      <c r="AC1255" s="37">
        <f t="shared" si="319"/>
        <v>0</v>
      </c>
      <c r="AD1255" s="45">
        <f t="shared" si="317"/>
        <v>0.558139534883721</v>
      </c>
      <c r="AE1255" s="46">
        <v>4</v>
      </c>
      <c r="AF1255" s="46" t="s">
        <v>131</v>
      </c>
      <c r="AG1255" s="37" t="str">
        <f t="shared" si="316"/>
        <v>n</v>
      </c>
      <c r="AH1255" s="37" t="str">
        <f t="array" ref="AH1255">_xlfn.IFS(LOWER(AG1255)="n","no",LOWER(AG1255)="y","yes",TRUE,LOWER(AG1255))</f>
        <v>no</v>
      </c>
      <c r="AI1255" s="46" t="s">
        <v>4692</v>
      </c>
    </row>
    <row r="1256" spans="1:35">
      <c r="A1256" s="37" t="s">
        <v>3942</v>
      </c>
      <c r="B1256" s="38">
        <v>45368</v>
      </c>
      <c r="C1256" s="39">
        <f t="shared" si="304"/>
        <v>45368</v>
      </c>
      <c r="D1256" s="40" t="s">
        <v>109</v>
      </c>
      <c r="E1256" s="37" t="str" cm="1">
        <f t="array" ref="E1256">_xlfn.IFS(D1256="delhi","north",D1256="mumbai","west",D1256="bengaluru","south",D1256="chennai","south",D1256="kolkata","east",TRUE,"west")</f>
        <v>west</v>
      </c>
      <c r="F1256" s="37" t="s">
        <v>333</v>
      </c>
      <c r="G1256" s="37" t="str">
        <f t="shared" si="305"/>
        <v>delhivery</v>
      </c>
      <c r="H1256" s="37" t="s">
        <v>157</v>
      </c>
      <c r="I1256" s="37" t="str">
        <f t="shared" si="306"/>
        <v>surface</v>
      </c>
      <c r="J1256" s="37" t="s">
        <v>205</v>
      </c>
      <c r="K1256" s="37" t="str">
        <f t="shared" si="307"/>
        <v>furniture</v>
      </c>
      <c r="L1256" s="37" t="s">
        <v>125</v>
      </c>
      <c r="M1256" s="37" t="str">
        <f t="shared" si="308"/>
        <v>east</v>
      </c>
      <c r="N1256" s="37" t="s">
        <v>126</v>
      </c>
      <c r="O1256" s="41" t="str">
        <f t="shared" si="309"/>
        <v>Yes</v>
      </c>
      <c r="P1256" s="41" t="s">
        <v>3943</v>
      </c>
      <c r="Q1256" s="41" t="s">
        <v>3679</v>
      </c>
      <c r="R1256" s="42">
        <f t="shared" si="310"/>
        <v>23.8115942028986</v>
      </c>
      <c r="S1256" s="37">
        <v>6</v>
      </c>
      <c r="T1256" s="37" t="s">
        <v>2802</v>
      </c>
      <c r="U1256" s="43" t="str">
        <f t="shared" si="311"/>
        <v>23/03/2024</v>
      </c>
      <c r="V1256" s="43">
        <f t="shared" si="312"/>
        <v>45374</v>
      </c>
      <c r="W1256" s="44">
        <f t="array" ref="W1256">_xlfn.IFS(TRIM(C1256)="","",TRIM(V1256)="","",TRUE,V1256-C1256)</f>
        <v>6</v>
      </c>
      <c r="X1256" s="37">
        <f t="shared" si="313"/>
        <v>0</v>
      </c>
      <c r="Y1256" s="37" t="s">
        <v>219</v>
      </c>
      <c r="Z1256" s="37" t="str">
        <f t="shared" si="314"/>
        <v>delivered</v>
      </c>
      <c r="AA1256" s="37" t="str">
        <f t="shared" si="315"/>
        <v>On Time</v>
      </c>
      <c r="AB1256" s="37" t="str">
        <f t="shared" si="318"/>
        <v>0</v>
      </c>
      <c r="AC1256" s="37">
        <f t="shared" si="319"/>
        <v>0</v>
      </c>
      <c r="AD1256" s="45">
        <f t="shared" si="317"/>
        <v>0.559766763848397</v>
      </c>
      <c r="AE1256" s="37">
        <v>4</v>
      </c>
      <c r="AF1256" s="37" t="s">
        <v>191</v>
      </c>
      <c r="AG1256" s="37" t="str">
        <f t="shared" si="316"/>
        <v>no</v>
      </c>
      <c r="AH1256" s="37" t="str">
        <f t="array" ref="AH1256">_xlfn.IFS(LOWER(AG1256)="n","no",LOWER(AG1256)="y","yes",TRUE,LOWER(AG1256))</f>
        <v>no</v>
      </c>
      <c r="AI1256" s="37" t="s">
        <v>4692</v>
      </c>
    </row>
    <row r="1257" spans="1:35">
      <c r="A1257" s="46" t="s">
        <v>3944</v>
      </c>
      <c r="B1257" s="47">
        <v>45330</v>
      </c>
      <c r="C1257" s="39">
        <f t="shared" si="304"/>
        <v>45330</v>
      </c>
      <c r="D1257" s="48" t="s">
        <v>366</v>
      </c>
      <c r="E1257" s="37" t="str" cm="1">
        <f t="array" ref="E1257">_xlfn.IFS(D1257="delhi","north",D1257="mumbai","west",D1257="bengaluru","south",D1257="chennai","south",D1257="kolkata","east",TRUE,"west")</f>
        <v>east</v>
      </c>
      <c r="F1257" s="46" t="s">
        <v>230</v>
      </c>
      <c r="G1257" s="37" t="str">
        <f t="shared" si="305"/>
        <v>dtdc</v>
      </c>
      <c r="H1257" s="46" t="s">
        <v>325</v>
      </c>
      <c r="I1257" s="37" t="str">
        <f t="shared" si="306"/>
        <v>air</v>
      </c>
      <c r="J1257" s="46" t="s">
        <v>277</v>
      </c>
      <c r="K1257" s="37" t="str">
        <f t="shared" si="307"/>
        <v>apparel</v>
      </c>
      <c r="L1257" s="46" t="s">
        <v>89</v>
      </c>
      <c r="M1257" s="37" t="str">
        <f t="shared" si="308"/>
        <v>west</v>
      </c>
      <c r="N1257" s="46" t="s">
        <v>278</v>
      </c>
      <c r="O1257" s="41" t="str">
        <f t="shared" si="309"/>
        <v>Yes</v>
      </c>
      <c r="P1257" s="49">
        <v>5.8</v>
      </c>
      <c r="Q1257" s="49">
        <v>382</v>
      </c>
      <c r="R1257" s="42">
        <f t="shared" si="310"/>
        <v>65.8620689655172</v>
      </c>
      <c r="S1257" s="46">
        <v>4</v>
      </c>
      <c r="T1257" s="46" t="s">
        <v>1311</v>
      </c>
      <c r="U1257" s="43" t="str">
        <f t="shared" si="311"/>
        <v>20/02/2024</v>
      </c>
      <c r="V1257" s="43">
        <f t="shared" si="312"/>
        <v>45342</v>
      </c>
      <c r="W1257" s="44">
        <f t="array" ref="W1257">_xlfn.IFS(TRIM(C1257)="","",TRIM(V1257)="","",TRUE,V1257-C1257)</f>
        <v>12</v>
      </c>
      <c r="X1257" s="37">
        <f t="shared" si="313"/>
        <v>8</v>
      </c>
      <c r="Y1257" s="46" t="s">
        <v>172</v>
      </c>
      <c r="Z1257" s="37" t="str">
        <f t="shared" si="314"/>
        <v>delayed</v>
      </c>
      <c r="AA1257" s="37" t="str">
        <f t="shared" si="315"/>
        <v>Late</v>
      </c>
      <c r="AB1257" s="37" t="str">
        <f t="shared" si="318"/>
        <v>1</v>
      </c>
      <c r="AC1257" s="37">
        <f t="shared" si="319"/>
        <v>1</v>
      </c>
      <c r="AD1257" s="45">
        <f t="shared" si="317"/>
        <v>0.56140350877193</v>
      </c>
      <c r="AE1257" s="46">
        <v>2</v>
      </c>
      <c r="AF1257" s="46" t="s">
        <v>79</v>
      </c>
      <c r="AG1257" s="37" t="str">
        <f t="shared" si="316"/>
        <v>yes</v>
      </c>
      <c r="AH1257" s="37" t="str">
        <f t="array" ref="AH1257">_xlfn.IFS(LOWER(AG1257)="n","no",LOWER(AG1257)="y","yes",TRUE,LOWER(AG1257))</f>
        <v>yes</v>
      </c>
      <c r="AI1257" s="46" t="s">
        <v>4692</v>
      </c>
    </row>
    <row r="1258" spans="1:35">
      <c r="A1258" s="37" t="s">
        <v>3947</v>
      </c>
      <c r="B1258" s="38" t="s">
        <v>4815</v>
      </c>
      <c r="C1258" s="39">
        <f t="shared" si="304"/>
        <v>45353</v>
      </c>
      <c r="D1258" s="40" t="s">
        <v>340</v>
      </c>
      <c r="E1258" s="37" t="str" cm="1">
        <f t="array" ref="E1258">_xlfn.IFS(D1258="delhi","north",D1258="mumbai","west",D1258="bengaluru","south",D1258="chennai","south",D1258="kolkata","east",TRUE,"west")</f>
        <v>north</v>
      </c>
      <c r="F1258" s="37" t="s">
        <v>98</v>
      </c>
      <c r="G1258" s="37" t="str">
        <f t="shared" si="305"/>
        <v>dtdc</v>
      </c>
      <c r="H1258" s="37" t="s">
        <v>147</v>
      </c>
      <c r="I1258" s="37" t="str">
        <f t="shared" si="306"/>
        <v>road</v>
      </c>
      <c r="J1258" s="37" t="s">
        <v>353</v>
      </c>
      <c r="K1258" s="37" t="str">
        <f t="shared" si="307"/>
        <v>automotiveparts</v>
      </c>
      <c r="L1258" s="37" t="s">
        <v>197</v>
      </c>
      <c r="M1258" s="37" t="str">
        <f t="shared" si="308"/>
        <v>south</v>
      </c>
      <c r="N1258" s="37" t="s">
        <v>327</v>
      </c>
      <c r="O1258" s="41" t="str">
        <f t="shared" si="309"/>
        <v>Yes</v>
      </c>
      <c r="P1258" s="41">
        <v>21.8</v>
      </c>
      <c r="Q1258" s="41">
        <v>440</v>
      </c>
      <c r="R1258" s="42">
        <f t="shared" si="310"/>
        <v>20.1834862385321</v>
      </c>
      <c r="S1258" s="37">
        <v>8</v>
      </c>
      <c r="T1258" s="37" t="s">
        <v>1838</v>
      </c>
      <c r="U1258" s="43" t="str">
        <f t="shared" si="311"/>
        <v>11/03/2024</v>
      </c>
      <c r="V1258" s="43">
        <f t="shared" si="312"/>
        <v>45362</v>
      </c>
      <c r="W1258" s="44">
        <f t="array" ref="W1258">_xlfn.IFS(TRIM(C1258)="","",TRIM(V1258)="","",TRUE,V1258-C1258)</f>
        <v>9</v>
      </c>
      <c r="X1258" s="37">
        <f t="shared" si="313"/>
        <v>1</v>
      </c>
      <c r="Y1258" s="37" t="s">
        <v>200</v>
      </c>
      <c r="Z1258" s="37" t="str">
        <f t="shared" si="314"/>
        <v>delayed</v>
      </c>
      <c r="AA1258" s="37" t="str">
        <f t="shared" si="315"/>
        <v>Late</v>
      </c>
      <c r="AB1258" s="37" t="str">
        <f t="shared" si="318"/>
        <v>1</v>
      </c>
      <c r="AC1258" s="37">
        <f t="shared" si="319"/>
        <v>1</v>
      </c>
      <c r="AD1258" s="45">
        <f t="shared" si="317"/>
        <v>0.560117302052786</v>
      </c>
      <c r="AE1258" s="37">
        <v>3</v>
      </c>
      <c r="AF1258" s="37" t="s">
        <v>79</v>
      </c>
      <c r="AG1258" s="37" t="str">
        <f t="shared" si="316"/>
        <v>yes</v>
      </c>
      <c r="AH1258" s="37" t="str">
        <f t="array" ref="AH1258">_xlfn.IFS(LOWER(AG1258)="n","no",LOWER(AG1258)="y","yes",TRUE,LOWER(AG1258))</f>
        <v>yes</v>
      </c>
      <c r="AI1258" s="37" t="s">
        <v>4692</v>
      </c>
    </row>
    <row r="1259" spans="1:35">
      <c r="A1259" s="46" t="s">
        <v>3949</v>
      </c>
      <c r="B1259" s="47" t="s">
        <v>4757</v>
      </c>
      <c r="C1259" s="39">
        <f t="shared" si="304"/>
        <v>45317</v>
      </c>
      <c r="D1259" s="48" t="s">
        <v>4704</v>
      </c>
      <c r="E1259" s="37" t="str" cm="1">
        <f t="array" ref="E1259">_xlfn.IFS(D1259="delhi","north",D1259="mumbai","west",D1259="bengaluru","south",D1259="chennai","south",D1259="kolkata","east",TRUE,"west")</f>
        <v>west</v>
      </c>
      <c r="F1259" s="46" t="s">
        <v>98</v>
      </c>
      <c r="G1259" s="37" t="str">
        <f t="shared" si="305"/>
        <v>dtdc</v>
      </c>
      <c r="H1259" s="46" t="s">
        <v>224</v>
      </c>
      <c r="I1259" s="37" t="str">
        <f t="shared" si="306"/>
        <v>air</v>
      </c>
      <c r="J1259" s="46" t="s">
        <v>385</v>
      </c>
      <c r="K1259" s="37" t="str">
        <f t="shared" si="307"/>
        <v>furniture</v>
      </c>
      <c r="L1259" s="46" t="s">
        <v>264</v>
      </c>
      <c r="M1259" s="37" t="str">
        <f t="shared" si="308"/>
        <v>west</v>
      </c>
      <c r="N1259" s="46" t="s">
        <v>206</v>
      </c>
      <c r="O1259" s="41" t="str">
        <f t="shared" si="309"/>
        <v>Yes</v>
      </c>
      <c r="P1259" s="49">
        <v>48.6</v>
      </c>
      <c r="Q1259" s="49" t="s">
        <v>3951</v>
      </c>
      <c r="R1259" s="42">
        <f t="shared" si="310"/>
        <v>49.1152263374486</v>
      </c>
      <c r="S1259" s="46">
        <v>4</v>
      </c>
      <c r="T1259" s="46" t="s">
        <v>679</v>
      </c>
      <c r="U1259" s="43" t="str">
        <f t="shared" si="311"/>
        <v>29/01/2024</v>
      </c>
      <c r="V1259" s="43">
        <f t="shared" si="312"/>
        <v>45320</v>
      </c>
      <c r="W1259" s="44">
        <f t="array" ref="W1259">_xlfn.IFS(TRIM(C1259)="","",TRIM(V1259)="","",TRUE,V1259-C1259)</f>
        <v>3</v>
      </c>
      <c r="X1259" s="37">
        <f t="shared" si="313"/>
        <v>-1</v>
      </c>
      <c r="Y1259" s="46" t="s">
        <v>219</v>
      </c>
      <c r="Z1259" s="37" t="str">
        <f t="shared" si="314"/>
        <v>delivered</v>
      </c>
      <c r="AA1259" s="37" t="str">
        <f t="shared" si="315"/>
        <v>On Time</v>
      </c>
      <c r="AB1259" s="37" t="str">
        <f t="shared" si="318"/>
        <v>0</v>
      </c>
      <c r="AC1259" s="37">
        <f t="shared" si="319"/>
        <v>0</v>
      </c>
      <c r="AD1259" s="45">
        <f t="shared" si="317"/>
        <v>0.558823529411765</v>
      </c>
      <c r="AE1259" s="46">
        <v>4</v>
      </c>
      <c r="AF1259" s="46" t="s">
        <v>118</v>
      </c>
      <c r="AG1259" s="37" t="str">
        <f t="shared" si="316"/>
        <v>no</v>
      </c>
      <c r="AH1259" s="37" t="str">
        <f t="array" ref="AH1259">_xlfn.IFS(LOWER(AG1259)="n","no",LOWER(AG1259)="y","yes",TRUE,LOWER(AG1259))</f>
        <v>no</v>
      </c>
      <c r="AI1259" s="46" t="s">
        <v>4692</v>
      </c>
    </row>
    <row r="1260" spans="1:35">
      <c r="A1260" s="37" t="s">
        <v>3952</v>
      </c>
      <c r="B1260" s="38">
        <v>45375</v>
      </c>
      <c r="C1260" s="39">
        <f t="shared" si="304"/>
        <v>45375</v>
      </c>
      <c r="D1260" s="40" t="s">
        <v>424</v>
      </c>
      <c r="E1260" s="37" t="str" cm="1">
        <f t="array" ref="E1260">_xlfn.IFS(D1260="delhi","north",D1260="mumbai","west",D1260="bengaluru","south",D1260="chennai","south",D1260="kolkata","east",TRUE,"west")</f>
        <v>south</v>
      </c>
      <c r="F1260" s="37" t="s">
        <v>333</v>
      </c>
      <c r="G1260" s="37" t="str">
        <f t="shared" si="305"/>
        <v>delhivery</v>
      </c>
      <c r="H1260" s="37" t="s">
        <v>224</v>
      </c>
      <c r="I1260" s="37" t="str">
        <f t="shared" si="306"/>
        <v>air</v>
      </c>
      <c r="J1260" s="37" t="s">
        <v>319</v>
      </c>
      <c r="K1260" s="37" t="str">
        <f t="shared" si="307"/>
        <v>electronics</v>
      </c>
      <c r="L1260" s="37" t="s">
        <v>401</v>
      </c>
      <c r="M1260" s="37" t="str">
        <f t="shared" si="308"/>
        <v>south</v>
      </c>
      <c r="N1260" s="37" t="s">
        <v>327</v>
      </c>
      <c r="O1260" s="41" t="str">
        <f t="shared" si="309"/>
        <v>Yes</v>
      </c>
      <c r="P1260" s="41">
        <v>13.7</v>
      </c>
      <c r="Q1260" s="41">
        <v>619</v>
      </c>
      <c r="R1260" s="42">
        <f t="shared" si="310"/>
        <v>45.1824817518248</v>
      </c>
      <c r="S1260" s="37">
        <v>2</v>
      </c>
      <c r="T1260" s="37" t="s">
        <v>3608</v>
      </c>
      <c r="U1260" s="43" t="str">
        <f t="shared" si="311"/>
        <v>2024-03-30</v>
      </c>
      <c r="V1260" s="43">
        <f t="shared" si="312"/>
        <v>45381</v>
      </c>
      <c r="W1260" s="44">
        <f t="array" ref="W1260">_xlfn.IFS(TRIM(C1260)="","",TRIM(V1260)="","",TRUE,V1260-C1260)</f>
        <v>6</v>
      </c>
      <c r="X1260" s="37">
        <f t="shared" si="313"/>
        <v>4</v>
      </c>
      <c r="Y1260" s="37" t="s">
        <v>72</v>
      </c>
      <c r="Z1260" s="37" t="str">
        <f t="shared" si="314"/>
        <v>delayed</v>
      </c>
      <c r="AA1260" s="37" t="str">
        <f t="shared" si="315"/>
        <v>Late</v>
      </c>
      <c r="AB1260" s="37" t="str">
        <f t="shared" si="318"/>
        <v>1</v>
      </c>
      <c r="AC1260" s="37">
        <f t="shared" si="319"/>
        <v>1</v>
      </c>
      <c r="AD1260" s="45">
        <f t="shared" si="317"/>
        <v>0.56047197640118</v>
      </c>
      <c r="AE1260" s="37">
        <v>3</v>
      </c>
      <c r="AF1260" s="37" t="s">
        <v>181</v>
      </c>
      <c r="AG1260" s="37" t="str">
        <f t="shared" si="316"/>
        <v>y</v>
      </c>
      <c r="AH1260" s="37" t="str">
        <f t="array" ref="AH1260">_xlfn.IFS(LOWER(AG1260)="n","no",LOWER(AG1260)="y","yes",TRUE,LOWER(AG1260))</f>
        <v>yes</v>
      </c>
      <c r="AI1260" s="37" t="s">
        <v>4692</v>
      </c>
    </row>
    <row r="1261" spans="1:35">
      <c r="A1261" s="46" t="s">
        <v>3955</v>
      </c>
      <c r="B1261" s="47" t="s">
        <v>4753</v>
      </c>
      <c r="C1261" s="39">
        <f t="shared" si="304"/>
        <v>45397</v>
      </c>
      <c r="D1261" s="48" t="s">
        <v>366</v>
      </c>
      <c r="E1261" s="37" t="str" cm="1">
        <f t="array" ref="E1261">_xlfn.IFS(D1261="delhi","north",D1261="mumbai","west",D1261="bengaluru","south",D1261="chennai","south",D1261="kolkata","east",TRUE,"west")</f>
        <v>east</v>
      </c>
      <c r="F1261" s="46" t="s">
        <v>544</v>
      </c>
      <c r="G1261" s="37" t="str">
        <f t="shared" si="305"/>
        <v>bluedart</v>
      </c>
      <c r="H1261" s="46" t="s">
        <v>176</v>
      </c>
      <c r="I1261" s="37" t="str">
        <f t="shared" si="306"/>
        <v>road</v>
      </c>
      <c r="J1261" s="46" t="s">
        <v>231</v>
      </c>
      <c r="K1261" s="37" t="str">
        <f t="shared" si="307"/>
        <v>furniture</v>
      </c>
      <c r="L1261" s="46" t="s">
        <v>112</v>
      </c>
      <c r="M1261" s="37" t="str">
        <f t="shared" si="308"/>
        <v>north</v>
      </c>
      <c r="N1261" s="46" t="s">
        <v>113</v>
      </c>
      <c r="O1261" s="41" t="str">
        <f t="shared" si="309"/>
        <v>Yes</v>
      </c>
      <c r="P1261" s="49" t="s">
        <v>944</v>
      </c>
      <c r="Q1261" s="49">
        <v>393</v>
      </c>
      <c r="R1261" s="42">
        <f t="shared" si="310"/>
        <v>23.2544378698225</v>
      </c>
      <c r="S1261" s="46">
        <v>8</v>
      </c>
      <c r="T1261" s="46" t="s">
        <v>1389</v>
      </c>
      <c r="U1261" s="43" t="str">
        <f t="shared" si="311"/>
        <v>2024-04-26</v>
      </c>
      <c r="V1261" s="43">
        <f t="shared" si="312"/>
        <v>45408</v>
      </c>
      <c r="W1261" s="44">
        <f t="array" ref="W1261">_xlfn.IFS(TRIM(C1261)="","",TRIM(V1261)="","",TRUE,V1261-C1261)</f>
        <v>11</v>
      </c>
      <c r="X1261" s="37">
        <f t="shared" si="313"/>
        <v>3</v>
      </c>
      <c r="Y1261" s="46" t="s">
        <v>72</v>
      </c>
      <c r="Z1261" s="37" t="str">
        <f t="shared" si="314"/>
        <v>delayed</v>
      </c>
      <c r="AA1261" s="37" t="str">
        <f t="shared" si="315"/>
        <v>Late</v>
      </c>
      <c r="AB1261" s="37" t="str">
        <f t="shared" si="318"/>
        <v>1</v>
      </c>
      <c r="AC1261" s="37">
        <f t="shared" si="319"/>
        <v>1</v>
      </c>
      <c r="AD1261" s="45">
        <f t="shared" si="317"/>
        <v>0.559171597633136</v>
      </c>
      <c r="AE1261" s="46">
        <v>1</v>
      </c>
      <c r="AF1261" s="46" t="s">
        <v>152</v>
      </c>
      <c r="AG1261" s="37" t="str">
        <f t="shared" si="316"/>
        <v>no</v>
      </c>
      <c r="AH1261" s="37" t="str">
        <f t="array" ref="AH1261">_xlfn.IFS(LOWER(AG1261)="n","no",LOWER(AG1261)="y","yes",TRUE,LOWER(AG1261))</f>
        <v>no</v>
      </c>
      <c r="AI1261" s="46" t="s">
        <v>4692</v>
      </c>
    </row>
    <row r="1262" spans="1:35">
      <c r="A1262" s="37" t="s">
        <v>3956</v>
      </c>
      <c r="B1262" s="38">
        <v>45456</v>
      </c>
      <c r="C1262" s="39">
        <f t="shared" si="304"/>
        <v>45456</v>
      </c>
      <c r="D1262" s="40" t="s">
        <v>121</v>
      </c>
      <c r="E1262" s="37" t="str" cm="1">
        <f t="array" ref="E1262">_xlfn.IFS(D1262="delhi","north",D1262="mumbai","west",D1262="bengaluru","south",D1262="chennai","south",D1262="kolkata","east",TRUE,"west")</f>
        <v>west</v>
      </c>
      <c r="F1262" s="37" t="s">
        <v>136</v>
      </c>
      <c r="G1262" s="37" t="str">
        <f t="shared" si="305"/>
        <v>bluedart</v>
      </c>
      <c r="H1262" s="37" t="s">
        <v>99</v>
      </c>
      <c r="I1262" s="37" t="str">
        <f t="shared" si="306"/>
        <v>air</v>
      </c>
      <c r="J1262" s="37" t="s">
        <v>664</v>
      </c>
      <c r="K1262" s="37" t="str">
        <f t="shared" si="307"/>
        <v>grocery&amp;fmcg</v>
      </c>
      <c r="L1262" s="37" t="s">
        <v>112</v>
      </c>
      <c r="M1262" s="37" t="str">
        <f t="shared" si="308"/>
        <v>north</v>
      </c>
      <c r="N1262" s="37" t="s">
        <v>113</v>
      </c>
      <c r="O1262" s="41" t="str">
        <f t="shared" si="309"/>
        <v>Yes</v>
      </c>
      <c r="P1262" s="41">
        <v>18.5</v>
      </c>
      <c r="Q1262" s="41">
        <v>842</v>
      </c>
      <c r="R1262" s="42">
        <f t="shared" si="310"/>
        <v>45.5135135135135</v>
      </c>
      <c r="S1262" s="37">
        <v>2</v>
      </c>
      <c r="T1262" s="37" t="s">
        <v>2385</v>
      </c>
      <c r="U1262" s="43" t="str">
        <f t="shared" si="311"/>
        <v>14-jun-2024</v>
      </c>
      <c r="V1262" s="43">
        <f t="shared" si="312"/>
        <v>45457</v>
      </c>
      <c r="W1262" s="44">
        <f t="array" ref="W1262">_xlfn.IFS(TRIM(C1262)="","",TRIM(V1262)="","",TRUE,V1262-C1262)</f>
        <v>1</v>
      </c>
      <c r="X1262" s="37">
        <f t="shared" si="313"/>
        <v>-1</v>
      </c>
      <c r="Y1262" s="37" t="s">
        <v>117</v>
      </c>
      <c r="Z1262" s="37" t="str">
        <f t="shared" si="314"/>
        <v>delivered</v>
      </c>
      <c r="AA1262" s="37" t="str">
        <f t="shared" si="315"/>
        <v>On Time</v>
      </c>
      <c r="AB1262" s="37" t="str">
        <f t="shared" si="318"/>
        <v>0</v>
      </c>
      <c r="AC1262" s="37">
        <f t="shared" si="319"/>
        <v>0</v>
      </c>
      <c r="AD1262" s="45">
        <f t="shared" si="317"/>
        <v>0.55786350148368</v>
      </c>
      <c r="AE1262" s="37">
        <v>3</v>
      </c>
      <c r="AF1262" s="37" t="s">
        <v>131</v>
      </c>
      <c r="AG1262" s="37" t="str">
        <f t="shared" si="316"/>
        <v>n</v>
      </c>
      <c r="AH1262" s="37" t="str">
        <f t="array" ref="AH1262">_xlfn.IFS(LOWER(AG1262)="n","no",LOWER(AG1262)="y","yes",TRUE,LOWER(AG1262))</f>
        <v>no</v>
      </c>
      <c r="AI1262" s="37" t="s">
        <v>4692</v>
      </c>
    </row>
    <row r="1263" spans="1:35">
      <c r="A1263" s="46" t="s">
        <v>3958</v>
      </c>
      <c r="B1263" s="47">
        <v>45455</v>
      </c>
      <c r="C1263" s="39">
        <f t="shared" si="304"/>
        <v>45455</v>
      </c>
      <c r="D1263" s="48" t="s">
        <v>366</v>
      </c>
      <c r="E1263" s="37" t="str" cm="1">
        <f t="array" ref="E1263">_xlfn.IFS(D1263="delhi","north",D1263="mumbai","west",D1263="bengaluru","south",D1263="chennai","south",D1263="kolkata","east",TRUE,"west")</f>
        <v>east</v>
      </c>
      <c r="F1263" s="46" t="s">
        <v>270</v>
      </c>
      <c r="G1263" s="37" t="str">
        <f t="shared" si="305"/>
        <v>ecomexpress</v>
      </c>
      <c r="H1263" s="46" t="s">
        <v>176</v>
      </c>
      <c r="I1263" s="37" t="str">
        <f t="shared" si="306"/>
        <v>road</v>
      </c>
      <c r="J1263" s="46" t="s">
        <v>582</v>
      </c>
      <c r="K1263" s="37" t="str">
        <f t="shared" si="307"/>
        <v>grocery&amp;fmcg</v>
      </c>
      <c r="L1263" s="46" t="s">
        <v>92</v>
      </c>
      <c r="M1263" s="37" t="str">
        <f t="shared" si="308"/>
        <v>east</v>
      </c>
      <c r="N1263" s="46" t="s">
        <v>396</v>
      </c>
      <c r="O1263" s="41" t="str">
        <f t="shared" si="309"/>
        <v>Yes</v>
      </c>
      <c r="P1263" s="49">
        <v>9.3</v>
      </c>
      <c r="Q1263" s="49">
        <v>125</v>
      </c>
      <c r="R1263" s="42">
        <f t="shared" si="310"/>
        <v>13.4408602150538</v>
      </c>
      <c r="S1263" s="46">
        <v>6</v>
      </c>
      <c r="T1263" s="46" t="s">
        <v>3756</v>
      </c>
      <c r="U1263" s="43" t="str">
        <f t="shared" si="311"/>
        <v>2024-06-18</v>
      </c>
      <c r="V1263" s="43">
        <f t="shared" si="312"/>
        <v>45461</v>
      </c>
      <c r="W1263" s="44">
        <f t="array" ref="W1263">_xlfn.IFS(TRIM(C1263)="","",TRIM(V1263)="","",TRUE,V1263-C1263)</f>
        <v>6</v>
      </c>
      <c r="X1263" s="37">
        <f t="shared" si="313"/>
        <v>0</v>
      </c>
      <c r="Y1263" s="46" t="s">
        <v>105</v>
      </c>
      <c r="Z1263" s="37" t="str">
        <f t="shared" si="314"/>
        <v>delivered</v>
      </c>
      <c r="AA1263" s="37" t="str">
        <f t="shared" si="315"/>
        <v>On Time</v>
      </c>
      <c r="AB1263" s="37" t="str">
        <f t="shared" si="318"/>
        <v>0</v>
      </c>
      <c r="AC1263" s="37">
        <f t="shared" si="319"/>
        <v>0</v>
      </c>
      <c r="AD1263" s="45">
        <f t="shared" si="317"/>
        <v>0.55952380952381</v>
      </c>
      <c r="AE1263" s="46">
        <v>5</v>
      </c>
      <c r="AF1263" s="46" t="s">
        <v>106</v>
      </c>
      <c r="AG1263" s="37" t="str">
        <f t="shared" si="316"/>
        <v>yes</v>
      </c>
      <c r="AH1263" s="37" t="str">
        <f t="array" ref="AH1263">_xlfn.IFS(LOWER(AG1263)="n","no",LOWER(AG1263)="y","yes",TRUE,LOWER(AG1263))</f>
        <v>yes</v>
      </c>
      <c r="AI1263" s="46" t="s">
        <v>4692</v>
      </c>
    </row>
    <row r="1264" spans="1:35">
      <c r="A1264" s="37" t="s">
        <v>3960</v>
      </c>
      <c r="B1264" s="38">
        <v>45449</v>
      </c>
      <c r="C1264" s="39">
        <f t="shared" si="304"/>
        <v>45449</v>
      </c>
      <c r="D1264" s="40" t="s">
        <v>633</v>
      </c>
      <c r="E1264" s="37" t="str" cm="1">
        <f t="array" ref="E1264">_xlfn.IFS(D1264="delhi","north",D1264="mumbai","west",D1264="bengaluru","south",D1264="chennai","south",D1264="kolkata","east",TRUE,"west")</f>
        <v>south</v>
      </c>
      <c r="F1264" s="37" t="s">
        <v>223</v>
      </c>
      <c r="G1264" s="37" t="str">
        <f t="shared" si="305"/>
        <v>xpressbees</v>
      </c>
      <c r="H1264" s="37" t="s">
        <v>244</v>
      </c>
      <c r="I1264" s="37" t="str">
        <f t="shared" si="306"/>
        <v>air</v>
      </c>
      <c r="J1264" s="37" t="s">
        <v>326</v>
      </c>
      <c r="K1264" s="37" t="str">
        <f t="shared" si="307"/>
        <v>apparel</v>
      </c>
      <c r="L1264" s="37" t="s">
        <v>470</v>
      </c>
      <c r="M1264" s="37" t="str">
        <f t="shared" si="308"/>
        <v>east</v>
      </c>
      <c r="N1264" s="37" t="s">
        <v>294</v>
      </c>
      <c r="O1264" s="41" t="str">
        <f t="shared" si="309"/>
        <v>Yes</v>
      </c>
      <c r="P1264" s="41">
        <v>4.4</v>
      </c>
      <c r="Q1264" s="41">
        <v>394</v>
      </c>
      <c r="R1264" s="42">
        <f t="shared" si="310"/>
        <v>89.5454545454545</v>
      </c>
      <c r="S1264" s="37">
        <v>4</v>
      </c>
      <c r="T1264" s="37" t="s">
        <v>193</v>
      </c>
      <c r="U1264" s="43" t="str">
        <f t="shared" si="311"/>
        <v>11/06/2024</v>
      </c>
      <c r="V1264" s="43">
        <f t="shared" si="312"/>
        <v>45454</v>
      </c>
      <c r="W1264" s="44">
        <f t="array" ref="W1264">_xlfn.IFS(TRIM(C1264)="","",TRIM(V1264)="","",TRUE,V1264-C1264)</f>
        <v>5</v>
      </c>
      <c r="X1264" s="37">
        <f t="shared" si="313"/>
        <v>1</v>
      </c>
      <c r="Y1264" s="37" t="s">
        <v>172</v>
      </c>
      <c r="Z1264" s="37" t="str">
        <f t="shared" si="314"/>
        <v>delayed</v>
      </c>
      <c r="AA1264" s="37" t="str">
        <f t="shared" si="315"/>
        <v>Late</v>
      </c>
      <c r="AB1264" s="37" t="str">
        <f t="shared" si="318"/>
        <v>1</v>
      </c>
      <c r="AC1264" s="37">
        <f t="shared" si="319"/>
        <v>1</v>
      </c>
      <c r="AD1264" s="45">
        <f t="shared" si="317"/>
        <v>0.561194029850746</v>
      </c>
      <c r="AE1264" s="37">
        <v>2</v>
      </c>
      <c r="AF1264" s="37" t="s">
        <v>286</v>
      </c>
      <c r="AG1264" s="37" t="str">
        <f t="shared" si="316"/>
        <v>yes</v>
      </c>
      <c r="AH1264" s="37" t="str">
        <f t="array" ref="AH1264">_xlfn.IFS(LOWER(AG1264)="n","no",LOWER(AG1264)="y","yes",TRUE,LOWER(AG1264))</f>
        <v>yes</v>
      </c>
      <c r="AI1264" s="37" t="s">
        <v>4692</v>
      </c>
    </row>
    <row r="1265" spans="1:35">
      <c r="A1265" s="46" t="s">
        <v>3962</v>
      </c>
      <c r="B1265" s="47">
        <v>45449</v>
      </c>
      <c r="C1265" s="39">
        <f t="shared" si="304"/>
        <v>45449</v>
      </c>
      <c r="D1265" s="48" t="s">
        <v>4704</v>
      </c>
      <c r="E1265" s="37" t="str" cm="1">
        <f t="array" ref="E1265">_xlfn.IFS(D1265="delhi","north",D1265="mumbai","west",D1265="bengaluru","south",D1265="chennai","south",D1265="kolkata","east",TRUE,"west")</f>
        <v>west</v>
      </c>
      <c r="F1265" s="46" t="s">
        <v>270</v>
      </c>
      <c r="G1265" s="37" t="str">
        <f t="shared" si="305"/>
        <v>ecomexpress</v>
      </c>
      <c r="H1265" s="46" t="s">
        <v>137</v>
      </c>
      <c r="I1265" s="37" t="str">
        <f t="shared" si="306"/>
        <v>road</v>
      </c>
      <c r="J1265" s="46" t="s">
        <v>158</v>
      </c>
      <c r="K1265" s="37" t="str">
        <f t="shared" si="307"/>
        <v>pharma</v>
      </c>
      <c r="L1265" s="46" t="s">
        <v>89</v>
      </c>
      <c r="M1265" s="37" t="str">
        <f t="shared" si="308"/>
        <v>west</v>
      </c>
      <c r="N1265" s="46" t="s">
        <v>88</v>
      </c>
      <c r="O1265" s="41" t="str">
        <f t="shared" si="309"/>
        <v>Yes</v>
      </c>
      <c r="P1265" s="49">
        <v>1.7</v>
      </c>
      <c r="Q1265" s="49">
        <v>148</v>
      </c>
      <c r="R1265" s="42">
        <f t="shared" si="310"/>
        <v>87.0588235294118</v>
      </c>
      <c r="S1265" s="46">
        <v>8</v>
      </c>
      <c r="T1265" s="46" t="s">
        <v>888</v>
      </c>
      <c r="U1265" s="43" t="str">
        <f t="shared" si="311"/>
        <v>19-jun-2024</v>
      </c>
      <c r="V1265" s="43">
        <f t="shared" si="312"/>
        <v>45462</v>
      </c>
      <c r="W1265" s="44">
        <f t="array" ref="W1265">_xlfn.IFS(TRIM(C1265)="","",TRIM(V1265)="","",TRUE,V1265-C1265)</f>
        <v>13</v>
      </c>
      <c r="X1265" s="37">
        <f t="shared" si="313"/>
        <v>5</v>
      </c>
      <c r="Y1265" s="46" t="s">
        <v>143</v>
      </c>
      <c r="Z1265" s="37" t="str">
        <f t="shared" si="314"/>
        <v>delayed</v>
      </c>
      <c r="AA1265" s="37" t="str">
        <f t="shared" si="315"/>
        <v>Late</v>
      </c>
      <c r="AB1265" s="37" t="str">
        <f t="shared" si="318"/>
        <v>1</v>
      </c>
      <c r="AC1265" s="37">
        <f t="shared" si="319"/>
        <v>1</v>
      </c>
      <c r="AD1265" s="45">
        <f t="shared" si="317"/>
        <v>0.559880239520958</v>
      </c>
      <c r="AE1265" s="46">
        <v>2</v>
      </c>
      <c r="AF1265" s="46" t="s">
        <v>131</v>
      </c>
      <c r="AG1265" s="37" t="str">
        <f t="shared" si="316"/>
        <v>n</v>
      </c>
      <c r="AH1265" s="37" t="str">
        <f t="array" ref="AH1265">_xlfn.IFS(LOWER(AG1265)="n","no",LOWER(AG1265)="y","yes",TRUE,LOWER(AG1265))</f>
        <v>no</v>
      </c>
      <c r="AI1265" s="46" t="s">
        <v>4692</v>
      </c>
    </row>
    <row r="1266" spans="1:35">
      <c r="A1266" s="37" t="s">
        <v>3964</v>
      </c>
      <c r="B1266" s="38">
        <v>45467</v>
      </c>
      <c r="C1266" s="39">
        <f t="shared" si="304"/>
        <v>45467</v>
      </c>
      <c r="D1266" s="40" t="s">
        <v>366</v>
      </c>
      <c r="E1266" s="37" t="str" cm="1">
        <f t="array" ref="E1266">_xlfn.IFS(D1266="delhi","north",D1266="mumbai","west",D1266="bengaluru","south",D1266="chennai","south",D1266="kolkata","east",TRUE,"west")</f>
        <v>east</v>
      </c>
      <c r="F1266" s="37" t="s">
        <v>230</v>
      </c>
      <c r="G1266" s="37" t="str">
        <f t="shared" si="305"/>
        <v>dtdc</v>
      </c>
      <c r="H1266" s="37" t="s">
        <v>99</v>
      </c>
      <c r="I1266" s="37" t="str">
        <f t="shared" si="306"/>
        <v>air</v>
      </c>
      <c r="J1266" s="37" t="s">
        <v>981</v>
      </c>
      <c r="K1266" s="37" t="str">
        <f t="shared" si="307"/>
        <v>automotiveparts</v>
      </c>
      <c r="L1266" s="37" t="s">
        <v>112</v>
      </c>
      <c r="M1266" s="37" t="str">
        <f t="shared" si="308"/>
        <v>north</v>
      </c>
      <c r="N1266" s="37" t="s">
        <v>215</v>
      </c>
      <c r="O1266" s="41" t="str">
        <f t="shared" si="309"/>
        <v>Yes</v>
      </c>
      <c r="P1266" s="41" t="s">
        <v>2724</v>
      </c>
      <c r="Q1266" s="41" t="s">
        <v>3965</v>
      </c>
      <c r="R1266" s="42">
        <f t="shared" si="310"/>
        <v>51.3942307692308</v>
      </c>
      <c r="S1266" s="37">
        <v>4</v>
      </c>
      <c r="T1266" s="37" t="s">
        <v>490</v>
      </c>
      <c r="U1266" s="43" t="str">
        <f t="shared" si="311"/>
        <v>2024-06-29</v>
      </c>
      <c r="V1266" s="43">
        <f t="shared" si="312"/>
        <v>45472</v>
      </c>
      <c r="W1266" s="44">
        <f t="array" ref="W1266">_xlfn.IFS(TRIM(C1266)="","",TRIM(V1266)="","",TRUE,V1266-C1266)</f>
        <v>5</v>
      </c>
      <c r="X1266" s="37">
        <f t="shared" si="313"/>
        <v>1</v>
      </c>
      <c r="Y1266" s="37" t="s">
        <v>72</v>
      </c>
      <c r="Z1266" s="37" t="str">
        <f t="shared" si="314"/>
        <v>delayed</v>
      </c>
      <c r="AA1266" s="37" t="str">
        <f t="shared" si="315"/>
        <v>Late</v>
      </c>
      <c r="AB1266" s="37" t="str">
        <f t="shared" si="318"/>
        <v>1</v>
      </c>
      <c r="AC1266" s="37">
        <f t="shared" si="319"/>
        <v>1</v>
      </c>
      <c r="AD1266" s="45">
        <f t="shared" si="317"/>
        <v>0.558558558558559</v>
      </c>
      <c r="AE1266" s="37">
        <v>5</v>
      </c>
      <c r="AF1266" s="37" t="s">
        <v>152</v>
      </c>
      <c r="AG1266" s="37" t="str">
        <f t="shared" si="316"/>
        <v>no</v>
      </c>
      <c r="AH1266" s="37" t="str">
        <f t="array" ref="AH1266">_xlfn.IFS(LOWER(AG1266)="n","no",LOWER(AG1266)="y","yes",TRUE,LOWER(AG1266))</f>
        <v>no</v>
      </c>
      <c r="AI1266" s="37" t="s">
        <v>4692</v>
      </c>
    </row>
    <row r="1267" spans="1:35">
      <c r="A1267" s="46" t="s">
        <v>3966</v>
      </c>
      <c r="B1267" s="47">
        <v>45417</v>
      </c>
      <c r="C1267" s="39">
        <f t="shared" si="304"/>
        <v>45417</v>
      </c>
      <c r="D1267" s="48" t="s">
        <v>300</v>
      </c>
      <c r="E1267" s="37" t="str" cm="1">
        <f t="array" ref="E1267">_xlfn.IFS(D1267="delhi","north",D1267="mumbai","west",D1267="bengaluru","south",D1267="chennai","south",D1267="kolkata","east",TRUE,"west")</f>
        <v>west</v>
      </c>
      <c r="F1267" s="46" t="s">
        <v>184</v>
      </c>
      <c r="G1267" s="37" t="str">
        <f t="shared" si="305"/>
        <v>ecomexpress</v>
      </c>
      <c r="H1267" s="46" t="s">
        <v>137</v>
      </c>
      <c r="I1267" s="37" t="str">
        <f t="shared" si="306"/>
        <v>road</v>
      </c>
      <c r="J1267" s="46" t="s">
        <v>283</v>
      </c>
      <c r="K1267" s="37" t="str">
        <f t="shared" si="307"/>
        <v>pharma</v>
      </c>
      <c r="L1267" s="46" t="s">
        <v>125</v>
      </c>
      <c r="M1267" s="37" t="str">
        <f t="shared" si="308"/>
        <v>east</v>
      </c>
      <c r="N1267" s="46" t="s">
        <v>126</v>
      </c>
      <c r="O1267" s="41" t="str">
        <f t="shared" si="309"/>
        <v>Yes</v>
      </c>
      <c r="P1267" s="49">
        <v>3</v>
      </c>
      <c r="Q1267" s="49" t="s">
        <v>3967</v>
      </c>
      <c r="R1267" s="42">
        <f t="shared" si="310"/>
        <v>82.3333333333333</v>
      </c>
      <c r="S1267" s="46">
        <v>8</v>
      </c>
      <c r="T1267" s="46" t="s">
        <v>2640</v>
      </c>
      <c r="U1267" s="43" t="str">
        <f t="shared" si="311"/>
        <v>13/05/2024</v>
      </c>
      <c r="V1267" s="43">
        <f t="shared" si="312"/>
        <v>45425</v>
      </c>
      <c r="W1267" s="44">
        <f t="array" ref="W1267">_xlfn.IFS(TRIM(C1267)="","",TRIM(V1267)="","",TRUE,V1267-C1267)</f>
        <v>8</v>
      </c>
      <c r="X1267" s="37">
        <f t="shared" si="313"/>
        <v>0</v>
      </c>
      <c r="Y1267" s="46" t="s">
        <v>117</v>
      </c>
      <c r="Z1267" s="37" t="str">
        <f t="shared" si="314"/>
        <v>delivered</v>
      </c>
      <c r="AA1267" s="37" t="str">
        <f t="shared" si="315"/>
        <v>On Time</v>
      </c>
      <c r="AB1267" s="37" t="str">
        <f t="shared" si="318"/>
        <v>0</v>
      </c>
      <c r="AC1267" s="37">
        <f t="shared" si="319"/>
        <v>0</v>
      </c>
      <c r="AD1267" s="45">
        <f t="shared" si="317"/>
        <v>0.557228915662651</v>
      </c>
      <c r="AE1267" s="46">
        <v>5</v>
      </c>
      <c r="AF1267" s="46" t="s">
        <v>106</v>
      </c>
      <c r="AG1267" s="37" t="str">
        <f t="shared" si="316"/>
        <v>yes</v>
      </c>
      <c r="AH1267" s="37" t="str">
        <f t="array" ref="AH1267">_xlfn.IFS(LOWER(AG1267)="n","no",LOWER(AG1267)="y","yes",TRUE,LOWER(AG1267))</f>
        <v>yes</v>
      </c>
      <c r="AI1267" s="46" t="s">
        <v>4692</v>
      </c>
    </row>
    <row r="1268" spans="1:35">
      <c r="A1268" s="37" t="s">
        <v>3968</v>
      </c>
      <c r="B1268" s="38" t="s">
        <v>4788</v>
      </c>
      <c r="C1268" s="39">
        <f t="shared" si="304"/>
        <v>45387</v>
      </c>
      <c r="D1268" s="40" t="s">
        <v>212</v>
      </c>
      <c r="E1268" s="37" t="str" cm="1">
        <f t="array" ref="E1268">_xlfn.IFS(D1268="delhi","north",D1268="mumbai","west",D1268="bengaluru","south",D1268="chennai","south",D1268="kolkata","east",TRUE,"west")</f>
        <v>west</v>
      </c>
      <c r="F1268" s="37" t="s">
        <v>213</v>
      </c>
      <c r="G1268" s="37" t="str">
        <f t="shared" si="305"/>
        <v>dtdc</v>
      </c>
      <c r="H1268" s="37" t="s">
        <v>176</v>
      </c>
      <c r="I1268" s="37" t="str">
        <f t="shared" si="306"/>
        <v>road</v>
      </c>
      <c r="J1268" s="37" t="s">
        <v>612</v>
      </c>
      <c r="K1268" s="37" t="str">
        <f t="shared" si="307"/>
        <v>grocery&amp;fmcg</v>
      </c>
      <c r="L1268" s="37" t="s">
        <v>101</v>
      </c>
      <c r="M1268" s="37" t="str">
        <f t="shared" si="308"/>
        <v>west</v>
      </c>
      <c r="N1268" s="37" t="s">
        <v>187</v>
      </c>
      <c r="O1268" s="41" t="str">
        <f t="shared" si="309"/>
        <v>Yes</v>
      </c>
      <c r="P1268" s="41">
        <v>5.9</v>
      </c>
      <c r="Q1268" s="41" t="s">
        <v>3771</v>
      </c>
      <c r="R1268" s="42">
        <f t="shared" si="310"/>
        <v>23.8983050847458</v>
      </c>
      <c r="S1268" s="37">
        <v>6</v>
      </c>
      <c r="T1268" s="37" t="s">
        <v>1269</v>
      </c>
      <c r="U1268" s="43" t="str">
        <f t="shared" si="311"/>
        <v>12/04/2024</v>
      </c>
      <c r="V1268" s="43">
        <f t="shared" si="312"/>
        <v>45394</v>
      </c>
      <c r="W1268" s="44">
        <f t="array" ref="W1268">_xlfn.IFS(TRIM(C1268)="","",TRIM(V1268)="","",TRUE,V1268-C1268)</f>
        <v>7</v>
      </c>
      <c r="X1268" s="37">
        <f t="shared" si="313"/>
        <v>1</v>
      </c>
      <c r="Y1268" s="37" t="s">
        <v>143</v>
      </c>
      <c r="Z1268" s="37" t="str">
        <f t="shared" si="314"/>
        <v>delayed</v>
      </c>
      <c r="AA1268" s="37" t="str">
        <f t="shared" si="315"/>
        <v>Late</v>
      </c>
      <c r="AB1268" s="37" t="str">
        <f t="shared" si="318"/>
        <v>1</v>
      </c>
      <c r="AC1268" s="37">
        <f t="shared" si="319"/>
        <v>1</v>
      </c>
      <c r="AD1268" s="45">
        <f t="shared" si="317"/>
        <v>0.558912386706949</v>
      </c>
      <c r="AE1268" s="37">
        <v>3</v>
      </c>
      <c r="AF1268" s="37" t="s">
        <v>152</v>
      </c>
      <c r="AG1268" s="37" t="str">
        <f t="shared" si="316"/>
        <v>no</v>
      </c>
      <c r="AH1268" s="37" t="str">
        <f t="array" ref="AH1268">_xlfn.IFS(LOWER(AG1268)="n","no",LOWER(AG1268)="y","yes",TRUE,LOWER(AG1268))</f>
        <v>no</v>
      </c>
      <c r="AI1268" s="37" t="s">
        <v>4692</v>
      </c>
    </row>
    <row r="1269" spans="1:35">
      <c r="A1269" s="46" t="s">
        <v>3969</v>
      </c>
      <c r="B1269" s="47" t="s">
        <v>4726</v>
      </c>
      <c r="C1269" s="39">
        <f t="shared" si="304"/>
        <v>45304</v>
      </c>
      <c r="D1269" s="48" t="s">
        <v>340</v>
      </c>
      <c r="E1269" s="37" t="str" cm="1">
        <f t="array" ref="E1269">_xlfn.IFS(D1269="delhi","north",D1269="mumbai","west",D1269="bengaluru","south",D1269="chennai","south",D1269="kolkata","east",TRUE,"west")</f>
        <v>north</v>
      </c>
      <c r="F1269" s="46" t="s">
        <v>146</v>
      </c>
      <c r="G1269" s="37" t="str">
        <f t="shared" si="305"/>
        <v>ecomexpress</v>
      </c>
      <c r="H1269" s="46" t="s">
        <v>110</v>
      </c>
      <c r="I1269" s="37" t="str">
        <f t="shared" si="306"/>
        <v>surface</v>
      </c>
      <c r="J1269" s="46" t="s">
        <v>231</v>
      </c>
      <c r="K1269" s="37" t="str">
        <f t="shared" si="307"/>
        <v>furniture</v>
      </c>
      <c r="L1269" s="46" t="s">
        <v>197</v>
      </c>
      <c r="M1269" s="37" t="str">
        <f t="shared" si="308"/>
        <v>south</v>
      </c>
      <c r="N1269" s="46" t="s">
        <v>54</v>
      </c>
      <c r="O1269" s="41" t="str">
        <f t="shared" si="309"/>
        <v>Yes</v>
      </c>
      <c r="P1269" s="49">
        <v>55.5</v>
      </c>
      <c r="Q1269" s="51">
        <v>1376</v>
      </c>
      <c r="R1269" s="42">
        <f t="shared" si="310"/>
        <v>24.7927927927928</v>
      </c>
      <c r="S1269" s="46">
        <v>6</v>
      </c>
      <c r="T1269" s="46" t="s">
        <v>761</v>
      </c>
      <c r="U1269" s="43" t="str">
        <f t="shared" si="311"/>
        <v>18/01/2024</v>
      </c>
      <c r="V1269" s="43">
        <f t="shared" si="312"/>
        <v>45309</v>
      </c>
      <c r="W1269" s="44">
        <f t="array" ref="W1269">_xlfn.IFS(TRIM(C1269)="","",TRIM(V1269)="","",TRUE,V1269-C1269)</f>
        <v>5</v>
      </c>
      <c r="X1269" s="37">
        <f t="shared" si="313"/>
        <v>-1</v>
      </c>
      <c r="Y1269" s="46" t="s">
        <v>105</v>
      </c>
      <c r="Z1269" s="37" t="str">
        <f t="shared" si="314"/>
        <v>delivered</v>
      </c>
      <c r="AA1269" s="37" t="str">
        <f t="shared" si="315"/>
        <v>On Time</v>
      </c>
      <c r="AB1269" s="37" t="str">
        <f t="shared" si="318"/>
        <v>0</v>
      </c>
      <c r="AC1269" s="37">
        <f t="shared" si="319"/>
        <v>0</v>
      </c>
      <c r="AD1269" s="45">
        <f t="shared" si="317"/>
        <v>0.557575757575758</v>
      </c>
      <c r="AE1269" s="46">
        <v>4</v>
      </c>
      <c r="AF1269" s="46" t="s">
        <v>106</v>
      </c>
      <c r="AG1269" s="37" t="str">
        <f t="shared" si="316"/>
        <v>yes</v>
      </c>
      <c r="AH1269" s="37" t="str">
        <f t="array" ref="AH1269">_xlfn.IFS(LOWER(AG1269)="n","no",LOWER(AG1269)="y","yes",TRUE,LOWER(AG1269))</f>
        <v>yes</v>
      </c>
      <c r="AI1269" s="46" t="s">
        <v>4692</v>
      </c>
    </row>
    <row r="1270" spans="1:35">
      <c r="A1270" s="37" t="s">
        <v>3972</v>
      </c>
      <c r="B1270" s="38">
        <v>45354</v>
      </c>
      <c r="C1270" s="39">
        <f t="shared" si="304"/>
        <v>45354</v>
      </c>
      <c r="D1270" s="40" t="s">
        <v>633</v>
      </c>
      <c r="E1270" s="37" t="str" cm="1">
        <f t="array" ref="E1270">_xlfn.IFS(D1270="delhi","north",D1270="mumbai","west",D1270="bengaluru","south",D1270="chennai","south",D1270="kolkata","east",TRUE,"west")</f>
        <v>south</v>
      </c>
      <c r="F1270" s="37" t="s">
        <v>213</v>
      </c>
      <c r="G1270" s="37" t="str">
        <f t="shared" si="305"/>
        <v>dtdc</v>
      </c>
      <c r="H1270" s="37" t="s">
        <v>224</v>
      </c>
      <c r="I1270" s="37" t="str">
        <f t="shared" si="306"/>
        <v>air</v>
      </c>
      <c r="J1270" s="37" t="s">
        <v>425</v>
      </c>
      <c r="K1270" s="37" t="str">
        <f t="shared" si="307"/>
        <v>automotiveparts</v>
      </c>
      <c r="L1270" s="37" t="s">
        <v>418</v>
      </c>
      <c r="M1270" s="37" t="str">
        <f t="shared" si="308"/>
        <v>south</v>
      </c>
      <c r="N1270" s="37" t="s">
        <v>54</v>
      </c>
      <c r="O1270" s="41" t="str">
        <f t="shared" si="309"/>
        <v>Yes</v>
      </c>
      <c r="P1270" s="41">
        <v>16.6</v>
      </c>
      <c r="Q1270" s="41" t="s">
        <v>3973</v>
      </c>
      <c r="R1270" s="42">
        <f t="shared" si="310"/>
        <v>46.6265060240964</v>
      </c>
      <c r="S1270" s="37">
        <v>2</v>
      </c>
      <c r="T1270" s="37" t="s">
        <v>658</v>
      </c>
      <c r="U1270" s="43" t="str">
        <f t="shared" si="311"/>
        <v>13/03/2024</v>
      </c>
      <c r="V1270" s="43">
        <f t="shared" si="312"/>
        <v>45364</v>
      </c>
      <c r="W1270" s="44">
        <f t="array" ref="W1270">_xlfn.IFS(TRIM(C1270)="","",TRIM(V1270)="","",TRUE,V1270-C1270)</f>
        <v>10</v>
      </c>
      <c r="X1270" s="37">
        <f t="shared" si="313"/>
        <v>8</v>
      </c>
      <c r="Y1270" s="37" t="s">
        <v>143</v>
      </c>
      <c r="Z1270" s="37" t="str">
        <f t="shared" si="314"/>
        <v>delayed</v>
      </c>
      <c r="AA1270" s="37" t="str">
        <f t="shared" si="315"/>
        <v>Late</v>
      </c>
      <c r="AB1270" s="37" t="str">
        <f t="shared" si="318"/>
        <v>1</v>
      </c>
      <c r="AC1270" s="37">
        <f t="shared" si="319"/>
        <v>1</v>
      </c>
      <c r="AD1270" s="45">
        <f t="shared" si="317"/>
        <v>0.559270516717325</v>
      </c>
      <c r="AE1270" s="37">
        <v>3</v>
      </c>
      <c r="AF1270" s="37" t="s">
        <v>118</v>
      </c>
      <c r="AG1270" s="37" t="str">
        <f t="shared" si="316"/>
        <v>no</v>
      </c>
      <c r="AH1270" s="37" t="str">
        <f t="array" ref="AH1270">_xlfn.IFS(LOWER(AG1270)="n","no",LOWER(AG1270)="y","yes",TRUE,LOWER(AG1270))</f>
        <v>no</v>
      </c>
      <c r="AI1270" s="37" t="s">
        <v>4692</v>
      </c>
    </row>
    <row r="1271" spans="1:35">
      <c r="A1271" s="46" t="s">
        <v>3974</v>
      </c>
      <c r="B1271" s="47">
        <v>45323</v>
      </c>
      <c r="C1271" s="39">
        <f t="shared" si="304"/>
        <v>45323</v>
      </c>
      <c r="D1271" s="48" t="s">
        <v>340</v>
      </c>
      <c r="E1271" s="37" t="str" cm="1">
        <f t="array" ref="E1271">_xlfn.IFS(D1271="delhi","north",D1271="mumbai","west",D1271="bengaluru","south",D1271="chennai","south",D1271="kolkata","east",TRUE,"west")</f>
        <v>north</v>
      </c>
      <c r="F1271" s="46" t="s">
        <v>367</v>
      </c>
      <c r="G1271" s="37" t="str">
        <f t="shared" si="305"/>
        <v>dtdc</v>
      </c>
      <c r="H1271" s="46" t="s">
        <v>195</v>
      </c>
      <c r="I1271" s="37" t="str">
        <f t="shared" si="306"/>
        <v>road</v>
      </c>
      <c r="J1271" s="46" t="s">
        <v>283</v>
      </c>
      <c r="K1271" s="37" t="str">
        <f t="shared" si="307"/>
        <v>pharma</v>
      </c>
      <c r="L1271" s="46" t="s">
        <v>89</v>
      </c>
      <c r="M1271" s="37" t="str">
        <f t="shared" si="308"/>
        <v>west</v>
      </c>
      <c r="N1271" s="46" t="s">
        <v>187</v>
      </c>
      <c r="O1271" s="41" t="str">
        <f t="shared" si="309"/>
        <v>Yes</v>
      </c>
      <c r="P1271" s="49">
        <v>2.7</v>
      </c>
      <c r="Q1271" s="49" t="s">
        <v>935</v>
      </c>
      <c r="R1271" s="42">
        <f t="shared" si="310"/>
        <v>88.1481481481481</v>
      </c>
      <c r="S1271" s="46">
        <v>8</v>
      </c>
      <c r="T1271" s="46" t="s">
        <v>2670</v>
      </c>
      <c r="U1271" s="43" t="str">
        <f t="shared" si="311"/>
        <v>08/02/2024</v>
      </c>
      <c r="V1271" s="43">
        <f t="shared" si="312"/>
        <v>45330</v>
      </c>
      <c r="W1271" s="44">
        <f t="array" ref="W1271">_xlfn.IFS(TRIM(C1271)="","",TRIM(V1271)="","",TRUE,V1271-C1271)</f>
        <v>7</v>
      </c>
      <c r="X1271" s="37">
        <f t="shared" si="313"/>
        <v>-1</v>
      </c>
      <c r="Y1271" s="46" t="s">
        <v>163</v>
      </c>
      <c r="Z1271" s="37" t="str">
        <f t="shared" si="314"/>
        <v>delivered</v>
      </c>
      <c r="AA1271" s="37" t="str">
        <f t="shared" si="315"/>
        <v>On Time</v>
      </c>
      <c r="AB1271" s="37" t="str">
        <f t="shared" si="318"/>
        <v>0</v>
      </c>
      <c r="AC1271" s="37">
        <f t="shared" si="319"/>
        <v>0</v>
      </c>
      <c r="AD1271" s="45">
        <f t="shared" si="317"/>
        <v>0.557926829268293</v>
      </c>
      <c r="AE1271" s="46">
        <v>5</v>
      </c>
      <c r="AF1271" s="46" t="s">
        <v>131</v>
      </c>
      <c r="AG1271" s="37" t="str">
        <f t="shared" si="316"/>
        <v>n</v>
      </c>
      <c r="AH1271" s="37" t="str">
        <f t="array" ref="AH1271">_xlfn.IFS(LOWER(AG1271)="n","no",LOWER(AG1271)="y","yes",TRUE,LOWER(AG1271))</f>
        <v>no</v>
      </c>
      <c r="AI1271" s="46" t="s">
        <v>4692</v>
      </c>
    </row>
    <row r="1272" spans="1:35">
      <c r="A1272" s="37" t="s">
        <v>3975</v>
      </c>
      <c r="B1272" s="38">
        <v>45331</v>
      </c>
      <c r="C1272" s="39">
        <f t="shared" si="304"/>
        <v>45331</v>
      </c>
      <c r="D1272" s="40" t="s">
        <v>340</v>
      </c>
      <c r="E1272" s="37" t="str" cm="1">
        <f t="array" ref="E1272">_xlfn.IFS(D1272="delhi","north",D1272="mumbai","west",D1272="bengaluru","south",D1272="chennai","south",D1272="kolkata","east",TRUE,"west")</f>
        <v>north</v>
      </c>
      <c r="F1272" s="37" t="s">
        <v>312</v>
      </c>
      <c r="G1272" s="37" t="str">
        <f t="shared" si="305"/>
        <v>bluedart</v>
      </c>
      <c r="H1272" s="37" t="s">
        <v>244</v>
      </c>
      <c r="I1272" s="37" t="str">
        <f t="shared" si="306"/>
        <v>air</v>
      </c>
      <c r="J1272" s="37" t="s">
        <v>263</v>
      </c>
      <c r="K1272" s="37" t="str">
        <f t="shared" si="307"/>
        <v>apparel</v>
      </c>
      <c r="L1272" s="37" t="s">
        <v>380</v>
      </c>
      <c r="M1272" s="37" t="str">
        <f t="shared" si="308"/>
        <v>east</v>
      </c>
      <c r="N1272" s="37" t="s">
        <v>396</v>
      </c>
      <c r="O1272" s="41" t="str">
        <f t="shared" si="309"/>
        <v>Yes</v>
      </c>
      <c r="P1272" s="41" t="s">
        <v>1288</v>
      </c>
      <c r="Q1272" s="41" t="s">
        <v>3976</v>
      </c>
      <c r="R1272" s="42">
        <f t="shared" si="310"/>
        <v>64.3037974683544</v>
      </c>
      <c r="S1272" s="37">
        <v>4</v>
      </c>
      <c r="T1272" s="37" t="s">
        <v>1048</v>
      </c>
      <c r="U1272" s="43" t="str">
        <f t="shared" si="311"/>
        <v>2024-02-13</v>
      </c>
      <c r="V1272" s="43">
        <f t="shared" si="312"/>
        <v>45335</v>
      </c>
      <c r="W1272" s="44">
        <f t="array" ref="W1272">_xlfn.IFS(TRIM(C1272)="","",TRIM(V1272)="","",TRUE,V1272-C1272)</f>
        <v>4</v>
      </c>
      <c r="X1272" s="37">
        <f t="shared" si="313"/>
        <v>0</v>
      </c>
      <c r="Y1272" s="37" t="s">
        <v>117</v>
      </c>
      <c r="Z1272" s="37" t="str">
        <f t="shared" si="314"/>
        <v>delivered</v>
      </c>
      <c r="AA1272" s="37" t="str">
        <f t="shared" si="315"/>
        <v>On Time</v>
      </c>
      <c r="AB1272" s="37" t="str">
        <f t="shared" si="318"/>
        <v>0</v>
      </c>
      <c r="AC1272" s="37">
        <f t="shared" si="319"/>
        <v>0</v>
      </c>
      <c r="AD1272" s="45">
        <f t="shared" si="317"/>
        <v>0.559633027522936</v>
      </c>
      <c r="AE1272" s="37">
        <v>3</v>
      </c>
      <c r="AF1272" s="37" t="s">
        <v>286</v>
      </c>
      <c r="AG1272" s="37" t="str">
        <f t="shared" si="316"/>
        <v>yes</v>
      </c>
      <c r="AH1272" s="37" t="str">
        <f t="array" ref="AH1272">_xlfn.IFS(LOWER(AG1272)="n","no",LOWER(AG1272)="y","yes",TRUE,LOWER(AG1272))</f>
        <v>yes</v>
      </c>
      <c r="AI1272" s="37" t="s">
        <v>4692</v>
      </c>
    </row>
    <row r="1273" spans="1:35">
      <c r="A1273" s="46" t="s">
        <v>3977</v>
      </c>
      <c r="B1273" s="47">
        <v>45353</v>
      </c>
      <c r="C1273" s="39">
        <f t="shared" si="304"/>
        <v>45353</v>
      </c>
      <c r="D1273" s="48" t="s">
        <v>4699</v>
      </c>
      <c r="E1273" s="37" t="str" cm="1">
        <f t="array" ref="E1273">_xlfn.IFS(D1273="delhi","north",D1273="mumbai","west",D1273="bengaluru","south",D1273="chennai","south",D1273="kolkata","east",TRUE,"west")</f>
        <v>west</v>
      </c>
      <c r="F1273" s="46" t="s">
        <v>367</v>
      </c>
      <c r="G1273" s="37" t="str">
        <f t="shared" si="305"/>
        <v>dtdc</v>
      </c>
      <c r="H1273" s="46" t="s">
        <v>195</v>
      </c>
      <c r="I1273" s="37" t="str">
        <f t="shared" si="306"/>
        <v>road</v>
      </c>
      <c r="J1273" s="46" t="s">
        <v>385</v>
      </c>
      <c r="K1273" s="37" t="str">
        <f t="shared" si="307"/>
        <v>furniture</v>
      </c>
      <c r="L1273" s="46" t="s">
        <v>264</v>
      </c>
      <c r="M1273" s="37" t="str">
        <f t="shared" si="308"/>
        <v>west</v>
      </c>
      <c r="N1273" s="46" t="s">
        <v>187</v>
      </c>
      <c r="O1273" s="41" t="str">
        <f t="shared" si="309"/>
        <v>Yes</v>
      </c>
      <c r="P1273" s="49">
        <v>36.5</v>
      </c>
      <c r="Q1273" s="49">
        <v>529</v>
      </c>
      <c r="R1273" s="42">
        <f t="shared" si="310"/>
        <v>14.4931506849315</v>
      </c>
      <c r="S1273" s="46">
        <v>6</v>
      </c>
      <c r="T1273" s="46" t="s">
        <v>995</v>
      </c>
      <c r="U1273" s="43" t="str">
        <f t="shared" si="311"/>
        <v>07/03/2024</v>
      </c>
      <c r="V1273" s="43">
        <f t="shared" si="312"/>
        <v>45358</v>
      </c>
      <c r="W1273" s="44">
        <f t="array" ref="W1273">_xlfn.IFS(TRIM(C1273)="","",TRIM(V1273)="","",TRUE,V1273-C1273)</f>
        <v>5</v>
      </c>
      <c r="X1273" s="37">
        <f t="shared" si="313"/>
        <v>-1</v>
      </c>
      <c r="Y1273" s="46" t="s">
        <v>219</v>
      </c>
      <c r="Z1273" s="37" t="str">
        <f t="shared" si="314"/>
        <v>delivered</v>
      </c>
      <c r="AA1273" s="37" t="str">
        <f t="shared" si="315"/>
        <v>On Time</v>
      </c>
      <c r="AB1273" s="37" t="str">
        <f t="shared" si="318"/>
        <v>0</v>
      </c>
      <c r="AC1273" s="37">
        <f t="shared" si="319"/>
        <v>0</v>
      </c>
      <c r="AD1273" s="45">
        <f t="shared" si="317"/>
        <v>0.561349693251534</v>
      </c>
      <c r="AE1273" s="46">
        <v>5</v>
      </c>
      <c r="AF1273" s="46" t="s">
        <v>181</v>
      </c>
      <c r="AG1273" s="37" t="str">
        <f t="shared" si="316"/>
        <v>y</v>
      </c>
      <c r="AH1273" s="37" t="str">
        <f t="array" ref="AH1273">_xlfn.IFS(LOWER(AG1273)="n","no",LOWER(AG1273)="y","yes",TRUE,LOWER(AG1273))</f>
        <v>yes</v>
      </c>
      <c r="AI1273" s="46" t="s">
        <v>4692</v>
      </c>
    </row>
    <row r="1274" spans="1:35">
      <c r="A1274" s="37" t="s">
        <v>3979</v>
      </c>
      <c r="B1274" s="38">
        <v>45311</v>
      </c>
      <c r="C1274" s="39">
        <f t="shared" si="304"/>
        <v>45311</v>
      </c>
      <c r="D1274" s="40" t="s">
        <v>340</v>
      </c>
      <c r="E1274" s="37" t="str" cm="1">
        <f t="array" ref="E1274">_xlfn.IFS(D1274="delhi","north",D1274="mumbai","west",D1274="bengaluru","south",D1274="chennai","south",D1274="kolkata","east",TRUE,"west")</f>
        <v>north</v>
      </c>
      <c r="F1274" s="37" t="s">
        <v>367</v>
      </c>
      <c r="G1274" s="37" t="str">
        <f t="shared" si="305"/>
        <v>dtdc</v>
      </c>
      <c r="H1274" s="37" t="s">
        <v>325</v>
      </c>
      <c r="I1274" s="37" t="str">
        <f t="shared" si="306"/>
        <v>air</v>
      </c>
      <c r="J1274" s="37" t="s">
        <v>582</v>
      </c>
      <c r="K1274" s="37" t="str">
        <f t="shared" si="307"/>
        <v>grocery&amp;fmcg</v>
      </c>
      <c r="L1274" s="37" t="s">
        <v>257</v>
      </c>
      <c r="M1274" s="37" t="str">
        <f t="shared" si="308"/>
        <v>west</v>
      </c>
      <c r="N1274" s="37" t="s">
        <v>88</v>
      </c>
      <c r="O1274" s="41" t="str">
        <f t="shared" si="309"/>
        <v>Yes</v>
      </c>
      <c r="P1274" s="41">
        <v>15.3</v>
      </c>
      <c r="Q1274" s="41">
        <v>811</v>
      </c>
      <c r="R1274" s="42">
        <f t="shared" si="310"/>
        <v>53.0065359477124</v>
      </c>
      <c r="S1274" s="37">
        <v>4</v>
      </c>
      <c r="T1274" s="37" t="s">
        <v>676</v>
      </c>
      <c r="U1274" s="43" t="str">
        <f t="shared" si="311"/>
        <v>23/01/2024</v>
      </c>
      <c r="V1274" s="43">
        <f t="shared" si="312"/>
        <v>45314</v>
      </c>
      <c r="W1274" s="44">
        <f t="array" ref="W1274">_xlfn.IFS(TRIM(C1274)="","",TRIM(V1274)="","",TRUE,V1274-C1274)</f>
        <v>3</v>
      </c>
      <c r="X1274" s="37">
        <f t="shared" si="313"/>
        <v>-1</v>
      </c>
      <c r="Y1274" s="37" t="s">
        <v>163</v>
      </c>
      <c r="Z1274" s="37" t="str">
        <f t="shared" si="314"/>
        <v>delivered</v>
      </c>
      <c r="AA1274" s="37" t="str">
        <f t="shared" si="315"/>
        <v>On Time</v>
      </c>
      <c r="AB1274" s="37" t="str">
        <f t="shared" si="318"/>
        <v>0</v>
      </c>
      <c r="AC1274" s="37">
        <f t="shared" si="319"/>
        <v>0</v>
      </c>
      <c r="AD1274" s="45">
        <f t="shared" si="317"/>
        <v>0.563076923076923</v>
      </c>
      <c r="AE1274" s="37">
        <v>3</v>
      </c>
      <c r="AF1274" s="37" t="s">
        <v>118</v>
      </c>
      <c r="AG1274" s="37" t="str">
        <f t="shared" si="316"/>
        <v>no</v>
      </c>
      <c r="AH1274" s="37" t="str">
        <f t="array" ref="AH1274">_xlfn.IFS(LOWER(AG1274)="n","no",LOWER(AG1274)="y","yes",TRUE,LOWER(AG1274))</f>
        <v>no</v>
      </c>
      <c r="AI1274" s="37" t="s">
        <v>4692</v>
      </c>
    </row>
    <row r="1275" spans="1:35">
      <c r="A1275" s="46" t="s">
        <v>3982</v>
      </c>
      <c r="B1275" s="47" t="s">
        <v>4851</v>
      </c>
      <c r="C1275" s="39">
        <f t="shared" si="304"/>
        <v>45344</v>
      </c>
      <c r="D1275" s="48" t="s">
        <v>4705</v>
      </c>
      <c r="E1275" s="37" t="str" cm="1">
        <f t="array" ref="E1275">_xlfn.IFS(D1275="delhi","north",D1275="mumbai","west",D1275="bengaluru","south",D1275="chennai","south",D1275="kolkata","east",TRUE,"west")</f>
        <v>west</v>
      </c>
      <c r="F1275" s="46" t="s">
        <v>333</v>
      </c>
      <c r="G1275" s="37" t="str">
        <f t="shared" si="305"/>
        <v>delhivery</v>
      </c>
      <c r="H1275" s="46" t="s">
        <v>147</v>
      </c>
      <c r="I1275" s="37" t="str">
        <f t="shared" si="306"/>
        <v>road</v>
      </c>
      <c r="J1275" s="46" t="s">
        <v>1734</v>
      </c>
      <c r="K1275" s="37" t="str">
        <f t="shared" si="307"/>
        <v>automotiveparts</v>
      </c>
      <c r="L1275" s="46" t="s">
        <v>87</v>
      </c>
      <c r="M1275" s="37" t="str">
        <f t="shared" si="308"/>
        <v>north</v>
      </c>
      <c r="N1275" s="46" t="s">
        <v>113</v>
      </c>
      <c r="O1275" s="41" t="str">
        <f t="shared" si="309"/>
        <v>Yes</v>
      </c>
      <c r="P1275" s="49">
        <v>11.8</v>
      </c>
      <c r="Q1275" s="49">
        <v>170</v>
      </c>
      <c r="R1275" s="42">
        <f t="shared" si="310"/>
        <v>14.4067796610169</v>
      </c>
      <c r="S1275" s="46">
        <v>6</v>
      </c>
      <c r="T1275" s="46" t="s">
        <v>306</v>
      </c>
      <c r="U1275" s="43" t="str">
        <f t="shared" si="311"/>
        <v>28/02/2024</v>
      </c>
      <c r="V1275" s="43">
        <f t="shared" si="312"/>
        <v>45350</v>
      </c>
      <c r="W1275" s="44">
        <f t="array" ref="W1275">_xlfn.IFS(TRIM(C1275)="","",TRIM(V1275)="","",TRUE,V1275-C1275)</f>
        <v>6</v>
      </c>
      <c r="X1275" s="37">
        <f t="shared" si="313"/>
        <v>0</v>
      </c>
      <c r="Y1275" s="46" t="s">
        <v>130</v>
      </c>
      <c r="Z1275" s="37" t="str">
        <f t="shared" si="314"/>
        <v>damaged</v>
      </c>
      <c r="AA1275" s="37" t="str">
        <f t="shared" si="315"/>
        <v>On Time</v>
      </c>
      <c r="AB1275" s="37" t="str">
        <f t="shared" si="318"/>
        <v>0</v>
      </c>
      <c r="AC1275" s="37">
        <f t="shared" si="319"/>
        <v>0</v>
      </c>
      <c r="AD1275" s="45">
        <f t="shared" si="317"/>
        <v>0.564814814814815</v>
      </c>
      <c r="AE1275" s="46"/>
      <c r="AF1275" s="46" t="s">
        <v>131</v>
      </c>
      <c r="AG1275" s="37" t="str">
        <f t="shared" si="316"/>
        <v>n</v>
      </c>
      <c r="AH1275" s="37" t="str">
        <f t="array" ref="AH1275">_xlfn.IFS(LOWER(AG1275)="n","no",LOWER(AG1275)="y","yes",TRUE,LOWER(AG1275))</f>
        <v>no</v>
      </c>
      <c r="AI1275" s="46" t="s">
        <v>759</v>
      </c>
    </row>
    <row r="1276" spans="1:35">
      <c r="A1276" s="37" t="s">
        <v>3984</v>
      </c>
      <c r="B1276" s="38">
        <v>45357</v>
      </c>
      <c r="C1276" s="39">
        <f t="shared" si="304"/>
        <v>45357</v>
      </c>
      <c r="D1276" s="40" t="s">
        <v>109</v>
      </c>
      <c r="E1276" s="37" t="str" cm="1">
        <f t="array" ref="E1276">_xlfn.IFS(D1276="delhi","north",D1276="mumbai","west",D1276="bengaluru","south",D1276="chennai","south",D1276="kolkata","east",TRUE,"west")</f>
        <v>west</v>
      </c>
      <c r="F1276" s="37" t="s">
        <v>184</v>
      </c>
      <c r="G1276" s="37" t="str">
        <f t="shared" si="305"/>
        <v>ecomexpress</v>
      </c>
      <c r="H1276" s="37" t="s">
        <v>325</v>
      </c>
      <c r="I1276" s="37" t="str">
        <f t="shared" si="306"/>
        <v>air</v>
      </c>
      <c r="J1276" s="37" t="s">
        <v>47</v>
      </c>
      <c r="K1276" s="37" t="str">
        <f t="shared" si="307"/>
        <v>electronics</v>
      </c>
      <c r="L1276" s="37" t="s">
        <v>334</v>
      </c>
      <c r="M1276" s="37" t="str">
        <f t="shared" si="308"/>
        <v>north</v>
      </c>
      <c r="N1276" s="37" t="s">
        <v>32</v>
      </c>
      <c r="O1276" s="41" t="str">
        <f t="shared" si="309"/>
        <v>Yes</v>
      </c>
      <c r="P1276" s="41">
        <v>3.4</v>
      </c>
      <c r="Q1276" s="41" t="s">
        <v>1303</v>
      </c>
      <c r="R1276" s="42">
        <f t="shared" si="310"/>
        <v>97.6470588235294</v>
      </c>
      <c r="S1276" s="37">
        <v>4</v>
      </c>
      <c r="T1276" s="37" t="s">
        <v>2354</v>
      </c>
      <c r="U1276" s="43" t="str">
        <f t="shared" si="311"/>
        <v>11-mar-2024</v>
      </c>
      <c r="V1276" s="43">
        <f t="shared" si="312"/>
        <v>45362</v>
      </c>
      <c r="W1276" s="44">
        <f t="array" ref="W1276">_xlfn.IFS(TRIM(C1276)="","",TRIM(V1276)="","",TRUE,V1276-C1276)</f>
        <v>5</v>
      </c>
      <c r="X1276" s="37">
        <f t="shared" si="313"/>
        <v>1</v>
      </c>
      <c r="Y1276" s="37" t="s">
        <v>143</v>
      </c>
      <c r="Z1276" s="37" t="str">
        <f t="shared" si="314"/>
        <v>delayed</v>
      </c>
      <c r="AA1276" s="37" t="str">
        <f t="shared" si="315"/>
        <v>Late</v>
      </c>
      <c r="AB1276" s="37" t="str">
        <f t="shared" si="318"/>
        <v>1</v>
      </c>
      <c r="AC1276" s="37">
        <f t="shared" si="319"/>
        <v>1</v>
      </c>
      <c r="AD1276" s="45">
        <f t="shared" si="317"/>
        <v>0.56656346749226</v>
      </c>
      <c r="AE1276" s="37">
        <v>2</v>
      </c>
      <c r="AF1276" s="37" t="s">
        <v>152</v>
      </c>
      <c r="AG1276" s="37" t="str">
        <f t="shared" si="316"/>
        <v>no</v>
      </c>
      <c r="AH1276" s="37" t="str">
        <f t="array" ref="AH1276">_xlfn.IFS(LOWER(AG1276)="n","no",LOWER(AG1276)="y","yes",TRUE,LOWER(AG1276))</f>
        <v>no</v>
      </c>
      <c r="AI1276" s="37" t="s">
        <v>4692</v>
      </c>
    </row>
    <row r="1277" spans="1:35">
      <c r="A1277" s="46" t="s">
        <v>3985</v>
      </c>
      <c r="B1277" s="47">
        <v>45413</v>
      </c>
      <c r="C1277" s="39">
        <f t="shared" si="304"/>
        <v>45413</v>
      </c>
      <c r="D1277" s="48" t="s">
        <v>4712</v>
      </c>
      <c r="E1277" s="37" t="str" cm="1">
        <f t="array" ref="E1277">_xlfn.IFS(D1277="delhi","north",D1277="mumbai","west",D1277="bengaluru","south",D1277="chennai","south",D1277="kolkata","east",TRUE,"west")</f>
        <v>west</v>
      </c>
      <c r="F1277" s="46" t="s">
        <v>146</v>
      </c>
      <c r="G1277" s="37" t="str">
        <f t="shared" si="305"/>
        <v>ecomexpress</v>
      </c>
      <c r="H1277" s="46" t="s">
        <v>99</v>
      </c>
      <c r="I1277" s="37" t="str">
        <f t="shared" si="306"/>
        <v>air</v>
      </c>
      <c r="J1277" s="46" t="s">
        <v>205</v>
      </c>
      <c r="K1277" s="37" t="str">
        <f t="shared" si="307"/>
        <v>furniture</v>
      </c>
      <c r="L1277" s="46" t="s">
        <v>125</v>
      </c>
      <c r="M1277" s="37" t="str">
        <f t="shared" si="308"/>
        <v>east</v>
      </c>
      <c r="N1277" s="46" t="s">
        <v>126</v>
      </c>
      <c r="O1277" s="41" t="str">
        <f t="shared" si="309"/>
        <v>Yes</v>
      </c>
      <c r="P1277" s="49">
        <v>23.8</v>
      </c>
      <c r="Q1277" s="49">
        <v>1258</v>
      </c>
      <c r="R1277" s="42">
        <f t="shared" si="310"/>
        <v>52.8571428571429</v>
      </c>
      <c r="S1277" s="46">
        <v>4</v>
      </c>
      <c r="T1277" s="46" t="s">
        <v>1758</v>
      </c>
      <c r="U1277" s="43" t="str">
        <f t="shared" si="311"/>
        <v>05/05/2024</v>
      </c>
      <c r="V1277" s="43">
        <f t="shared" si="312"/>
        <v>45417</v>
      </c>
      <c r="W1277" s="44">
        <f t="array" ref="W1277">_xlfn.IFS(TRIM(C1277)="","",TRIM(V1277)="","",TRUE,V1277-C1277)</f>
        <v>4</v>
      </c>
      <c r="X1277" s="37">
        <f t="shared" si="313"/>
        <v>0</v>
      </c>
      <c r="Y1277" s="46" t="s">
        <v>105</v>
      </c>
      <c r="Z1277" s="37" t="str">
        <f t="shared" si="314"/>
        <v>delivered</v>
      </c>
      <c r="AA1277" s="37" t="str">
        <f t="shared" si="315"/>
        <v>On Time</v>
      </c>
      <c r="AB1277" s="37" t="str">
        <f t="shared" si="318"/>
        <v>0</v>
      </c>
      <c r="AC1277" s="37">
        <f t="shared" si="319"/>
        <v>0</v>
      </c>
      <c r="AD1277" s="45">
        <f t="shared" si="317"/>
        <v>0.565217391304348</v>
      </c>
      <c r="AE1277" s="46">
        <v>4</v>
      </c>
      <c r="AF1277" s="46" t="s">
        <v>131</v>
      </c>
      <c r="AG1277" s="37" t="str">
        <f t="shared" si="316"/>
        <v>n</v>
      </c>
      <c r="AH1277" s="37" t="str">
        <f t="array" ref="AH1277">_xlfn.IFS(LOWER(AG1277)="n","no",LOWER(AG1277)="y","yes",TRUE,LOWER(AG1277))</f>
        <v>no</v>
      </c>
      <c r="AI1277" s="46" t="s">
        <v>4692</v>
      </c>
    </row>
    <row r="1278" spans="1:35">
      <c r="A1278" s="37" t="s">
        <v>3988</v>
      </c>
      <c r="B1278" s="38">
        <v>45383</v>
      </c>
      <c r="C1278" s="39">
        <f t="shared" si="304"/>
        <v>45383</v>
      </c>
      <c r="D1278" s="40" t="s">
        <v>300</v>
      </c>
      <c r="E1278" s="37" t="str" cm="1">
        <f t="array" ref="E1278">_xlfn.IFS(D1278="delhi","north",D1278="mumbai","west",D1278="bengaluru","south",D1278="chennai","south",D1278="kolkata","east",TRUE,"west")</f>
        <v>west</v>
      </c>
      <c r="F1278" s="37" t="s">
        <v>223</v>
      </c>
      <c r="G1278" s="37" t="str">
        <f t="shared" si="305"/>
        <v>xpressbees</v>
      </c>
      <c r="H1278" s="37" t="s">
        <v>42</v>
      </c>
      <c r="I1278" s="37" t="str">
        <f t="shared" si="306"/>
        <v>surface</v>
      </c>
      <c r="J1278" s="37" t="s">
        <v>283</v>
      </c>
      <c r="K1278" s="37" t="str">
        <f t="shared" si="307"/>
        <v>pharma</v>
      </c>
      <c r="L1278" s="37" t="s">
        <v>380</v>
      </c>
      <c r="M1278" s="37" t="str">
        <f t="shared" si="308"/>
        <v>east</v>
      </c>
      <c r="N1278" s="37" t="s">
        <v>91</v>
      </c>
      <c r="O1278" s="41" t="str">
        <f t="shared" si="309"/>
        <v>Yes</v>
      </c>
      <c r="P1278" s="41">
        <v>1.9</v>
      </c>
      <c r="Q1278" s="41" t="s">
        <v>3989</v>
      </c>
      <c r="R1278" s="42">
        <f t="shared" si="310"/>
        <v>113.684210526316</v>
      </c>
      <c r="S1278" s="37">
        <v>6</v>
      </c>
      <c r="T1278" s="37" t="s">
        <v>1220</v>
      </c>
      <c r="U1278" s="43" t="str">
        <f t="shared" si="311"/>
        <v>16/04/2024</v>
      </c>
      <c r="V1278" s="43">
        <f t="shared" si="312"/>
        <v>45398</v>
      </c>
      <c r="W1278" s="44">
        <f t="array" ref="W1278">_xlfn.IFS(TRIM(C1278)="","",TRIM(V1278)="","",TRUE,V1278-C1278)</f>
        <v>15</v>
      </c>
      <c r="X1278" s="37">
        <f t="shared" si="313"/>
        <v>9</v>
      </c>
      <c r="Y1278" s="37" t="s">
        <v>143</v>
      </c>
      <c r="Z1278" s="37" t="str">
        <f t="shared" si="314"/>
        <v>delayed</v>
      </c>
      <c r="AA1278" s="37" t="str">
        <f t="shared" si="315"/>
        <v>Late</v>
      </c>
      <c r="AB1278" s="37" t="str">
        <f t="shared" si="318"/>
        <v>1</v>
      </c>
      <c r="AC1278" s="37">
        <f t="shared" si="319"/>
        <v>1</v>
      </c>
      <c r="AD1278" s="45">
        <f t="shared" si="317"/>
        <v>0.566978193146417</v>
      </c>
      <c r="AE1278" s="37">
        <v>3</v>
      </c>
      <c r="AF1278" s="37" t="s">
        <v>118</v>
      </c>
      <c r="AG1278" s="37" t="str">
        <f t="shared" si="316"/>
        <v>no</v>
      </c>
      <c r="AH1278" s="37" t="str">
        <f t="array" ref="AH1278">_xlfn.IFS(LOWER(AG1278)="n","no",LOWER(AG1278)="y","yes",TRUE,LOWER(AG1278))</f>
        <v>no</v>
      </c>
      <c r="AI1278" s="37" t="s">
        <v>4692</v>
      </c>
    </row>
    <row r="1279" spans="1:35">
      <c r="A1279" s="46" t="s">
        <v>3990</v>
      </c>
      <c r="B1279" s="47">
        <v>45447</v>
      </c>
      <c r="C1279" s="39">
        <f t="shared" si="304"/>
        <v>45447</v>
      </c>
      <c r="D1279" s="48" t="s">
        <v>4695</v>
      </c>
      <c r="E1279" s="37" t="str" cm="1">
        <f t="array" ref="E1279">_xlfn.IFS(D1279="delhi","north",D1279="mumbai","west",D1279="bengaluru","south",D1279="chennai","south",D1279="kolkata","east",TRUE,"west")</f>
        <v>west</v>
      </c>
      <c r="F1279" s="46" t="s">
        <v>98</v>
      </c>
      <c r="G1279" s="37" t="str">
        <f t="shared" si="305"/>
        <v>dtdc</v>
      </c>
      <c r="H1279" s="46" t="s">
        <v>137</v>
      </c>
      <c r="I1279" s="37" t="str">
        <f t="shared" si="306"/>
        <v>road</v>
      </c>
      <c r="J1279" s="46" t="s">
        <v>167</v>
      </c>
      <c r="K1279" s="37" t="str">
        <f t="shared" si="307"/>
        <v>pharma</v>
      </c>
      <c r="L1279" s="46" t="s">
        <v>302</v>
      </c>
      <c r="M1279" s="37" t="str">
        <f t="shared" si="308"/>
        <v>east</v>
      </c>
      <c r="N1279" s="46" t="s">
        <v>126</v>
      </c>
      <c r="O1279" s="41" t="str">
        <f t="shared" si="309"/>
        <v>Yes</v>
      </c>
      <c r="P1279" s="49">
        <v>4.6</v>
      </c>
      <c r="Q1279" s="49">
        <v>265</v>
      </c>
      <c r="R1279" s="42">
        <f t="shared" si="310"/>
        <v>57.6086956521739</v>
      </c>
      <c r="S1279" s="46">
        <v>8</v>
      </c>
      <c r="T1279" s="46" t="s">
        <v>1550</v>
      </c>
      <c r="U1279" s="43" t="str">
        <f t="shared" si="311"/>
        <v>18-jun-2024</v>
      </c>
      <c r="V1279" s="43">
        <f t="shared" si="312"/>
        <v>45461</v>
      </c>
      <c r="W1279" s="44">
        <f t="array" ref="W1279">_xlfn.IFS(TRIM(C1279)="","",TRIM(V1279)="","",TRUE,V1279-C1279)</f>
        <v>14</v>
      </c>
      <c r="X1279" s="37">
        <f t="shared" si="313"/>
        <v>6</v>
      </c>
      <c r="Y1279" s="46" t="s">
        <v>172</v>
      </c>
      <c r="Z1279" s="37" t="str">
        <f t="shared" si="314"/>
        <v>delayed</v>
      </c>
      <c r="AA1279" s="37" t="str">
        <f t="shared" si="315"/>
        <v>Late</v>
      </c>
      <c r="AB1279" s="37" t="str">
        <f t="shared" si="318"/>
        <v>1</v>
      </c>
      <c r="AC1279" s="37">
        <f t="shared" si="319"/>
        <v>1</v>
      </c>
      <c r="AD1279" s="45">
        <f t="shared" si="317"/>
        <v>0.565625</v>
      </c>
      <c r="AE1279" s="46">
        <v>3</v>
      </c>
      <c r="AF1279" s="46" t="s">
        <v>118</v>
      </c>
      <c r="AG1279" s="37" t="str">
        <f t="shared" si="316"/>
        <v>no</v>
      </c>
      <c r="AH1279" s="37" t="str">
        <f t="array" ref="AH1279">_xlfn.IFS(LOWER(AG1279)="n","no",LOWER(AG1279)="y","yes",TRUE,LOWER(AG1279))</f>
        <v>no</v>
      </c>
      <c r="AI1279" s="46" t="s">
        <v>4692</v>
      </c>
    </row>
    <row r="1280" spans="1:35">
      <c r="A1280" s="37" t="s">
        <v>3993</v>
      </c>
      <c r="B1280" s="38">
        <v>45398</v>
      </c>
      <c r="C1280" s="39">
        <f t="shared" si="304"/>
        <v>45398</v>
      </c>
      <c r="D1280" s="40" t="s">
        <v>212</v>
      </c>
      <c r="E1280" s="37" t="str" cm="1">
        <f t="array" ref="E1280">_xlfn.IFS(D1280="delhi","north",D1280="mumbai","west",D1280="bengaluru","south",D1280="chennai","south",D1280="kolkata","east",TRUE,"west")</f>
        <v>west</v>
      </c>
      <c r="F1280" s="37" t="s">
        <v>213</v>
      </c>
      <c r="G1280" s="37" t="str">
        <f t="shared" si="305"/>
        <v>dtdc</v>
      </c>
      <c r="H1280" s="37" t="s">
        <v>157</v>
      </c>
      <c r="I1280" s="37" t="str">
        <f t="shared" si="306"/>
        <v>surface</v>
      </c>
      <c r="J1280" s="37" t="s">
        <v>186</v>
      </c>
      <c r="K1280" s="37" t="str">
        <f t="shared" si="307"/>
        <v>automotiveparts</v>
      </c>
      <c r="L1280" s="37" t="s">
        <v>346</v>
      </c>
      <c r="M1280" s="37" t="str">
        <f t="shared" si="308"/>
        <v>north</v>
      </c>
      <c r="N1280" s="37" t="s">
        <v>354</v>
      </c>
      <c r="O1280" s="41" t="str">
        <f t="shared" si="309"/>
        <v>Yes</v>
      </c>
      <c r="P1280" s="41">
        <v>7.3</v>
      </c>
      <c r="Q1280" s="41" t="s">
        <v>599</v>
      </c>
      <c r="R1280" s="42">
        <f t="shared" si="310"/>
        <v>46.7123287671233</v>
      </c>
      <c r="S1280" s="37">
        <v>6</v>
      </c>
      <c r="T1280" s="37" t="s">
        <v>523</v>
      </c>
      <c r="U1280" s="43" t="str">
        <f t="shared" si="311"/>
        <v>23/04/2024</v>
      </c>
      <c r="V1280" s="43">
        <f t="shared" si="312"/>
        <v>45405</v>
      </c>
      <c r="W1280" s="44">
        <f t="array" ref="W1280">_xlfn.IFS(TRIM(C1280)="","",TRIM(V1280)="","",TRUE,V1280-C1280)</f>
        <v>7</v>
      </c>
      <c r="X1280" s="37">
        <f t="shared" si="313"/>
        <v>1</v>
      </c>
      <c r="Y1280" s="37" t="s">
        <v>143</v>
      </c>
      <c r="Z1280" s="37" t="str">
        <f t="shared" si="314"/>
        <v>delayed</v>
      </c>
      <c r="AA1280" s="37" t="str">
        <f t="shared" si="315"/>
        <v>Late</v>
      </c>
      <c r="AB1280" s="37" t="str">
        <f t="shared" si="318"/>
        <v>1</v>
      </c>
      <c r="AC1280" s="37">
        <f t="shared" si="319"/>
        <v>1</v>
      </c>
      <c r="AD1280" s="45">
        <f t="shared" si="317"/>
        <v>0.564263322884012</v>
      </c>
      <c r="AE1280" s="37">
        <v>3</v>
      </c>
      <c r="AF1280" s="37" t="s">
        <v>106</v>
      </c>
      <c r="AG1280" s="37" t="str">
        <f t="shared" si="316"/>
        <v>yes</v>
      </c>
      <c r="AH1280" s="37" t="str">
        <f t="array" ref="AH1280">_xlfn.IFS(LOWER(AG1280)="n","no",LOWER(AG1280)="y","yes",TRUE,LOWER(AG1280))</f>
        <v>yes</v>
      </c>
      <c r="AI1280" s="37" t="s">
        <v>4692</v>
      </c>
    </row>
    <row r="1281" spans="1:35">
      <c r="A1281" s="46" t="s">
        <v>3994</v>
      </c>
      <c r="B1281" s="47">
        <v>45383</v>
      </c>
      <c r="C1281" s="39">
        <f t="shared" si="304"/>
        <v>45383</v>
      </c>
      <c r="D1281" s="48" t="s">
        <v>424</v>
      </c>
      <c r="E1281" s="37" t="str" cm="1">
        <f t="array" ref="E1281">_xlfn.IFS(D1281="delhi","north",D1281="mumbai","west",D1281="bengaluru","south",D1281="chennai","south",D1281="kolkata","east",TRUE,"west")</f>
        <v>south</v>
      </c>
      <c r="F1281" s="46" t="s">
        <v>367</v>
      </c>
      <c r="G1281" s="37" t="str">
        <f t="shared" si="305"/>
        <v>dtdc</v>
      </c>
      <c r="H1281" s="46" t="s">
        <v>123</v>
      </c>
      <c r="I1281" s="37" t="str">
        <f t="shared" si="306"/>
        <v>air</v>
      </c>
      <c r="J1281" s="46" t="s">
        <v>277</v>
      </c>
      <c r="K1281" s="37" t="str">
        <f t="shared" si="307"/>
        <v>apparel</v>
      </c>
      <c r="L1281" s="46" t="s">
        <v>264</v>
      </c>
      <c r="M1281" s="37" t="str">
        <f t="shared" si="308"/>
        <v>west</v>
      </c>
      <c r="N1281" s="46" t="s">
        <v>88</v>
      </c>
      <c r="O1281" s="41" t="str">
        <f t="shared" si="309"/>
        <v>Yes</v>
      </c>
      <c r="P1281" s="49">
        <v>2.3</v>
      </c>
      <c r="Q1281" s="49">
        <v>267</v>
      </c>
      <c r="R1281" s="42">
        <f t="shared" si="310"/>
        <v>116.086956521739</v>
      </c>
      <c r="S1281" s="46">
        <v>4</v>
      </c>
      <c r="T1281" s="46" t="s">
        <v>1173</v>
      </c>
      <c r="U1281" s="43" t="str">
        <f t="shared" si="311"/>
        <v>11/04/2024</v>
      </c>
      <c r="V1281" s="43">
        <f t="shared" si="312"/>
        <v>45393</v>
      </c>
      <c r="W1281" s="44">
        <f t="array" ref="W1281">_xlfn.IFS(TRIM(C1281)="","",TRIM(V1281)="","",TRUE,V1281-C1281)</f>
        <v>10</v>
      </c>
      <c r="X1281" s="37">
        <f t="shared" si="313"/>
        <v>6</v>
      </c>
      <c r="Y1281" s="46" t="s">
        <v>817</v>
      </c>
      <c r="Z1281" s="37" t="str">
        <f t="shared" si="314"/>
        <v>returned</v>
      </c>
      <c r="AA1281" s="37" t="str">
        <f t="shared" si="315"/>
        <v>Late</v>
      </c>
      <c r="AB1281" s="37" t="str">
        <f t="shared" si="318"/>
        <v>1</v>
      </c>
      <c r="AC1281" s="37">
        <f t="shared" si="319"/>
        <v>1</v>
      </c>
      <c r="AD1281" s="45">
        <f t="shared" si="317"/>
        <v>0.562893081761006</v>
      </c>
      <c r="AE1281" s="46"/>
      <c r="AF1281" s="46" t="s">
        <v>118</v>
      </c>
      <c r="AG1281" s="37" t="str">
        <f t="shared" si="316"/>
        <v>no</v>
      </c>
      <c r="AH1281" s="37" t="str">
        <f t="array" ref="AH1281">_xlfn.IFS(LOWER(AG1281)="n","no",LOWER(AG1281)="y","yes",TRUE,LOWER(AG1281))</f>
        <v>no</v>
      </c>
      <c r="AI1281" s="46" t="s">
        <v>83</v>
      </c>
    </row>
    <row r="1282" spans="1:35">
      <c r="A1282" s="37" t="s">
        <v>3995</v>
      </c>
      <c r="B1282" s="38" t="s">
        <v>4786</v>
      </c>
      <c r="C1282" s="39">
        <f t="shared" ref="C1282:C1345" si="320">IF(ISNUMBER(B1282),B1282,DATE(RIGHT(TRIM(B1282),4),MID(TRIM(B1282),4,2),LEFT(TRIM(B1282),2)))</f>
        <v>45403</v>
      </c>
      <c r="D1282" s="40" t="s">
        <v>340</v>
      </c>
      <c r="E1282" s="37" t="str" cm="1">
        <f t="array" ref="E1282">_xlfn.IFS(D1282="delhi","north",D1282="mumbai","west",D1282="bengaluru","south",D1282="chennai","south",D1282="kolkata","east",TRUE,"west")</f>
        <v>north</v>
      </c>
      <c r="F1282" s="37" t="s">
        <v>213</v>
      </c>
      <c r="G1282" s="37" t="str">
        <f t="shared" ref="G1282:G1345" si="321">SUBSTITUTE(LOWER(F1282)," ","")</f>
        <v>dtdc</v>
      </c>
      <c r="H1282" s="37" t="s">
        <v>176</v>
      </c>
      <c r="I1282" s="37" t="str">
        <f t="shared" ref="I1282:I1345" si="322">SUBSTITUTE(LOWER(H1282)," ","")</f>
        <v>road</v>
      </c>
      <c r="J1282" s="37" t="s">
        <v>1145</v>
      </c>
      <c r="K1282" s="37" t="str">
        <f t="shared" ref="K1282:K1345" si="323">SUBSTITUTE(LOWER(J1282)," ","")</f>
        <v>grocery&amp;fmcg</v>
      </c>
      <c r="L1282" s="37" t="s">
        <v>197</v>
      </c>
      <c r="M1282" s="37" t="str">
        <f t="shared" ref="M1282:M1345" si="324">SUBSTITUTE(LOWER(L1282)," ","")</f>
        <v>south</v>
      </c>
      <c r="N1282" s="37" t="s">
        <v>327</v>
      </c>
      <c r="O1282" s="41" t="str">
        <f t="shared" ref="O1282:O1345" si="325">IF(OR(D1282="",M1282=""),"",IF(D1282=M1282,"No","Yes"))</f>
        <v>Yes</v>
      </c>
      <c r="P1282" s="41">
        <v>13.8</v>
      </c>
      <c r="Q1282" s="41">
        <v>330</v>
      </c>
      <c r="R1282" s="42">
        <f t="shared" ref="R1282:R1345" si="326">IF(OR(Q1282="",P1282="",P1282=0),"",Q1282/P1282)</f>
        <v>23.9130434782609</v>
      </c>
      <c r="S1282" s="37">
        <v>8</v>
      </c>
      <c r="T1282" s="37" t="s">
        <v>3997</v>
      </c>
      <c r="U1282" s="43" t="str">
        <f t="shared" ref="U1282:U1345" si="327">SUBSTITUTE(LOWER(T1282)," ","")</f>
        <v>28-apr-2024</v>
      </c>
      <c r="V1282" s="43">
        <f t="shared" ref="V1282:V1345" si="328">DATEVALUE(TEXT(U1282,"yyyy-mm-dd"))</f>
        <v>45410</v>
      </c>
      <c r="W1282" s="44">
        <f t="array" ref="W1282">_xlfn.IFS(TRIM(C1282)="","",TRIM(V1282)="","",TRUE,V1282-C1282)</f>
        <v>7</v>
      </c>
      <c r="X1282" s="37">
        <f t="shared" ref="X1282:X1345" si="329">IF(OR(W1282="",S1282=""),"",W1282-S1282)</f>
        <v>-1</v>
      </c>
      <c r="Y1282" s="37" t="s">
        <v>163</v>
      </c>
      <c r="Z1282" s="37" t="str">
        <f t="shared" ref="Z1282:Z1345" si="330">SUBSTITUTE(LOWER(Y1282)," ","")</f>
        <v>delivered</v>
      </c>
      <c r="AA1282" s="37" t="str">
        <f t="shared" ref="AA1282:AA1345" si="331">IF(Z1282="In-Transit","N/A",IF(X1282="","",IF(X1282&gt;0,"Late","On Time")))</f>
        <v>On Time</v>
      </c>
      <c r="AB1282" s="37" t="str">
        <f t="shared" si="318"/>
        <v>0</v>
      </c>
      <c r="AC1282" s="37">
        <f t="shared" si="319"/>
        <v>0</v>
      </c>
      <c r="AD1282" s="45">
        <f t="shared" si="317"/>
        <v>0.561514195583596</v>
      </c>
      <c r="AE1282" s="37">
        <v>4</v>
      </c>
      <c r="AF1282" s="37" t="s">
        <v>118</v>
      </c>
      <c r="AG1282" s="37" t="str">
        <f t="shared" ref="AG1282:AG1345" si="332">SUBSTITUTE(LOWER(AF1282)," ","")</f>
        <v>no</v>
      </c>
      <c r="AH1282" s="37" t="str">
        <f t="array" ref="AH1282">_xlfn.IFS(LOWER(AG1282)="n","no",LOWER(AG1282)="y","yes",TRUE,LOWER(AG1282))</f>
        <v>no</v>
      </c>
      <c r="AI1282" s="37" t="s">
        <v>4692</v>
      </c>
    </row>
    <row r="1283" spans="1:35">
      <c r="A1283" s="46" t="s">
        <v>3998</v>
      </c>
      <c r="B1283" s="47">
        <v>45293</v>
      </c>
      <c r="C1283" s="39">
        <f t="shared" si="320"/>
        <v>45293</v>
      </c>
      <c r="D1283" s="48" t="s">
        <v>135</v>
      </c>
      <c r="E1283" s="37" t="str" cm="1">
        <f t="array" ref="E1283">_xlfn.IFS(D1283="delhi","north",D1283="mumbai","west",D1283="bengaluru","south",D1283="chennai","south",D1283="kolkata","east",TRUE,"west")</f>
        <v>west</v>
      </c>
      <c r="F1283" s="46" t="s">
        <v>136</v>
      </c>
      <c r="G1283" s="37" t="str">
        <f t="shared" si="321"/>
        <v>bluedart</v>
      </c>
      <c r="H1283" s="46" t="s">
        <v>345</v>
      </c>
      <c r="I1283" s="37" t="str">
        <f t="shared" si="322"/>
        <v>surface</v>
      </c>
      <c r="J1283" s="46" t="s">
        <v>385</v>
      </c>
      <c r="K1283" s="37" t="str">
        <f t="shared" si="323"/>
        <v>furniture</v>
      </c>
      <c r="L1283" s="46" t="s">
        <v>112</v>
      </c>
      <c r="M1283" s="37" t="str">
        <f t="shared" si="324"/>
        <v>north</v>
      </c>
      <c r="N1283" s="46" t="s">
        <v>215</v>
      </c>
      <c r="O1283" s="41" t="str">
        <f t="shared" si="325"/>
        <v>Yes</v>
      </c>
      <c r="P1283" s="49">
        <v>54.3</v>
      </c>
      <c r="Q1283" s="49">
        <v>1315</v>
      </c>
      <c r="R1283" s="42">
        <f t="shared" si="326"/>
        <v>24.2173112338858</v>
      </c>
      <c r="S1283" s="46">
        <v>6</v>
      </c>
      <c r="T1283" s="46" t="s">
        <v>1475</v>
      </c>
      <c r="U1283" s="43" t="str">
        <f t="shared" si="327"/>
        <v>08/01/2024</v>
      </c>
      <c r="V1283" s="43">
        <f t="shared" si="328"/>
        <v>45299</v>
      </c>
      <c r="W1283" s="44">
        <f t="array" ref="W1283">_xlfn.IFS(TRIM(C1283)="","",TRIM(V1283)="","",TRUE,V1283-C1283)</f>
        <v>6</v>
      </c>
      <c r="X1283" s="37">
        <f t="shared" si="329"/>
        <v>0</v>
      </c>
      <c r="Y1283" s="46" t="s">
        <v>219</v>
      </c>
      <c r="Z1283" s="37" t="str">
        <f t="shared" si="330"/>
        <v>delivered</v>
      </c>
      <c r="AA1283" s="37" t="str">
        <f t="shared" si="331"/>
        <v>On Time</v>
      </c>
      <c r="AB1283" s="37" t="str">
        <f t="shared" si="318"/>
        <v>0</v>
      </c>
      <c r="AC1283" s="37">
        <f t="shared" si="319"/>
        <v>0</v>
      </c>
      <c r="AD1283" s="45">
        <f t="shared" ref="AD1283:AD1346" si="333">COUNTIF(AC1283:AC2882,1)/COUNT(AC1283:AC2882)</f>
        <v>0.563291139240506</v>
      </c>
      <c r="AE1283" s="46">
        <v>4</v>
      </c>
      <c r="AF1283" s="46" t="s">
        <v>181</v>
      </c>
      <c r="AG1283" s="37" t="str">
        <f t="shared" si="332"/>
        <v>y</v>
      </c>
      <c r="AH1283" s="37" t="str">
        <f t="array" ref="AH1283">_xlfn.IFS(LOWER(AG1283)="n","no",LOWER(AG1283)="y","yes",TRUE,LOWER(AG1283))</f>
        <v>yes</v>
      </c>
      <c r="AI1283" s="46" t="s">
        <v>4692</v>
      </c>
    </row>
    <row r="1284" spans="1:35">
      <c r="A1284" s="37" t="s">
        <v>4001</v>
      </c>
      <c r="B1284" s="38">
        <v>45446</v>
      </c>
      <c r="C1284" s="39">
        <f t="shared" si="320"/>
        <v>45446</v>
      </c>
      <c r="D1284" s="40" t="s">
        <v>633</v>
      </c>
      <c r="E1284" s="37" t="str" cm="1">
        <f t="array" ref="E1284">_xlfn.IFS(D1284="delhi","north",D1284="mumbai","west",D1284="bengaluru","south",D1284="chennai","south",D1284="kolkata","east",TRUE,"west")</f>
        <v>south</v>
      </c>
      <c r="F1284" s="37" t="s">
        <v>352</v>
      </c>
      <c r="G1284" s="37" t="str">
        <f t="shared" si="321"/>
        <v>delhivery</v>
      </c>
      <c r="H1284" s="37" t="s">
        <v>99</v>
      </c>
      <c r="I1284" s="37" t="str">
        <f t="shared" si="322"/>
        <v>air</v>
      </c>
      <c r="J1284" s="37" t="s">
        <v>301</v>
      </c>
      <c r="K1284" s="37" t="str">
        <f t="shared" si="323"/>
        <v>furniture</v>
      </c>
      <c r="L1284" s="37" t="s">
        <v>51</v>
      </c>
      <c r="M1284" s="37" t="str">
        <f t="shared" si="324"/>
        <v>south</v>
      </c>
      <c r="N1284" s="37" t="s">
        <v>90</v>
      </c>
      <c r="O1284" s="41" t="str">
        <f t="shared" si="325"/>
        <v>Yes</v>
      </c>
      <c r="P1284" s="41" t="s">
        <v>4002</v>
      </c>
      <c r="Q1284" s="41">
        <v>3572</v>
      </c>
      <c r="R1284" s="42">
        <f t="shared" si="326"/>
        <v>44.7058823529412</v>
      </c>
      <c r="S1284" s="37">
        <v>2</v>
      </c>
      <c r="T1284" s="37" t="s">
        <v>260</v>
      </c>
      <c r="U1284" s="43" t="str">
        <f t="shared" si="327"/>
        <v>2024-06-06</v>
      </c>
      <c r="V1284" s="43">
        <f t="shared" si="328"/>
        <v>45449</v>
      </c>
      <c r="W1284" s="44">
        <f t="array" ref="W1284">_xlfn.IFS(TRIM(C1284)="","",TRIM(V1284)="","",TRUE,V1284-C1284)</f>
        <v>3</v>
      </c>
      <c r="X1284" s="37">
        <f t="shared" si="329"/>
        <v>1</v>
      </c>
      <c r="Y1284" s="37" t="s">
        <v>200</v>
      </c>
      <c r="Z1284" s="37" t="str">
        <f t="shared" si="330"/>
        <v>delayed</v>
      </c>
      <c r="AA1284" s="37" t="str">
        <f t="shared" si="331"/>
        <v>Late</v>
      </c>
      <c r="AB1284" s="37" t="str">
        <f t="shared" si="318"/>
        <v>1</v>
      </c>
      <c r="AC1284" s="37">
        <f t="shared" si="319"/>
        <v>1</v>
      </c>
      <c r="AD1284" s="45">
        <f t="shared" si="333"/>
        <v>0.565079365079365</v>
      </c>
      <c r="AE1284" s="37">
        <v>2</v>
      </c>
      <c r="AF1284" s="37" t="s">
        <v>79</v>
      </c>
      <c r="AG1284" s="37" t="str">
        <f t="shared" si="332"/>
        <v>yes</v>
      </c>
      <c r="AH1284" s="37" t="str">
        <f t="array" ref="AH1284">_xlfn.IFS(LOWER(AG1284)="n","no",LOWER(AG1284)="y","yes",TRUE,LOWER(AG1284))</f>
        <v>yes</v>
      </c>
      <c r="AI1284" s="37" t="s">
        <v>4692</v>
      </c>
    </row>
    <row r="1285" spans="1:35">
      <c r="A1285" s="46" t="s">
        <v>4004</v>
      </c>
      <c r="B1285" s="47">
        <v>45416</v>
      </c>
      <c r="C1285" s="39">
        <f t="shared" si="320"/>
        <v>45416</v>
      </c>
      <c r="D1285" s="48" t="s">
        <v>212</v>
      </c>
      <c r="E1285" s="37" t="str" cm="1">
        <f t="array" ref="E1285">_xlfn.IFS(D1285="delhi","north",D1285="mumbai","west",D1285="bengaluru","south",D1285="chennai","south",D1285="kolkata","east",TRUE,"west")</f>
        <v>west</v>
      </c>
      <c r="F1285" s="46" t="s">
        <v>367</v>
      </c>
      <c r="G1285" s="37" t="str">
        <f t="shared" si="321"/>
        <v>dtdc</v>
      </c>
      <c r="H1285" s="46" t="s">
        <v>325</v>
      </c>
      <c r="I1285" s="37" t="str">
        <f t="shared" si="322"/>
        <v>air</v>
      </c>
      <c r="J1285" s="46" t="s">
        <v>319</v>
      </c>
      <c r="K1285" s="37" t="str">
        <f t="shared" si="323"/>
        <v>electronics</v>
      </c>
      <c r="L1285" s="46" t="s">
        <v>92</v>
      </c>
      <c r="M1285" s="37" t="str">
        <f t="shared" si="324"/>
        <v>east</v>
      </c>
      <c r="N1285" s="46" t="s">
        <v>396</v>
      </c>
      <c r="O1285" s="41" t="str">
        <f t="shared" si="325"/>
        <v>Yes</v>
      </c>
      <c r="P1285" s="49">
        <v>14.1</v>
      </c>
      <c r="Q1285" s="49">
        <v>796</v>
      </c>
      <c r="R1285" s="42">
        <f t="shared" si="326"/>
        <v>56.4539007092199</v>
      </c>
      <c r="S1285" s="46">
        <v>4</v>
      </c>
      <c r="T1285" s="46" t="s">
        <v>1586</v>
      </c>
      <c r="U1285" s="43" t="str">
        <f t="shared" si="327"/>
        <v>2024-05-07</v>
      </c>
      <c r="V1285" s="43">
        <f t="shared" si="328"/>
        <v>45419</v>
      </c>
      <c r="W1285" s="44">
        <f t="array" ref="W1285">_xlfn.IFS(TRIM(C1285)="","",TRIM(V1285)="","",TRUE,V1285-C1285)</f>
        <v>3</v>
      </c>
      <c r="X1285" s="37">
        <f t="shared" si="329"/>
        <v>-1</v>
      </c>
      <c r="Y1285" s="46" t="s">
        <v>130</v>
      </c>
      <c r="Z1285" s="37" t="str">
        <f t="shared" si="330"/>
        <v>damaged</v>
      </c>
      <c r="AA1285" s="37" t="str">
        <f t="shared" si="331"/>
        <v>On Time</v>
      </c>
      <c r="AB1285" s="37" t="str">
        <f t="shared" si="318"/>
        <v>0</v>
      </c>
      <c r="AC1285" s="37">
        <f t="shared" si="319"/>
        <v>0</v>
      </c>
      <c r="AD1285" s="45">
        <f t="shared" si="333"/>
        <v>0.563694267515924</v>
      </c>
      <c r="AE1285" s="46"/>
      <c r="AF1285" s="46" t="s">
        <v>131</v>
      </c>
      <c r="AG1285" s="37" t="str">
        <f t="shared" si="332"/>
        <v>n</v>
      </c>
      <c r="AH1285" s="37" t="str">
        <f t="array" ref="AH1285">_xlfn.IFS(LOWER(AG1285)="n","no",LOWER(AG1285)="y","yes",TRUE,LOWER(AG1285))</f>
        <v>no</v>
      </c>
      <c r="AI1285" s="46" t="s">
        <v>759</v>
      </c>
    </row>
    <row r="1286" spans="1:35">
      <c r="A1286" s="37" t="s">
        <v>4007</v>
      </c>
      <c r="B1286" s="38">
        <v>45309</v>
      </c>
      <c r="C1286" s="39">
        <f t="shared" si="320"/>
        <v>45309</v>
      </c>
      <c r="D1286" s="40" t="s">
        <v>109</v>
      </c>
      <c r="E1286" s="37" t="str" cm="1">
        <f t="array" ref="E1286">_xlfn.IFS(D1286="delhi","north",D1286="mumbai","west",D1286="bengaluru","south",D1286="chennai","south",D1286="kolkata","east",TRUE,"west")</f>
        <v>west</v>
      </c>
      <c r="F1286" s="37" t="s">
        <v>544</v>
      </c>
      <c r="G1286" s="37" t="str">
        <f t="shared" si="321"/>
        <v>bluedart</v>
      </c>
      <c r="H1286" s="37" t="s">
        <v>147</v>
      </c>
      <c r="I1286" s="37" t="str">
        <f t="shared" si="322"/>
        <v>road</v>
      </c>
      <c r="J1286" s="37" t="s">
        <v>385</v>
      </c>
      <c r="K1286" s="37" t="str">
        <f t="shared" si="323"/>
        <v>furniture</v>
      </c>
      <c r="L1286" s="37" t="s">
        <v>418</v>
      </c>
      <c r="M1286" s="37" t="str">
        <f t="shared" si="324"/>
        <v>south</v>
      </c>
      <c r="N1286" s="37" t="s">
        <v>54</v>
      </c>
      <c r="O1286" s="41" t="str">
        <f t="shared" si="325"/>
        <v>Yes</v>
      </c>
      <c r="P1286" s="41">
        <v>42.3</v>
      </c>
      <c r="Q1286" s="41" t="s">
        <v>4009</v>
      </c>
      <c r="R1286" s="42">
        <f t="shared" si="326"/>
        <v>18.5342789598109</v>
      </c>
      <c r="S1286" s="37">
        <v>8</v>
      </c>
      <c r="T1286" s="37" t="s">
        <v>1897</v>
      </c>
      <c r="U1286" s="43" t="str">
        <f t="shared" si="327"/>
        <v>2024-01-27</v>
      </c>
      <c r="V1286" s="43">
        <f t="shared" si="328"/>
        <v>45318</v>
      </c>
      <c r="W1286" s="44">
        <f t="array" ref="W1286">_xlfn.IFS(TRIM(C1286)="","",TRIM(V1286)="","",TRUE,V1286-C1286)</f>
        <v>9</v>
      </c>
      <c r="X1286" s="37">
        <f t="shared" si="329"/>
        <v>1</v>
      </c>
      <c r="Y1286" s="37" t="s">
        <v>172</v>
      </c>
      <c r="Z1286" s="37" t="str">
        <f t="shared" si="330"/>
        <v>delayed</v>
      </c>
      <c r="AA1286" s="37" t="str">
        <f t="shared" si="331"/>
        <v>Late</v>
      </c>
      <c r="AB1286" s="37" t="str">
        <f t="shared" ref="AB1286:AB1349" si="334">IF(Z1286="In-Transit","N/A",IF(X1286="","",IF(X1286&gt;0,"1","0")))</f>
        <v>1</v>
      </c>
      <c r="AC1286" s="37">
        <f t="shared" si="319"/>
        <v>1</v>
      </c>
      <c r="AD1286" s="45">
        <f t="shared" si="333"/>
        <v>0.565495207667732</v>
      </c>
      <c r="AE1286" s="37">
        <v>2</v>
      </c>
      <c r="AF1286" s="37" t="s">
        <v>106</v>
      </c>
      <c r="AG1286" s="37" t="str">
        <f t="shared" si="332"/>
        <v>yes</v>
      </c>
      <c r="AH1286" s="37" t="str">
        <f t="array" ref="AH1286">_xlfn.IFS(LOWER(AG1286)="n","no",LOWER(AG1286)="y","yes",TRUE,LOWER(AG1286))</f>
        <v>yes</v>
      </c>
      <c r="AI1286" s="37" t="s">
        <v>4692</v>
      </c>
    </row>
    <row r="1287" spans="1:35">
      <c r="A1287" s="46" t="s">
        <v>4010</v>
      </c>
      <c r="B1287" s="47">
        <v>45432</v>
      </c>
      <c r="C1287" s="39">
        <f t="shared" si="320"/>
        <v>45432</v>
      </c>
      <c r="D1287" s="48" t="s">
        <v>366</v>
      </c>
      <c r="E1287" s="37" t="str" cm="1">
        <f t="array" ref="E1287">_xlfn.IFS(D1287="delhi","north",D1287="mumbai","west",D1287="bengaluru","south",D1287="chennai","south",D1287="kolkata","east",TRUE,"west")</f>
        <v>east</v>
      </c>
      <c r="F1287" s="46" t="s">
        <v>194</v>
      </c>
      <c r="G1287" s="37" t="str">
        <f t="shared" si="321"/>
        <v>xpressbees</v>
      </c>
      <c r="H1287" s="46" t="s">
        <v>440</v>
      </c>
      <c r="I1287" s="37" t="str">
        <f t="shared" si="322"/>
        <v>road</v>
      </c>
      <c r="J1287" s="46" t="s">
        <v>205</v>
      </c>
      <c r="K1287" s="37" t="str">
        <f t="shared" si="323"/>
        <v>furniture</v>
      </c>
      <c r="L1287" s="46" t="s">
        <v>401</v>
      </c>
      <c r="M1287" s="37" t="str">
        <f t="shared" si="324"/>
        <v>south</v>
      </c>
      <c r="N1287" s="46" t="s">
        <v>90</v>
      </c>
      <c r="O1287" s="41" t="str">
        <f t="shared" si="325"/>
        <v>Yes</v>
      </c>
      <c r="P1287" s="49">
        <v>62.7</v>
      </c>
      <c r="Q1287" s="49" t="s">
        <v>4012</v>
      </c>
      <c r="R1287" s="42">
        <f t="shared" si="326"/>
        <v>16.0606060606061</v>
      </c>
      <c r="S1287" s="46">
        <v>8</v>
      </c>
      <c r="T1287" s="46" t="s">
        <v>1015</v>
      </c>
      <c r="U1287" s="43" t="str">
        <f t="shared" si="327"/>
        <v>28/05/2024</v>
      </c>
      <c r="V1287" s="43">
        <f t="shared" si="328"/>
        <v>45440</v>
      </c>
      <c r="W1287" s="44">
        <f t="array" ref="W1287">_xlfn.IFS(TRIM(C1287)="","",TRIM(V1287)="","",TRUE,V1287-C1287)</f>
        <v>8</v>
      </c>
      <c r="X1287" s="37">
        <f t="shared" si="329"/>
        <v>0</v>
      </c>
      <c r="Y1287" s="46" t="s">
        <v>105</v>
      </c>
      <c r="Z1287" s="37" t="str">
        <f t="shared" si="330"/>
        <v>delivered</v>
      </c>
      <c r="AA1287" s="37" t="str">
        <f t="shared" si="331"/>
        <v>On Time</v>
      </c>
      <c r="AB1287" s="37" t="str">
        <f t="shared" si="334"/>
        <v>0</v>
      </c>
      <c r="AC1287" s="37">
        <f t="shared" ref="AC1287:AC1350" si="335">IF(TRIM(AB1287&amp;"")="","",VALUE(TRIM(AB1287&amp;"")))</f>
        <v>0</v>
      </c>
      <c r="AD1287" s="45">
        <f t="shared" si="333"/>
        <v>0.564102564102564</v>
      </c>
      <c r="AE1287" s="46">
        <v>4</v>
      </c>
      <c r="AF1287" s="46" t="s">
        <v>79</v>
      </c>
      <c r="AG1287" s="37" t="str">
        <f t="shared" si="332"/>
        <v>yes</v>
      </c>
      <c r="AH1287" s="37" t="str">
        <f t="array" ref="AH1287">_xlfn.IFS(LOWER(AG1287)="n","no",LOWER(AG1287)="y","yes",TRUE,LOWER(AG1287))</f>
        <v>yes</v>
      </c>
      <c r="AI1287" s="46" t="s">
        <v>4692</v>
      </c>
    </row>
    <row r="1288" spans="1:35">
      <c r="A1288" s="37" t="s">
        <v>4013</v>
      </c>
      <c r="B1288" s="38">
        <v>45365</v>
      </c>
      <c r="C1288" s="39">
        <f t="shared" si="320"/>
        <v>45365</v>
      </c>
      <c r="D1288" s="40" t="s">
        <v>4705</v>
      </c>
      <c r="E1288" s="37" t="str" cm="1">
        <f t="array" ref="E1288">_xlfn.IFS(D1288="delhi","north",D1288="mumbai","west",D1288="bengaluru","south",D1288="chennai","south",D1288="kolkata","east",TRUE,"west")</f>
        <v>west</v>
      </c>
      <c r="F1288" s="37" t="s">
        <v>223</v>
      </c>
      <c r="G1288" s="37" t="str">
        <f t="shared" si="321"/>
        <v>xpressbees</v>
      </c>
      <c r="H1288" s="37" t="s">
        <v>110</v>
      </c>
      <c r="I1288" s="37" t="str">
        <f t="shared" si="322"/>
        <v>surface</v>
      </c>
      <c r="J1288" s="37" t="s">
        <v>271</v>
      </c>
      <c r="K1288" s="37" t="str">
        <f t="shared" si="323"/>
        <v>electronics</v>
      </c>
      <c r="L1288" s="37" t="s">
        <v>139</v>
      </c>
      <c r="M1288" s="37" t="str">
        <f t="shared" si="324"/>
        <v>north</v>
      </c>
      <c r="N1288" s="37" t="s">
        <v>32</v>
      </c>
      <c r="O1288" s="41" t="str">
        <f t="shared" si="325"/>
        <v>Yes</v>
      </c>
      <c r="P1288" s="41">
        <v>4.7</v>
      </c>
      <c r="Q1288" s="41" t="s">
        <v>4014</v>
      </c>
      <c r="R1288" s="42">
        <f t="shared" si="326"/>
        <v>20.4255319148936</v>
      </c>
      <c r="S1288" s="37">
        <v>4</v>
      </c>
      <c r="T1288" s="37" t="s">
        <v>2269</v>
      </c>
      <c r="U1288" s="43" t="str">
        <f t="shared" si="327"/>
        <v>20/03/2024</v>
      </c>
      <c r="V1288" s="43">
        <f t="shared" si="328"/>
        <v>45371</v>
      </c>
      <c r="W1288" s="44">
        <f t="array" ref="W1288">_xlfn.IFS(TRIM(C1288)="","",TRIM(V1288)="","",TRUE,V1288-C1288)</f>
        <v>6</v>
      </c>
      <c r="X1288" s="37">
        <f t="shared" si="329"/>
        <v>2</v>
      </c>
      <c r="Y1288" s="37" t="s">
        <v>72</v>
      </c>
      <c r="Z1288" s="37" t="str">
        <f t="shared" si="330"/>
        <v>delayed</v>
      </c>
      <c r="AA1288" s="37" t="str">
        <f t="shared" si="331"/>
        <v>Late</v>
      </c>
      <c r="AB1288" s="37" t="str">
        <f t="shared" si="334"/>
        <v>1</v>
      </c>
      <c r="AC1288" s="37">
        <f t="shared" si="335"/>
        <v>1</v>
      </c>
      <c r="AD1288" s="45">
        <f t="shared" si="333"/>
        <v>0.565916398713826</v>
      </c>
      <c r="AE1288" s="37">
        <v>4</v>
      </c>
      <c r="AF1288" s="37" t="s">
        <v>118</v>
      </c>
      <c r="AG1288" s="37" t="str">
        <f t="shared" si="332"/>
        <v>no</v>
      </c>
      <c r="AH1288" s="37" t="str">
        <f t="array" ref="AH1288">_xlfn.IFS(LOWER(AG1288)="n","no",LOWER(AG1288)="y","yes",TRUE,LOWER(AG1288))</f>
        <v>no</v>
      </c>
      <c r="AI1288" s="37" t="s">
        <v>4692</v>
      </c>
    </row>
    <row r="1289" spans="1:35">
      <c r="A1289" s="46" t="s">
        <v>4015</v>
      </c>
      <c r="B1289" s="47">
        <v>45379</v>
      </c>
      <c r="C1289" s="39">
        <f t="shared" si="320"/>
        <v>45379</v>
      </c>
      <c r="D1289" s="48" t="s">
        <v>633</v>
      </c>
      <c r="E1289" s="37" t="str" cm="1">
        <f t="array" ref="E1289">_xlfn.IFS(D1289="delhi","north",D1289="mumbai","west",D1289="bengaluru","south",D1289="chennai","south",D1289="kolkata","east",TRUE,"west")</f>
        <v>south</v>
      </c>
      <c r="F1289" s="46" t="s">
        <v>352</v>
      </c>
      <c r="G1289" s="37" t="str">
        <f t="shared" si="321"/>
        <v>delhivery</v>
      </c>
      <c r="H1289" s="46" t="s">
        <v>42</v>
      </c>
      <c r="I1289" s="37" t="str">
        <f t="shared" si="322"/>
        <v>surface</v>
      </c>
      <c r="J1289" s="46" t="s">
        <v>111</v>
      </c>
      <c r="K1289" s="37" t="str">
        <f t="shared" si="323"/>
        <v>grocery&amp;fmcg</v>
      </c>
      <c r="L1289" s="46" t="s">
        <v>257</v>
      </c>
      <c r="M1289" s="37" t="str">
        <f t="shared" si="324"/>
        <v>west</v>
      </c>
      <c r="N1289" s="46" t="s">
        <v>206</v>
      </c>
      <c r="O1289" s="41" t="str">
        <f t="shared" si="325"/>
        <v>Yes</v>
      </c>
      <c r="P1289" s="49">
        <v>9.9</v>
      </c>
      <c r="Q1289" s="49">
        <v>419</v>
      </c>
      <c r="R1289" s="42">
        <f t="shared" si="326"/>
        <v>42.3232323232323</v>
      </c>
      <c r="S1289" s="46">
        <v>6</v>
      </c>
      <c r="T1289" s="46" t="s">
        <v>3797</v>
      </c>
      <c r="U1289" s="43" t="str">
        <f t="shared" si="327"/>
        <v>04/04/2024</v>
      </c>
      <c r="V1289" s="43">
        <f t="shared" si="328"/>
        <v>45386</v>
      </c>
      <c r="W1289" s="44">
        <f t="array" ref="W1289">_xlfn.IFS(TRIM(C1289)="","",TRIM(V1289)="","",TRUE,V1289-C1289)</f>
        <v>7</v>
      </c>
      <c r="X1289" s="37">
        <f t="shared" si="329"/>
        <v>1</v>
      </c>
      <c r="Y1289" s="46" t="s">
        <v>200</v>
      </c>
      <c r="Z1289" s="37" t="str">
        <f t="shared" si="330"/>
        <v>delayed</v>
      </c>
      <c r="AA1289" s="37" t="str">
        <f t="shared" si="331"/>
        <v>Late</v>
      </c>
      <c r="AB1289" s="37" t="str">
        <f t="shared" si="334"/>
        <v>1</v>
      </c>
      <c r="AC1289" s="37">
        <f t="shared" si="335"/>
        <v>1</v>
      </c>
      <c r="AD1289" s="45">
        <f t="shared" si="333"/>
        <v>0.564516129032258</v>
      </c>
      <c r="AE1289" s="46">
        <v>3</v>
      </c>
      <c r="AF1289" s="46" t="s">
        <v>79</v>
      </c>
      <c r="AG1289" s="37" t="str">
        <f t="shared" si="332"/>
        <v>yes</v>
      </c>
      <c r="AH1289" s="37" t="str">
        <f t="array" ref="AH1289">_xlfn.IFS(LOWER(AG1289)="n","no",LOWER(AG1289)="y","yes",TRUE,LOWER(AG1289))</f>
        <v>yes</v>
      </c>
      <c r="AI1289" s="46" t="s">
        <v>4692</v>
      </c>
    </row>
    <row r="1290" spans="1:35">
      <c r="A1290" s="37" t="s">
        <v>4018</v>
      </c>
      <c r="B1290" s="38">
        <v>45408</v>
      </c>
      <c r="C1290" s="39">
        <f t="shared" si="320"/>
        <v>45408</v>
      </c>
      <c r="D1290" s="40" t="s">
        <v>121</v>
      </c>
      <c r="E1290" s="37" t="str" cm="1">
        <f t="array" ref="E1290">_xlfn.IFS(D1290="delhi","north",D1290="mumbai","west",D1290="bengaluru","south",D1290="chennai","south",D1290="kolkata","east",TRUE,"west")</f>
        <v>west</v>
      </c>
      <c r="F1290" s="37" t="s">
        <v>98</v>
      </c>
      <c r="G1290" s="37" t="str">
        <f t="shared" si="321"/>
        <v>dtdc</v>
      </c>
      <c r="H1290" s="37" t="s">
        <v>137</v>
      </c>
      <c r="I1290" s="37" t="str">
        <f t="shared" si="322"/>
        <v>road</v>
      </c>
      <c r="J1290" s="37" t="s">
        <v>498</v>
      </c>
      <c r="K1290" s="37" t="str">
        <f t="shared" si="323"/>
        <v>apparel</v>
      </c>
      <c r="L1290" s="37" t="s">
        <v>87</v>
      </c>
      <c r="M1290" s="37" t="str">
        <f t="shared" si="324"/>
        <v>north</v>
      </c>
      <c r="N1290" s="37" t="s">
        <v>113</v>
      </c>
      <c r="O1290" s="41" t="str">
        <f t="shared" si="325"/>
        <v>Yes</v>
      </c>
      <c r="P1290" s="41" t="s">
        <v>1288</v>
      </c>
      <c r="Q1290" s="41" t="s">
        <v>4019</v>
      </c>
      <c r="R1290" s="42">
        <f t="shared" si="326"/>
        <v>16.2025316455696</v>
      </c>
      <c r="S1290" s="37">
        <v>6</v>
      </c>
      <c r="T1290" s="37" t="s">
        <v>2156</v>
      </c>
      <c r="U1290" s="43" t="str">
        <f t="shared" si="327"/>
        <v>04/05/2024</v>
      </c>
      <c r="V1290" s="43">
        <f t="shared" si="328"/>
        <v>45416</v>
      </c>
      <c r="W1290" s="44">
        <f t="array" ref="W1290">_xlfn.IFS(TRIM(C1290)="","",TRIM(V1290)="","",TRUE,V1290-C1290)</f>
        <v>8</v>
      </c>
      <c r="X1290" s="37">
        <f t="shared" si="329"/>
        <v>2</v>
      </c>
      <c r="Y1290" s="37" t="s">
        <v>143</v>
      </c>
      <c r="Z1290" s="37" t="str">
        <f t="shared" si="330"/>
        <v>delayed</v>
      </c>
      <c r="AA1290" s="37" t="str">
        <f t="shared" si="331"/>
        <v>Late</v>
      </c>
      <c r="AB1290" s="37" t="str">
        <f t="shared" si="334"/>
        <v>1</v>
      </c>
      <c r="AC1290" s="37">
        <f t="shared" si="335"/>
        <v>1</v>
      </c>
      <c r="AD1290" s="45">
        <f t="shared" si="333"/>
        <v>0.563106796116505</v>
      </c>
      <c r="AE1290" s="37">
        <v>1</v>
      </c>
      <c r="AF1290" s="37" t="s">
        <v>181</v>
      </c>
      <c r="AG1290" s="37" t="str">
        <f t="shared" si="332"/>
        <v>y</v>
      </c>
      <c r="AH1290" s="37" t="str">
        <f t="array" ref="AH1290">_xlfn.IFS(LOWER(AG1290)="n","no",LOWER(AG1290)="y","yes",TRUE,LOWER(AG1290))</f>
        <v>yes</v>
      </c>
      <c r="AI1290" s="37" t="s">
        <v>4692</v>
      </c>
    </row>
    <row r="1291" spans="1:35">
      <c r="A1291" s="46" t="s">
        <v>4020</v>
      </c>
      <c r="B1291" s="47" t="s">
        <v>4775</v>
      </c>
      <c r="C1291" s="39">
        <f t="shared" si="320"/>
        <v>45375</v>
      </c>
      <c r="D1291" s="48" t="s">
        <v>424</v>
      </c>
      <c r="E1291" s="37" t="str" cm="1">
        <f t="array" ref="E1291">_xlfn.IFS(D1291="delhi","north",D1291="mumbai","west",D1291="bengaluru","south",D1291="chennai","south",D1291="kolkata","east",TRUE,"west")</f>
        <v>south</v>
      </c>
      <c r="F1291" s="46" t="s">
        <v>213</v>
      </c>
      <c r="G1291" s="37" t="str">
        <f t="shared" si="321"/>
        <v>dtdc</v>
      </c>
      <c r="H1291" s="46" t="s">
        <v>195</v>
      </c>
      <c r="I1291" s="37" t="str">
        <f t="shared" si="322"/>
        <v>road</v>
      </c>
      <c r="J1291" s="46" t="s">
        <v>498</v>
      </c>
      <c r="K1291" s="37" t="str">
        <f t="shared" si="323"/>
        <v>apparel</v>
      </c>
      <c r="L1291" s="46" t="s">
        <v>401</v>
      </c>
      <c r="M1291" s="37" t="str">
        <f t="shared" si="324"/>
        <v>south</v>
      </c>
      <c r="N1291" s="46" t="s">
        <v>93</v>
      </c>
      <c r="O1291" s="41" t="str">
        <f t="shared" si="325"/>
        <v>Yes</v>
      </c>
      <c r="P1291" s="49" t="s">
        <v>1548</v>
      </c>
      <c r="Q1291" s="49" t="s">
        <v>432</v>
      </c>
      <c r="R1291" s="42">
        <f t="shared" si="326"/>
        <v>30.7692307692308</v>
      </c>
      <c r="S1291" s="46">
        <v>6</v>
      </c>
      <c r="T1291" s="46" t="s">
        <v>2468</v>
      </c>
      <c r="U1291" s="43" t="str">
        <f t="shared" si="327"/>
        <v>31/03/2024</v>
      </c>
      <c r="V1291" s="43">
        <f t="shared" si="328"/>
        <v>45382</v>
      </c>
      <c r="W1291" s="44">
        <f t="array" ref="W1291">_xlfn.IFS(TRIM(C1291)="","",TRIM(V1291)="","",TRUE,V1291-C1291)</f>
        <v>7</v>
      </c>
      <c r="X1291" s="37">
        <f t="shared" si="329"/>
        <v>1</v>
      </c>
      <c r="Y1291" s="46" t="s">
        <v>200</v>
      </c>
      <c r="Z1291" s="37" t="str">
        <f t="shared" si="330"/>
        <v>delayed</v>
      </c>
      <c r="AA1291" s="37" t="str">
        <f t="shared" si="331"/>
        <v>Late</v>
      </c>
      <c r="AB1291" s="37" t="str">
        <f t="shared" si="334"/>
        <v>1</v>
      </c>
      <c r="AC1291" s="37">
        <f t="shared" si="335"/>
        <v>1</v>
      </c>
      <c r="AD1291" s="45">
        <f t="shared" si="333"/>
        <v>0.561688311688312</v>
      </c>
      <c r="AE1291" s="46">
        <v>5</v>
      </c>
      <c r="AF1291" s="46" t="s">
        <v>131</v>
      </c>
      <c r="AG1291" s="37" t="str">
        <f t="shared" si="332"/>
        <v>n</v>
      </c>
      <c r="AH1291" s="37" t="str">
        <f t="array" ref="AH1291">_xlfn.IFS(LOWER(AG1291)="n","no",LOWER(AG1291)="y","yes",TRUE,LOWER(AG1291))</f>
        <v>no</v>
      </c>
      <c r="AI1291" s="46" t="s">
        <v>4692</v>
      </c>
    </row>
    <row r="1292" spans="1:35">
      <c r="A1292" s="37" t="s">
        <v>4021</v>
      </c>
      <c r="B1292" s="38">
        <v>45399</v>
      </c>
      <c r="C1292" s="39">
        <f t="shared" si="320"/>
        <v>45399</v>
      </c>
      <c r="D1292" s="40" t="s">
        <v>135</v>
      </c>
      <c r="E1292" s="37" t="str" cm="1">
        <f t="array" ref="E1292">_xlfn.IFS(D1292="delhi","north",D1292="mumbai","west",D1292="bengaluru","south",D1292="chennai","south",D1292="kolkata","east",TRUE,"west")</f>
        <v>west</v>
      </c>
      <c r="F1292" s="37" t="s">
        <v>175</v>
      </c>
      <c r="G1292" s="37" t="str">
        <f t="shared" si="321"/>
        <v>ecomexpress</v>
      </c>
      <c r="H1292" s="37" t="s">
        <v>123</v>
      </c>
      <c r="I1292" s="37" t="str">
        <f t="shared" si="322"/>
        <v>air</v>
      </c>
      <c r="J1292" s="37" t="s">
        <v>214</v>
      </c>
      <c r="K1292" s="37" t="str">
        <f t="shared" si="323"/>
        <v>grocery&amp;fmcg</v>
      </c>
      <c r="L1292" s="37" t="s">
        <v>346</v>
      </c>
      <c r="M1292" s="37" t="str">
        <f t="shared" si="324"/>
        <v>north</v>
      </c>
      <c r="N1292" s="37" t="s">
        <v>113</v>
      </c>
      <c r="O1292" s="41" t="str">
        <f t="shared" si="325"/>
        <v>Yes</v>
      </c>
      <c r="P1292" s="41">
        <v>15.2</v>
      </c>
      <c r="Q1292" s="41">
        <v>868</v>
      </c>
      <c r="R1292" s="42">
        <f t="shared" si="326"/>
        <v>57.1052631578947</v>
      </c>
      <c r="S1292" s="37">
        <v>4</v>
      </c>
      <c r="T1292" s="37" t="s">
        <v>784</v>
      </c>
      <c r="U1292" s="43" t="str">
        <f t="shared" si="327"/>
        <v>20/04/2024</v>
      </c>
      <c r="V1292" s="43">
        <f t="shared" si="328"/>
        <v>45402</v>
      </c>
      <c r="W1292" s="44">
        <f t="array" ref="W1292">_xlfn.IFS(TRIM(C1292)="","",TRIM(V1292)="","",TRUE,V1292-C1292)</f>
        <v>3</v>
      </c>
      <c r="X1292" s="37">
        <f t="shared" si="329"/>
        <v>-1</v>
      </c>
      <c r="Y1292" s="37" t="s">
        <v>163</v>
      </c>
      <c r="Z1292" s="37" t="str">
        <f t="shared" si="330"/>
        <v>delivered</v>
      </c>
      <c r="AA1292" s="37" t="str">
        <f t="shared" si="331"/>
        <v>On Time</v>
      </c>
      <c r="AB1292" s="37" t="str">
        <f t="shared" si="334"/>
        <v>0</v>
      </c>
      <c r="AC1292" s="37">
        <f t="shared" si="335"/>
        <v>0</v>
      </c>
      <c r="AD1292" s="45">
        <f t="shared" si="333"/>
        <v>0.560260586319218</v>
      </c>
      <c r="AE1292" s="37">
        <v>2</v>
      </c>
      <c r="AF1292" s="37" t="s">
        <v>131</v>
      </c>
      <c r="AG1292" s="37" t="str">
        <f t="shared" si="332"/>
        <v>n</v>
      </c>
      <c r="AH1292" s="37" t="str">
        <f t="array" ref="AH1292">_xlfn.IFS(LOWER(AG1292)="n","no",LOWER(AG1292)="y","yes",TRUE,LOWER(AG1292))</f>
        <v>no</v>
      </c>
      <c r="AI1292" s="37" t="s">
        <v>4692</v>
      </c>
    </row>
    <row r="1293" spans="1:35">
      <c r="A1293" s="46" t="s">
        <v>4024</v>
      </c>
      <c r="B1293" s="47" t="s">
        <v>4739</v>
      </c>
      <c r="C1293" s="39">
        <f t="shared" si="320"/>
        <v>45318</v>
      </c>
      <c r="D1293" s="48" t="s">
        <v>4704</v>
      </c>
      <c r="E1293" s="37" t="str" cm="1">
        <f t="array" ref="E1293">_xlfn.IFS(D1293="delhi","north",D1293="mumbai","west",D1293="bengaluru","south",D1293="chennai","south",D1293="kolkata","east",TRUE,"west")</f>
        <v>west</v>
      </c>
      <c r="F1293" s="46" t="s">
        <v>223</v>
      </c>
      <c r="G1293" s="37" t="str">
        <f t="shared" si="321"/>
        <v>xpressbees</v>
      </c>
      <c r="H1293" s="46" t="s">
        <v>99</v>
      </c>
      <c r="I1293" s="37" t="str">
        <f t="shared" si="322"/>
        <v>air</v>
      </c>
      <c r="J1293" s="46" t="s">
        <v>498</v>
      </c>
      <c r="K1293" s="37" t="str">
        <f t="shared" si="323"/>
        <v>apparel</v>
      </c>
      <c r="L1293" s="46" t="s">
        <v>125</v>
      </c>
      <c r="M1293" s="37" t="str">
        <f t="shared" si="324"/>
        <v>east</v>
      </c>
      <c r="N1293" s="46" t="s">
        <v>126</v>
      </c>
      <c r="O1293" s="41" t="str">
        <f t="shared" si="325"/>
        <v>Yes</v>
      </c>
      <c r="P1293" s="49">
        <v>7.6</v>
      </c>
      <c r="Q1293" s="49">
        <v>332</v>
      </c>
      <c r="R1293" s="42">
        <f t="shared" si="326"/>
        <v>43.6842105263158</v>
      </c>
      <c r="S1293" s="46">
        <v>2</v>
      </c>
      <c r="T1293" s="46" t="s">
        <v>1292</v>
      </c>
      <c r="U1293" s="43" t="str">
        <f t="shared" si="327"/>
        <v>2024-01-28</v>
      </c>
      <c r="V1293" s="43">
        <f t="shared" si="328"/>
        <v>45319</v>
      </c>
      <c r="W1293" s="44">
        <f t="array" ref="W1293">_xlfn.IFS(TRIM(C1293)="","",TRIM(V1293)="","",TRUE,V1293-C1293)</f>
        <v>1</v>
      </c>
      <c r="X1293" s="37">
        <f t="shared" si="329"/>
        <v>-1</v>
      </c>
      <c r="Y1293" s="46" t="s">
        <v>117</v>
      </c>
      <c r="Z1293" s="37" t="str">
        <f t="shared" si="330"/>
        <v>delivered</v>
      </c>
      <c r="AA1293" s="37" t="str">
        <f t="shared" si="331"/>
        <v>On Time</v>
      </c>
      <c r="AB1293" s="37" t="str">
        <f t="shared" si="334"/>
        <v>0</v>
      </c>
      <c r="AC1293" s="37">
        <f t="shared" si="335"/>
        <v>0</v>
      </c>
      <c r="AD1293" s="45">
        <f t="shared" si="333"/>
        <v>0.562091503267974</v>
      </c>
      <c r="AE1293" s="46">
        <v>3</v>
      </c>
      <c r="AF1293" s="46" t="s">
        <v>131</v>
      </c>
      <c r="AG1293" s="37" t="str">
        <f t="shared" si="332"/>
        <v>n</v>
      </c>
      <c r="AH1293" s="37" t="str">
        <f t="array" ref="AH1293">_xlfn.IFS(LOWER(AG1293)="n","no",LOWER(AG1293)="y","yes",TRUE,LOWER(AG1293))</f>
        <v>no</v>
      </c>
      <c r="AI1293" s="46" t="s">
        <v>4692</v>
      </c>
    </row>
    <row r="1294" spans="1:35">
      <c r="A1294" s="37" t="s">
        <v>4026</v>
      </c>
      <c r="B1294" s="38">
        <v>45292</v>
      </c>
      <c r="C1294" s="39">
        <f t="shared" si="320"/>
        <v>45292</v>
      </c>
      <c r="D1294" s="40" t="s">
        <v>109</v>
      </c>
      <c r="E1294" s="37" t="str" cm="1">
        <f t="array" ref="E1294">_xlfn.IFS(D1294="delhi","north",D1294="mumbai","west",D1294="bengaluru","south",D1294="chennai","south",D1294="kolkata","east",TRUE,"west")</f>
        <v>west</v>
      </c>
      <c r="F1294" s="37" t="s">
        <v>230</v>
      </c>
      <c r="G1294" s="37" t="str">
        <f t="shared" si="321"/>
        <v>dtdc</v>
      </c>
      <c r="H1294" s="37" t="s">
        <v>110</v>
      </c>
      <c r="I1294" s="37" t="str">
        <f t="shared" si="322"/>
        <v>surface</v>
      </c>
      <c r="J1294" s="37" t="s">
        <v>177</v>
      </c>
      <c r="K1294" s="37" t="str">
        <f t="shared" si="323"/>
        <v>pharma</v>
      </c>
      <c r="L1294" s="37" t="s">
        <v>346</v>
      </c>
      <c r="M1294" s="37" t="str">
        <f t="shared" si="324"/>
        <v>north</v>
      </c>
      <c r="N1294" s="37" t="s">
        <v>32</v>
      </c>
      <c r="O1294" s="41" t="str">
        <f t="shared" si="325"/>
        <v>Yes</v>
      </c>
      <c r="P1294" s="41">
        <v>2.6</v>
      </c>
      <c r="Q1294" s="41">
        <v>188</v>
      </c>
      <c r="R1294" s="42">
        <f t="shared" si="326"/>
        <v>72.3076923076923</v>
      </c>
      <c r="S1294" s="37">
        <v>6</v>
      </c>
      <c r="T1294" s="37" t="s">
        <v>774</v>
      </c>
      <c r="U1294" s="43" t="str">
        <f t="shared" si="327"/>
        <v>13/01/2024</v>
      </c>
      <c r="V1294" s="43">
        <f t="shared" si="328"/>
        <v>45304</v>
      </c>
      <c r="W1294" s="44">
        <f t="array" ref="W1294">_xlfn.IFS(TRIM(C1294)="","",TRIM(V1294)="","",TRUE,V1294-C1294)</f>
        <v>12</v>
      </c>
      <c r="X1294" s="37">
        <f t="shared" si="329"/>
        <v>6</v>
      </c>
      <c r="Y1294" s="37" t="s">
        <v>200</v>
      </c>
      <c r="Z1294" s="37" t="str">
        <f t="shared" si="330"/>
        <v>delayed</v>
      </c>
      <c r="AA1294" s="37" t="str">
        <f t="shared" si="331"/>
        <v>Late</v>
      </c>
      <c r="AB1294" s="37" t="str">
        <f t="shared" si="334"/>
        <v>1</v>
      </c>
      <c r="AC1294" s="37">
        <f t="shared" si="335"/>
        <v>1</v>
      </c>
      <c r="AD1294" s="45">
        <f t="shared" si="333"/>
        <v>0.563934426229508</v>
      </c>
      <c r="AE1294" s="37">
        <v>3</v>
      </c>
      <c r="AF1294" s="37" t="s">
        <v>181</v>
      </c>
      <c r="AG1294" s="37" t="str">
        <f t="shared" si="332"/>
        <v>y</v>
      </c>
      <c r="AH1294" s="37" t="str">
        <f t="array" ref="AH1294">_xlfn.IFS(LOWER(AG1294)="n","no",LOWER(AG1294)="y","yes",TRUE,LOWER(AG1294))</f>
        <v>yes</v>
      </c>
      <c r="AI1294" s="37" t="s">
        <v>4692</v>
      </c>
    </row>
    <row r="1295" spans="1:35">
      <c r="A1295" s="46" t="s">
        <v>4028</v>
      </c>
      <c r="B1295" s="47">
        <v>45404</v>
      </c>
      <c r="C1295" s="39">
        <f t="shared" si="320"/>
        <v>45404</v>
      </c>
      <c r="D1295" s="48" t="s">
        <v>424</v>
      </c>
      <c r="E1295" s="37" t="str" cm="1">
        <f t="array" ref="E1295">_xlfn.IFS(D1295="delhi","north",D1295="mumbai","west",D1295="bengaluru","south",D1295="chennai","south",D1295="kolkata","east",TRUE,"west")</f>
        <v>south</v>
      </c>
      <c r="F1295" s="46" t="s">
        <v>223</v>
      </c>
      <c r="G1295" s="37" t="str">
        <f t="shared" si="321"/>
        <v>xpressbees</v>
      </c>
      <c r="H1295" s="46" t="s">
        <v>224</v>
      </c>
      <c r="I1295" s="37" t="str">
        <f t="shared" si="322"/>
        <v>air</v>
      </c>
      <c r="J1295" s="46" t="s">
        <v>167</v>
      </c>
      <c r="K1295" s="37" t="str">
        <f t="shared" si="323"/>
        <v>pharma</v>
      </c>
      <c r="L1295" s="46" t="s">
        <v>139</v>
      </c>
      <c r="M1295" s="37" t="str">
        <f t="shared" si="324"/>
        <v>north</v>
      </c>
      <c r="N1295" s="46" t="s">
        <v>354</v>
      </c>
      <c r="O1295" s="41" t="str">
        <f t="shared" si="325"/>
        <v>Yes</v>
      </c>
      <c r="P1295" s="49" t="s">
        <v>1312</v>
      </c>
      <c r="Q1295" s="49" t="s">
        <v>594</v>
      </c>
      <c r="R1295" s="42">
        <f t="shared" si="326"/>
        <v>107.931034482759</v>
      </c>
      <c r="S1295" s="46">
        <v>4</v>
      </c>
      <c r="T1295" s="46" t="s">
        <v>1030</v>
      </c>
      <c r="U1295" s="43" t="str">
        <f t="shared" si="327"/>
        <v>02/05/2024</v>
      </c>
      <c r="V1295" s="43">
        <f t="shared" si="328"/>
        <v>45414</v>
      </c>
      <c r="W1295" s="44">
        <f t="array" ref="W1295">_xlfn.IFS(TRIM(C1295)="","",TRIM(V1295)="","",TRUE,V1295-C1295)</f>
        <v>10</v>
      </c>
      <c r="X1295" s="37">
        <f t="shared" si="329"/>
        <v>6</v>
      </c>
      <c r="Y1295" s="46" t="s">
        <v>72</v>
      </c>
      <c r="Z1295" s="37" t="str">
        <f t="shared" si="330"/>
        <v>delayed</v>
      </c>
      <c r="AA1295" s="37" t="str">
        <f t="shared" si="331"/>
        <v>Late</v>
      </c>
      <c r="AB1295" s="37" t="str">
        <f t="shared" si="334"/>
        <v>1</v>
      </c>
      <c r="AC1295" s="37">
        <f t="shared" si="335"/>
        <v>1</v>
      </c>
      <c r="AD1295" s="45">
        <f t="shared" si="333"/>
        <v>0.5625</v>
      </c>
      <c r="AE1295" s="46">
        <v>2</v>
      </c>
      <c r="AF1295" s="46" t="s">
        <v>118</v>
      </c>
      <c r="AG1295" s="37" t="str">
        <f t="shared" si="332"/>
        <v>no</v>
      </c>
      <c r="AH1295" s="37" t="str">
        <f t="array" ref="AH1295">_xlfn.IFS(LOWER(AG1295)="n","no",LOWER(AG1295)="y","yes",TRUE,LOWER(AG1295))</f>
        <v>no</v>
      </c>
      <c r="AI1295" s="46" t="s">
        <v>4692</v>
      </c>
    </row>
    <row r="1296" spans="1:35">
      <c r="A1296" s="37" t="s">
        <v>4029</v>
      </c>
      <c r="B1296" s="38">
        <v>45306</v>
      </c>
      <c r="C1296" s="39">
        <f t="shared" si="320"/>
        <v>45306</v>
      </c>
      <c r="D1296" s="40" t="s">
        <v>424</v>
      </c>
      <c r="E1296" s="37" t="str" cm="1">
        <f t="array" ref="E1296">_xlfn.IFS(D1296="delhi","north",D1296="mumbai","west",D1296="bengaluru","south",D1296="chennai","south",D1296="kolkata","east",TRUE,"west")</f>
        <v>south</v>
      </c>
      <c r="F1296" s="37" t="s">
        <v>194</v>
      </c>
      <c r="G1296" s="37" t="str">
        <f t="shared" si="321"/>
        <v>xpressbees</v>
      </c>
      <c r="H1296" s="37" t="s">
        <v>123</v>
      </c>
      <c r="I1296" s="37" t="str">
        <f t="shared" si="322"/>
        <v>air</v>
      </c>
      <c r="J1296" s="37" t="s">
        <v>368</v>
      </c>
      <c r="K1296" s="37" t="str">
        <f t="shared" si="323"/>
        <v>furniture</v>
      </c>
      <c r="L1296" s="37" t="s">
        <v>380</v>
      </c>
      <c r="M1296" s="37" t="str">
        <f t="shared" si="324"/>
        <v>east</v>
      </c>
      <c r="N1296" s="37" t="s">
        <v>91</v>
      </c>
      <c r="O1296" s="41" t="str">
        <f t="shared" si="325"/>
        <v>Yes</v>
      </c>
      <c r="P1296" s="41" t="s">
        <v>4030</v>
      </c>
      <c r="Q1296" s="41" t="s">
        <v>4031</v>
      </c>
      <c r="R1296" s="42">
        <f t="shared" si="326"/>
        <v>52.4380165289256</v>
      </c>
      <c r="S1296" s="37">
        <v>4</v>
      </c>
      <c r="T1296" s="37" t="s">
        <v>1292</v>
      </c>
      <c r="U1296" s="43" t="str">
        <f t="shared" si="327"/>
        <v>2024-01-28</v>
      </c>
      <c r="V1296" s="43">
        <f t="shared" si="328"/>
        <v>45319</v>
      </c>
      <c r="W1296" s="44">
        <f t="array" ref="W1296">_xlfn.IFS(TRIM(C1296)="","",TRIM(V1296)="","",TRUE,V1296-C1296)</f>
        <v>13</v>
      </c>
      <c r="X1296" s="37">
        <f t="shared" si="329"/>
        <v>9</v>
      </c>
      <c r="Y1296" s="37" t="s">
        <v>143</v>
      </c>
      <c r="Z1296" s="37" t="str">
        <f t="shared" si="330"/>
        <v>delayed</v>
      </c>
      <c r="AA1296" s="37" t="str">
        <f t="shared" si="331"/>
        <v>Late</v>
      </c>
      <c r="AB1296" s="37" t="str">
        <f t="shared" si="334"/>
        <v>1</v>
      </c>
      <c r="AC1296" s="37">
        <f t="shared" si="335"/>
        <v>1</v>
      </c>
      <c r="AD1296" s="45">
        <f t="shared" si="333"/>
        <v>0.561056105610561</v>
      </c>
      <c r="AE1296" s="37">
        <v>4</v>
      </c>
      <c r="AF1296" s="37" t="s">
        <v>286</v>
      </c>
      <c r="AG1296" s="37" t="str">
        <f t="shared" si="332"/>
        <v>yes</v>
      </c>
      <c r="AH1296" s="37" t="str">
        <f t="array" ref="AH1296">_xlfn.IFS(LOWER(AG1296)="n","no",LOWER(AG1296)="y","yes",TRUE,LOWER(AG1296))</f>
        <v>yes</v>
      </c>
      <c r="AI1296" s="37" t="s">
        <v>4692</v>
      </c>
    </row>
    <row r="1297" spans="1:35">
      <c r="A1297" s="46" t="s">
        <v>4032</v>
      </c>
      <c r="B1297" s="47" t="s">
        <v>4818</v>
      </c>
      <c r="C1297" s="39">
        <f t="shared" si="320"/>
        <v>45451</v>
      </c>
      <c r="D1297" s="48" t="s">
        <v>424</v>
      </c>
      <c r="E1297" s="37" t="str" cm="1">
        <f t="array" ref="E1297">_xlfn.IFS(D1297="delhi","north",D1297="mumbai","west",D1297="bengaluru","south",D1297="chennai","south",D1297="kolkata","east",TRUE,"west")</f>
        <v>south</v>
      </c>
      <c r="F1297" s="46" t="s">
        <v>37</v>
      </c>
      <c r="G1297" s="37" t="str">
        <f t="shared" si="321"/>
        <v>bluedart</v>
      </c>
      <c r="H1297" s="46" t="s">
        <v>176</v>
      </c>
      <c r="I1297" s="37" t="str">
        <f t="shared" si="322"/>
        <v>road</v>
      </c>
      <c r="J1297" s="46" t="s">
        <v>100</v>
      </c>
      <c r="K1297" s="37" t="str">
        <f t="shared" si="323"/>
        <v>electronics</v>
      </c>
      <c r="L1297" s="46" t="s">
        <v>334</v>
      </c>
      <c r="M1297" s="37" t="str">
        <f t="shared" si="324"/>
        <v>north</v>
      </c>
      <c r="N1297" s="46" t="s">
        <v>215</v>
      </c>
      <c r="O1297" s="41" t="str">
        <f t="shared" si="325"/>
        <v>Yes</v>
      </c>
      <c r="P1297" s="49">
        <v>7.6</v>
      </c>
      <c r="Q1297" s="49">
        <v>304</v>
      </c>
      <c r="R1297" s="42">
        <f t="shared" si="326"/>
        <v>40</v>
      </c>
      <c r="S1297" s="46">
        <v>8</v>
      </c>
      <c r="T1297" s="46" t="s">
        <v>2169</v>
      </c>
      <c r="U1297" s="43" t="str">
        <f t="shared" si="327"/>
        <v>2024-06-20</v>
      </c>
      <c r="V1297" s="43">
        <f t="shared" si="328"/>
        <v>45463</v>
      </c>
      <c r="W1297" s="44">
        <f t="array" ref="W1297">_xlfn.IFS(TRIM(C1297)="","",TRIM(V1297)="","",TRUE,V1297-C1297)</f>
        <v>12</v>
      </c>
      <c r="X1297" s="37">
        <f t="shared" si="329"/>
        <v>4</v>
      </c>
      <c r="Y1297" s="46" t="s">
        <v>72</v>
      </c>
      <c r="Z1297" s="37" t="str">
        <f t="shared" si="330"/>
        <v>delayed</v>
      </c>
      <c r="AA1297" s="37" t="str">
        <f t="shared" si="331"/>
        <v>Late</v>
      </c>
      <c r="AB1297" s="37" t="str">
        <f t="shared" si="334"/>
        <v>1</v>
      </c>
      <c r="AC1297" s="37">
        <f t="shared" si="335"/>
        <v>1</v>
      </c>
      <c r="AD1297" s="45">
        <f t="shared" si="333"/>
        <v>0.559602649006622</v>
      </c>
      <c r="AE1297" s="46">
        <v>2</v>
      </c>
      <c r="AF1297" s="46" t="s">
        <v>118</v>
      </c>
      <c r="AG1297" s="37" t="str">
        <f t="shared" si="332"/>
        <v>no</v>
      </c>
      <c r="AH1297" s="37" t="str">
        <f t="array" ref="AH1297">_xlfn.IFS(LOWER(AG1297)="n","no",LOWER(AG1297)="y","yes",TRUE,LOWER(AG1297))</f>
        <v>no</v>
      </c>
      <c r="AI1297" s="46" t="s">
        <v>4692</v>
      </c>
    </row>
    <row r="1298" spans="1:35">
      <c r="A1298" s="37" t="s">
        <v>4034</v>
      </c>
      <c r="B1298" s="38">
        <v>45428</v>
      </c>
      <c r="C1298" s="39">
        <f t="shared" si="320"/>
        <v>45428</v>
      </c>
      <c r="D1298" s="40" t="s">
        <v>340</v>
      </c>
      <c r="E1298" s="37" t="str" cm="1">
        <f t="array" ref="E1298">_xlfn.IFS(D1298="delhi","north",D1298="mumbai","west",D1298="bengaluru","south",D1298="chennai","south",D1298="kolkata","east",TRUE,"west")</f>
        <v>north</v>
      </c>
      <c r="F1298" s="37" t="s">
        <v>367</v>
      </c>
      <c r="G1298" s="37" t="str">
        <f t="shared" si="321"/>
        <v>dtdc</v>
      </c>
      <c r="H1298" s="37" t="s">
        <v>195</v>
      </c>
      <c r="I1298" s="37" t="str">
        <f t="shared" si="322"/>
        <v>road</v>
      </c>
      <c r="J1298" s="37" t="s">
        <v>138</v>
      </c>
      <c r="K1298" s="37" t="str">
        <f t="shared" si="323"/>
        <v>apparel</v>
      </c>
      <c r="L1298" s="37" t="s">
        <v>101</v>
      </c>
      <c r="M1298" s="37" t="str">
        <f t="shared" si="324"/>
        <v>west</v>
      </c>
      <c r="N1298" s="37" t="s">
        <v>206</v>
      </c>
      <c r="O1298" s="41" t="str">
        <f t="shared" si="325"/>
        <v>Yes</v>
      </c>
      <c r="P1298" s="41">
        <v>5.3</v>
      </c>
      <c r="Q1298" s="41">
        <v>224</v>
      </c>
      <c r="R1298" s="42">
        <f t="shared" si="326"/>
        <v>42.2641509433962</v>
      </c>
      <c r="S1298" s="37">
        <v>8</v>
      </c>
      <c r="T1298" s="37" t="s">
        <v>1105</v>
      </c>
      <c r="U1298" s="43" t="str">
        <f t="shared" si="327"/>
        <v>25-may-2024</v>
      </c>
      <c r="V1298" s="43">
        <f t="shared" si="328"/>
        <v>45437</v>
      </c>
      <c r="W1298" s="44">
        <f t="array" ref="W1298">_xlfn.IFS(TRIM(C1298)="","",TRIM(V1298)="","",TRUE,V1298-C1298)</f>
        <v>9</v>
      </c>
      <c r="X1298" s="37">
        <f t="shared" si="329"/>
        <v>1</v>
      </c>
      <c r="Y1298" s="37" t="s">
        <v>172</v>
      </c>
      <c r="Z1298" s="37" t="str">
        <f t="shared" si="330"/>
        <v>delayed</v>
      </c>
      <c r="AA1298" s="37" t="str">
        <f t="shared" si="331"/>
        <v>Late</v>
      </c>
      <c r="AB1298" s="37" t="str">
        <f t="shared" si="334"/>
        <v>1</v>
      </c>
      <c r="AC1298" s="37">
        <f t="shared" si="335"/>
        <v>1</v>
      </c>
      <c r="AD1298" s="45">
        <f t="shared" si="333"/>
        <v>0.558139534883721</v>
      </c>
      <c r="AE1298" s="37">
        <v>5</v>
      </c>
      <c r="AF1298" s="37" t="s">
        <v>152</v>
      </c>
      <c r="AG1298" s="37" t="str">
        <f t="shared" si="332"/>
        <v>no</v>
      </c>
      <c r="AH1298" s="37" t="str">
        <f t="array" ref="AH1298">_xlfn.IFS(LOWER(AG1298)="n","no",LOWER(AG1298)="y","yes",TRUE,LOWER(AG1298))</f>
        <v>no</v>
      </c>
      <c r="AI1298" s="37" t="s">
        <v>4692</v>
      </c>
    </row>
    <row r="1299" spans="1:35">
      <c r="A1299" s="46" t="s">
        <v>4036</v>
      </c>
      <c r="B1299" s="47">
        <v>45402</v>
      </c>
      <c r="C1299" s="39">
        <f t="shared" si="320"/>
        <v>45402</v>
      </c>
      <c r="D1299" s="48" t="s">
        <v>633</v>
      </c>
      <c r="E1299" s="37" t="str" cm="1">
        <f t="array" ref="E1299">_xlfn.IFS(D1299="delhi","north",D1299="mumbai","west",D1299="bengaluru","south",D1299="chennai","south",D1299="kolkata","east",TRUE,"west")</f>
        <v>south</v>
      </c>
      <c r="F1299" s="46" t="s">
        <v>367</v>
      </c>
      <c r="G1299" s="37" t="str">
        <f t="shared" si="321"/>
        <v>dtdc</v>
      </c>
      <c r="H1299" s="46" t="s">
        <v>185</v>
      </c>
      <c r="I1299" s="37" t="str">
        <f t="shared" si="322"/>
        <v>surface</v>
      </c>
      <c r="J1299" s="46" t="s">
        <v>353</v>
      </c>
      <c r="K1299" s="37" t="str">
        <f t="shared" si="323"/>
        <v>automotiveparts</v>
      </c>
      <c r="L1299" s="46" t="s">
        <v>346</v>
      </c>
      <c r="M1299" s="37" t="str">
        <f t="shared" si="324"/>
        <v>north</v>
      </c>
      <c r="N1299" s="46" t="s">
        <v>113</v>
      </c>
      <c r="O1299" s="41" t="str">
        <f t="shared" si="325"/>
        <v>Yes</v>
      </c>
      <c r="P1299" s="49" t="s">
        <v>4037</v>
      </c>
      <c r="Q1299" s="49" t="s">
        <v>3369</v>
      </c>
      <c r="R1299" s="42">
        <f t="shared" si="326"/>
        <v>29.6017699115044</v>
      </c>
      <c r="S1299" s="46">
        <v>6</v>
      </c>
      <c r="T1299" s="46" t="s">
        <v>1595</v>
      </c>
      <c r="U1299" s="43" t="str">
        <f t="shared" si="327"/>
        <v>29-apr-2024</v>
      </c>
      <c r="V1299" s="43">
        <f t="shared" si="328"/>
        <v>45411</v>
      </c>
      <c r="W1299" s="44">
        <f t="array" ref="W1299">_xlfn.IFS(TRIM(C1299)="","",TRIM(V1299)="","",TRUE,V1299-C1299)</f>
        <v>9</v>
      </c>
      <c r="X1299" s="37">
        <f t="shared" si="329"/>
        <v>3</v>
      </c>
      <c r="Y1299" s="46" t="s">
        <v>200</v>
      </c>
      <c r="Z1299" s="37" t="str">
        <f t="shared" si="330"/>
        <v>delayed</v>
      </c>
      <c r="AA1299" s="37" t="str">
        <f t="shared" si="331"/>
        <v>Late</v>
      </c>
      <c r="AB1299" s="37" t="str">
        <f t="shared" si="334"/>
        <v>1</v>
      </c>
      <c r="AC1299" s="37">
        <f t="shared" si="335"/>
        <v>1</v>
      </c>
      <c r="AD1299" s="45">
        <f t="shared" si="333"/>
        <v>0.556666666666667</v>
      </c>
      <c r="AE1299" s="46">
        <v>5</v>
      </c>
      <c r="AF1299" s="46" t="s">
        <v>181</v>
      </c>
      <c r="AG1299" s="37" t="str">
        <f t="shared" si="332"/>
        <v>y</v>
      </c>
      <c r="AH1299" s="37" t="str">
        <f t="array" ref="AH1299">_xlfn.IFS(LOWER(AG1299)="n","no",LOWER(AG1299)="y","yes",TRUE,LOWER(AG1299))</f>
        <v>yes</v>
      </c>
      <c r="AI1299" s="46" t="s">
        <v>4692</v>
      </c>
    </row>
    <row r="1300" spans="1:35">
      <c r="A1300" s="37" t="s">
        <v>4038</v>
      </c>
      <c r="B1300" s="38">
        <v>45306</v>
      </c>
      <c r="C1300" s="39">
        <f t="shared" si="320"/>
        <v>45306</v>
      </c>
      <c r="D1300" s="40" t="s">
        <v>4699</v>
      </c>
      <c r="E1300" s="37" t="str" cm="1">
        <f t="array" ref="E1300">_xlfn.IFS(D1300="delhi","north",D1300="mumbai","west",D1300="bengaluru","south",D1300="chennai","south",D1300="kolkata","east",TRUE,"west")</f>
        <v>west</v>
      </c>
      <c r="F1300" s="37" t="s">
        <v>194</v>
      </c>
      <c r="G1300" s="37" t="str">
        <f t="shared" si="321"/>
        <v>xpressbees</v>
      </c>
      <c r="H1300" s="37" t="s">
        <v>99</v>
      </c>
      <c r="I1300" s="37" t="str">
        <f t="shared" si="322"/>
        <v>air</v>
      </c>
      <c r="J1300" s="37" t="s">
        <v>582</v>
      </c>
      <c r="K1300" s="37" t="str">
        <f t="shared" si="323"/>
        <v>grocery&amp;fmcg</v>
      </c>
      <c r="L1300" s="37" t="s">
        <v>302</v>
      </c>
      <c r="M1300" s="37" t="str">
        <f t="shared" si="324"/>
        <v>east</v>
      </c>
      <c r="N1300" s="37" t="s">
        <v>126</v>
      </c>
      <c r="O1300" s="41" t="str">
        <f t="shared" si="325"/>
        <v>Yes</v>
      </c>
      <c r="P1300" s="41">
        <v>12.1</v>
      </c>
      <c r="Q1300" s="41">
        <v>718</v>
      </c>
      <c r="R1300" s="42">
        <f t="shared" si="326"/>
        <v>59.3388429752066</v>
      </c>
      <c r="S1300" s="37">
        <v>4</v>
      </c>
      <c r="T1300" s="37" t="s">
        <v>1782</v>
      </c>
      <c r="U1300" s="43" t="str">
        <f t="shared" si="327"/>
        <v>19/01/2024</v>
      </c>
      <c r="V1300" s="43">
        <f t="shared" si="328"/>
        <v>45310</v>
      </c>
      <c r="W1300" s="44">
        <f t="array" ref="W1300">_xlfn.IFS(TRIM(C1300)="","",TRIM(V1300)="","",TRUE,V1300-C1300)</f>
        <v>4</v>
      </c>
      <c r="X1300" s="37">
        <f t="shared" si="329"/>
        <v>0</v>
      </c>
      <c r="Y1300" s="37" t="s">
        <v>163</v>
      </c>
      <c r="Z1300" s="37" t="str">
        <f t="shared" si="330"/>
        <v>delivered</v>
      </c>
      <c r="AA1300" s="37" t="str">
        <f t="shared" si="331"/>
        <v>On Time</v>
      </c>
      <c r="AB1300" s="37" t="str">
        <f t="shared" si="334"/>
        <v>0</v>
      </c>
      <c r="AC1300" s="37">
        <f t="shared" si="335"/>
        <v>0</v>
      </c>
      <c r="AD1300" s="45">
        <f t="shared" si="333"/>
        <v>0.555183946488294</v>
      </c>
      <c r="AE1300" s="37">
        <v>3</v>
      </c>
      <c r="AF1300" s="37" t="s">
        <v>79</v>
      </c>
      <c r="AG1300" s="37" t="str">
        <f t="shared" si="332"/>
        <v>yes</v>
      </c>
      <c r="AH1300" s="37" t="str">
        <f t="array" ref="AH1300">_xlfn.IFS(LOWER(AG1300)="n","no",LOWER(AG1300)="y","yes",TRUE,LOWER(AG1300))</f>
        <v>yes</v>
      </c>
      <c r="AI1300" s="37" t="s">
        <v>4692</v>
      </c>
    </row>
    <row r="1301" spans="1:35">
      <c r="A1301" s="46" t="s">
        <v>4040</v>
      </c>
      <c r="B1301" s="47" t="s">
        <v>4763</v>
      </c>
      <c r="C1301" s="39">
        <f t="shared" si="320"/>
        <v>45299</v>
      </c>
      <c r="D1301" s="48" t="s">
        <v>424</v>
      </c>
      <c r="E1301" s="37" t="str" cm="1">
        <f t="array" ref="E1301">_xlfn.IFS(D1301="delhi","north",D1301="mumbai","west",D1301="bengaluru","south",D1301="chennai","south",D1301="kolkata","east",TRUE,"west")</f>
        <v>south</v>
      </c>
      <c r="F1301" s="46" t="s">
        <v>230</v>
      </c>
      <c r="G1301" s="37" t="str">
        <f t="shared" si="321"/>
        <v>dtdc</v>
      </c>
      <c r="H1301" s="46" t="s">
        <v>42</v>
      </c>
      <c r="I1301" s="37" t="str">
        <f t="shared" si="322"/>
        <v>surface</v>
      </c>
      <c r="J1301" s="46" t="s">
        <v>368</v>
      </c>
      <c r="K1301" s="37" t="str">
        <f t="shared" si="323"/>
        <v>furniture</v>
      </c>
      <c r="L1301" s="46" t="s">
        <v>159</v>
      </c>
      <c r="M1301" s="37" t="str">
        <f t="shared" si="324"/>
        <v>south</v>
      </c>
      <c r="N1301" s="46" t="s">
        <v>327</v>
      </c>
      <c r="O1301" s="41" t="str">
        <f t="shared" si="325"/>
        <v>Yes</v>
      </c>
      <c r="P1301" s="49" t="s">
        <v>4041</v>
      </c>
      <c r="Q1301" s="49" t="s">
        <v>4042</v>
      </c>
      <c r="R1301" s="42">
        <f t="shared" si="326"/>
        <v>21.5136476426799</v>
      </c>
      <c r="S1301" s="46">
        <v>4</v>
      </c>
      <c r="T1301" s="46" t="s">
        <v>1763</v>
      </c>
      <c r="U1301" s="43" t="str">
        <f t="shared" si="327"/>
        <v>16-jan-2024</v>
      </c>
      <c r="V1301" s="43">
        <f t="shared" si="328"/>
        <v>45307</v>
      </c>
      <c r="W1301" s="44">
        <f t="array" ref="W1301">_xlfn.IFS(TRIM(C1301)="","",TRIM(V1301)="","",TRUE,V1301-C1301)</f>
        <v>8</v>
      </c>
      <c r="X1301" s="37">
        <f t="shared" si="329"/>
        <v>4</v>
      </c>
      <c r="Y1301" s="46" t="s">
        <v>200</v>
      </c>
      <c r="Z1301" s="37" t="str">
        <f t="shared" si="330"/>
        <v>delayed</v>
      </c>
      <c r="AA1301" s="37" t="str">
        <f t="shared" si="331"/>
        <v>Late</v>
      </c>
      <c r="AB1301" s="37" t="str">
        <f t="shared" si="334"/>
        <v>1</v>
      </c>
      <c r="AC1301" s="37">
        <f t="shared" si="335"/>
        <v>1</v>
      </c>
      <c r="AD1301" s="45">
        <f t="shared" si="333"/>
        <v>0.557046979865772</v>
      </c>
      <c r="AE1301" s="46">
        <v>2</v>
      </c>
      <c r="AF1301" s="46" t="s">
        <v>106</v>
      </c>
      <c r="AG1301" s="37" t="str">
        <f t="shared" si="332"/>
        <v>yes</v>
      </c>
      <c r="AH1301" s="37" t="str">
        <f t="array" ref="AH1301">_xlfn.IFS(LOWER(AG1301)="n","no",LOWER(AG1301)="y","yes",TRUE,LOWER(AG1301))</f>
        <v>yes</v>
      </c>
      <c r="AI1301" s="46" t="s">
        <v>4692</v>
      </c>
    </row>
    <row r="1302" spans="1:35">
      <c r="A1302" s="37" t="s">
        <v>4043</v>
      </c>
      <c r="B1302" s="38">
        <v>45359</v>
      </c>
      <c r="C1302" s="39">
        <f t="shared" si="320"/>
        <v>45359</v>
      </c>
      <c r="D1302" s="40" t="s">
        <v>366</v>
      </c>
      <c r="E1302" s="37" t="str" cm="1">
        <f t="array" ref="E1302">_xlfn.IFS(D1302="delhi","north",D1302="mumbai","west",D1302="bengaluru","south",D1302="chennai","south",D1302="kolkata","east",TRUE,"west")</f>
        <v>east</v>
      </c>
      <c r="F1302" s="37" t="s">
        <v>352</v>
      </c>
      <c r="G1302" s="37" t="str">
        <f t="shared" si="321"/>
        <v>delhivery</v>
      </c>
      <c r="H1302" s="37" t="s">
        <v>110</v>
      </c>
      <c r="I1302" s="37" t="str">
        <f t="shared" si="322"/>
        <v>surface</v>
      </c>
      <c r="J1302" s="37" t="s">
        <v>430</v>
      </c>
      <c r="K1302" s="37" t="str">
        <f t="shared" si="323"/>
        <v>pharma</v>
      </c>
      <c r="L1302" s="37" t="s">
        <v>159</v>
      </c>
      <c r="M1302" s="37" t="str">
        <f t="shared" si="324"/>
        <v>south</v>
      </c>
      <c r="N1302" s="37" t="s">
        <v>327</v>
      </c>
      <c r="O1302" s="41" t="str">
        <f t="shared" si="325"/>
        <v>Yes</v>
      </c>
      <c r="P1302" s="41">
        <v>3.3</v>
      </c>
      <c r="Q1302" s="41">
        <v>248</v>
      </c>
      <c r="R1302" s="42">
        <f t="shared" si="326"/>
        <v>75.1515151515152</v>
      </c>
      <c r="S1302" s="37">
        <v>6</v>
      </c>
      <c r="T1302" s="37" t="s">
        <v>421</v>
      </c>
      <c r="U1302" s="43" t="str">
        <f t="shared" si="327"/>
        <v>15/03/2024</v>
      </c>
      <c r="V1302" s="43">
        <f t="shared" si="328"/>
        <v>45366</v>
      </c>
      <c r="W1302" s="44">
        <f t="array" ref="W1302">_xlfn.IFS(TRIM(C1302)="","",TRIM(V1302)="","",TRUE,V1302-C1302)</f>
        <v>7</v>
      </c>
      <c r="X1302" s="37">
        <f t="shared" si="329"/>
        <v>1</v>
      </c>
      <c r="Y1302" s="37" t="s">
        <v>72</v>
      </c>
      <c r="Z1302" s="37" t="str">
        <f t="shared" si="330"/>
        <v>delayed</v>
      </c>
      <c r="AA1302" s="37" t="str">
        <f t="shared" si="331"/>
        <v>Late</v>
      </c>
      <c r="AB1302" s="37" t="str">
        <f t="shared" si="334"/>
        <v>1</v>
      </c>
      <c r="AC1302" s="37">
        <f t="shared" si="335"/>
        <v>1</v>
      </c>
      <c r="AD1302" s="45">
        <f t="shared" si="333"/>
        <v>0.555555555555556</v>
      </c>
      <c r="AE1302" s="37">
        <v>2</v>
      </c>
      <c r="AF1302" s="37" t="s">
        <v>131</v>
      </c>
      <c r="AG1302" s="37" t="str">
        <f t="shared" si="332"/>
        <v>n</v>
      </c>
      <c r="AH1302" s="37" t="str">
        <f t="array" ref="AH1302">_xlfn.IFS(LOWER(AG1302)="n","no",LOWER(AG1302)="y","yes",TRUE,LOWER(AG1302))</f>
        <v>no</v>
      </c>
      <c r="AI1302" s="37" t="s">
        <v>4692</v>
      </c>
    </row>
    <row r="1303" spans="1:35">
      <c r="A1303" s="46" t="s">
        <v>4044</v>
      </c>
      <c r="B1303" s="47">
        <v>45403</v>
      </c>
      <c r="C1303" s="39">
        <f t="shared" si="320"/>
        <v>45403</v>
      </c>
      <c r="D1303" s="48" t="s">
        <v>424</v>
      </c>
      <c r="E1303" s="37" t="str" cm="1">
        <f t="array" ref="E1303">_xlfn.IFS(D1303="delhi","north",D1303="mumbai","west",D1303="bengaluru","south",D1303="chennai","south",D1303="kolkata","east",TRUE,"west")</f>
        <v>south</v>
      </c>
      <c r="F1303" s="46" t="s">
        <v>204</v>
      </c>
      <c r="G1303" s="37" t="str">
        <f t="shared" si="321"/>
        <v>delhivery</v>
      </c>
      <c r="H1303" s="46" t="s">
        <v>176</v>
      </c>
      <c r="I1303" s="37" t="str">
        <f t="shared" si="322"/>
        <v>road</v>
      </c>
      <c r="J1303" s="46" t="s">
        <v>237</v>
      </c>
      <c r="K1303" s="37" t="str">
        <f t="shared" si="323"/>
        <v>automotiveparts</v>
      </c>
      <c r="L1303" s="46" t="s">
        <v>125</v>
      </c>
      <c r="M1303" s="37" t="str">
        <f t="shared" si="324"/>
        <v>east</v>
      </c>
      <c r="N1303" s="46" t="s">
        <v>294</v>
      </c>
      <c r="O1303" s="41" t="str">
        <f t="shared" si="325"/>
        <v>Yes</v>
      </c>
      <c r="P1303" s="49">
        <v>37</v>
      </c>
      <c r="Q1303" s="49">
        <v>682</v>
      </c>
      <c r="R1303" s="42">
        <f t="shared" si="326"/>
        <v>18.4324324324324</v>
      </c>
      <c r="S1303" s="46">
        <v>8</v>
      </c>
      <c r="T1303" s="46" t="s">
        <v>1032</v>
      </c>
      <c r="U1303" s="43" t="str">
        <f t="shared" si="327"/>
        <v>06-may-2024</v>
      </c>
      <c r="V1303" s="43">
        <f t="shared" si="328"/>
        <v>45418</v>
      </c>
      <c r="W1303" s="44">
        <f t="array" ref="W1303">_xlfn.IFS(TRIM(C1303)="","",TRIM(V1303)="","",TRUE,V1303-C1303)</f>
        <v>15</v>
      </c>
      <c r="X1303" s="37">
        <f t="shared" si="329"/>
        <v>7</v>
      </c>
      <c r="Y1303" s="46" t="s">
        <v>200</v>
      </c>
      <c r="Z1303" s="37" t="str">
        <f t="shared" si="330"/>
        <v>delayed</v>
      </c>
      <c r="AA1303" s="37" t="str">
        <f t="shared" si="331"/>
        <v>Late</v>
      </c>
      <c r="AB1303" s="37" t="str">
        <f t="shared" si="334"/>
        <v>1</v>
      </c>
      <c r="AC1303" s="37">
        <f t="shared" si="335"/>
        <v>1</v>
      </c>
      <c r="AD1303" s="45">
        <f t="shared" si="333"/>
        <v>0.554054054054054</v>
      </c>
      <c r="AE1303" s="46">
        <v>3</v>
      </c>
      <c r="AF1303" s="46" t="s">
        <v>286</v>
      </c>
      <c r="AG1303" s="37" t="str">
        <f t="shared" si="332"/>
        <v>yes</v>
      </c>
      <c r="AH1303" s="37" t="str">
        <f t="array" ref="AH1303">_xlfn.IFS(LOWER(AG1303)="n","no",LOWER(AG1303)="y","yes",TRUE,LOWER(AG1303))</f>
        <v>yes</v>
      </c>
      <c r="AI1303" s="46" t="s">
        <v>4692</v>
      </c>
    </row>
    <row r="1304" spans="1:35">
      <c r="A1304" s="46" t="s">
        <v>4047</v>
      </c>
      <c r="B1304" s="47">
        <v>45454</v>
      </c>
      <c r="C1304" s="39">
        <f t="shared" si="320"/>
        <v>45454</v>
      </c>
      <c r="D1304" s="48" t="s">
        <v>424</v>
      </c>
      <c r="E1304" s="37" t="str" cm="1">
        <f t="array" ref="E1304">_xlfn.IFS(D1304="delhi","north",D1304="mumbai","west",D1304="bengaluru","south",D1304="chennai","south",D1304="kolkata","east",TRUE,"west")</f>
        <v>south</v>
      </c>
      <c r="F1304" s="46" t="s">
        <v>312</v>
      </c>
      <c r="G1304" s="37" t="str">
        <f t="shared" si="321"/>
        <v>bluedart</v>
      </c>
      <c r="H1304" s="46" t="s">
        <v>195</v>
      </c>
      <c r="I1304" s="37" t="str">
        <f t="shared" si="322"/>
        <v>road</v>
      </c>
      <c r="J1304" s="46" t="s">
        <v>1794</v>
      </c>
      <c r="K1304" s="37" t="str">
        <f t="shared" si="323"/>
        <v>grocery&amp;fmcg</v>
      </c>
      <c r="L1304" s="46" t="s">
        <v>89</v>
      </c>
      <c r="M1304" s="37" t="str">
        <f t="shared" si="324"/>
        <v>west</v>
      </c>
      <c r="N1304" s="46" t="s">
        <v>88</v>
      </c>
      <c r="O1304" s="41" t="str">
        <f t="shared" si="325"/>
        <v>Yes</v>
      </c>
      <c r="P1304" s="49" t="s">
        <v>2592</v>
      </c>
      <c r="Q1304" s="49">
        <v>376</v>
      </c>
      <c r="R1304" s="42">
        <f t="shared" si="326"/>
        <v>25.9310344827586</v>
      </c>
      <c r="S1304" s="46">
        <v>8</v>
      </c>
      <c r="T1304" s="46" t="s">
        <v>2223</v>
      </c>
      <c r="U1304" s="43" t="str">
        <f t="shared" si="327"/>
        <v>20-jun-2024</v>
      </c>
      <c r="V1304" s="43">
        <f t="shared" si="328"/>
        <v>45463</v>
      </c>
      <c r="W1304" s="44">
        <f t="array" ref="W1304">_xlfn.IFS(TRIM(C1304)="","",TRIM(V1304)="","",TRUE,V1304-C1304)</f>
        <v>9</v>
      </c>
      <c r="X1304" s="37">
        <f t="shared" si="329"/>
        <v>1</v>
      </c>
      <c r="Y1304" s="46" t="s">
        <v>143</v>
      </c>
      <c r="Z1304" s="37" t="str">
        <f t="shared" si="330"/>
        <v>delayed</v>
      </c>
      <c r="AA1304" s="37" t="str">
        <f t="shared" si="331"/>
        <v>Late</v>
      </c>
      <c r="AB1304" s="37" t="str">
        <f t="shared" si="334"/>
        <v>1</v>
      </c>
      <c r="AC1304" s="37">
        <f t="shared" si="335"/>
        <v>1</v>
      </c>
      <c r="AD1304" s="45">
        <f t="shared" si="333"/>
        <v>0.552542372881356</v>
      </c>
      <c r="AE1304" s="46">
        <v>3</v>
      </c>
      <c r="AF1304" s="46" t="s">
        <v>286</v>
      </c>
      <c r="AG1304" s="37" t="str">
        <f t="shared" si="332"/>
        <v>yes</v>
      </c>
      <c r="AH1304" s="37" t="str">
        <f t="array" ref="AH1304">_xlfn.IFS(LOWER(AG1304)="n","no",LOWER(AG1304)="y","yes",TRUE,LOWER(AG1304))</f>
        <v>yes</v>
      </c>
      <c r="AI1304" s="46" t="s">
        <v>4692</v>
      </c>
    </row>
    <row r="1305" spans="1:35">
      <c r="A1305" s="37" t="s">
        <v>4049</v>
      </c>
      <c r="B1305" s="38" t="s">
        <v>4739</v>
      </c>
      <c r="C1305" s="39">
        <f t="shared" si="320"/>
        <v>45318</v>
      </c>
      <c r="D1305" s="40" t="s">
        <v>424</v>
      </c>
      <c r="E1305" s="37" t="str" cm="1">
        <f t="array" ref="E1305">_xlfn.IFS(D1305="delhi","north",D1305="mumbai","west",D1305="bengaluru","south",D1305="chennai","south",D1305="kolkata","east",TRUE,"west")</f>
        <v>south</v>
      </c>
      <c r="F1305" s="37" t="s">
        <v>194</v>
      </c>
      <c r="G1305" s="37" t="str">
        <f t="shared" si="321"/>
        <v>xpressbees</v>
      </c>
      <c r="H1305" s="37" t="s">
        <v>185</v>
      </c>
      <c r="I1305" s="37" t="str">
        <f t="shared" si="322"/>
        <v>surface</v>
      </c>
      <c r="J1305" s="37" t="s">
        <v>47</v>
      </c>
      <c r="K1305" s="37" t="str">
        <f t="shared" si="323"/>
        <v>electronics</v>
      </c>
      <c r="L1305" s="37" t="s">
        <v>112</v>
      </c>
      <c r="M1305" s="37" t="str">
        <f t="shared" si="324"/>
        <v>north</v>
      </c>
      <c r="N1305" s="37" t="s">
        <v>32</v>
      </c>
      <c r="O1305" s="41" t="str">
        <f t="shared" si="325"/>
        <v>Yes</v>
      </c>
      <c r="P1305" s="41">
        <v>5.2</v>
      </c>
      <c r="Q1305" s="41" t="s">
        <v>4051</v>
      </c>
      <c r="R1305" s="42">
        <f t="shared" si="326"/>
        <v>53.4615384615385</v>
      </c>
      <c r="S1305" s="37">
        <v>6</v>
      </c>
      <c r="T1305" s="37" t="s">
        <v>3892</v>
      </c>
      <c r="U1305" s="43" t="str">
        <f t="shared" si="327"/>
        <v>2024-02-04</v>
      </c>
      <c r="V1305" s="43">
        <f t="shared" si="328"/>
        <v>45326</v>
      </c>
      <c r="W1305" s="44">
        <f t="array" ref="W1305">_xlfn.IFS(TRIM(C1305)="","",TRIM(V1305)="","",TRUE,V1305-C1305)</f>
        <v>8</v>
      </c>
      <c r="X1305" s="37">
        <f t="shared" si="329"/>
        <v>2</v>
      </c>
      <c r="Y1305" s="37" t="s">
        <v>200</v>
      </c>
      <c r="Z1305" s="37" t="str">
        <f t="shared" si="330"/>
        <v>delayed</v>
      </c>
      <c r="AA1305" s="37" t="str">
        <f t="shared" si="331"/>
        <v>Late</v>
      </c>
      <c r="AB1305" s="37" t="str">
        <f t="shared" si="334"/>
        <v>1</v>
      </c>
      <c r="AC1305" s="37">
        <f t="shared" si="335"/>
        <v>1</v>
      </c>
      <c r="AD1305" s="45">
        <f t="shared" si="333"/>
        <v>0.551020408163265</v>
      </c>
      <c r="AE1305" s="37">
        <v>2</v>
      </c>
      <c r="AF1305" s="37" t="s">
        <v>106</v>
      </c>
      <c r="AG1305" s="37" t="str">
        <f t="shared" si="332"/>
        <v>yes</v>
      </c>
      <c r="AH1305" s="37" t="str">
        <f t="array" ref="AH1305">_xlfn.IFS(LOWER(AG1305)="n","no",LOWER(AG1305)="y","yes",TRUE,LOWER(AG1305))</f>
        <v>yes</v>
      </c>
      <c r="AI1305" s="37" t="s">
        <v>4692</v>
      </c>
    </row>
    <row r="1306" spans="1:35">
      <c r="A1306" s="46" t="s">
        <v>4052</v>
      </c>
      <c r="B1306" s="47">
        <v>45314</v>
      </c>
      <c r="C1306" s="39">
        <f t="shared" si="320"/>
        <v>45314</v>
      </c>
      <c r="D1306" s="48" t="s">
        <v>633</v>
      </c>
      <c r="E1306" s="37" t="str" cm="1">
        <f t="array" ref="E1306">_xlfn.IFS(D1306="delhi","north",D1306="mumbai","west",D1306="bengaluru","south",D1306="chennai","south",D1306="kolkata","east",TRUE,"west")</f>
        <v>south</v>
      </c>
      <c r="F1306" s="46" t="s">
        <v>230</v>
      </c>
      <c r="G1306" s="37" t="str">
        <f t="shared" si="321"/>
        <v>dtdc</v>
      </c>
      <c r="H1306" s="46" t="s">
        <v>99</v>
      </c>
      <c r="I1306" s="37" t="str">
        <f t="shared" si="322"/>
        <v>air</v>
      </c>
      <c r="J1306" s="46" t="s">
        <v>1682</v>
      </c>
      <c r="K1306" s="37" t="str">
        <f t="shared" si="323"/>
        <v>furniture</v>
      </c>
      <c r="L1306" s="46" t="s">
        <v>380</v>
      </c>
      <c r="M1306" s="37" t="str">
        <f t="shared" si="324"/>
        <v>east</v>
      </c>
      <c r="N1306" s="46" t="s">
        <v>396</v>
      </c>
      <c r="O1306" s="41" t="str">
        <f t="shared" si="325"/>
        <v>Yes</v>
      </c>
      <c r="P1306" s="49">
        <v>29.7</v>
      </c>
      <c r="Q1306" s="51">
        <v>1534</v>
      </c>
      <c r="R1306" s="42">
        <f t="shared" si="326"/>
        <v>51.6498316498317</v>
      </c>
      <c r="S1306" s="46">
        <v>4</v>
      </c>
      <c r="T1306" s="46" t="s">
        <v>897</v>
      </c>
      <c r="U1306" s="43" t="str">
        <f t="shared" si="327"/>
        <v>28/01/2024</v>
      </c>
      <c r="V1306" s="43">
        <f t="shared" si="328"/>
        <v>45319</v>
      </c>
      <c r="W1306" s="44">
        <f t="array" ref="W1306">_xlfn.IFS(TRIM(C1306)="","",TRIM(V1306)="","",TRUE,V1306-C1306)</f>
        <v>5</v>
      </c>
      <c r="X1306" s="37">
        <f t="shared" si="329"/>
        <v>1</v>
      </c>
      <c r="Y1306" s="46" t="s">
        <v>172</v>
      </c>
      <c r="Z1306" s="37" t="str">
        <f t="shared" si="330"/>
        <v>delayed</v>
      </c>
      <c r="AA1306" s="37" t="str">
        <f t="shared" si="331"/>
        <v>Late</v>
      </c>
      <c r="AB1306" s="37" t="str">
        <f t="shared" si="334"/>
        <v>1</v>
      </c>
      <c r="AC1306" s="37">
        <f t="shared" si="335"/>
        <v>1</v>
      </c>
      <c r="AD1306" s="45">
        <f t="shared" si="333"/>
        <v>0.549488054607508</v>
      </c>
      <c r="AE1306" s="46">
        <v>2</v>
      </c>
      <c r="AF1306" s="46" t="s">
        <v>191</v>
      </c>
      <c r="AG1306" s="37" t="str">
        <f t="shared" si="332"/>
        <v>no</v>
      </c>
      <c r="AH1306" s="37" t="str">
        <f t="array" ref="AH1306">_xlfn.IFS(LOWER(AG1306)="n","no",LOWER(AG1306)="y","yes",TRUE,LOWER(AG1306))</f>
        <v>no</v>
      </c>
      <c r="AI1306" s="46" t="s">
        <v>4692</v>
      </c>
    </row>
    <row r="1307" spans="1:35">
      <c r="A1307" s="37" t="s">
        <v>4055</v>
      </c>
      <c r="B1307" s="38" t="s">
        <v>4760</v>
      </c>
      <c r="C1307" s="39">
        <f t="shared" si="320"/>
        <v>45428</v>
      </c>
      <c r="D1307" s="40" t="s">
        <v>4695</v>
      </c>
      <c r="E1307" s="37" t="str" cm="1">
        <f t="array" ref="E1307">_xlfn.IFS(D1307="delhi","north",D1307="mumbai","west",D1307="bengaluru","south",D1307="chennai","south",D1307="kolkata","east",TRUE,"west")</f>
        <v>west</v>
      </c>
      <c r="F1307" s="37" t="s">
        <v>544</v>
      </c>
      <c r="G1307" s="37" t="str">
        <f t="shared" si="321"/>
        <v>bluedart</v>
      </c>
      <c r="H1307" s="37" t="s">
        <v>345</v>
      </c>
      <c r="I1307" s="37" t="str">
        <f t="shared" si="322"/>
        <v>surface</v>
      </c>
      <c r="J1307" s="37" t="s">
        <v>100</v>
      </c>
      <c r="K1307" s="37" t="str">
        <f t="shared" si="323"/>
        <v>electronics</v>
      </c>
      <c r="L1307" s="37" t="s">
        <v>264</v>
      </c>
      <c r="M1307" s="37" t="str">
        <f t="shared" si="324"/>
        <v>west</v>
      </c>
      <c r="N1307" s="37" t="s">
        <v>187</v>
      </c>
      <c r="O1307" s="41" t="str">
        <f t="shared" si="325"/>
        <v>Yes</v>
      </c>
      <c r="P1307" s="41">
        <v>1.1</v>
      </c>
      <c r="Q1307" s="41" t="s">
        <v>432</v>
      </c>
      <c r="R1307" s="42">
        <f t="shared" si="326"/>
        <v>72.7272727272727</v>
      </c>
      <c r="S1307" s="37">
        <v>4</v>
      </c>
      <c r="T1307" s="37" t="s">
        <v>1521</v>
      </c>
      <c r="U1307" s="43" t="str">
        <f t="shared" si="327"/>
        <v>21/05/2024</v>
      </c>
      <c r="V1307" s="43">
        <f t="shared" si="328"/>
        <v>45433</v>
      </c>
      <c r="W1307" s="44">
        <f t="array" ref="W1307">_xlfn.IFS(TRIM(C1307)="","",TRIM(V1307)="","",TRUE,V1307-C1307)</f>
        <v>5</v>
      </c>
      <c r="X1307" s="37">
        <f t="shared" si="329"/>
        <v>1</v>
      </c>
      <c r="Y1307" s="37" t="s">
        <v>143</v>
      </c>
      <c r="Z1307" s="37" t="str">
        <f t="shared" si="330"/>
        <v>delayed</v>
      </c>
      <c r="AA1307" s="37" t="str">
        <f t="shared" si="331"/>
        <v>Late</v>
      </c>
      <c r="AB1307" s="37" t="str">
        <f t="shared" si="334"/>
        <v>1</v>
      </c>
      <c r="AC1307" s="37">
        <f t="shared" si="335"/>
        <v>1</v>
      </c>
      <c r="AD1307" s="45">
        <f t="shared" si="333"/>
        <v>0.547945205479452</v>
      </c>
      <c r="AE1307" s="37">
        <v>1</v>
      </c>
      <c r="AF1307" s="37" t="s">
        <v>79</v>
      </c>
      <c r="AG1307" s="37" t="str">
        <f t="shared" si="332"/>
        <v>yes</v>
      </c>
      <c r="AH1307" s="37" t="str">
        <f t="array" ref="AH1307">_xlfn.IFS(LOWER(AG1307)="n","no",LOWER(AG1307)="y","yes",TRUE,LOWER(AG1307))</f>
        <v>yes</v>
      </c>
      <c r="AI1307" s="37" t="s">
        <v>4692</v>
      </c>
    </row>
    <row r="1308" spans="1:35">
      <c r="A1308" s="46" t="s">
        <v>4056</v>
      </c>
      <c r="B1308" s="47">
        <v>45349</v>
      </c>
      <c r="C1308" s="39">
        <f t="shared" si="320"/>
        <v>45349</v>
      </c>
      <c r="D1308" s="48" t="s">
        <v>366</v>
      </c>
      <c r="E1308" s="37" t="str" cm="1">
        <f t="array" ref="E1308">_xlfn.IFS(D1308="delhi","north",D1308="mumbai","west",D1308="bengaluru","south",D1308="chennai","south",D1308="kolkata","east",TRUE,"west")</f>
        <v>east</v>
      </c>
      <c r="F1308" s="46" t="s">
        <v>122</v>
      </c>
      <c r="G1308" s="37" t="str">
        <f t="shared" si="321"/>
        <v>delhivery</v>
      </c>
      <c r="H1308" s="46" t="s">
        <v>440</v>
      </c>
      <c r="I1308" s="37" t="str">
        <f t="shared" si="322"/>
        <v>road</v>
      </c>
      <c r="J1308" s="46" t="s">
        <v>138</v>
      </c>
      <c r="K1308" s="37" t="str">
        <f t="shared" si="323"/>
        <v>apparel</v>
      </c>
      <c r="L1308" s="46" t="s">
        <v>125</v>
      </c>
      <c r="M1308" s="37" t="str">
        <f t="shared" si="324"/>
        <v>east</v>
      </c>
      <c r="N1308" s="46" t="s">
        <v>294</v>
      </c>
      <c r="O1308" s="41" t="str">
        <f t="shared" si="325"/>
        <v>Yes</v>
      </c>
      <c r="P1308" s="49" t="s">
        <v>3929</v>
      </c>
      <c r="Q1308" s="49">
        <v>80</v>
      </c>
      <c r="R1308" s="42">
        <f t="shared" si="326"/>
        <v>21.6216216216216</v>
      </c>
      <c r="S1308" s="46">
        <v>6</v>
      </c>
      <c r="T1308" s="46" t="s">
        <v>902</v>
      </c>
      <c r="U1308" s="43" t="str">
        <f t="shared" si="327"/>
        <v>2024-03-04</v>
      </c>
      <c r="V1308" s="43">
        <f t="shared" si="328"/>
        <v>45355</v>
      </c>
      <c r="W1308" s="44">
        <f t="array" ref="W1308">_xlfn.IFS(TRIM(C1308)="","",TRIM(V1308)="","",TRUE,V1308-C1308)</f>
        <v>6</v>
      </c>
      <c r="X1308" s="37">
        <f t="shared" si="329"/>
        <v>0</v>
      </c>
      <c r="Y1308" s="46" t="s">
        <v>163</v>
      </c>
      <c r="Z1308" s="37" t="str">
        <f t="shared" si="330"/>
        <v>delivered</v>
      </c>
      <c r="AA1308" s="37" t="str">
        <f t="shared" si="331"/>
        <v>On Time</v>
      </c>
      <c r="AB1308" s="37" t="str">
        <f t="shared" si="334"/>
        <v>0</v>
      </c>
      <c r="AC1308" s="37">
        <f t="shared" si="335"/>
        <v>0</v>
      </c>
      <c r="AD1308" s="45">
        <f t="shared" si="333"/>
        <v>0.54639175257732</v>
      </c>
      <c r="AE1308" s="46">
        <v>3</v>
      </c>
      <c r="AF1308" s="46" t="s">
        <v>191</v>
      </c>
      <c r="AG1308" s="37" t="str">
        <f t="shared" si="332"/>
        <v>no</v>
      </c>
      <c r="AH1308" s="37" t="str">
        <f t="array" ref="AH1308">_xlfn.IFS(LOWER(AG1308)="n","no",LOWER(AG1308)="y","yes",TRUE,LOWER(AG1308))</f>
        <v>no</v>
      </c>
      <c r="AI1308" s="46" t="s">
        <v>4692</v>
      </c>
    </row>
    <row r="1309" spans="1:35">
      <c r="A1309" s="37" t="s">
        <v>4058</v>
      </c>
      <c r="B1309" s="38">
        <v>45352</v>
      </c>
      <c r="C1309" s="39">
        <f t="shared" si="320"/>
        <v>45352</v>
      </c>
      <c r="D1309" s="40" t="s">
        <v>4705</v>
      </c>
      <c r="E1309" s="37" t="str" cm="1">
        <f t="array" ref="E1309">_xlfn.IFS(D1309="delhi","north",D1309="mumbai","west",D1309="bengaluru","south",D1309="chennai","south",D1309="kolkata","east",TRUE,"west")</f>
        <v>west</v>
      </c>
      <c r="F1309" s="37" t="s">
        <v>184</v>
      </c>
      <c r="G1309" s="37" t="str">
        <f t="shared" si="321"/>
        <v>ecomexpress</v>
      </c>
      <c r="H1309" s="37" t="s">
        <v>147</v>
      </c>
      <c r="I1309" s="37" t="str">
        <f t="shared" si="322"/>
        <v>road</v>
      </c>
      <c r="J1309" s="37" t="s">
        <v>612</v>
      </c>
      <c r="K1309" s="37" t="str">
        <f t="shared" si="323"/>
        <v>grocery&amp;fmcg</v>
      </c>
      <c r="L1309" s="37" t="s">
        <v>139</v>
      </c>
      <c r="M1309" s="37" t="str">
        <f t="shared" si="324"/>
        <v>north</v>
      </c>
      <c r="N1309" s="37" t="s">
        <v>215</v>
      </c>
      <c r="O1309" s="41" t="str">
        <f t="shared" si="325"/>
        <v>Yes</v>
      </c>
      <c r="P1309" s="41">
        <v>14.8</v>
      </c>
      <c r="Q1309" s="41">
        <v>235</v>
      </c>
      <c r="R1309" s="42">
        <f t="shared" si="326"/>
        <v>15.8783783783784</v>
      </c>
      <c r="S1309" s="37">
        <v>6</v>
      </c>
      <c r="T1309" s="37" t="s">
        <v>1339</v>
      </c>
      <c r="U1309" s="43" t="str">
        <f t="shared" si="327"/>
        <v>06/03/2024</v>
      </c>
      <c r="V1309" s="43">
        <f t="shared" si="328"/>
        <v>45357</v>
      </c>
      <c r="W1309" s="44">
        <f t="array" ref="W1309">_xlfn.IFS(TRIM(C1309)="","",TRIM(V1309)="","",TRUE,V1309-C1309)</f>
        <v>5</v>
      </c>
      <c r="X1309" s="37">
        <f t="shared" si="329"/>
        <v>-1</v>
      </c>
      <c r="Y1309" s="37" t="s">
        <v>163</v>
      </c>
      <c r="Z1309" s="37" t="str">
        <f t="shared" si="330"/>
        <v>delivered</v>
      </c>
      <c r="AA1309" s="37" t="str">
        <f t="shared" si="331"/>
        <v>On Time</v>
      </c>
      <c r="AB1309" s="37" t="str">
        <f t="shared" si="334"/>
        <v>0</v>
      </c>
      <c r="AC1309" s="37">
        <f t="shared" si="335"/>
        <v>0</v>
      </c>
      <c r="AD1309" s="45">
        <f t="shared" si="333"/>
        <v>0.548275862068966</v>
      </c>
      <c r="AE1309" s="37">
        <v>5</v>
      </c>
      <c r="AF1309" s="37" t="s">
        <v>191</v>
      </c>
      <c r="AG1309" s="37" t="str">
        <f t="shared" si="332"/>
        <v>no</v>
      </c>
      <c r="AH1309" s="37" t="str">
        <f t="array" ref="AH1309">_xlfn.IFS(LOWER(AG1309)="n","no",LOWER(AG1309)="y","yes",TRUE,LOWER(AG1309))</f>
        <v>no</v>
      </c>
      <c r="AI1309" s="37" t="s">
        <v>4692</v>
      </c>
    </row>
    <row r="1310" spans="1:35">
      <c r="A1310" s="46" t="s">
        <v>4061</v>
      </c>
      <c r="B1310" s="47" t="s">
        <v>4767</v>
      </c>
      <c r="C1310" s="39">
        <f t="shared" si="320"/>
        <v>45471</v>
      </c>
      <c r="D1310" s="48" t="s">
        <v>4712</v>
      </c>
      <c r="E1310" s="37" t="str" cm="1">
        <f t="array" ref="E1310">_xlfn.IFS(D1310="delhi","north",D1310="mumbai","west",D1310="bengaluru","south",D1310="chennai","south",D1310="kolkata","east",TRUE,"west")</f>
        <v>west</v>
      </c>
      <c r="F1310" s="46" t="s">
        <v>270</v>
      </c>
      <c r="G1310" s="37" t="str">
        <f t="shared" si="321"/>
        <v>ecomexpress</v>
      </c>
      <c r="H1310" s="46" t="s">
        <v>345</v>
      </c>
      <c r="I1310" s="37" t="str">
        <f t="shared" si="322"/>
        <v>surface</v>
      </c>
      <c r="J1310" s="46" t="s">
        <v>313</v>
      </c>
      <c r="K1310" s="37" t="str">
        <f t="shared" si="323"/>
        <v>automotiveparts</v>
      </c>
      <c r="L1310" s="46" t="s">
        <v>380</v>
      </c>
      <c r="M1310" s="37" t="str">
        <f t="shared" si="324"/>
        <v>east</v>
      </c>
      <c r="N1310" s="46" t="s">
        <v>91</v>
      </c>
      <c r="O1310" s="41" t="str">
        <f t="shared" si="325"/>
        <v>Yes</v>
      </c>
      <c r="P1310" s="49">
        <v>19.8</v>
      </c>
      <c r="Q1310" s="49">
        <v>605</v>
      </c>
      <c r="R1310" s="42">
        <f t="shared" si="326"/>
        <v>30.5555555555556</v>
      </c>
      <c r="S1310" s="46">
        <v>6</v>
      </c>
      <c r="T1310" s="46"/>
      <c r="U1310" s="43" t="str">
        <f t="shared" si="327"/>
        <v/>
      </c>
      <c r="V1310" s="43" t="e">
        <f t="shared" si="328"/>
        <v>#VALUE!</v>
      </c>
      <c r="W1310" s="44" t="e">
        <f t="array" ref="W1310">_xlfn.IFS(TRIM(C1310)="","",TRIM(V1310)="","",TRUE,V1310-C1310)</f>
        <v>#VALUE!</v>
      </c>
      <c r="X1310" s="37" t="e">
        <f t="shared" si="329"/>
        <v>#VALUE!</v>
      </c>
      <c r="Y1310" s="46" t="s">
        <v>1156</v>
      </c>
      <c r="Z1310" s="37" t="str">
        <f t="shared" si="330"/>
        <v>intransit</v>
      </c>
      <c r="AA1310" s="37" t="e">
        <f t="shared" si="331"/>
        <v>#VALUE!</v>
      </c>
      <c r="AB1310" s="37" t="e">
        <f t="shared" si="334"/>
        <v>#VALUE!</v>
      </c>
      <c r="AC1310" s="37" t="e">
        <f t="shared" si="335"/>
        <v>#VALUE!</v>
      </c>
      <c r="AD1310" s="45">
        <f t="shared" si="333"/>
        <v>0.550173010380623</v>
      </c>
      <c r="AE1310" s="46"/>
      <c r="AF1310" s="46" t="s">
        <v>118</v>
      </c>
      <c r="AG1310" s="37" t="str">
        <f t="shared" si="332"/>
        <v>no</v>
      </c>
      <c r="AH1310" s="37" t="str">
        <f t="array" ref="AH1310">_xlfn.IFS(LOWER(AG1310)="n","no",LOWER(AG1310)="y","yes",TRUE,LOWER(AG1310))</f>
        <v>no</v>
      </c>
      <c r="AI1310" s="46" t="s">
        <v>4692</v>
      </c>
    </row>
    <row r="1311" spans="1:35">
      <c r="A1311" s="37" t="s">
        <v>4064</v>
      </c>
      <c r="B1311" s="38" t="s">
        <v>4834</v>
      </c>
      <c r="C1311" s="39">
        <f t="shared" si="320"/>
        <v>45415</v>
      </c>
      <c r="D1311" s="40" t="s">
        <v>366</v>
      </c>
      <c r="E1311" s="37" t="str" cm="1">
        <f t="array" ref="E1311">_xlfn.IFS(D1311="delhi","north",D1311="mumbai","west",D1311="bengaluru","south",D1311="chennai","south",D1311="kolkata","east",TRUE,"west")</f>
        <v>east</v>
      </c>
      <c r="F1311" s="37" t="s">
        <v>184</v>
      </c>
      <c r="G1311" s="37" t="str">
        <f t="shared" si="321"/>
        <v>ecomexpress</v>
      </c>
      <c r="H1311" s="37" t="s">
        <v>99</v>
      </c>
      <c r="I1311" s="37" t="str">
        <f t="shared" si="322"/>
        <v>air</v>
      </c>
      <c r="J1311" s="37" t="s">
        <v>205</v>
      </c>
      <c r="K1311" s="37" t="str">
        <f t="shared" si="323"/>
        <v>furniture</v>
      </c>
      <c r="L1311" s="37" t="s">
        <v>257</v>
      </c>
      <c r="M1311" s="37" t="str">
        <f t="shared" si="324"/>
        <v>west</v>
      </c>
      <c r="N1311" s="37" t="s">
        <v>206</v>
      </c>
      <c r="O1311" s="41" t="str">
        <f t="shared" si="325"/>
        <v>Yes</v>
      </c>
      <c r="P1311" s="41">
        <v>52.5</v>
      </c>
      <c r="Q1311" s="41">
        <v>2518</v>
      </c>
      <c r="R1311" s="42">
        <f t="shared" si="326"/>
        <v>47.9619047619048</v>
      </c>
      <c r="S1311" s="37">
        <v>4</v>
      </c>
      <c r="T1311" s="37" t="s">
        <v>3401</v>
      </c>
      <c r="U1311" s="43" t="str">
        <f t="shared" si="327"/>
        <v>2024-05-15</v>
      </c>
      <c r="V1311" s="43">
        <f t="shared" si="328"/>
        <v>45427</v>
      </c>
      <c r="W1311" s="44">
        <f t="array" ref="W1311">_xlfn.IFS(TRIM(C1311)="","",TRIM(V1311)="","",TRUE,V1311-C1311)</f>
        <v>12</v>
      </c>
      <c r="X1311" s="37">
        <f t="shared" si="329"/>
        <v>8</v>
      </c>
      <c r="Y1311" s="37" t="s">
        <v>143</v>
      </c>
      <c r="Z1311" s="37" t="str">
        <f t="shared" si="330"/>
        <v>delayed</v>
      </c>
      <c r="AA1311" s="37" t="str">
        <f t="shared" si="331"/>
        <v>Late</v>
      </c>
      <c r="AB1311" s="37" t="str">
        <f t="shared" si="334"/>
        <v>1</v>
      </c>
      <c r="AC1311" s="37">
        <f t="shared" si="335"/>
        <v>1</v>
      </c>
      <c r="AD1311" s="45">
        <f t="shared" si="333"/>
        <v>0.550173010380623</v>
      </c>
      <c r="AE1311" s="37">
        <v>2</v>
      </c>
      <c r="AF1311" s="37" t="s">
        <v>131</v>
      </c>
      <c r="AG1311" s="37" t="str">
        <f t="shared" si="332"/>
        <v>n</v>
      </c>
      <c r="AH1311" s="37" t="str">
        <f t="array" ref="AH1311">_xlfn.IFS(LOWER(AG1311)="n","no",LOWER(AG1311)="y","yes",TRUE,LOWER(AG1311))</f>
        <v>no</v>
      </c>
      <c r="AI1311" s="37" t="s">
        <v>4692</v>
      </c>
    </row>
    <row r="1312" spans="1:35">
      <c r="A1312" s="46" t="s">
        <v>4067</v>
      </c>
      <c r="B1312" s="47">
        <v>45327</v>
      </c>
      <c r="C1312" s="39">
        <f t="shared" si="320"/>
        <v>45327</v>
      </c>
      <c r="D1312" s="48" t="s">
        <v>4704</v>
      </c>
      <c r="E1312" s="37" t="str" cm="1">
        <f t="array" ref="E1312">_xlfn.IFS(D1312="delhi","north",D1312="mumbai","west",D1312="bengaluru","south",D1312="chennai","south",D1312="kolkata","east",TRUE,"west")</f>
        <v>west</v>
      </c>
      <c r="F1312" s="46" t="s">
        <v>223</v>
      </c>
      <c r="G1312" s="37" t="str">
        <f t="shared" si="321"/>
        <v>xpressbees</v>
      </c>
      <c r="H1312" s="46" t="s">
        <v>325</v>
      </c>
      <c r="I1312" s="37" t="str">
        <f t="shared" si="322"/>
        <v>air</v>
      </c>
      <c r="J1312" s="46" t="s">
        <v>177</v>
      </c>
      <c r="K1312" s="37" t="str">
        <f t="shared" si="323"/>
        <v>pharma</v>
      </c>
      <c r="L1312" s="46" t="s">
        <v>51</v>
      </c>
      <c r="M1312" s="37" t="str">
        <f t="shared" si="324"/>
        <v>south</v>
      </c>
      <c r="N1312" s="46" t="s">
        <v>93</v>
      </c>
      <c r="O1312" s="41" t="str">
        <f t="shared" si="325"/>
        <v>Yes</v>
      </c>
      <c r="P1312" s="49" t="s">
        <v>446</v>
      </c>
      <c r="Q1312" s="49">
        <v>221</v>
      </c>
      <c r="R1312" s="42">
        <f t="shared" si="326"/>
        <v>147.333333333333</v>
      </c>
      <c r="S1312" s="46">
        <v>4</v>
      </c>
      <c r="T1312" s="46" t="s">
        <v>1309</v>
      </c>
      <c r="U1312" s="43" t="str">
        <f t="shared" si="327"/>
        <v>08-feb-2024</v>
      </c>
      <c r="V1312" s="43">
        <f t="shared" si="328"/>
        <v>45330</v>
      </c>
      <c r="W1312" s="44">
        <f t="array" ref="W1312">_xlfn.IFS(TRIM(C1312)="","",TRIM(V1312)="","",TRUE,V1312-C1312)</f>
        <v>3</v>
      </c>
      <c r="X1312" s="37">
        <f t="shared" si="329"/>
        <v>-1</v>
      </c>
      <c r="Y1312" s="46" t="s">
        <v>163</v>
      </c>
      <c r="Z1312" s="37" t="str">
        <f t="shared" si="330"/>
        <v>delivered</v>
      </c>
      <c r="AA1312" s="37" t="str">
        <f t="shared" si="331"/>
        <v>On Time</v>
      </c>
      <c r="AB1312" s="37" t="str">
        <f t="shared" si="334"/>
        <v>0</v>
      </c>
      <c r="AC1312" s="37">
        <f t="shared" si="335"/>
        <v>0</v>
      </c>
      <c r="AD1312" s="45">
        <f t="shared" si="333"/>
        <v>0.548611111111111</v>
      </c>
      <c r="AE1312" s="46">
        <v>5</v>
      </c>
      <c r="AF1312" s="46" t="s">
        <v>79</v>
      </c>
      <c r="AG1312" s="37" t="str">
        <f t="shared" si="332"/>
        <v>yes</v>
      </c>
      <c r="AH1312" s="37" t="str">
        <f t="array" ref="AH1312">_xlfn.IFS(LOWER(AG1312)="n","no",LOWER(AG1312)="y","yes",TRUE,LOWER(AG1312))</f>
        <v>yes</v>
      </c>
      <c r="AI1312" s="46" t="s">
        <v>4692</v>
      </c>
    </row>
    <row r="1313" spans="1:35">
      <c r="A1313" s="37" t="s">
        <v>4068</v>
      </c>
      <c r="B1313" s="38">
        <v>45469</v>
      </c>
      <c r="C1313" s="39">
        <f t="shared" si="320"/>
        <v>45469</v>
      </c>
      <c r="D1313" s="40" t="s">
        <v>135</v>
      </c>
      <c r="E1313" s="37" t="str" cm="1">
        <f t="array" ref="E1313">_xlfn.IFS(D1313="delhi","north",D1313="mumbai","west",D1313="bengaluru","south",D1313="chennai","south",D1313="kolkata","east",TRUE,"west")</f>
        <v>west</v>
      </c>
      <c r="F1313" s="37" t="s">
        <v>312</v>
      </c>
      <c r="G1313" s="37" t="str">
        <f t="shared" si="321"/>
        <v>bluedart</v>
      </c>
      <c r="H1313" s="37" t="s">
        <v>99</v>
      </c>
      <c r="I1313" s="37" t="str">
        <f t="shared" si="322"/>
        <v>air</v>
      </c>
      <c r="J1313" s="37" t="s">
        <v>138</v>
      </c>
      <c r="K1313" s="37" t="str">
        <f t="shared" si="323"/>
        <v>apparel</v>
      </c>
      <c r="L1313" s="37" t="s">
        <v>380</v>
      </c>
      <c r="M1313" s="37" t="str">
        <f t="shared" si="324"/>
        <v>east</v>
      </c>
      <c r="N1313" s="37" t="s">
        <v>91</v>
      </c>
      <c r="O1313" s="41" t="str">
        <f t="shared" si="325"/>
        <v>Yes</v>
      </c>
      <c r="P1313" s="41">
        <v>2.7</v>
      </c>
      <c r="Q1313" s="41">
        <v>291</v>
      </c>
      <c r="R1313" s="42">
        <f t="shared" si="326"/>
        <v>107.777777777778</v>
      </c>
      <c r="S1313" s="37">
        <v>4</v>
      </c>
      <c r="T1313" s="37" t="s">
        <v>630</v>
      </c>
      <c r="U1313" s="43" t="str">
        <f t="shared" si="327"/>
        <v>03/07/2024</v>
      </c>
      <c r="V1313" s="43">
        <f t="shared" si="328"/>
        <v>45476</v>
      </c>
      <c r="W1313" s="44">
        <f t="array" ref="W1313">_xlfn.IFS(TRIM(C1313)="","",TRIM(V1313)="","",TRUE,V1313-C1313)</f>
        <v>7</v>
      </c>
      <c r="X1313" s="37">
        <f t="shared" si="329"/>
        <v>3</v>
      </c>
      <c r="Y1313" s="37" t="s">
        <v>172</v>
      </c>
      <c r="Z1313" s="37" t="str">
        <f t="shared" si="330"/>
        <v>delayed</v>
      </c>
      <c r="AA1313" s="37" t="str">
        <f t="shared" si="331"/>
        <v>Late</v>
      </c>
      <c r="AB1313" s="37" t="str">
        <f t="shared" si="334"/>
        <v>1</v>
      </c>
      <c r="AC1313" s="37">
        <f t="shared" si="335"/>
        <v>1</v>
      </c>
      <c r="AD1313" s="45">
        <f t="shared" si="333"/>
        <v>0.550522648083624</v>
      </c>
      <c r="AE1313" s="37">
        <v>2</v>
      </c>
      <c r="AF1313" s="37" t="s">
        <v>118</v>
      </c>
      <c r="AG1313" s="37" t="str">
        <f t="shared" si="332"/>
        <v>no</v>
      </c>
      <c r="AH1313" s="37" t="str">
        <f t="array" ref="AH1313">_xlfn.IFS(LOWER(AG1313)="n","no",LOWER(AG1313)="y","yes",TRUE,LOWER(AG1313))</f>
        <v>no</v>
      </c>
      <c r="AI1313" s="37" t="s">
        <v>4692</v>
      </c>
    </row>
    <row r="1314" spans="1:35">
      <c r="A1314" s="46" t="s">
        <v>4070</v>
      </c>
      <c r="B1314" s="47">
        <v>45368</v>
      </c>
      <c r="C1314" s="39">
        <f t="shared" si="320"/>
        <v>45368</v>
      </c>
      <c r="D1314" s="48" t="s">
        <v>340</v>
      </c>
      <c r="E1314" s="37" t="str" cm="1">
        <f t="array" ref="E1314">_xlfn.IFS(D1314="delhi","north",D1314="mumbai","west",D1314="bengaluru","south",D1314="chennai","south",D1314="kolkata","east",TRUE,"west")</f>
        <v>north</v>
      </c>
      <c r="F1314" s="46" t="s">
        <v>146</v>
      </c>
      <c r="G1314" s="37" t="str">
        <f t="shared" si="321"/>
        <v>ecomexpress</v>
      </c>
      <c r="H1314" s="46" t="s">
        <v>176</v>
      </c>
      <c r="I1314" s="37" t="str">
        <f t="shared" si="322"/>
        <v>road</v>
      </c>
      <c r="J1314" s="46" t="s">
        <v>313</v>
      </c>
      <c r="K1314" s="37" t="str">
        <f t="shared" si="323"/>
        <v>automotiveparts</v>
      </c>
      <c r="L1314" s="46" t="s">
        <v>89</v>
      </c>
      <c r="M1314" s="37" t="str">
        <f t="shared" si="324"/>
        <v>west</v>
      </c>
      <c r="N1314" s="46" t="s">
        <v>206</v>
      </c>
      <c r="O1314" s="41" t="str">
        <f t="shared" si="325"/>
        <v>Yes</v>
      </c>
      <c r="P1314" s="49" t="s">
        <v>4072</v>
      </c>
      <c r="Q1314" s="49">
        <v>647</v>
      </c>
      <c r="R1314" s="42">
        <f t="shared" si="326"/>
        <v>20.6050955414013</v>
      </c>
      <c r="S1314" s="46">
        <v>8</v>
      </c>
      <c r="T1314" s="46" t="s">
        <v>1908</v>
      </c>
      <c r="U1314" s="43" t="str">
        <f t="shared" si="327"/>
        <v>2024-03-27</v>
      </c>
      <c r="V1314" s="43">
        <f t="shared" si="328"/>
        <v>45378</v>
      </c>
      <c r="W1314" s="44">
        <f t="array" ref="W1314">_xlfn.IFS(TRIM(C1314)="","",TRIM(V1314)="","",TRUE,V1314-C1314)</f>
        <v>10</v>
      </c>
      <c r="X1314" s="37">
        <f t="shared" si="329"/>
        <v>2</v>
      </c>
      <c r="Y1314" s="46" t="s">
        <v>143</v>
      </c>
      <c r="Z1314" s="37" t="str">
        <f t="shared" si="330"/>
        <v>delayed</v>
      </c>
      <c r="AA1314" s="37" t="str">
        <f t="shared" si="331"/>
        <v>Late</v>
      </c>
      <c r="AB1314" s="37" t="str">
        <f t="shared" si="334"/>
        <v>1</v>
      </c>
      <c r="AC1314" s="37">
        <f t="shared" si="335"/>
        <v>1</v>
      </c>
      <c r="AD1314" s="45">
        <f t="shared" si="333"/>
        <v>0.548951048951049</v>
      </c>
      <c r="AE1314" s="46">
        <v>2</v>
      </c>
      <c r="AF1314" s="46" t="s">
        <v>191</v>
      </c>
      <c r="AG1314" s="37" t="str">
        <f t="shared" si="332"/>
        <v>no</v>
      </c>
      <c r="AH1314" s="37" t="str">
        <f t="array" ref="AH1314">_xlfn.IFS(LOWER(AG1314)="n","no",LOWER(AG1314)="y","yes",TRUE,LOWER(AG1314))</f>
        <v>no</v>
      </c>
      <c r="AI1314" s="46" t="s">
        <v>4692</v>
      </c>
    </row>
    <row r="1315" spans="1:35">
      <c r="A1315" s="37" t="s">
        <v>4074</v>
      </c>
      <c r="B1315" s="38">
        <v>45414</v>
      </c>
      <c r="C1315" s="39">
        <f t="shared" si="320"/>
        <v>45414</v>
      </c>
      <c r="D1315" s="40" t="s">
        <v>424</v>
      </c>
      <c r="E1315" s="37" t="str" cm="1">
        <f t="array" ref="E1315">_xlfn.IFS(D1315="delhi","north",D1315="mumbai","west",D1315="bengaluru","south",D1315="chennai","south",D1315="kolkata","east",TRUE,"west")</f>
        <v>south</v>
      </c>
      <c r="F1315" s="37" t="s">
        <v>156</v>
      </c>
      <c r="G1315" s="37" t="str">
        <f t="shared" si="321"/>
        <v>xpressbees</v>
      </c>
      <c r="H1315" s="37" t="s">
        <v>123</v>
      </c>
      <c r="I1315" s="37" t="str">
        <f t="shared" si="322"/>
        <v>air</v>
      </c>
      <c r="J1315" s="37" t="s">
        <v>205</v>
      </c>
      <c r="K1315" s="37" t="str">
        <f t="shared" si="323"/>
        <v>furniture</v>
      </c>
      <c r="L1315" s="37" t="s">
        <v>139</v>
      </c>
      <c r="M1315" s="37" t="str">
        <f t="shared" si="324"/>
        <v>north</v>
      </c>
      <c r="N1315" s="37" t="s">
        <v>354</v>
      </c>
      <c r="O1315" s="41" t="str">
        <f t="shared" si="325"/>
        <v>Yes</v>
      </c>
      <c r="P1315" s="41">
        <v>68.3</v>
      </c>
      <c r="Q1315" s="41">
        <v>3255</v>
      </c>
      <c r="R1315" s="42">
        <f t="shared" si="326"/>
        <v>47.6573938506589</v>
      </c>
      <c r="S1315" s="37">
        <v>4</v>
      </c>
      <c r="T1315" s="37" t="s">
        <v>1297</v>
      </c>
      <c r="U1315" s="43" t="str">
        <f t="shared" si="327"/>
        <v>2024-05-06</v>
      </c>
      <c r="V1315" s="43">
        <f t="shared" si="328"/>
        <v>45418</v>
      </c>
      <c r="W1315" s="44">
        <f t="array" ref="W1315">_xlfn.IFS(TRIM(C1315)="","",TRIM(V1315)="","",TRUE,V1315-C1315)</f>
        <v>4</v>
      </c>
      <c r="X1315" s="37">
        <f t="shared" si="329"/>
        <v>0</v>
      </c>
      <c r="Y1315" s="37" t="s">
        <v>337</v>
      </c>
      <c r="Z1315" s="37" t="str">
        <f t="shared" si="330"/>
        <v>damaged</v>
      </c>
      <c r="AA1315" s="37" t="str">
        <f t="shared" si="331"/>
        <v>On Time</v>
      </c>
      <c r="AB1315" s="37" t="str">
        <f t="shared" si="334"/>
        <v>0</v>
      </c>
      <c r="AC1315" s="37">
        <f t="shared" si="335"/>
        <v>0</v>
      </c>
      <c r="AD1315" s="45">
        <f t="shared" si="333"/>
        <v>0.547368421052632</v>
      </c>
      <c r="AE1315" s="37"/>
      <c r="AF1315" s="37" t="s">
        <v>152</v>
      </c>
      <c r="AG1315" s="37" t="str">
        <f t="shared" si="332"/>
        <v>no</v>
      </c>
      <c r="AH1315" s="37" t="str">
        <f t="array" ref="AH1315">_xlfn.IFS(LOWER(AG1315)="n","no",LOWER(AG1315)="y","yes",TRUE,LOWER(AG1315))</f>
        <v>no</v>
      </c>
      <c r="AI1315" s="37" t="s">
        <v>132</v>
      </c>
    </row>
    <row r="1316" spans="1:35">
      <c r="A1316" s="46" t="s">
        <v>4077</v>
      </c>
      <c r="B1316" s="47">
        <v>45421</v>
      </c>
      <c r="C1316" s="39">
        <f t="shared" si="320"/>
        <v>45421</v>
      </c>
      <c r="D1316" s="48" t="s">
        <v>633</v>
      </c>
      <c r="E1316" s="37" t="str" cm="1">
        <f t="array" ref="E1316">_xlfn.IFS(D1316="delhi","north",D1316="mumbai","west",D1316="bengaluru","south",D1316="chennai","south",D1316="kolkata","east",TRUE,"west")</f>
        <v>south</v>
      </c>
      <c r="F1316" s="46" t="s">
        <v>230</v>
      </c>
      <c r="G1316" s="37" t="str">
        <f t="shared" si="321"/>
        <v>dtdc</v>
      </c>
      <c r="H1316" s="46" t="s">
        <v>99</v>
      </c>
      <c r="I1316" s="37" t="str">
        <f t="shared" si="322"/>
        <v>air</v>
      </c>
      <c r="J1316" s="46" t="s">
        <v>368</v>
      </c>
      <c r="K1316" s="37" t="str">
        <f t="shared" si="323"/>
        <v>furniture</v>
      </c>
      <c r="L1316" s="46" t="s">
        <v>470</v>
      </c>
      <c r="M1316" s="37" t="str">
        <f t="shared" si="324"/>
        <v>east</v>
      </c>
      <c r="N1316" s="46" t="s">
        <v>126</v>
      </c>
      <c r="O1316" s="41" t="str">
        <f t="shared" si="325"/>
        <v>Yes</v>
      </c>
      <c r="P1316" s="49">
        <v>53.1</v>
      </c>
      <c r="Q1316" s="49" t="s">
        <v>4079</v>
      </c>
      <c r="R1316" s="42">
        <f t="shared" si="326"/>
        <v>48.1732580037665</v>
      </c>
      <c r="S1316" s="46">
        <v>4</v>
      </c>
      <c r="T1316" s="46" t="s">
        <v>1798</v>
      </c>
      <c r="U1316" s="43" t="str">
        <f t="shared" si="327"/>
        <v>17-may-2024</v>
      </c>
      <c r="V1316" s="43">
        <f t="shared" si="328"/>
        <v>45429</v>
      </c>
      <c r="W1316" s="44">
        <f t="array" ref="W1316">_xlfn.IFS(TRIM(C1316)="","",TRIM(V1316)="","",TRUE,V1316-C1316)</f>
        <v>8</v>
      </c>
      <c r="X1316" s="37">
        <f t="shared" si="329"/>
        <v>4</v>
      </c>
      <c r="Y1316" s="46" t="s">
        <v>143</v>
      </c>
      <c r="Z1316" s="37" t="str">
        <f t="shared" si="330"/>
        <v>delayed</v>
      </c>
      <c r="AA1316" s="37" t="str">
        <f t="shared" si="331"/>
        <v>Late</v>
      </c>
      <c r="AB1316" s="37" t="str">
        <f t="shared" si="334"/>
        <v>1</v>
      </c>
      <c r="AC1316" s="37">
        <f t="shared" si="335"/>
        <v>1</v>
      </c>
      <c r="AD1316" s="45">
        <f t="shared" si="333"/>
        <v>0.549295774647887</v>
      </c>
      <c r="AE1316" s="46">
        <v>3</v>
      </c>
      <c r="AF1316" s="46" t="s">
        <v>286</v>
      </c>
      <c r="AG1316" s="37" t="str">
        <f t="shared" si="332"/>
        <v>yes</v>
      </c>
      <c r="AH1316" s="37" t="str">
        <f t="array" ref="AH1316">_xlfn.IFS(LOWER(AG1316)="n","no",LOWER(AG1316)="y","yes",TRUE,LOWER(AG1316))</f>
        <v>yes</v>
      </c>
      <c r="AI1316" s="46" t="s">
        <v>4692</v>
      </c>
    </row>
    <row r="1317" spans="1:35">
      <c r="A1317" s="37" t="s">
        <v>4080</v>
      </c>
      <c r="B1317" s="38">
        <v>45316</v>
      </c>
      <c r="C1317" s="39">
        <f t="shared" si="320"/>
        <v>45316</v>
      </c>
      <c r="D1317" s="40" t="s">
        <v>633</v>
      </c>
      <c r="E1317" s="37" t="str" cm="1">
        <f t="array" ref="E1317">_xlfn.IFS(D1317="delhi","north",D1317="mumbai","west",D1317="bengaluru","south",D1317="chennai","south",D1317="kolkata","east",TRUE,"west")</f>
        <v>south</v>
      </c>
      <c r="F1317" s="37" t="s">
        <v>544</v>
      </c>
      <c r="G1317" s="37" t="str">
        <f t="shared" si="321"/>
        <v>bluedart</v>
      </c>
      <c r="H1317" s="37" t="s">
        <v>147</v>
      </c>
      <c r="I1317" s="37" t="str">
        <f t="shared" si="322"/>
        <v>road</v>
      </c>
      <c r="J1317" s="37" t="s">
        <v>452</v>
      </c>
      <c r="K1317" s="37" t="str">
        <f t="shared" si="323"/>
        <v>apparel</v>
      </c>
      <c r="L1317" s="37" t="s">
        <v>101</v>
      </c>
      <c r="M1317" s="37" t="str">
        <f t="shared" si="324"/>
        <v>west</v>
      </c>
      <c r="N1317" s="37" t="s">
        <v>278</v>
      </c>
      <c r="O1317" s="41" t="str">
        <f t="shared" si="325"/>
        <v>Yes</v>
      </c>
      <c r="P1317" s="41">
        <v>0.9</v>
      </c>
      <c r="Q1317" s="41" t="s">
        <v>4081</v>
      </c>
      <c r="R1317" s="42">
        <f t="shared" si="326"/>
        <v>193.333333333333</v>
      </c>
      <c r="S1317" s="37">
        <v>8</v>
      </c>
      <c r="T1317" s="37" t="s">
        <v>221</v>
      </c>
      <c r="U1317" s="43" t="str">
        <f t="shared" si="327"/>
        <v>03-feb-2024</v>
      </c>
      <c r="V1317" s="43">
        <f t="shared" si="328"/>
        <v>45325</v>
      </c>
      <c r="W1317" s="44">
        <f t="array" ref="W1317">_xlfn.IFS(TRIM(C1317)="","",TRIM(V1317)="","",TRUE,V1317-C1317)</f>
        <v>9</v>
      </c>
      <c r="X1317" s="37">
        <f t="shared" si="329"/>
        <v>1</v>
      </c>
      <c r="Y1317" s="37" t="s">
        <v>200</v>
      </c>
      <c r="Z1317" s="37" t="str">
        <f t="shared" si="330"/>
        <v>delayed</v>
      </c>
      <c r="AA1317" s="37" t="str">
        <f t="shared" si="331"/>
        <v>Late</v>
      </c>
      <c r="AB1317" s="37" t="str">
        <f t="shared" si="334"/>
        <v>1</v>
      </c>
      <c r="AC1317" s="37">
        <f t="shared" si="335"/>
        <v>1</v>
      </c>
      <c r="AD1317" s="45">
        <f t="shared" si="333"/>
        <v>0.547703180212014</v>
      </c>
      <c r="AE1317" s="37">
        <v>2</v>
      </c>
      <c r="AF1317" s="37" t="s">
        <v>79</v>
      </c>
      <c r="AG1317" s="37" t="str">
        <f t="shared" si="332"/>
        <v>yes</v>
      </c>
      <c r="AH1317" s="37" t="str">
        <f t="array" ref="AH1317">_xlfn.IFS(LOWER(AG1317)="n","no",LOWER(AG1317)="y","yes",TRUE,LOWER(AG1317))</f>
        <v>yes</v>
      </c>
      <c r="AI1317" s="37" t="s">
        <v>4692</v>
      </c>
    </row>
    <row r="1318" spans="1:35">
      <c r="A1318" s="46" t="s">
        <v>4082</v>
      </c>
      <c r="B1318" s="47">
        <v>45362</v>
      </c>
      <c r="C1318" s="39">
        <f t="shared" si="320"/>
        <v>45362</v>
      </c>
      <c r="D1318" s="48" t="s">
        <v>424</v>
      </c>
      <c r="E1318" s="37" t="str" cm="1">
        <f t="array" ref="E1318">_xlfn.IFS(D1318="delhi","north",D1318="mumbai","west",D1318="bengaluru","south",D1318="chennai","south",D1318="kolkata","east",TRUE,"west")</f>
        <v>south</v>
      </c>
      <c r="F1318" s="46" t="s">
        <v>37</v>
      </c>
      <c r="G1318" s="37" t="str">
        <f t="shared" si="321"/>
        <v>bluedart</v>
      </c>
      <c r="H1318" s="46" t="s">
        <v>195</v>
      </c>
      <c r="I1318" s="37" t="str">
        <f t="shared" si="322"/>
        <v>road</v>
      </c>
      <c r="J1318" s="46" t="s">
        <v>385</v>
      </c>
      <c r="K1318" s="37" t="str">
        <f t="shared" si="323"/>
        <v>furniture</v>
      </c>
      <c r="L1318" s="46" t="s">
        <v>264</v>
      </c>
      <c r="M1318" s="37" t="str">
        <f t="shared" si="324"/>
        <v>west</v>
      </c>
      <c r="N1318" s="46" t="s">
        <v>88</v>
      </c>
      <c r="O1318" s="41" t="str">
        <f t="shared" si="325"/>
        <v>Yes</v>
      </c>
      <c r="P1318" s="49" t="s">
        <v>4083</v>
      </c>
      <c r="Q1318" s="49">
        <v>784</v>
      </c>
      <c r="R1318" s="42">
        <f t="shared" si="326"/>
        <v>17.0434782608696</v>
      </c>
      <c r="S1318" s="46">
        <v>8</v>
      </c>
      <c r="T1318" s="46" t="s">
        <v>755</v>
      </c>
      <c r="U1318" s="43" t="str">
        <f t="shared" si="327"/>
        <v>2024-03-23</v>
      </c>
      <c r="V1318" s="43">
        <f t="shared" si="328"/>
        <v>45374</v>
      </c>
      <c r="W1318" s="44">
        <f t="array" ref="W1318">_xlfn.IFS(TRIM(C1318)="","",TRIM(V1318)="","",TRUE,V1318-C1318)</f>
        <v>12</v>
      </c>
      <c r="X1318" s="37">
        <f t="shared" si="329"/>
        <v>4</v>
      </c>
      <c r="Y1318" s="46" t="s">
        <v>143</v>
      </c>
      <c r="Z1318" s="37" t="str">
        <f t="shared" si="330"/>
        <v>delayed</v>
      </c>
      <c r="AA1318" s="37" t="str">
        <f t="shared" si="331"/>
        <v>Late</v>
      </c>
      <c r="AB1318" s="37" t="str">
        <f t="shared" si="334"/>
        <v>1</v>
      </c>
      <c r="AC1318" s="37">
        <f t="shared" si="335"/>
        <v>1</v>
      </c>
      <c r="AD1318" s="45">
        <f t="shared" si="333"/>
        <v>0.546099290780142</v>
      </c>
      <c r="AE1318" s="46">
        <v>3</v>
      </c>
      <c r="AF1318" s="46" t="s">
        <v>118</v>
      </c>
      <c r="AG1318" s="37" t="str">
        <f t="shared" si="332"/>
        <v>no</v>
      </c>
      <c r="AH1318" s="37" t="str">
        <f t="array" ref="AH1318">_xlfn.IFS(LOWER(AG1318)="n","no",LOWER(AG1318)="y","yes",TRUE,LOWER(AG1318))</f>
        <v>no</v>
      </c>
      <c r="AI1318" s="46" t="s">
        <v>4692</v>
      </c>
    </row>
    <row r="1319" spans="1:35">
      <c r="A1319" s="37" t="s">
        <v>4085</v>
      </c>
      <c r="B1319" s="38">
        <v>45318</v>
      </c>
      <c r="C1319" s="39">
        <f t="shared" si="320"/>
        <v>45318</v>
      </c>
      <c r="D1319" s="40" t="s">
        <v>424</v>
      </c>
      <c r="E1319" s="37" t="str" cm="1">
        <f t="array" ref="E1319">_xlfn.IFS(D1319="delhi","north",D1319="mumbai","west",D1319="bengaluru","south",D1319="chennai","south",D1319="kolkata","east",TRUE,"west")</f>
        <v>south</v>
      </c>
      <c r="F1319" s="37" t="s">
        <v>122</v>
      </c>
      <c r="G1319" s="37" t="str">
        <f t="shared" si="321"/>
        <v>delhivery</v>
      </c>
      <c r="H1319" s="37" t="s">
        <v>123</v>
      </c>
      <c r="I1319" s="37" t="str">
        <f t="shared" si="322"/>
        <v>air</v>
      </c>
      <c r="J1319" s="37" t="s">
        <v>186</v>
      </c>
      <c r="K1319" s="37" t="str">
        <f t="shared" si="323"/>
        <v>automotiveparts</v>
      </c>
      <c r="L1319" s="37" t="s">
        <v>418</v>
      </c>
      <c r="M1319" s="37" t="str">
        <f t="shared" si="324"/>
        <v>south</v>
      </c>
      <c r="N1319" s="37" t="s">
        <v>54</v>
      </c>
      <c r="O1319" s="41" t="str">
        <f t="shared" si="325"/>
        <v>Yes</v>
      </c>
      <c r="P1319" s="41" t="s">
        <v>2603</v>
      </c>
      <c r="Q1319" s="41" t="s">
        <v>2321</v>
      </c>
      <c r="R1319" s="42">
        <f t="shared" si="326"/>
        <v>42.0481927710843</v>
      </c>
      <c r="S1319" s="37">
        <v>2</v>
      </c>
      <c r="T1319" s="37" t="s">
        <v>857</v>
      </c>
      <c r="U1319" s="43" t="str">
        <f t="shared" si="327"/>
        <v>28/01/2024</v>
      </c>
      <c r="V1319" s="43">
        <f t="shared" si="328"/>
        <v>45319</v>
      </c>
      <c r="W1319" s="44">
        <f t="array" ref="W1319">_xlfn.IFS(TRIM(C1319)="","",TRIM(V1319)="","",TRUE,V1319-C1319)</f>
        <v>1</v>
      </c>
      <c r="X1319" s="37">
        <f t="shared" si="329"/>
        <v>-1</v>
      </c>
      <c r="Y1319" s="37" t="s">
        <v>105</v>
      </c>
      <c r="Z1319" s="37" t="str">
        <f t="shared" si="330"/>
        <v>delivered</v>
      </c>
      <c r="AA1319" s="37" t="str">
        <f t="shared" si="331"/>
        <v>On Time</v>
      </c>
      <c r="AB1319" s="37" t="str">
        <f t="shared" si="334"/>
        <v>0</v>
      </c>
      <c r="AC1319" s="37">
        <f t="shared" si="335"/>
        <v>0</v>
      </c>
      <c r="AD1319" s="45">
        <f t="shared" si="333"/>
        <v>0.544483985765125</v>
      </c>
      <c r="AE1319" s="37">
        <v>5</v>
      </c>
      <c r="AF1319" s="37" t="s">
        <v>131</v>
      </c>
      <c r="AG1319" s="37" t="str">
        <f t="shared" si="332"/>
        <v>n</v>
      </c>
      <c r="AH1319" s="37" t="str">
        <f t="array" ref="AH1319">_xlfn.IFS(LOWER(AG1319)="n","no",LOWER(AG1319)="y","yes",TRUE,LOWER(AG1319))</f>
        <v>no</v>
      </c>
      <c r="AI1319" s="37" t="s">
        <v>4692</v>
      </c>
    </row>
    <row r="1320" spans="1:35">
      <c r="A1320" s="46" t="s">
        <v>4086</v>
      </c>
      <c r="B1320" s="47" t="s">
        <v>4852</v>
      </c>
      <c r="C1320" s="39">
        <f t="shared" si="320"/>
        <v>45450</v>
      </c>
      <c r="D1320" s="48" t="s">
        <v>109</v>
      </c>
      <c r="E1320" s="37" t="str" cm="1">
        <f t="array" ref="E1320">_xlfn.IFS(D1320="delhi","north",D1320="mumbai","west",D1320="bengaluru","south",D1320="chennai","south",D1320="kolkata","east",TRUE,"west")</f>
        <v>west</v>
      </c>
      <c r="F1320" s="46" t="s">
        <v>367</v>
      </c>
      <c r="G1320" s="37" t="str">
        <f t="shared" si="321"/>
        <v>dtdc</v>
      </c>
      <c r="H1320" s="46" t="s">
        <v>345</v>
      </c>
      <c r="I1320" s="37" t="str">
        <f t="shared" si="322"/>
        <v>surface</v>
      </c>
      <c r="J1320" s="46" t="s">
        <v>196</v>
      </c>
      <c r="K1320" s="37" t="str">
        <f t="shared" si="323"/>
        <v>apparel</v>
      </c>
      <c r="L1320" s="46" t="s">
        <v>101</v>
      </c>
      <c r="M1320" s="37" t="str">
        <f t="shared" si="324"/>
        <v>west</v>
      </c>
      <c r="N1320" s="46" t="s">
        <v>278</v>
      </c>
      <c r="O1320" s="41" t="str">
        <f t="shared" si="325"/>
        <v>Yes</v>
      </c>
      <c r="P1320" s="49">
        <v>1.9</v>
      </c>
      <c r="Q1320" s="49" t="s">
        <v>432</v>
      </c>
      <c r="R1320" s="42">
        <f t="shared" si="326"/>
        <v>42.1052631578947</v>
      </c>
      <c r="S1320" s="46">
        <v>4</v>
      </c>
      <c r="T1320" s="46" t="s">
        <v>508</v>
      </c>
      <c r="U1320" s="43" t="str">
        <f t="shared" si="327"/>
        <v>12-jun-2024</v>
      </c>
      <c r="V1320" s="43">
        <f t="shared" si="328"/>
        <v>45455</v>
      </c>
      <c r="W1320" s="44">
        <f t="array" ref="W1320">_xlfn.IFS(TRIM(C1320)="","",TRIM(V1320)="","",TRUE,V1320-C1320)</f>
        <v>5</v>
      </c>
      <c r="X1320" s="37">
        <f t="shared" si="329"/>
        <v>1</v>
      </c>
      <c r="Y1320" s="46" t="s">
        <v>143</v>
      </c>
      <c r="Z1320" s="37" t="str">
        <f t="shared" si="330"/>
        <v>delayed</v>
      </c>
      <c r="AA1320" s="37" t="str">
        <f t="shared" si="331"/>
        <v>Late</v>
      </c>
      <c r="AB1320" s="37" t="str">
        <f t="shared" si="334"/>
        <v>1</v>
      </c>
      <c r="AC1320" s="37">
        <f t="shared" si="335"/>
        <v>1</v>
      </c>
      <c r="AD1320" s="45">
        <f t="shared" si="333"/>
        <v>0.546428571428571</v>
      </c>
      <c r="AE1320" s="46">
        <v>1</v>
      </c>
      <c r="AF1320" s="46" t="s">
        <v>131</v>
      </c>
      <c r="AG1320" s="37" t="str">
        <f t="shared" si="332"/>
        <v>n</v>
      </c>
      <c r="AH1320" s="37" t="str">
        <f t="array" ref="AH1320">_xlfn.IFS(LOWER(AG1320)="n","no",LOWER(AG1320)="y","yes",TRUE,LOWER(AG1320))</f>
        <v>no</v>
      </c>
      <c r="AI1320" s="46" t="s">
        <v>4692</v>
      </c>
    </row>
    <row r="1321" spans="1:35">
      <c r="A1321" s="37" t="s">
        <v>4088</v>
      </c>
      <c r="B1321" s="38">
        <v>45318</v>
      </c>
      <c r="C1321" s="39">
        <f t="shared" si="320"/>
        <v>45318</v>
      </c>
      <c r="D1321" s="40" t="s">
        <v>4704</v>
      </c>
      <c r="E1321" s="37" t="str" cm="1">
        <f t="array" ref="E1321">_xlfn.IFS(D1321="delhi","north",D1321="mumbai","west",D1321="bengaluru","south",D1321="chennai","south",D1321="kolkata","east",TRUE,"west")</f>
        <v>west</v>
      </c>
      <c r="F1321" s="37" t="s">
        <v>312</v>
      </c>
      <c r="G1321" s="37" t="str">
        <f t="shared" si="321"/>
        <v>bluedart</v>
      </c>
      <c r="H1321" s="37" t="s">
        <v>157</v>
      </c>
      <c r="I1321" s="37" t="str">
        <f t="shared" si="322"/>
        <v>surface</v>
      </c>
      <c r="J1321" s="37" t="s">
        <v>158</v>
      </c>
      <c r="K1321" s="37" t="str">
        <f t="shared" si="323"/>
        <v>pharma</v>
      </c>
      <c r="L1321" s="37" t="s">
        <v>264</v>
      </c>
      <c r="M1321" s="37" t="str">
        <f t="shared" si="324"/>
        <v>west</v>
      </c>
      <c r="N1321" s="37" t="s">
        <v>88</v>
      </c>
      <c r="O1321" s="41" t="str">
        <f t="shared" si="325"/>
        <v>Yes</v>
      </c>
      <c r="P1321" s="41">
        <v>2.6</v>
      </c>
      <c r="Q1321" s="41">
        <v>186</v>
      </c>
      <c r="R1321" s="42">
        <f t="shared" si="326"/>
        <v>71.5384615384615</v>
      </c>
      <c r="S1321" s="37">
        <v>6</v>
      </c>
      <c r="T1321" s="37" t="s">
        <v>180</v>
      </c>
      <c r="U1321" s="43" t="str">
        <f t="shared" si="327"/>
        <v>02/02/2024</v>
      </c>
      <c r="V1321" s="43">
        <f t="shared" si="328"/>
        <v>45324</v>
      </c>
      <c r="W1321" s="44">
        <f t="array" ref="W1321">_xlfn.IFS(TRIM(C1321)="","",TRIM(V1321)="","",TRUE,V1321-C1321)</f>
        <v>6</v>
      </c>
      <c r="X1321" s="37">
        <f t="shared" si="329"/>
        <v>0</v>
      </c>
      <c r="Y1321" s="37" t="s">
        <v>105</v>
      </c>
      <c r="Z1321" s="37" t="str">
        <f t="shared" si="330"/>
        <v>delivered</v>
      </c>
      <c r="AA1321" s="37" t="str">
        <f t="shared" si="331"/>
        <v>On Time</v>
      </c>
      <c r="AB1321" s="37" t="str">
        <f t="shared" si="334"/>
        <v>0</v>
      </c>
      <c r="AC1321" s="37">
        <f t="shared" si="335"/>
        <v>0</v>
      </c>
      <c r="AD1321" s="45">
        <f t="shared" si="333"/>
        <v>0.544802867383513</v>
      </c>
      <c r="AE1321" s="37">
        <v>4</v>
      </c>
      <c r="AF1321" s="37" t="s">
        <v>191</v>
      </c>
      <c r="AG1321" s="37" t="str">
        <f t="shared" si="332"/>
        <v>no</v>
      </c>
      <c r="AH1321" s="37" t="str">
        <f t="array" ref="AH1321">_xlfn.IFS(LOWER(AG1321)="n","no",LOWER(AG1321)="y","yes",TRUE,LOWER(AG1321))</f>
        <v>no</v>
      </c>
      <c r="AI1321" s="37" t="s">
        <v>4692</v>
      </c>
    </row>
    <row r="1322" spans="1:35">
      <c r="A1322" s="46" t="s">
        <v>4090</v>
      </c>
      <c r="B1322" s="47">
        <v>45400</v>
      </c>
      <c r="C1322" s="39">
        <f t="shared" si="320"/>
        <v>45400</v>
      </c>
      <c r="D1322" s="48" t="s">
        <v>109</v>
      </c>
      <c r="E1322" s="37" t="str" cm="1">
        <f t="array" ref="E1322">_xlfn.IFS(D1322="delhi","north",D1322="mumbai","west",D1322="bengaluru","south",D1322="chennai","south",D1322="kolkata","east",TRUE,"west")</f>
        <v>west</v>
      </c>
      <c r="F1322" s="46" t="s">
        <v>204</v>
      </c>
      <c r="G1322" s="37" t="str">
        <f t="shared" si="321"/>
        <v>delhivery</v>
      </c>
      <c r="H1322" s="46" t="s">
        <v>325</v>
      </c>
      <c r="I1322" s="37" t="str">
        <f t="shared" si="322"/>
        <v>air</v>
      </c>
      <c r="J1322" s="46" t="s">
        <v>186</v>
      </c>
      <c r="K1322" s="37" t="str">
        <f t="shared" si="323"/>
        <v>automotiveparts</v>
      </c>
      <c r="L1322" s="46" t="s">
        <v>101</v>
      </c>
      <c r="M1322" s="37" t="str">
        <f t="shared" si="324"/>
        <v>west</v>
      </c>
      <c r="N1322" s="46" t="s">
        <v>206</v>
      </c>
      <c r="O1322" s="41" t="str">
        <f t="shared" si="325"/>
        <v>Yes</v>
      </c>
      <c r="P1322" s="49">
        <v>33.3</v>
      </c>
      <c r="Q1322" s="49" t="s">
        <v>4092</v>
      </c>
      <c r="R1322" s="42">
        <f t="shared" si="326"/>
        <v>44.7747747747748</v>
      </c>
      <c r="S1322" s="46">
        <v>2</v>
      </c>
      <c r="T1322" s="46" t="s">
        <v>2517</v>
      </c>
      <c r="U1322" s="43" t="str">
        <f t="shared" si="327"/>
        <v>19/04/2024</v>
      </c>
      <c r="V1322" s="43">
        <f t="shared" si="328"/>
        <v>45401</v>
      </c>
      <c r="W1322" s="44">
        <f t="array" ref="W1322">_xlfn.IFS(TRIM(C1322)="","",TRIM(V1322)="","",TRUE,V1322-C1322)</f>
        <v>1</v>
      </c>
      <c r="X1322" s="37">
        <f t="shared" si="329"/>
        <v>-1</v>
      </c>
      <c r="Y1322" s="46" t="s">
        <v>2041</v>
      </c>
      <c r="Z1322" s="37" t="str">
        <f t="shared" si="330"/>
        <v>returned</v>
      </c>
      <c r="AA1322" s="37" t="str">
        <f t="shared" si="331"/>
        <v>On Time</v>
      </c>
      <c r="AB1322" s="37" t="str">
        <f t="shared" si="334"/>
        <v>0</v>
      </c>
      <c r="AC1322" s="37">
        <f t="shared" si="335"/>
        <v>0</v>
      </c>
      <c r="AD1322" s="45">
        <f t="shared" si="333"/>
        <v>0.546762589928058</v>
      </c>
      <c r="AE1322" s="46"/>
      <c r="AF1322" s="46" t="s">
        <v>152</v>
      </c>
      <c r="AG1322" s="37" t="str">
        <f t="shared" si="332"/>
        <v>no</v>
      </c>
      <c r="AH1322" s="37" t="str">
        <f t="array" ref="AH1322">_xlfn.IFS(LOWER(AG1322)="n","no",LOWER(AG1322)="y","yes",TRUE,LOWER(AG1322))</f>
        <v>no</v>
      </c>
      <c r="AI1322" s="46" t="s">
        <v>625</v>
      </c>
    </row>
    <row r="1323" spans="1:35">
      <c r="A1323" s="37" t="s">
        <v>4093</v>
      </c>
      <c r="B1323" s="38">
        <v>45456</v>
      </c>
      <c r="C1323" s="39">
        <f t="shared" si="320"/>
        <v>45456</v>
      </c>
      <c r="D1323" s="40" t="s">
        <v>109</v>
      </c>
      <c r="E1323" s="37" t="str" cm="1">
        <f t="array" ref="E1323">_xlfn.IFS(D1323="delhi","north",D1323="mumbai","west",D1323="bengaluru","south",D1323="chennai","south",D1323="kolkata","east",TRUE,"west")</f>
        <v>west</v>
      </c>
      <c r="F1323" s="37" t="s">
        <v>919</v>
      </c>
      <c r="G1323" s="37" t="str">
        <f t="shared" si="321"/>
        <v>xpressbees</v>
      </c>
      <c r="H1323" s="37" t="s">
        <v>99</v>
      </c>
      <c r="I1323" s="37" t="str">
        <f t="shared" si="322"/>
        <v>air</v>
      </c>
      <c r="J1323" s="37" t="s">
        <v>360</v>
      </c>
      <c r="K1323" s="37" t="str">
        <f t="shared" si="323"/>
        <v>furniture</v>
      </c>
      <c r="L1323" s="37" t="s">
        <v>51</v>
      </c>
      <c r="M1323" s="37" t="str">
        <f t="shared" si="324"/>
        <v>south</v>
      </c>
      <c r="N1323" s="37" t="s">
        <v>90</v>
      </c>
      <c r="O1323" s="41" t="str">
        <f t="shared" si="325"/>
        <v>Yes</v>
      </c>
      <c r="P1323" s="41">
        <v>68.9</v>
      </c>
      <c r="Q1323" s="41">
        <v>3287</v>
      </c>
      <c r="R1323" s="42">
        <f t="shared" si="326"/>
        <v>47.7068214804064</v>
      </c>
      <c r="S1323" s="37">
        <v>4</v>
      </c>
      <c r="T1323" s="37" t="s">
        <v>1117</v>
      </c>
      <c r="U1323" s="43" t="str">
        <f t="shared" si="327"/>
        <v>22-jun-2024</v>
      </c>
      <c r="V1323" s="43">
        <f t="shared" si="328"/>
        <v>45465</v>
      </c>
      <c r="W1323" s="44">
        <f t="array" ref="W1323">_xlfn.IFS(TRIM(C1323)="","",TRIM(V1323)="","",TRUE,V1323-C1323)</f>
        <v>9</v>
      </c>
      <c r="X1323" s="37">
        <f t="shared" si="329"/>
        <v>5</v>
      </c>
      <c r="Y1323" s="37" t="s">
        <v>172</v>
      </c>
      <c r="Z1323" s="37" t="str">
        <f t="shared" si="330"/>
        <v>delayed</v>
      </c>
      <c r="AA1323" s="37" t="str">
        <f t="shared" si="331"/>
        <v>Late</v>
      </c>
      <c r="AB1323" s="37" t="str">
        <f t="shared" si="334"/>
        <v>1</v>
      </c>
      <c r="AC1323" s="37">
        <f t="shared" si="335"/>
        <v>1</v>
      </c>
      <c r="AD1323" s="45">
        <f t="shared" si="333"/>
        <v>0.548736462093863</v>
      </c>
      <c r="AE1323" s="37">
        <v>2</v>
      </c>
      <c r="AF1323" s="37" t="s">
        <v>286</v>
      </c>
      <c r="AG1323" s="37" t="str">
        <f t="shared" si="332"/>
        <v>yes</v>
      </c>
      <c r="AH1323" s="37" t="str">
        <f t="array" ref="AH1323">_xlfn.IFS(LOWER(AG1323)="n","no",LOWER(AG1323)="y","yes",TRUE,LOWER(AG1323))</f>
        <v>yes</v>
      </c>
      <c r="AI1323" s="37" t="s">
        <v>4692</v>
      </c>
    </row>
    <row r="1324" spans="1:35">
      <c r="A1324" s="46" t="s">
        <v>4096</v>
      </c>
      <c r="B1324" s="47">
        <v>45332</v>
      </c>
      <c r="C1324" s="39">
        <f t="shared" si="320"/>
        <v>45332</v>
      </c>
      <c r="D1324" s="48" t="s">
        <v>300</v>
      </c>
      <c r="E1324" s="37" t="str" cm="1">
        <f t="array" ref="E1324">_xlfn.IFS(D1324="delhi","north",D1324="mumbai","west",D1324="bengaluru","south",D1324="chennai","south",D1324="kolkata","east",TRUE,"west")</f>
        <v>west</v>
      </c>
      <c r="F1324" s="46" t="s">
        <v>367</v>
      </c>
      <c r="G1324" s="37" t="str">
        <f t="shared" si="321"/>
        <v>dtdc</v>
      </c>
      <c r="H1324" s="46" t="s">
        <v>147</v>
      </c>
      <c r="I1324" s="37" t="str">
        <f t="shared" si="322"/>
        <v>road</v>
      </c>
      <c r="J1324" s="46" t="s">
        <v>498</v>
      </c>
      <c r="K1324" s="37" t="str">
        <f t="shared" si="323"/>
        <v>apparel</v>
      </c>
      <c r="L1324" s="46" t="s">
        <v>302</v>
      </c>
      <c r="M1324" s="37" t="str">
        <f t="shared" si="324"/>
        <v>east</v>
      </c>
      <c r="N1324" s="46" t="s">
        <v>126</v>
      </c>
      <c r="O1324" s="41" t="str">
        <f t="shared" si="325"/>
        <v>Yes</v>
      </c>
      <c r="P1324" s="49">
        <v>1.3</v>
      </c>
      <c r="Q1324" s="49">
        <v>202</v>
      </c>
      <c r="R1324" s="42">
        <f t="shared" si="326"/>
        <v>155.384615384615</v>
      </c>
      <c r="S1324" s="46">
        <v>8</v>
      </c>
      <c r="T1324" s="46" t="s">
        <v>3176</v>
      </c>
      <c r="U1324" s="43" t="str">
        <f t="shared" si="327"/>
        <v>2024-02-18</v>
      </c>
      <c r="V1324" s="43">
        <f t="shared" si="328"/>
        <v>45340</v>
      </c>
      <c r="W1324" s="44">
        <f t="array" ref="W1324">_xlfn.IFS(TRIM(C1324)="","",TRIM(V1324)="","",TRUE,V1324-C1324)</f>
        <v>8</v>
      </c>
      <c r="X1324" s="37">
        <f t="shared" si="329"/>
        <v>0</v>
      </c>
      <c r="Y1324" s="46" t="s">
        <v>105</v>
      </c>
      <c r="Z1324" s="37" t="str">
        <f t="shared" si="330"/>
        <v>delivered</v>
      </c>
      <c r="AA1324" s="37" t="str">
        <f t="shared" si="331"/>
        <v>On Time</v>
      </c>
      <c r="AB1324" s="37" t="str">
        <f t="shared" si="334"/>
        <v>0</v>
      </c>
      <c r="AC1324" s="37">
        <f t="shared" si="335"/>
        <v>0</v>
      </c>
      <c r="AD1324" s="45">
        <f t="shared" si="333"/>
        <v>0.547101449275362</v>
      </c>
      <c r="AE1324" s="46">
        <v>2</v>
      </c>
      <c r="AF1324" s="46" t="s">
        <v>181</v>
      </c>
      <c r="AG1324" s="37" t="str">
        <f t="shared" si="332"/>
        <v>y</v>
      </c>
      <c r="AH1324" s="37" t="str">
        <f t="array" ref="AH1324">_xlfn.IFS(LOWER(AG1324)="n","no",LOWER(AG1324)="y","yes",TRUE,LOWER(AG1324))</f>
        <v>yes</v>
      </c>
      <c r="AI1324" s="46" t="s">
        <v>4692</v>
      </c>
    </row>
    <row r="1325" spans="1:35">
      <c r="A1325" s="37" t="s">
        <v>4097</v>
      </c>
      <c r="B1325" s="38">
        <v>45335</v>
      </c>
      <c r="C1325" s="39">
        <f t="shared" si="320"/>
        <v>45335</v>
      </c>
      <c r="D1325" s="40" t="s">
        <v>633</v>
      </c>
      <c r="E1325" s="37" t="str" cm="1">
        <f t="array" ref="E1325">_xlfn.IFS(D1325="delhi","north",D1325="mumbai","west",D1325="bengaluru","south",D1325="chennai","south",D1325="kolkata","east",TRUE,"west")</f>
        <v>south</v>
      </c>
      <c r="F1325" s="37" t="s">
        <v>156</v>
      </c>
      <c r="G1325" s="37" t="str">
        <f t="shared" si="321"/>
        <v>xpressbees</v>
      </c>
      <c r="H1325" s="37" t="s">
        <v>42</v>
      </c>
      <c r="I1325" s="37" t="str">
        <f t="shared" si="322"/>
        <v>surface</v>
      </c>
      <c r="J1325" s="37" t="s">
        <v>47</v>
      </c>
      <c r="K1325" s="37" t="str">
        <f t="shared" si="323"/>
        <v>electronics</v>
      </c>
      <c r="L1325" s="37" t="s">
        <v>159</v>
      </c>
      <c r="M1325" s="37" t="str">
        <f t="shared" si="324"/>
        <v>south</v>
      </c>
      <c r="N1325" s="37" t="s">
        <v>90</v>
      </c>
      <c r="O1325" s="41" t="str">
        <f t="shared" si="325"/>
        <v>Yes</v>
      </c>
      <c r="P1325" s="41">
        <v>9.3</v>
      </c>
      <c r="Q1325" s="41" t="s">
        <v>4098</v>
      </c>
      <c r="R1325" s="42">
        <f t="shared" si="326"/>
        <v>20.4301075268817</v>
      </c>
      <c r="S1325" s="37">
        <v>4</v>
      </c>
      <c r="T1325" s="37" t="s">
        <v>3167</v>
      </c>
      <c r="U1325" s="43" t="str">
        <f t="shared" si="327"/>
        <v>2024-02-19</v>
      </c>
      <c r="V1325" s="43">
        <f t="shared" si="328"/>
        <v>45341</v>
      </c>
      <c r="W1325" s="44">
        <f t="array" ref="W1325">_xlfn.IFS(TRIM(C1325)="","",TRIM(V1325)="","",TRUE,V1325-C1325)</f>
        <v>6</v>
      </c>
      <c r="X1325" s="37">
        <f t="shared" si="329"/>
        <v>2</v>
      </c>
      <c r="Y1325" s="37" t="s">
        <v>72</v>
      </c>
      <c r="Z1325" s="37" t="str">
        <f t="shared" si="330"/>
        <v>delayed</v>
      </c>
      <c r="AA1325" s="37" t="str">
        <f t="shared" si="331"/>
        <v>Late</v>
      </c>
      <c r="AB1325" s="37" t="str">
        <f t="shared" si="334"/>
        <v>1</v>
      </c>
      <c r="AC1325" s="37">
        <f t="shared" si="335"/>
        <v>1</v>
      </c>
      <c r="AD1325" s="45">
        <f t="shared" si="333"/>
        <v>0.549090909090909</v>
      </c>
      <c r="AE1325" s="37">
        <v>2</v>
      </c>
      <c r="AF1325" s="37" t="s">
        <v>191</v>
      </c>
      <c r="AG1325" s="37" t="str">
        <f t="shared" si="332"/>
        <v>no</v>
      </c>
      <c r="AH1325" s="37" t="str">
        <f t="array" ref="AH1325">_xlfn.IFS(LOWER(AG1325)="n","no",LOWER(AG1325)="y","yes",TRUE,LOWER(AG1325))</f>
        <v>no</v>
      </c>
      <c r="AI1325" s="37" t="s">
        <v>4692</v>
      </c>
    </row>
    <row r="1326" spans="1:35">
      <c r="A1326" s="46" t="s">
        <v>4099</v>
      </c>
      <c r="B1326" s="47" t="s">
        <v>4790</v>
      </c>
      <c r="C1326" s="39">
        <f t="shared" si="320"/>
        <v>45423</v>
      </c>
      <c r="D1326" s="48" t="s">
        <v>109</v>
      </c>
      <c r="E1326" s="37" t="str" cm="1">
        <f t="array" ref="E1326">_xlfn.IFS(D1326="delhi","north",D1326="mumbai","west",D1326="bengaluru","south",D1326="chennai","south",D1326="kolkata","east",TRUE,"west")</f>
        <v>west</v>
      </c>
      <c r="F1326" s="46" t="s">
        <v>37</v>
      </c>
      <c r="G1326" s="37" t="str">
        <f t="shared" si="321"/>
        <v>bluedart</v>
      </c>
      <c r="H1326" s="46" t="s">
        <v>147</v>
      </c>
      <c r="I1326" s="37" t="str">
        <f t="shared" si="322"/>
        <v>road</v>
      </c>
      <c r="J1326" s="46" t="s">
        <v>319</v>
      </c>
      <c r="K1326" s="37" t="str">
        <f t="shared" si="323"/>
        <v>electronics</v>
      </c>
      <c r="L1326" s="46" t="s">
        <v>380</v>
      </c>
      <c r="M1326" s="37" t="str">
        <f t="shared" si="324"/>
        <v>east</v>
      </c>
      <c r="N1326" s="46" t="s">
        <v>294</v>
      </c>
      <c r="O1326" s="41" t="str">
        <f t="shared" si="325"/>
        <v>Yes</v>
      </c>
      <c r="P1326" s="49">
        <v>4.6</v>
      </c>
      <c r="Q1326" s="49">
        <v>270</v>
      </c>
      <c r="R1326" s="42">
        <f t="shared" si="326"/>
        <v>58.695652173913</v>
      </c>
      <c r="S1326" s="46">
        <v>8</v>
      </c>
      <c r="T1326" s="46" t="s">
        <v>2602</v>
      </c>
      <c r="U1326" s="43" t="str">
        <f t="shared" si="327"/>
        <v>19-may-2024</v>
      </c>
      <c r="V1326" s="43">
        <f t="shared" si="328"/>
        <v>45431</v>
      </c>
      <c r="W1326" s="44">
        <f t="array" ref="W1326">_xlfn.IFS(TRIM(C1326)="","",TRIM(V1326)="","",TRUE,V1326-C1326)</f>
        <v>8</v>
      </c>
      <c r="X1326" s="37">
        <f t="shared" si="329"/>
        <v>0</v>
      </c>
      <c r="Y1326" s="46" t="s">
        <v>624</v>
      </c>
      <c r="Z1326" s="37" t="str">
        <f t="shared" si="330"/>
        <v>returned</v>
      </c>
      <c r="AA1326" s="37" t="str">
        <f t="shared" si="331"/>
        <v>On Time</v>
      </c>
      <c r="AB1326" s="37" t="str">
        <f t="shared" si="334"/>
        <v>0</v>
      </c>
      <c r="AC1326" s="37">
        <f t="shared" si="335"/>
        <v>0</v>
      </c>
      <c r="AD1326" s="45">
        <f t="shared" si="333"/>
        <v>0.547445255474453</v>
      </c>
      <c r="AE1326" s="46"/>
      <c r="AF1326" s="46" t="s">
        <v>181</v>
      </c>
      <c r="AG1326" s="37" t="str">
        <f t="shared" si="332"/>
        <v>y</v>
      </c>
      <c r="AH1326" s="37" t="str">
        <f t="array" ref="AH1326">_xlfn.IFS(LOWER(AG1326)="n","no",LOWER(AG1326)="y","yes",TRUE,LOWER(AG1326))</f>
        <v>yes</v>
      </c>
      <c r="AI1326" s="46" t="s">
        <v>818</v>
      </c>
    </row>
    <row r="1327" spans="1:35">
      <c r="A1327" s="37" t="s">
        <v>4100</v>
      </c>
      <c r="B1327" s="38">
        <v>45363</v>
      </c>
      <c r="C1327" s="39">
        <f t="shared" si="320"/>
        <v>45363</v>
      </c>
      <c r="D1327" s="40" t="s">
        <v>109</v>
      </c>
      <c r="E1327" s="37" t="str" cm="1">
        <f t="array" ref="E1327">_xlfn.IFS(D1327="delhi","north",D1327="mumbai","west",D1327="bengaluru","south",D1327="chennai","south",D1327="kolkata","east",TRUE,"west")</f>
        <v>west</v>
      </c>
      <c r="F1327" s="37" t="s">
        <v>194</v>
      </c>
      <c r="G1327" s="37" t="str">
        <f t="shared" si="321"/>
        <v>xpressbees</v>
      </c>
      <c r="H1327" s="37" t="s">
        <v>176</v>
      </c>
      <c r="I1327" s="37" t="str">
        <f t="shared" si="322"/>
        <v>road</v>
      </c>
      <c r="J1327" s="37" t="s">
        <v>360</v>
      </c>
      <c r="K1327" s="37" t="str">
        <f t="shared" si="323"/>
        <v>furniture</v>
      </c>
      <c r="L1327" s="37" t="s">
        <v>125</v>
      </c>
      <c r="M1327" s="37" t="str">
        <f t="shared" si="324"/>
        <v>east</v>
      </c>
      <c r="N1327" s="37" t="s">
        <v>396</v>
      </c>
      <c r="O1327" s="41" t="str">
        <f t="shared" si="325"/>
        <v>Yes</v>
      </c>
      <c r="P1327" s="41">
        <v>76.2</v>
      </c>
      <c r="Q1327" s="41" t="s">
        <v>4102</v>
      </c>
      <c r="R1327" s="42">
        <f t="shared" si="326"/>
        <v>16.2073490813648</v>
      </c>
      <c r="S1327" s="37">
        <v>8</v>
      </c>
      <c r="T1327" s="37" t="s">
        <v>1653</v>
      </c>
      <c r="U1327" s="43" t="str">
        <f t="shared" si="327"/>
        <v>19-mar-2024</v>
      </c>
      <c r="V1327" s="43">
        <f t="shared" si="328"/>
        <v>45370</v>
      </c>
      <c r="W1327" s="44">
        <f t="array" ref="W1327">_xlfn.IFS(TRIM(C1327)="","",TRIM(V1327)="","",TRUE,V1327-C1327)</f>
        <v>7</v>
      </c>
      <c r="X1327" s="37">
        <f t="shared" si="329"/>
        <v>-1</v>
      </c>
      <c r="Y1327" s="37" t="s">
        <v>117</v>
      </c>
      <c r="Z1327" s="37" t="str">
        <f t="shared" si="330"/>
        <v>delivered</v>
      </c>
      <c r="AA1327" s="37" t="str">
        <f t="shared" si="331"/>
        <v>On Time</v>
      </c>
      <c r="AB1327" s="37" t="str">
        <f t="shared" si="334"/>
        <v>0</v>
      </c>
      <c r="AC1327" s="37">
        <f t="shared" si="335"/>
        <v>0</v>
      </c>
      <c r="AD1327" s="45">
        <f t="shared" si="333"/>
        <v>0.549450549450549</v>
      </c>
      <c r="AE1327" s="37">
        <v>4</v>
      </c>
      <c r="AF1327" s="37" t="s">
        <v>131</v>
      </c>
      <c r="AG1327" s="37" t="str">
        <f t="shared" si="332"/>
        <v>n</v>
      </c>
      <c r="AH1327" s="37" t="str">
        <f t="array" ref="AH1327">_xlfn.IFS(LOWER(AG1327)="n","no",LOWER(AG1327)="y","yes",TRUE,LOWER(AG1327))</f>
        <v>no</v>
      </c>
      <c r="AI1327" s="37" t="s">
        <v>4692</v>
      </c>
    </row>
    <row r="1328" spans="1:35">
      <c r="A1328" s="46" t="s">
        <v>4103</v>
      </c>
      <c r="B1328" s="47">
        <v>45308</v>
      </c>
      <c r="C1328" s="39">
        <f t="shared" si="320"/>
        <v>45308</v>
      </c>
      <c r="D1328" s="48" t="s">
        <v>633</v>
      </c>
      <c r="E1328" s="37" t="str" cm="1">
        <f t="array" ref="E1328">_xlfn.IFS(D1328="delhi","north",D1328="mumbai","west",D1328="bengaluru","south",D1328="chennai","south",D1328="kolkata","east",TRUE,"west")</f>
        <v>south</v>
      </c>
      <c r="F1328" s="46" t="s">
        <v>230</v>
      </c>
      <c r="G1328" s="37" t="str">
        <f t="shared" si="321"/>
        <v>dtdc</v>
      </c>
      <c r="H1328" s="46" t="s">
        <v>440</v>
      </c>
      <c r="I1328" s="37" t="str">
        <f t="shared" si="322"/>
        <v>road</v>
      </c>
      <c r="J1328" s="46" t="s">
        <v>1701</v>
      </c>
      <c r="K1328" s="37" t="str">
        <f t="shared" si="323"/>
        <v>grocery&amp;fmcg</v>
      </c>
      <c r="L1328" s="46" t="s">
        <v>470</v>
      </c>
      <c r="M1328" s="37" t="str">
        <f t="shared" si="324"/>
        <v>east</v>
      </c>
      <c r="N1328" s="46" t="s">
        <v>294</v>
      </c>
      <c r="O1328" s="41" t="str">
        <f t="shared" si="325"/>
        <v>Yes</v>
      </c>
      <c r="P1328" s="49">
        <v>4.6</v>
      </c>
      <c r="Q1328" s="49">
        <v>244</v>
      </c>
      <c r="R1328" s="42">
        <f t="shared" si="326"/>
        <v>53.0434782608696</v>
      </c>
      <c r="S1328" s="46">
        <v>8</v>
      </c>
      <c r="T1328" s="46" t="s">
        <v>1874</v>
      </c>
      <c r="U1328" s="43" t="str">
        <f t="shared" si="327"/>
        <v>2024-01-25</v>
      </c>
      <c r="V1328" s="43">
        <f t="shared" si="328"/>
        <v>45316</v>
      </c>
      <c r="W1328" s="44">
        <f t="array" ref="W1328">_xlfn.IFS(TRIM(C1328)="","",TRIM(V1328)="","",TRUE,V1328-C1328)</f>
        <v>8</v>
      </c>
      <c r="X1328" s="37">
        <f t="shared" si="329"/>
        <v>0</v>
      </c>
      <c r="Y1328" s="46" t="s">
        <v>219</v>
      </c>
      <c r="Z1328" s="37" t="str">
        <f t="shared" si="330"/>
        <v>delivered</v>
      </c>
      <c r="AA1328" s="37" t="str">
        <f t="shared" si="331"/>
        <v>On Time</v>
      </c>
      <c r="AB1328" s="37" t="str">
        <f t="shared" si="334"/>
        <v>0</v>
      </c>
      <c r="AC1328" s="37">
        <f t="shared" si="335"/>
        <v>0</v>
      </c>
      <c r="AD1328" s="45">
        <f t="shared" si="333"/>
        <v>0.551470588235294</v>
      </c>
      <c r="AE1328" s="46">
        <v>4</v>
      </c>
      <c r="AF1328" s="46" t="s">
        <v>181</v>
      </c>
      <c r="AG1328" s="37" t="str">
        <f t="shared" si="332"/>
        <v>y</v>
      </c>
      <c r="AH1328" s="37" t="str">
        <f t="array" ref="AH1328">_xlfn.IFS(LOWER(AG1328)="n","no",LOWER(AG1328)="y","yes",TRUE,LOWER(AG1328))</f>
        <v>yes</v>
      </c>
      <c r="AI1328" s="46" t="s">
        <v>4692</v>
      </c>
    </row>
    <row r="1329" spans="1:35">
      <c r="A1329" s="37" t="s">
        <v>4104</v>
      </c>
      <c r="B1329" s="38" t="s">
        <v>4724</v>
      </c>
      <c r="C1329" s="39">
        <f t="shared" si="320"/>
        <v>45405</v>
      </c>
      <c r="D1329" s="40" t="s">
        <v>212</v>
      </c>
      <c r="E1329" s="37" t="str" cm="1">
        <f t="array" ref="E1329">_xlfn.IFS(D1329="delhi","north",D1329="mumbai","west",D1329="bengaluru","south",D1329="chennai","south",D1329="kolkata","east",TRUE,"west")</f>
        <v>west</v>
      </c>
      <c r="F1329" s="37" t="s">
        <v>213</v>
      </c>
      <c r="G1329" s="37" t="str">
        <f t="shared" si="321"/>
        <v>dtdc</v>
      </c>
      <c r="H1329" s="37" t="s">
        <v>176</v>
      </c>
      <c r="I1329" s="37" t="str">
        <f t="shared" si="322"/>
        <v>road</v>
      </c>
      <c r="J1329" s="37" t="s">
        <v>263</v>
      </c>
      <c r="K1329" s="37" t="str">
        <f t="shared" si="323"/>
        <v>apparel</v>
      </c>
      <c r="L1329" s="37" t="s">
        <v>168</v>
      </c>
      <c r="M1329" s="37" t="str">
        <f t="shared" si="324"/>
        <v>west</v>
      </c>
      <c r="N1329" s="37" t="s">
        <v>88</v>
      </c>
      <c r="O1329" s="41" t="str">
        <f t="shared" si="325"/>
        <v>Yes</v>
      </c>
      <c r="P1329" s="41">
        <v>3.5</v>
      </c>
      <c r="Q1329" s="41">
        <v>80</v>
      </c>
      <c r="R1329" s="42">
        <f t="shared" si="326"/>
        <v>22.8571428571429</v>
      </c>
      <c r="S1329" s="37">
        <v>6</v>
      </c>
      <c r="T1329" s="37" t="s">
        <v>1142</v>
      </c>
      <c r="U1329" s="43" t="str">
        <f t="shared" si="327"/>
        <v>28/04/2024</v>
      </c>
      <c r="V1329" s="43">
        <f t="shared" si="328"/>
        <v>45410</v>
      </c>
      <c r="W1329" s="44">
        <f t="array" ref="W1329">_xlfn.IFS(TRIM(C1329)="","",TRIM(V1329)="","",TRUE,V1329-C1329)</f>
        <v>5</v>
      </c>
      <c r="X1329" s="37">
        <f t="shared" si="329"/>
        <v>-1</v>
      </c>
      <c r="Y1329" s="37" t="s">
        <v>1513</v>
      </c>
      <c r="Z1329" s="37" t="str">
        <f t="shared" si="330"/>
        <v>damaged</v>
      </c>
      <c r="AA1329" s="37" t="str">
        <f t="shared" si="331"/>
        <v>On Time</v>
      </c>
      <c r="AB1329" s="37" t="str">
        <f t="shared" si="334"/>
        <v>0</v>
      </c>
      <c r="AC1329" s="37">
        <f t="shared" si="335"/>
        <v>0</v>
      </c>
      <c r="AD1329" s="45">
        <f t="shared" si="333"/>
        <v>0.553505535055351</v>
      </c>
      <c r="AE1329" s="37"/>
      <c r="AF1329" s="37" t="s">
        <v>131</v>
      </c>
      <c r="AG1329" s="37" t="str">
        <f t="shared" si="332"/>
        <v>n</v>
      </c>
      <c r="AH1329" s="37" t="str">
        <f t="array" ref="AH1329">_xlfn.IFS(LOWER(AG1329)="n","no",LOWER(AG1329)="y","yes",TRUE,LOWER(AG1329))</f>
        <v>no</v>
      </c>
      <c r="AI1329" s="37" t="s">
        <v>132</v>
      </c>
    </row>
    <row r="1330" spans="1:35">
      <c r="A1330" s="46" t="s">
        <v>4106</v>
      </c>
      <c r="B1330" s="47">
        <v>45334</v>
      </c>
      <c r="C1330" s="39">
        <f t="shared" si="320"/>
        <v>45334</v>
      </c>
      <c r="D1330" s="48" t="s">
        <v>366</v>
      </c>
      <c r="E1330" s="37" t="str" cm="1">
        <f t="array" ref="E1330">_xlfn.IFS(D1330="delhi","north",D1330="mumbai","west",D1330="bengaluru","south",D1330="chennai","south",D1330="kolkata","east",TRUE,"west")</f>
        <v>east</v>
      </c>
      <c r="F1330" s="46" t="s">
        <v>270</v>
      </c>
      <c r="G1330" s="37" t="str">
        <f t="shared" si="321"/>
        <v>ecomexpress</v>
      </c>
      <c r="H1330" s="46" t="s">
        <v>137</v>
      </c>
      <c r="I1330" s="37" t="str">
        <f t="shared" si="322"/>
        <v>road</v>
      </c>
      <c r="J1330" s="46" t="s">
        <v>319</v>
      </c>
      <c r="K1330" s="37" t="str">
        <f t="shared" si="323"/>
        <v>electronics</v>
      </c>
      <c r="L1330" s="46" t="s">
        <v>92</v>
      </c>
      <c r="M1330" s="37" t="str">
        <f t="shared" si="324"/>
        <v>east</v>
      </c>
      <c r="N1330" s="46" t="s">
        <v>126</v>
      </c>
      <c r="O1330" s="41" t="str">
        <f t="shared" si="325"/>
        <v>Yes</v>
      </c>
      <c r="P1330" s="49" t="s">
        <v>868</v>
      </c>
      <c r="Q1330" s="49">
        <v>143</v>
      </c>
      <c r="R1330" s="42">
        <f t="shared" si="326"/>
        <v>20.7246376811594</v>
      </c>
      <c r="S1330" s="46">
        <v>6</v>
      </c>
      <c r="T1330" s="46" t="s">
        <v>2030</v>
      </c>
      <c r="U1330" s="43" t="str">
        <f t="shared" si="327"/>
        <v>17/02/2024</v>
      </c>
      <c r="V1330" s="43">
        <f t="shared" si="328"/>
        <v>45339</v>
      </c>
      <c r="W1330" s="44">
        <f t="array" ref="W1330">_xlfn.IFS(TRIM(C1330)="","",TRIM(V1330)="","",TRUE,V1330-C1330)</f>
        <v>5</v>
      </c>
      <c r="X1330" s="37">
        <f t="shared" si="329"/>
        <v>-1</v>
      </c>
      <c r="Y1330" s="46" t="s">
        <v>219</v>
      </c>
      <c r="Z1330" s="37" t="str">
        <f t="shared" si="330"/>
        <v>delivered</v>
      </c>
      <c r="AA1330" s="37" t="str">
        <f t="shared" si="331"/>
        <v>On Time</v>
      </c>
      <c r="AB1330" s="37" t="str">
        <f t="shared" si="334"/>
        <v>0</v>
      </c>
      <c r="AC1330" s="37">
        <f t="shared" si="335"/>
        <v>0</v>
      </c>
      <c r="AD1330" s="45">
        <f t="shared" si="333"/>
        <v>0.555555555555556</v>
      </c>
      <c r="AE1330" s="46">
        <v>4</v>
      </c>
      <c r="AF1330" s="46" t="s">
        <v>118</v>
      </c>
      <c r="AG1330" s="37" t="str">
        <f t="shared" si="332"/>
        <v>no</v>
      </c>
      <c r="AH1330" s="37" t="str">
        <f t="array" ref="AH1330">_xlfn.IFS(LOWER(AG1330)="n","no",LOWER(AG1330)="y","yes",TRUE,LOWER(AG1330))</f>
        <v>no</v>
      </c>
      <c r="AI1330" s="46" t="s">
        <v>4692</v>
      </c>
    </row>
    <row r="1331" spans="1:35">
      <c r="A1331" s="37" t="s">
        <v>4108</v>
      </c>
      <c r="B1331" s="38">
        <v>45384</v>
      </c>
      <c r="C1331" s="39">
        <f t="shared" si="320"/>
        <v>45384</v>
      </c>
      <c r="D1331" s="40" t="s">
        <v>340</v>
      </c>
      <c r="E1331" s="37" t="str" cm="1">
        <f t="array" ref="E1331">_xlfn.IFS(D1331="delhi","north",D1331="mumbai","west",D1331="bengaluru","south",D1331="chennai","south",D1331="kolkata","east",TRUE,"west")</f>
        <v>north</v>
      </c>
      <c r="F1331" s="37" t="s">
        <v>122</v>
      </c>
      <c r="G1331" s="37" t="str">
        <f t="shared" si="321"/>
        <v>delhivery</v>
      </c>
      <c r="H1331" s="37" t="s">
        <v>244</v>
      </c>
      <c r="I1331" s="37" t="str">
        <f t="shared" si="322"/>
        <v>air</v>
      </c>
      <c r="J1331" s="37" t="s">
        <v>100</v>
      </c>
      <c r="K1331" s="37" t="str">
        <f t="shared" si="323"/>
        <v>electronics</v>
      </c>
      <c r="L1331" s="37" t="s">
        <v>470</v>
      </c>
      <c r="M1331" s="37" t="str">
        <f t="shared" si="324"/>
        <v>east</v>
      </c>
      <c r="N1331" s="37" t="s">
        <v>91</v>
      </c>
      <c r="O1331" s="41" t="str">
        <f t="shared" si="325"/>
        <v>Yes</v>
      </c>
      <c r="P1331" s="41">
        <v>1.7</v>
      </c>
      <c r="Q1331" s="41" t="s">
        <v>2475</v>
      </c>
      <c r="R1331" s="42">
        <f t="shared" si="326"/>
        <v>155.294117647059</v>
      </c>
      <c r="S1331" s="37">
        <v>4</v>
      </c>
      <c r="T1331" s="37" t="s">
        <v>1517</v>
      </c>
      <c r="U1331" s="43" t="str">
        <f t="shared" si="327"/>
        <v>2024-04-05</v>
      </c>
      <c r="V1331" s="43">
        <f t="shared" si="328"/>
        <v>45387</v>
      </c>
      <c r="W1331" s="44">
        <f t="array" ref="W1331">_xlfn.IFS(TRIM(C1331)="","",TRIM(V1331)="","",TRUE,V1331-C1331)</f>
        <v>3</v>
      </c>
      <c r="X1331" s="37">
        <f t="shared" si="329"/>
        <v>-1</v>
      </c>
      <c r="Y1331" s="37" t="s">
        <v>105</v>
      </c>
      <c r="Z1331" s="37" t="str">
        <f t="shared" si="330"/>
        <v>delivered</v>
      </c>
      <c r="AA1331" s="37" t="str">
        <f t="shared" si="331"/>
        <v>On Time</v>
      </c>
      <c r="AB1331" s="37" t="str">
        <f t="shared" si="334"/>
        <v>0</v>
      </c>
      <c r="AC1331" s="37">
        <f t="shared" si="335"/>
        <v>0</v>
      </c>
      <c r="AD1331" s="45">
        <f t="shared" si="333"/>
        <v>0.557620817843866</v>
      </c>
      <c r="AE1331" s="37">
        <v>5</v>
      </c>
      <c r="AF1331" s="37" t="s">
        <v>152</v>
      </c>
      <c r="AG1331" s="37" t="str">
        <f t="shared" si="332"/>
        <v>no</v>
      </c>
      <c r="AH1331" s="37" t="str">
        <f t="array" ref="AH1331">_xlfn.IFS(LOWER(AG1331)="n","no",LOWER(AG1331)="y","yes",TRUE,LOWER(AG1331))</f>
        <v>no</v>
      </c>
      <c r="AI1331" s="37" t="s">
        <v>4692</v>
      </c>
    </row>
    <row r="1332" spans="1:35">
      <c r="A1332" s="46" t="s">
        <v>4110</v>
      </c>
      <c r="B1332" s="47">
        <v>45406</v>
      </c>
      <c r="C1332" s="39">
        <f t="shared" si="320"/>
        <v>45406</v>
      </c>
      <c r="D1332" s="48" t="s">
        <v>212</v>
      </c>
      <c r="E1332" s="37" t="str" cm="1">
        <f t="array" ref="E1332">_xlfn.IFS(D1332="delhi","north",D1332="mumbai","west",D1332="bengaluru","south",D1332="chennai","south",D1332="kolkata","east",TRUE,"west")</f>
        <v>west</v>
      </c>
      <c r="F1332" s="46" t="s">
        <v>146</v>
      </c>
      <c r="G1332" s="37" t="str">
        <f t="shared" si="321"/>
        <v>ecomexpress</v>
      </c>
      <c r="H1332" s="46" t="s">
        <v>244</v>
      </c>
      <c r="I1332" s="37" t="str">
        <f t="shared" si="322"/>
        <v>air</v>
      </c>
      <c r="J1332" s="46" t="s">
        <v>263</v>
      </c>
      <c r="K1332" s="37" t="str">
        <f t="shared" si="323"/>
        <v>apparel</v>
      </c>
      <c r="L1332" s="46" t="s">
        <v>302</v>
      </c>
      <c r="M1332" s="37" t="str">
        <f t="shared" si="324"/>
        <v>east</v>
      </c>
      <c r="N1332" s="46" t="s">
        <v>396</v>
      </c>
      <c r="O1332" s="41" t="str">
        <f t="shared" si="325"/>
        <v>Yes</v>
      </c>
      <c r="P1332" s="49">
        <v>6.4</v>
      </c>
      <c r="Q1332" s="49">
        <v>469</v>
      </c>
      <c r="R1332" s="42">
        <f t="shared" si="326"/>
        <v>73.28125</v>
      </c>
      <c r="S1332" s="46">
        <v>4</v>
      </c>
      <c r="T1332" s="46" t="s">
        <v>1945</v>
      </c>
      <c r="U1332" s="43" t="str">
        <f t="shared" si="327"/>
        <v>30-apr-2024</v>
      </c>
      <c r="V1332" s="43">
        <f t="shared" si="328"/>
        <v>45412</v>
      </c>
      <c r="W1332" s="44">
        <f t="array" ref="W1332">_xlfn.IFS(TRIM(C1332)="","",TRIM(V1332)="","",TRUE,V1332-C1332)</f>
        <v>6</v>
      </c>
      <c r="X1332" s="37">
        <f t="shared" si="329"/>
        <v>2</v>
      </c>
      <c r="Y1332" s="46" t="s">
        <v>172</v>
      </c>
      <c r="Z1332" s="37" t="str">
        <f t="shared" si="330"/>
        <v>delayed</v>
      </c>
      <c r="AA1332" s="37" t="str">
        <f t="shared" si="331"/>
        <v>Late</v>
      </c>
      <c r="AB1332" s="37" t="str">
        <f t="shared" si="334"/>
        <v>1</v>
      </c>
      <c r="AC1332" s="37">
        <f t="shared" si="335"/>
        <v>1</v>
      </c>
      <c r="AD1332" s="45">
        <f t="shared" si="333"/>
        <v>0.559701492537313</v>
      </c>
      <c r="AE1332" s="46">
        <v>4</v>
      </c>
      <c r="AF1332" s="46" t="s">
        <v>79</v>
      </c>
      <c r="AG1332" s="37" t="str">
        <f t="shared" si="332"/>
        <v>yes</v>
      </c>
      <c r="AH1332" s="37" t="str">
        <f t="array" ref="AH1332">_xlfn.IFS(LOWER(AG1332)="n","no",LOWER(AG1332)="y","yes",TRUE,LOWER(AG1332))</f>
        <v>yes</v>
      </c>
      <c r="AI1332" s="46" t="s">
        <v>4692</v>
      </c>
    </row>
    <row r="1333" spans="1:35">
      <c r="A1333" s="37" t="s">
        <v>4111</v>
      </c>
      <c r="B1333" s="38">
        <v>45449</v>
      </c>
      <c r="C1333" s="39">
        <f t="shared" si="320"/>
        <v>45449</v>
      </c>
      <c r="D1333" s="40" t="s">
        <v>340</v>
      </c>
      <c r="E1333" s="37" t="str" cm="1">
        <f t="array" ref="E1333">_xlfn.IFS(D1333="delhi","north",D1333="mumbai","west",D1333="bengaluru","south",D1333="chennai","south",D1333="kolkata","east",TRUE,"west")</f>
        <v>north</v>
      </c>
      <c r="F1333" s="37" t="s">
        <v>213</v>
      </c>
      <c r="G1333" s="37" t="str">
        <f t="shared" si="321"/>
        <v>dtdc</v>
      </c>
      <c r="H1333" s="37" t="s">
        <v>99</v>
      </c>
      <c r="I1333" s="37" t="str">
        <f t="shared" si="322"/>
        <v>air</v>
      </c>
      <c r="J1333" s="37" t="s">
        <v>326</v>
      </c>
      <c r="K1333" s="37" t="str">
        <f t="shared" si="323"/>
        <v>apparel</v>
      </c>
      <c r="L1333" s="37" t="s">
        <v>125</v>
      </c>
      <c r="M1333" s="37" t="str">
        <f t="shared" si="324"/>
        <v>east</v>
      </c>
      <c r="N1333" s="37" t="s">
        <v>396</v>
      </c>
      <c r="O1333" s="41" t="str">
        <f t="shared" si="325"/>
        <v>Yes</v>
      </c>
      <c r="P1333" s="41">
        <v>4</v>
      </c>
      <c r="Q1333" s="41">
        <v>319</v>
      </c>
      <c r="R1333" s="42">
        <f t="shared" si="326"/>
        <v>79.75</v>
      </c>
      <c r="S1333" s="37">
        <v>4</v>
      </c>
      <c r="T1333" s="37" t="s">
        <v>1814</v>
      </c>
      <c r="U1333" s="43" t="str">
        <f t="shared" si="327"/>
        <v>09-jun-2024</v>
      </c>
      <c r="V1333" s="43">
        <f t="shared" si="328"/>
        <v>45452</v>
      </c>
      <c r="W1333" s="44">
        <f t="array" ref="W1333">_xlfn.IFS(TRIM(C1333)="","",TRIM(V1333)="","",TRUE,V1333-C1333)</f>
        <v>3</v>
      </c>
      <c r="X1333" s="37">
        <f t="shared" si="329"/>
        <v>-1</v>
      </c>
      <c r="Y1333" s="37" t="s">
        <v>117</v>
      </c>
      <c r="Z1333" s="37" t="str">
        <f t="shared" si="330"/>
        <v>delivered</v>
      </c>
      <c r="AA1333" s="37" t="str">
        <f t="shared" si="331"/>
        <v>On Time</v>
      </c>
      <c r="AB1333" s="37" t="str">
        <f t="shared" si="334"/>
        <v>0</v>
      </c>
      <c r="AC1333" s="37">
        <f t="shared" si="335"/>
        <v>0</v>
      </c>
      <c r="AD1333" s="45">
        <f t="shared" si="333"/>
        <v>0.558052434456929</v>
      </c>
      <c r="AE1333" s="37">
        <v>4</v>
      </c>
      <c r="AF1333" s="37" t="s">
        <v>118</v>
      </c>
      <c r="AG1333" s="37" t="str">
        <f t="shared" si="332"/>
        <v>no</v>
      </c>
      <c r="AH1333" s="37" t="str">
        <f t="array" ref="AH1333">_xlfn.IFS(LOWER(AG1333)="n","no",LOWER(AG1333)="y","yes",TRUE,LOWER(AG1333))</f>
        <v>no</v>
      </c>
      <c r="AI1333" s="37" t="s">
        <v>4692</v>
      </c>
    </row>
    <row r="1334" spans="1:35">
      <c r="A1334" s="46" t="s">
        <v>4113</v>
      </c>
      <c r="B1334" s="47">
        <v>45397</v>
      </c>
      <c r="C1334" s="39">
        <f t="shared" si="320"/>
        <v>45397</v>
      </c>
      <c r="D1334" s="48" t="s">
        <v>366</v>
      </c>
      <c r="E1334" s="37" t="str" cm="1">
        <f t="array" ref="E1334">_xlfn.IFS(D1334="delhi","north",D1334="mumbai","west",D1334="bengaluru","south",D1334="chennai","south",D1334="kolkata","east",TRUE,"west")</f>
        <v>east</v>
      </c>
      <c r="F1334" s="46" t="s">
        <v>98</v>
      </c>
      <c r="G1334" s="37" t="str">
        <f t="shared" si="321"/>
        <v>dtdc</v>
      </c>
      <c r="H1334" s="46" t="s">
        <v>147</v>
      </c>
      <c r="I1334" s="37" t="str">
        <f t="shared" si="322"/>
        <v>road</v>
      </c>
      <c r="J1334" s="46" t="s">
        <v>313</v>
      </c>
      <c r="K1334" s="37" t="str">
        <f t="shared" si="323"/>
        <v>automotiveparts</v>
      </c>
      <c r="L1334" s="46" t="s">
        <v>470</v>
      </c>
      <c r="M1334" s="37" t="str">
        <f t="shared" si="324"/>
        <v>east</v>
      </c>
      <c r="N1334" s="46" t="s">
        <v>91</v>
      </c>
      <c r="O1334" s="41" t="str">
        <f t="shared" si="325"/>
        <v>Yes</v>
      </c>
      <c r="P1334" s="49">
        <v>37.1</v>
      </c>
      <c r="Q1334" s="49">
        <v>502</v>
      </c>
      <c r="R1334" s="42">
        <f t="shared" si="326"/>
        <v>13.5309973045822</v>
      </c>
      <c r="S1334" s="46">
        <v>6</v>
      </c>
      <c r="T1334" s="46" t="s">
        <v>1304</v>
      </c>
      <c r="U1334" s="43" t="str">
        <f t="shared" si="327"/>
        <v>22/04/2024</v>
      </c>
      <c r="V1334" s="43">
        <f t="shared" si="328"/>
        <v>45404</v>
      </c>
      <c r="W1334" s="44">
        <f t="array" ref="W1334">_xlfn.IFS(TRIM(C1334)="","",TRIM(V1334)="","",TRUE,V1334-C1334)</f>
        <v>7</v>
      </c>
      <c r="X1334" s="37">
        <f t="shared" si="329"/>
        <v>1</v>
      </c>
      <c r="Y1334" s="46" t="s">
        <v>200</v>
      </c>
      <c r="Z1334" s="37" t="str">
        <f t="shared" si="330"/>
        <v>delayed</v>
      </c>
      <c r="AA1334" s="37" t="str">
        <f t="shared" si="331"/>
        <v>Late</v>
      </c>
      <c r="AB1334" s="37" t="str">
        <f t="shared" si="334"/>
        <v>1</v>
      </c>
      <c r="AC1334" s="37">
        <f t="shared" si="335"/>
        <v>1</v>
      </c>
      <c r="AD1334" s="45">
        <f t="shared" si="333"/>
        <v>0.56015037593985</v>
      </c>
      <c r="AE1334" s="46">
        <v>3</v>
      </c>
      <c r="AF1334" s="46" t="s">
        <v>79</v>
      </c>
      <c r="AG1334" s="37" t="str">
        <f t="shared" si="332"/>
        <v>yes</v>
      </c>
      <c r="AH1334" s="37" t="str">
        <f t="array" ref="AH1334">_xlfn.IFS(LOWER(AG1334)="n","no",LOWER(AG1334)="y","yes",TRUE,LOWER(AG1334))</f>
        <v>yes</v>
      </c>
      <c r="AI1334" s="46" t="s">
        <v>4692</v>
      </c>
    </row>
    <row r="1335" spans="1:35">
      <c r="A1335" s="37" t="s">
        <v>4115</v>
      </c>
      <c r="B1335" s="38">
        <v>45419</v>
      </c>
      <c r="C1335" s="39">
        <f t="shared" si="320"/>
        <v>45419</v>
      </c>
      <c r="D1335" s="40" t="s">
        <v>4704</v>
      </c>
      <c r="E1335" s="37" t="str" cm="1">
        <f t="array" ref="E1335">_xlfn.IFS(D1335="delhi","north",D1335="mumbai","west",D1335="bengaluru","south",D1335="chennai","south",D1335="kolkata","east",TRUE,"west")</f>
        <v>west</v>
      </c>
      <c r="F1335" s="37" t="s">
        <v>367</v>
      </c>
      <c r="G1335" s="37" t="str">
        <f t="shared" si="321"/>
        <v>dtdc</v>
      </c>
      <c r="H1335" s="37" t="s">
        <v>440</v>
      </c>
      <c r="I1335" s="37" t="str">
        <f t="shared" si="322"/>
        <v>road</v>
      </c>
      <c r="J1335" s="37" t="s">
        <v>231</v>
      </c>
      <c r="K1335" s="37" t="str">
        <f t="shared" si="323"/>
        <v>furniture</v>
      </c>
      <c r="L1335" s="37" t="s">
        <v>418</v>
      </c>
      <c r="M1335" s="37" t="str">
        <f t="shared" si="324"/>
        <v>south</v>
      </c>
      <c r="N1335" s="37" t="s">
        <v>90</v>
      </c>
      <c r="O1335" s="41" t="str">
        <f t="shared" si="325"/>
        <v>Yes</v>
      </c>
      <c r="P1335" s="41">
        <v>23.2</v>
      </c>
      <c r="Q1335" s="41">
        <v>522</v>
      </c>
      <c r="R1335" s="42">
        <f t="shared" si="326"/>
        <v>22.5</v>
      </c>
      <c r="S1335" s="37">
        <v>8</v>
      </c>
      <c r="T1335" s="37" t="s">
        <v>3141</v>
      </c>
      <c r="U1335" s="43" t="str">
        <f t="shared" si="327"/>
        <v>16-may-2024</v>
      </c>
      <c r="V1335" s="43">
        <f t="shared" si="328"/>
        <v>45428</v>
      </c>
      <c r="W1335" s="44">
        <f t="array" ref="W1335">_xlfn.IFS(TRIM(C1335)="","",TRIM(V1335)="","",TRUE,V1335-C1335)</f>
        <v>9</v>
      </c>
      <c r="X1335" s="37">
        <f t="shared" si="329"/>
        <v>1</v>
      </c>
      <c r="Y1335" s="37" t="s">
        <v>200</v>
      </c>
      <c r="Z1335" s="37" t="str">
        <f t="shared" si="330"/>
        <v>delayed</v>
      </c>
      <c r="AA1335" s="37" t="str">
        <f t="shared" si="331"/>
        <v>Late</v>
      </c>
      <c r="AB1335" s="37" t="str">
        <f t="shared" si="334"/>
        <v>1</v>
      </c>
      <c r="AC1335" s="37">
        <f t="shared" si="335"/>
        <v>1</v>
      </c>
      <c r="AD1335" s="45">
        <f t="shared" si="333"/>
        <v>0.558490566037736</v>
      </c>
      <c r="AE1335" s="37">
        <v>2</v>
      </c>
      <c r="AF1335" s="37" t="s">
        <v>181</v>
      </c>
      <c r="AG1335" s="37" t="str">
        <f t="shared" si="332"/>
        <v>y</v>
      </c>
      <c r="AH1335" s="37" t="str">
        <f t="array" ref="AH1335">_xlfn.IFS(LOWER(AG1335)="n","no",LOWER(AG1335)="y","yes",TRUE,LOWER(AG1335))</f>
        <v>yes</v>
      </c>
      <c r="AI1335" s="37" t="s">
        <v>4692</v>
      </c>
    </row>
    <row r="1336" spans="1:35">
      <c r="A1336" s="46" t="s">
        <v>4117</v>
      </c>
      <c r="B1336" s="47">
        <v>45446</v>
      </c>
      <c r="C1336" s="39">
        <f t="shared" si="320"/>
        <v>45446</v>
      </c>
      <c r="D1336" s="48" t="s">
        <v>212</v>
      </c>
      <c r="E1336" s="37" t="str" cm="1">
        <f t="array" ref="E1336">_xlfn.IFS(D1336="delhi","north",D1336="mumbai","west",D1336="bengaluru","south",D1336="chennai","south",D1336="kolkata","east",TRUE,"west")</f>
        <v>west</v>
      </c>
      <c r="F1336" s="46" t="s">
        <v>213</v>
      </c>
      <c r="G1336" s="37" t="str">
        <f t="shared" si="321"/>
        <v>dtdc</v>
      </c>
      <c r="H1336" s="46" t="s">
        <v>185</v>
      </c>
      <c r="I1336" s="37" t="str">
        <f t="shared" si="322"/>
        <v>surface</v>
      </c>
      <c r="J1336" s="46" t="s">
        <v>360</v>
      </c>
      <c r="K1336" s="37" t="str">
        <f t="shared" si="323"/>
        <v>furniture</v>
      </c>
      <c r="L1336" s="46" t="s">
        <v>302</v>
      </c>
      <c r="M1336" s="37" t="str">
        <f t="shared" si="324"/>
        <v>east</v>
      </c>
      <c r="N1336" s="46" t="s">
        <v>126</v>
      </c>
      <c r="O1336" s="41" t="str">
        <f t="shared" si="325"/>
        <v>Yes</v>
      </c>
      <c r="P1336" s="49">
        <v>67.9</v>
      </c>
      <c r="Q1336" s="51">
        <v>1700</v>
      </c>
      <c r="R1336" s="42">
        <f t="shared" si="326"/>
        <v>25.0368188512518</v>
      </c>
      <c r="S1336" s="46">
        <v>6</v>
      </c>
      <c r="T1336" s="46" t="s">
        <v>707</v>
      </c>
      <c r="U1336" s="43" t="str">
        <f t="shared" si="327"/>
        <v>10/06/2024</v>
      </c>
      <c r="V1336" s="43">
        <f t="shared" si="328"/>
        <v>45453</v>
      </c>
      <c r="W1336" s="44">
        <f t="array" ref="W1336">_xlfn.IFS(TRIM(C1336)="","",TRIM(V1336)="","",TRUE,V1336-C1336)</f>
        <v>7</v>
      </c>
      <c r="X1336" s="37">
        <f t="shared" si="329"/>
        <v>1</v>
      </c>
      <c r="Y1336" s="46" t="s">
        <v>172</v>
      </c>
      <c r="Z1336" s="37" t="str">
        <f t="shared" si="330"/>
        <v>delayed</v>
      </c>
      <c r="AA1336" s="37" t="str">
        <f t="shared" si="331"/>
        <v>Late</v>
      </c>
      <c r="AB1336" s="37" t="str">
        <f t="shared" si="334"/>
        <v>1</v>
      </c>
      <c r="AC1336" s="37">
        <f t="shared" si="335"/>
        <v>1</v>
      </c>
      <c r="AD1336" s="45">
        <f t="shared" si="333"/>
        <v>0.556818181818182</v>
      </c>
      <c r="AE1336" s="46">
        <v>1</v>
      </c>
      <c r="AF1336" s="46" t="s">
        <v>191</v>
      </c>
      <c r="AG1336" s="37" t="str">
        <f t="shared" si="332"/>
        <v>no</v>
      </c>
      <c r="AH1336" s="37" t="str">
        <f t="array" ref="AH1336">_xlfn.IFS(LOWER(AG1336)="n","no",LOWER(AG1336)="y","yes",TRUE,LOWER(AG1336))</f>
        <v>no</v>
      </c>
      <c r="AI1336" s="46" t="s">
        <v>4692</v>
      </c>
    </row>
    <row r="1337" spans="1:35">
      <c r="A1337" s="37" t="s">
        <v>4120</v>
      </c>
      <c r="B1337" s="38">
        <v>45323</v>
      </c>
      <c r="C1337" s="39">
        <f t="shared" si="320"/>
        <v>45323</v>
      </c>
      <c r="D1337" s="40" t="s">
        <v>4705</v>
      </c>
      <c r="E1337" s="37" t="str" cm="1">
        <f t="array" ref="E1337">_xlfn.IFS(D1337="delhi","north",D1337="mumbai","west",D1337="bengaluru","south",D1337="chennai","south",D1337="kolkata","east",TRUE,"west")</f>
        <v>west</v>
      </c>
      <c r="F1337" s="37" t="s">
        <v>333</v>
      </c>
      <c r="G1337" s="37" t="str">
        <f t="shared" si="321"/>
        <v>delhivery</v>
      </c>
      <c r="H1337" s="37" t="s">
        <v>176</v>
      </c>
      <c r="I1337" s="37" t="str">
        <f t="shared" si="322"/>
        <v>road</v>
      </c>
      <c r="J1337" s="37" t="s">
        <v>100</v>
      </c>
      <c r="K1337" s="37" t="str">
        <f t="shared" si="323"/>
        <v>electronics</v>
      </c>
      <c r="L1337" s="37" t="s">
        <v>168</v>
      </c>
      <c r="M1337" s="37" t="str">
        <f t="shared" si="324"/>
        <v>west</v>
      </c>
      <c r="N1337" s="37" t="s">
        <v>206</v>
      </c>
      <c r="O1337" s="41" t="str">
        <f t="shared" si="325"/>
        <v>Yes</v>
      </c>
      <c r="P1337" s="41">
        <v>13</v>
      </c>
      <c r="Q1337" s="41">
        <v>387</v>
      </c>
      <c r="R1337" s="42">
        <f t="shared" si="326"/>
        <v>29.7692307692308</v>
      </c>
      <c r="S1337" s="37">
        <v>8</v>
      </c>
      <c r="T1337" s="37" t="s">
        <v>2675</v>
      </c>
      <c r="U1337" s="43" t="str">
        <f t="shared" si="327"/>
        <v>2024-02-09</v>
      </c>
      <c r="V1337" s="43">
        <f t="shared" si="328"/>
        <v>45331</v>
      </c>
      <c r="W1337" s="44">
        <f t="array" ref="W1337">_xlfn.IFS(TRIM(C1337)="","",TRIM(V1337)="","",TRUE,V1337-C1337)</f>
        <v>8</v>
      </c>
      <c r="X1337" s="37">
        <f t="shared" si="329"/>
        <v>0</v>
      </c>
      <c r="Y1337" s="37" t="s">
        <v>163</v>
      </c>
      <c r="Z1337" s="37" t="str">
        <f t="shared" si="330"/>
        <v>delivered</v>
      </c>
      <c r="AA1337" s="37" t="str">
        <f t="shared" si="331"/>
        <v>On Time</v>
      </c>
      <c r="AB1337" s="37" t="str">
        <f t="shared" si="334"/>
        <v>0</v>
      </c>
      <c r="AC1337" s="37">
        <f t="shared" si="335"/>
        <v>0</v>
      </c>
      <c r="AD1337" s="45">
        <f t="shared" si="333"/>
        <v>0.555133079847909</v>
      </c>
      <c r="AE1337" s="37">
        <v>5</v>
      </c>
      <c r="AF1337" s="37" t="s">
        <v>106</v>
      </c>
      <c r="AG1337" s="37" t="str">
        <f t="shared" si="332"/>
        <v>yes</v>
      </c>
      <c r="AH1337" s="37" t="str">
        <f t="array" ref="AH1337">_xlfn.IFS(LOWER(AG1337)="n","no",LOWER(AG1337)="y","yes",TRUE,LOWER(AG1337))</f>
        <v>yes</v>
      </c>
      <c r="AI1337" s="37" t="s">
        <v>4692</v>
      </c>
    </row>
    <row r="1338" spans="1:35">
      <c r="A1338" s="46" t="s">
        <v>4123</v>
      </c>
      <c r="B1338" s="47">
        <v>45470</v>
      </c>
      <c r="C1338" s="39">
        <f t="shared" si="320"/>
        <v>45470</v>
      </c>
      <c r="D1338" s="48" t="s">
        <v>4704</v>
      </c>
      <c r="E1338" s="37" t="str" cm="1">
        <f t="array" ref="E1338">_xlfn.IFS(D1338="delhi","north",D1338="mumbai","west",D1338="bengaluru","south",D1338="chennai","south",D1338="kolkata","east",TRUE,"west")</f>
        <v>west</v>
      </c>
      <c r="F1338" s="46" t="s">
        <v>146</v>
      </c>
      <c r="G1338" s="37" t="str">
        <f t="shared" si="321"/>
        <v>ecomexpress</v>
      </c>
      <c r="H1338" s="46" t="s">
        <v>123</v>
      </c>
      <c r="I1338" s="37" t="str">
        <f t="shared" si="322"/>
        <v>air</v>
      </c>
      <c r="J1338" s="46" t="s">
        <v>214</v>
      </c>
      <c r="K1338" s="37" t="str">
        <f t="shared" si="323"/>
        <v>grocery&amp;fmcg</v>
      </c>
      <c r="L1338" s="46" t="s">
        <v>101</v>
      </c>
      <c r="M1338" s="37" t="str">
        <f t="shared" si="324"/>
        <v>west</v>
      </c>
      <c r="N1338" s="46" t="s">
        <v>187</v>
      </c>
      <c r="O1338" s="41" t="str">
        <f t="shared" si="325"/>
        <v>Yes</v>
      </c>
      <c r="P1338" s="49">
        <v>10.1</v>
      </c>
      <c r="Q1338" s="49">
        <v>592</v>
      </c>
      <c r="R1338" s="42">
        <f t="shared" si="326"/>
        <v>58.6138613861386</v>
      </c>
      <c r="S1338" s="46">
        <v>4</v>
      </c>
      <c r="T1338" s="46" t="s">
        <v>1120</v>
      </c>
      <c r="U1338" s="43" t="str">
        <f t="shared" si="327"/>
        <v>03/07/2024</v>
      </c>
      <c r="V1338" s="43">
        <f t="shared" si="328"/>
        <v>45476</v>
      </c>
      <c r="W1338" s="44">
        <f t="array" ref="W1338">_xlfn.IFS(TRIM(C1338)="","",TRIM(V1338)="","",TRUE,V1338-C1338)</f>
        <v>6</v>
      </c>
      <c r="X1338" s="37">
        <f t="shared" si="329"/>
        <v>2</v>
      </c>
      <c r="Y1338" s="46" t="s">
        <v>72</v>
      </c>
      <c r="Z1338" s="37" t="str">
        <f t="shared" si="330"/>
        <v>delayed</v>
      </c>
      <c r="AA1338" s="37" t="str">
        <f t="shared" si="331"/>
        <v>Late</v>
      </c>
      <c r="AB1338" s="37" t="str">
        <f t="shared" si="334"/>
        <v>1</v>
      </c>
      <c r="AC1338" s="37">
        <f t="shared" si="335"/>
        <v>1</v>
      </c>
      <c r="AD1338" s="45">
        <f t="shared" si="333"/>
        <v>0.557251908396947</v>
      </c>
      <c r="AE1338" s="46">
        <v>3</v>
      </c>
      <c r="AF1338" s="46" t="s">
        <v>152</v>
      </c>
      <c r="AG1338" s="37" t="str">
        <f t="shared" si="332"/>
        <v>no</v>
      </c>
      <c r="AH1338" s="37" t="str">
        <f t="array" ref="AH1338">_xlfn.IFS(LOWER(AG1338)="n","no",LOWER(AG1338)="y","yes",TRUE,LOWER(AG1338))</f>
        <v>no</v>
      </c>
      <c r="AI1338" s="46" t="s">
        <v>4692</v>
      </c>
    </row>
    <row r="1339" spans="1:35">
      <c r="A1339" s="37" t="s">
        <v>4125</v>
      </c>
      <c r="B1339" s="38">
        <v>45349</v>
      </c>
      <c r="C1339" s="39">
        <f t="shared" si="320"/>
        <v>45349</v>
      </c>
      <c r="D1339" s="40" t="s">
        <v>135</v>
      </c>
      <c r="E1339" s="37" t="str" cm="1">
        <f t="array" ref="E1339">_xlfn.IFS(D1339="delhi","north",D1339="mumbai","west",D1339="bengaluru","south",D1339="chennai","south",D1339="kolkata","east",TRUE,"west")</f>
        <v>west</v>
      </c>
      <c r="F1339" s="37" t="s">
        <v>230</v>
      </c>
      <c r="G1339" s="37" t="str">
        <f t="shared" si="321"/>
        <v>dtdc</v>
      </c>
      <c r="H1339" s="37" t="s">
        <v>99</v>
      </c>
      <c r="I1339" s="37" t="str">
        <f t="shared" si="322"/>
        <v>air</v>
      </c>
      <c r="J1339" s="37" t="s">
        <v>148</v>
      </c>
      <c r="K1339" s="37" t="str">
        <f t="shared" si="323"/>
        <v>electronics</v>
      </c>
      <c r="L1339" s="37" t="s">
        <v>418</v>
      </c>
      <c r="M1339" s="37" t="str">
        <f t="shared" si="324"/>
        <v>south</v>
      </c>
      <c r="N1339" s="37" t="s">
        <v>54</v>
      </c>
      <c r="O1339" s="41" t="str">
        <f t="shared" si="325"/>
        <v>Yes</v>
      </c>
      <c r="P1339" s="41" t="s">
        <v>4126</v>
      </c>
      <c r="Q1339" s="41">
        <v>447</v>
      </c>
      <c r="R1339" s="42">
        <f t="shared" si="326"/>
        <v>63.8571428571429</v>
      </c>
      <c r="S1339" s="37">
        <v>4</v>
      </c>
      <c r="T1339" s="37" t="s">
        <v>842</v>
      </c>
      <c r="U1339" s="43" t="str">
        <f t="shared" si="327"/>
        <v>01/03/2024</v>
      </c>
      <c r="V1339" s="43">
        <f t="shared" si="328"/>
        <v>45352</v>
      </c>
      <c r="W1339" s="44">
        <f t="array" ref="W1339">_xlfn.IFS(TRIM(C1339)="","",TRIM(V1339)="","",TRUE,V1339-C1339)</f>
        <v>3</v>
      </c>
      <c r="X1339" s="37">
        <f t="shared" si="329"/>
        <v>-1</v>
      </c>
      <c r="Y1339" s="37" t="s">
        <v>117</v>
      </c>
      <c r="Z1339" s="37" t="str">
        <f t="shared" si="330"/>
        <v>delivered</v>
      </c>
      <c r="AA1339" s="37" t="str">
        <f t="shared" si="331"/>
        <v>On Time</v>
      </c>
      <c r="AB1339" s="37" t="str">
        <f t="shared" si="334"/>
        <v>0</v>
      </c>
      <c r="AC1339" s="37">
        <f t="shared" si="335"/>
        <v>0</v>
      </c>
      <c r="AD1339" s="45">
        <f t="shared" si="333"/>
        <v>0.555555555555556</v>
      </c>
      <c r="AE1339" s="37">
        <v>5</v>
      </c>
      <c r="AF1339" s="37" t="s">
        <v>286</v>
      </c>
      <c r="AG1339" s="37" t="str">
        <f t="shared" si="332"/>
        <v>yes</v>
      </c>
      <c r="AH1339" s="37" t="str">
        <f t="array" ref="AH1339">_xlfn.IFS(LOWER(AG1339)="n","no",LOWER(AG1339)="y","yes",TRUE,LOWER(AG1339))</f>
        <v>yes</v>
      </c>
      <c r="AI1339" s="37" t="s">
        <v>4692</v>
      </c>
    </row>
    <row r="1340" spans="1:35">
      <c r="A1340" s="46" t="s">
        <v>4128</v>
      </c>
      <c r="B1340" s="47">
        <v>45445</v>
      </c>
      <c r="C1340" s="39">
        <f t="shared" si="320"/>
        <v>45445</v>
      </c>
      <c r="D1340" s="48" t="s">
        <v>121</v>
      </c>
      <c r="E1340" s="37" t="str" cm="1">
        <f t="array" ref="E1340">_xlfn.IFS(D1340="delhi","north",D1340="mumbai","west",D1340="bengaluru","south",D1340="chennai","south",D1340="kolkata","east",TRUE,"west")</f>
        <v>west</v>
      </c>
      <c r="F1340" s="46"/>
      <c r="G1340" s="37" t="str">
        <f t="shared" si="321"/>
        <v/>
      </c>
      <c r="H1340" s="46" t="s">
        <v>325</v>
      </c>
      <c r="I1340" s="37" t="str">
        <f t="shared" si="322"/>
        <v>air</v>
      </c>
      <c r="J1340" s="46" t="s">
        <v>301</v>
      </c>
      <c r="K1340" s="37" t="str">
        <f t="shared" si="323"/>
        <v>furniture</v>
      </c>
      <c r="L1340" s="46" t="s">
        <v>125</v>
      </c>
      <c r="M1340" s="37" t="str">
        <f t="shared" si="324"/>
        <v>east</v>
      </c>
      <c r="N1340" s="46" t="s">
        <v>294</v>
      </c>
      <c r="O1340" s="41" t="str">
        <f t="shared" si="325"/>
        <v>Yes</v>
      </c>
      <c r="P1340" s="49">
        <v>28.8</v>
      </c>
      <c r="Q1340" s="51">
        <v>1449</v>
      </c>
      <c r="R1340" s="42">
        <f t="shared" si="326"/>
        <v>50.3125</v>
      </c>
      <c r="S1340" s="46">
        <v>4</v>
      </c>
      <c r="T1340" s="46" t="s">
        <v>611</v>
      </c>
      <c r="U1340" s="43" t="str">
        <f t="shared" si="327"/>
        <v>2024-06-12</v>
      </c>
      <c r="V1340" s="43">
        <f t="shared" si="328"/>
        <v>45455</v>
      </c>
      <c r="W1340" s="44">
        <f t="array" ref="W1340">_xlfn.IFS(TRIM(C1340)="","",TRIM(V1340)="","",TRUE,V1340-C1340)</f>
        <v>10</v>
      </c>
      <c r="X1340" s="37">
        <f t="shared" si="329"/>
        <v>6</v>
      </c>
      <c r="Y1340" s="46" t="s">
        <v>143</v>
      </c>
      <c r="Z1340" s="37" t="str">
        <f t="shared" si="330"/>
        <v>delayed</v>
      </c>
      <c r="AA1340" s="37" t="str">
        <f t="shared" si="331"/>
        <v>Late</v>
      </c>
      <c r="AB1340" s="37" t="str">
        <f t="shared" si="334"/>
        <v>1</v>
      </c>
      <c r="AC1340" s="37">
        <f t="shared" si="335"/>
        <v>1</v>
      </c>
      <c r="AD1340" s="45">
        <f t="shared" si="333"/>
        <v>0.557692307692308</v>
      </c>
      <c r="AE1340" s="46">
        <v>3</v>
      </c>
      <c r="AF1340" s="46" t="s">
        <v>181</v>
      </c>
      <c r="AG1340" s="37" t="str">
        <f t="shared" si="332"/>
        <v>y</v>
      </c>
      <c r="AH1340" s="37" t="str">
        <f t="array" ref="AH1340">_xlfn.IFS(LOWER(AG1340)="n","no",LOWER(AG1340)="y","yes",TRUE,LOWER(AG1340))</f>
        <v>yes</v>
      </c>
      <c r="AI1340" s="46" t="s">
        <v>4692</v>
      </c>
    </row>
    <row r="1341" spans="1:35">
      <c r="A1341" s="37" t="s">
        <v>4131</v>
      </c>
      <c r="B1341" s="38">
        <v>45359</v>
      </c>
      <c r="C1341" s="39">
        <f t="shared" si="320"/>
        <v>45359</v>
      </c>
      <c r="D1341" s="40" t="s">
        <v>212</v>
      </c>
      <c r="E1341" s="37" t="str" cm="1">
        <f t="array" ref="E1341">_xlfn.IFS(D1341="delhi","north",D1341="mumbai","west",D1341="bengaluru","south",D1341="chennai","south",D1341="kolkata","east",TRUE,"west")</f>
        <v>west</v>
      </c>
      <c r="F1341" s="37" t="s">
        <v>230</v>
      </c>
      <c r="G1341" s="37" t="str">
        <f t="shared" si="321"/>
        <v>dtdc</v>
      </c>
      <c r="H1341" s="37" t="s">
        <v>110</v>
      </c>
      <c r="I1341" s="37" t="str">
        <f t="shared" si="322"/>
        <v>surface</v>
      </c>
      <c r="J1341" s="37" t="s">
        <v>167</v>
      </c>
      <c r="K1341" s="37" t="str">
        <f t="shared" si="323"/>
        <v>pharma</v>
      </c>
      <c r="L1341" s="37" t="s">
        <v>101</v>
      </c>
      <c r="M1341" s="37" t="str">
        <f t="shared" si="324"/>
        <v>west</v>
      </c>
      <c r="N1341" s="37" t="s">
        <v>187</v>
      </c>
      <c r="O1341" s="41" t="str">
        <f t="shared" si="325"/>
        <v>Yes</v>
      </c>
      <c r="P1341" s="41">
        <v>3.9</v>
      </c>
      <c r="Q1341" s="41" t="s">
        <v>432</v>
      </c>
      <c r="R1341" s="42">
        <f t="shared" si="326"/>
        <v>20.5128205128205</v>
      </c>
      <c r="S1341" s="37">
        <v>4</v>
      </c>
      <c r="T1341" s="37" t="s">
        <v>1008</v>
      </c>
      <c r="U1341" s="43" t="str">
        <f t="shared" si="327"/>
        <v>14/03/2024</v>
      </c>
      <c r="V1341" s="43">
        <f t="shared" si="328"/>
        <v>45365</v>
      </c>
      <c r="W1341" s="44">
        <f t="array" ref="W1341">_xlfn.IFS(TRIM(C1341)="","",TRIM(V1341)="","",TRUE,V1341-C1341)</f>
        <v>6</v>
      </c>
      <c r="X1341" s="37">
        <f t="shared" si="329"/>
        <v>2</v>
      </c>
      <c r="Y1341" s="37" t="s">
        <v>72</v>
      </c>
      <c r="Z1341" s="37" t="str">
        <f t="shared" si="330"/>
        <v>delayed</v>
      </c>
      <c r="AA1341" s="37" t="str">
        <f t="shared" si="331"/>
        <v>Late</v>
      </c>
      <c r="AB1341" s="37" t="str">
        <f t="shared" si="334"/>
        <v>1</v>
      </c>
      <c r="AC1341" s="37">
        <f t="shared" si="335"/>
        <v>1</v>
      </c>
      <c r="AD1341" s="45">
        <f t="shared" si="333"/>
        <v>0.555984555984556</v>
      </c>
      <c r="AE1341" s="37">
        <v>2</v>
      </c>
      <c r="AF1341" s="37" t="s">
        <v>79</v>
      </c>
      <c r="AG1341" s="37" t="str">
        <f t="shared" si="332"/>
        <v>yes</v>
      </c>
      <c r="AH1341" s="37" t="str">
        <f t="array" ref="AH1341">_xlfn.IFS(LOWER(AG1341)="n","no",LOWER(AG1341)="y","yes",TRUE,LOWER(AG1341))</f>
        <v>yes</v>
      </c>
      <c r="AI1341" s="37" t="s">
        <v>4692</v>
      </c>
    </row>
    <row r="1342" spans="1:35">
      <c r="A1342" s="46" t="s">
        <v>4132</v>
      </c>
      <c r="B1342" s="47">
        <v>45297</v>
      </c>
      <c r="C1342" s="39">
        <f t="shared" si="320"/>
        <v>45297</v>
      </c>
      <c r="D1342" s="48" t="s">
        <v>633</v>
      </c>
      <c r="E1342" s="37" t="str" cm="1">
        <f t="array" ref="E1342">_xlfn.IFS(D1342="delhi","north",D1342="mumbai","west",D1342="bengaluru","south",D1342="chennai","south",D1342="kolkata","east",TRUE,"west")</f>
        <v>south</v>
      </c>
      <c r="F1342" s="46" t="s">
        <v>156</v>
      </c>
      <c r="G1342" s="37" t="str">
        <f t="shared" si="321"/>
        <v>xpressbees</v>
      </c>
      <c r="H1342" s="46" t="s">
        <v>123</v>
      </c>
      <c r="I1342" s="37" t="str">
        <f t="shared" si="322"/>
        <v>air</v>
      </c>
      <c r="J1342" s="46" t="s">
        <v>368</v>
      </c>
      <c r="K1342" s="37" t="str">
        <f t="shared" si="323"/>
        <v>furniture</v>
      </c>
      <c r="L1342" s="46" t="s">
        <v>139</v>
      </c>
      <c r="M1342" s="37" t="str">
        <f t="shared" si="324"/>
        <v>north</v>
      </c>
      <c r="N1342" s="46" t="s">
        <v>113</v>
      </c>
      <c r="O1342" s="41" t="str">
        <f t="shared" si="325"/>
        <v>Yes</v>
      </c>
      <c r="P1342" s="49">
        <v>23</v>
      </c>
      <c r="Q1342" s="49">
        <v>1188</v>
      </c>
      <c r="R1342" s="42">
        <f t="shared" si="326"/>
        <v>51.6521739130435</v>
      </c>
      <c r="S1342" s="46">
        <v>4</v>
      </c>
      <c r="T1342" s="46" t="s">
        <v>1152</v>
      </c>
      <c r="U1342" s="43" t="str">
        <f t="shared" si="327"/>
        <v>2024-01-17</v>
      </c>
      <c r="V1342" s="43">
        <f t="shared" si="328"/>
        <v>45308</v>
      </c>
      <c r="W1342" s="44">
        <f t="array" ref="W1342">_xlfn.IFS(TRIM(C1342)="","",TRIM(V1342)="","",TRUE,V1342-C1342)</f>
        <v>11</v>
      </c>
      <c r="X1342" s="37">
        <f t="shared" si="329"/>
        <v>7</v>
      </c>
      <c r="Y1342" s="46" t="s">
        <v>72</v>
      </c>
      <c r="Z1342" s="37" t="str">
        <f t="shared" si="330"/>
        <v>delayed</v>
      </c>
      <c r="AA1342" s="37" t="str">
        <f t="shared" si="331"/>
        <v>Late</v>
      </c>
      <c r="AB1342" s="37" t="str">
        <f t="shared" si="334"/>
        <v>1</v>
      </c>
      <c r="AC1342" s="37">
        <f t="shared" si="335"/>
        <v>1</v>
      </c>
      <c r="AD1342" s="45">
        <f t="shared" si="333"/>
        <v>0.554263565891473</v>
      </c>
      <c r="AE1342" s="46">
        <v>2</v>
      </c>
      <c r="AF1342" s="46" t="s">
        <v>191</v>
      </c>
      <c r="AG1342" s="37" t="str">
        <f t="shared" si="332"/>
        <v>no</v>
      </c>
      <c r="AH1342" s="37" t="str">
        <f t="array" ref="AH1342">_xlfn.IFS(LOWER(AG1342)="n","no",LOWER(AG1342)="y","yes",TRUE,LOWER(AG1342))</f>
        <v>no</v>
      </c>
      <c r="AI1342" s="46" t="s">
        <v>4692</v>
      </c>
    </row>
    <row r="1343" spans="1:35">
      <c r="A1343" s="37" t="s">
        <v>4135</v>
      </c>
      <c r="B1343" s="38">
        <v>45317</v>
      </c>
      <c r="C1343" s="39">
        <f t="shared" si="320"/>
        <v>45317</v>
      </c>
      <c r="D1343" s="40" t="s">
        <v>4694</v>
      </c>
      <c r="E1343" s="37" t="str" cm="1">
        <f t="array" ref="E1343">_xlfn.IFS(D1343="delhi","north",D1343="mumbai","west",D1343="bengaluru","south",D1343="chennai","south",D1343="kolkata","east",TRUE,"west")</f>
        <v>west</v>
      </c>
      <c r="F1343" s="37" t="s">
        <v>184</v>
      </c>
      <c r="G1343" s="37" t="str">
        <f t="shared" si="321"/>
        <v>ecomexpress</v>
      </c>
      <c r="H1343" s="37" t="s">
        <v>110</v>
      </c>
      <c r="I1343" s="37" t="str">
        <f t="shared" si="322"/>
        <v>surface</v>
      </c>
      <c r="J1343" s="37" t="s">
        <v>277</v>
      </c>
      <c r="K1343" s="37" t="str">
        <f t="shared" si="323"/>
        <v>apparel</v>
      </c>
      <c r="L1343" s="37" t="s">
        <v>302</v>
      </c>
      <c r="M1343" s="37" t="str">
        <f t="shared" si="324"/>
        <v>east</v>
      </c>
      <c r="N1343" s="37" t="s">
        <v>91</v>
      </c>
      <c r="O1343" s="41" t="str">
        <f t="shared" si="325"/>
        <v>Yes</v>
      </c>
      <c r="P1343" s="41">
        <v>2.8</v>
      </c>
      <c r="Q1343" s="41" t="s">
        <v>935</v>
      </c>
      <c r="R1343" s="42">
        <f t="shared" si="326"/>
        <v>85</v>
      </c>
      <c r="S1343" s="37">
        <v>6</v>
      </c>
      <c r="T1343" s="37" t="s">
        <v>516</v>
      </c>
      <c r="U1343" s="43" t="str">
        <f t="shared" si="327"/>
        <v>31/01/2024</v>
      </c>
      <c r="V1343" s="43">
        <f t="shared" si="328"/>
        <v>45322</v>
      </c>
      <c r="W1343" s="44">
        <f t="array" ref="W1343">_xlfn.IFS(TRIM(C1343)="","",TRIM(V1343)="","",TRUE,V1343-C1343)</f>
        <v>5</v>
      </c>
      <c r="X1343" s="37">
        <f t="shared" si="329"/>
        <v>-1</v>
      </c>
      <c r="Y1343" s="37" t="s">
        <v>219</v>
      </c>
      <c r="Z1343" s="37" t="str">
        <f t="shared" si="330"/>
        <v>delivered</v>
      </c>
      <c r="AA1343" s="37" t="str">
        <f t="shared" si="331"/>
        <v>On Time</v>
      </c>
      <c r="AB1343" s="37" t="str">
        <f t="shared" si="334"/>
        <v>0</v>
      </c>
      <c r="AC1343" s="37">
        <f t="shared" si="335"/>
        <v>0</v>
      </c>
      <c r="AD1343" s="45">
        <f t="shared" si="333"/>
        <v>0.552529182879377</v>
      </c>
      <c r="AE1343" s="37">
        <v>5</v>
      </c>
      <c r="AF1343" s="37" t="s">
        <v>152</v>
      </c>
      <c r="AG1343" s="37" t="str">
        <f t="shared" si="332"/>
        <v>no</v>
      </c>
      <c r="AH1343" s="37" t="str">
        <f t="array" ref="AH1343">_xlfn.IFS(LOWER(AG1343)="n","no",LOWER(AG1343)="y","yes",TRUE,LOWER(AG1343))</f>
        <v>no</v>
      </c>
      <c r="AI1343" s="37" t="s">
        <v>4692</v>
      </c>
    </row>
    <row r="1344" spans="1:35">
      <c r="A1344" s="46" t="s">
        <v>4136</v>
      </c>
      <c r="B1344" s="47">
        <v>45295</v>
      </c>
      <c r="C1344" s="39">
        <f t="shared" si="320"/>
        <v>45295</v>
      </c>
      <c r="D1344" s="48" t="s">
        <v>633</v>
      </c>
      <c r="E1344" s="37" t="str" cm="1">
        <f t="array" ref="E1344">_xlfn.IFS(D1344="delhi","north",D1344="mumbai","west",D1344="bengaluru","south",D1344="chennai","south",D1344="kolkata","east",TRUE,"west")</f>
        <v>south</v>
      </c>
      <c r="F1344" s="46" t="s">
        <v>230</v>
      </c>
      <c r="G1344" s="37" t="str">
        <f t="shared" si="321"/>
        <v>dtdc</v>
      </c>
      <c r="H1344" s="46" t="s">
        <v>345</v>
      </c>
      <c r="I1344" s="37" t="str">
        <f t="shared" si="322"/>
        <v>surface</v>
      </c>
      <c r="J1344" s="46" t="s">
        <v>277</v>
      </c>
      <c r="K1344" s="37" t="str">
        <f t="shared" si="323"/>
        <v>apparel</v>
      </c>
      <c r="L1344" s="46" t="s">
        <v>89</v>
      </c>
      <c r="M1344" s="37" t="str">
        <f t="shared" si="324"/>
        <v>west</v>
      </c>
      <c r="N1344" s="46" t="s">
        <v>88</v>
      </c>
      <c r="O1344" s="41" t="str">
        <f t="shared" si="325"/>
        <v>Yes</v>
      </c>
      <c r="P1344" s="49">
        <v>5.3</v>
      </c>
      <c r="Q1344" s="49">
        <v>260</v>
      </c>
      <c r="R1344" s="42">
        <f t="shared" si="326"/>
        <v>49.0566037735849</v>
      </c>
      <c r="S1344" s="46">
        <v>6</v>
      </c>
      <c r="T1344" s="46" t="s">
        <v>2683</v>
      </c>
      <c r="U1344" s="43" t="str">
        <f t="shared" si="327"/>
        <v>09/01/2024</v>
      </c>
      <c r="V1344" s="43">
        <f t="shared" si="328"/>
        <v>45300</v>
      </c>
      <c r="W1344" s="44">
        <f t="array" ref="W1344">_xlfn.IFS(TRIM(C1344)="","",TRIM(V1344)="","",TRUE,V1344-C1344)</f>
        <v>5</v>
      </c>
      <c r="X1344" s="37">
        <f t="shared" si="329"/>
        <v>-1</v>
      </c>
      <c r="Y1344" s="46" t="s">
        <v>219</v>
      </c>
      <c r="Z1344" s="37" t="str">
        <f t="shared" si="330"/>
        <v>delivered</v>
      </c>
      <c r="AA1344" s="37" t="str">
        <f t="shared" si="331"/>
        <v>On Time</v>
      </c>
      <c r="AB1344" s="37" t="str">
        <f t="shared" si="334"/>
        <v>0</v>
      </c>
      <c r="AC1344" s="37">
        <f t="shared" si="335"/>
        <v>0</v>
      </c>
      <c r="AD1344" s="45">
        <f t="shared" si="333"/>
        <v>0.5546875</v>
      </c>
      <c r="AE1344" s="46">
        <v>5</v>
      </c>
      <c r="AF1344" s="46" t="s">
        <v>131</v>
      </c>
      <c r="AG1344" s="37" t="str">
        <f t="shared" si="332"/>
        <v>n</v>
      </c>
      <c r="AH1344" s="37" t="str">
        <f t="array" ref="AH1344">_xlfn.IFS(LOWER(AG1344)="n","no",LOWER(AG1344)="y","yes",TRUE,LOWER(AG1344))</f>
        <v>no</v>
      </c>
      <c r="AI1344" s="46" t="s">
        <v>4692</v>
      </c>
    </row>
    <row r="1345" spans="1:35">
      <c r="A1345" s="37" t="s">
        <v>4138</v>
      </c>
      <c r="B1345" s="38">
        <v>45386</v>
      </c>
      <c r="C1345" s="39">
        <f t="shared" si="320"/>
        <v>45386</v>
      </c>
      <c r="D1345" s="40" t="s">
        <v>424</v>
      </c>
      <c r="E1345" s="37" t="str" cm="1">
        <f t="array" ref="E1345">_xlfn.IFS(D1345="delhi","north",D1345="mumbai","west",D1345="bengaluru","south",D1345="chennai","south",D1345="kolkata","east",TRUE,"west")</f>
        <v>south</v>
      </c>
      <c r="F1345" s="37" t="s">
        <v>37</v>
      </c>
      <c r="G1345" s="37" t="str">
        <f t="shared" si="321"/>
        <v>bluedart</v>
      </c>
      <c r="H1345" s="37" t="s">
        <v>123</v>
      </c>
      <c r="I1345" s="37" t="str">
        <f t="shared" si="322"/>
        <v>air</v>
      </c>
      <c r="J1345" s="37" t="s">
        <v>263</v>
      </c>
      <c r="K1345" s="37" t="str">
        <f t="shared" si="323"/>
        <v>apparel</v>
      </c>
      <c r="L1345" s="37" t="s">
        <v>302</v>
      </c>
      <c r="M1345" s="37" t="str">
        <f t="shared" si="324"/>
        <v>east</v>
      </c>
      <c r="N1345" s="37" t="s">
        <v>294</v>
      </c>
      <c r="O1345" s="41" t="str">
        <f t="shared" si="325"/>
        <v>Yes</v>
      </c>
      <c r="P1345" s="41">
        <v>3.3</v>
      </c>
      <c r="Q1345" s="41">
        <v>328</v>
      </c>
      <c r="R1345" s="42">
        <f t="shared" si="326"/>
        <v>99.3939393939394</v>
      </c>
      <c r="S1345" s="37">
        <v>4</v>
      </c>
      <c r="T1345" s="37" t="s">
        <v>1791</v>
      </c>
      <c r="U1345" s="43" t="str">
        <f t="shared" si="327"/>
        <v>09/04/2024</v>
      </c>
      <c r="V1345" s="43">
        <f t="shared" si="328"/>
        <v>45391</v>
      </c>
      <c r="W1345" s="44">
        <f t="array" ref="W1345">_xlfn.IFS(TRIM(C1345)="","",TRIM(V1345)="","",TRUE,V1345-C1345)</f>
        <v>5</v>
      </c>
      <c r="X1345" s="37">
        <f t="shared" si="329"/>
        <v>1</v>
      </c>
      <c r="Y1345" s="37" t="s">
        <v>172</v>
      </c>
      <c r="Z1345" s="37" t="str">
        <f t="shared" si="330"/>
        <v>delayed</v>
      </c>
      <c r="AA1345" s="37" t="str">
        <f t="shared" si="331"/>
        <v>Late</v>
      </c>
      <c r="AB1345" s="37" t="str">
        <f t="shared" si="334"/>
        <v>1</v>
      </c>
      <c r="AC1345" s="37">
        <f t="shared" si="335"/>
        <v>1</v>
      </c>
      <c r="AD1345" s="45">
        <f t="shared" si="333"/>
        <v>0.556862745098039</v>
      </c>
      <c r="AE1345" s="37">
        <v>3</v>
      </c>
      <c r="AF1345" s="37" t="s">
        <v>131</v>
      </c>
      <c r="AG1345" s="37" t="str">
        <f t="shared" si="332"/>
        <v>n</v>
      </c>
      <c r="AH1345" s="37" t="str">
        <f t="array" ref="AH1345">_xlfn.IFS(LOWER(AG1345)="n","no",LOWER(AG1345)="y","yes",TRUE,LOWER(AG1345))</f>
        <v>no</v>
      </c>
      <c r="AI1345" s="37" t="s">
        <v>4692</v>
      </c>
    </row>
    <row r="1346" spans="1:35">
      <c r="A1346" s="46" t="s">
        <v>4139</v>
      </c>
      <c r="B1346" s="47">
        <v>45347</v>
      </c>
      <c r="C1346" s="39">
        <f t="shared" ref="C1346:C1409" si="336">IF(ISNUMBER(B1346),B1346,DATE(RIGHT(TRIM(B1346),4),MID(TRIM(B1346),4,2),LEFT(TRIM(B1346),2)))</f>
        <v>45347</v>
      </c>
      <c r="D1346" s="48" t="s">
        <v>300</v>
      </c>
      <c r="E1346" s="37" t="str" cm="1">
        <f t="array" ref="E1346">_xlfn.IFS(D1346="delhi","north",D1346="mumbai","west",D1346="bengaluru","south",D1346="chennai","south",D1346="kolkata","east",TRUE,"west")</f>
        <v>west</v>
      </c>
      <c r="F1346" s="46" t="s">
        <v>352</v>
      </c>
      <c r="G1346" s="37" t="str">
        <f t="shared" ref="G1346:G1409" si="337">SUBSTITUTE(LOWER(F1346)," ","")</f>
        <v>delhivery</v>
      </c>
      <c r="H1346" s="46" t="s">
        <v>110</v>
      </c>
      <c r="I1346" s="37" t="str">
        <f t="shared" ref="I1346:I1409" si="338">SUBSTITUTE(LOWER(H1346)," ","")</f>
        <v>surface</v>
      </c>
      <c r="J1346" s="46" t="s">
        <v>138</v>
      </c>
      <c r="K1346" s="37" t="str">
        <f t="shared" ref="K1346:K1409" si="339">SUBSTITUTE(LOWER(J1346)," ","")</f>
        <v>apparel</v>
      </c>
      <c r="L1346" s="46" t="s">
        <v>302</v>
      </c>
      <c r="M1346" s="37" t="str">
        <f t="shared" ref="M1346:M1409" si="340">SUBSTITUTE(LOWER(L1346)," ","")</f>
        <v>east</v>
      </c>
      <c r="N1346" s="46" t="s">
        <v>91</v>
      </c>
      <c r="O1346" s="41" t="str">
        <f t="shared" ref="O1346:O1409" si="341">IF(OR(D1346="",M1346=""),"",IF(D1346=M1346,"No","Yes"))</f>
        <v>Yes</v>
      </c>
      <c r="P1346" s="49">
        <v>5.3</v>
      </c>
      <c r="Q1346" s="49">
        <v>282</v>
      </c>
      <c r="R1346" s="42">
        <f t="shared" ref="R1346:R1409" si="342">IF(OR(Q1346="",P1346="",P1346=0),"",Q1346/P1346)</f>
        <v>53.2075471698113</v>
      </c>
      <c r="S1346" s="46">
        <v>6</v>
      </c>
      <c r="T1346" s="46" t="s">
        <v>1287</v>
      </c>
      <c r="U1346" s="43" t="str">
        <f t="shared" ref="U1346:U1409" si="343">SUBSTITUTE(LOWER(T1346)," ","")</f>
        <v>2024-03-10</v>
      </c>
      <c r="V1346" s="43">
        <f t="shared" ref="V1346:V1409" si="344">DATEVALUE(TEXT(U1346,"yyyy-mm-dd"))</f>
        <v>45361</v>
      </c>
      <c r="W1346" s="44">
        <f t="array" ref="W1346">_xlfn.IFS(TRIM(C1346)="","",TRIM(V1346)="","",TRUE,V1346-C1346)</f>
        <v>14</v>
      </c>
      <c r="X1346" s="37">
        <f t="shared" ref="X1346:X1409" si="345">IF(OR(W1346="",S1346=""),"",W1346-S1346)</f>
        <v>8</v>
      </c>
      <c r="Y1346" s="46" t="s">
        <v>200</v>
      </c>
      <c r="Z1346" s="37" t="str">
        <f t="shared" ref="Z1346:Z1409" si="346">SUBSTITUTE(LOWER(Y1346)," ","")</f>
        <v>delayed</v>
      </c>
      <c r="AA1346" s="37" t="str">
        <f t="shared" ref="AA1346:AA1409" si="347">IF(Z1346="In-Transit","N/A",IF(X1346="","",IF(X1346&gt;0,"Late","On Time")))</f>
        <v>Late</v>
      </c>
      <c r="AB1346" s="37" t="str">
        <f t="shared" si="334"/>
        <v>1</v>
      </c>
      <c r="AC1346" s="37">
        <f t="shared" si="335"/>
        <v>1</v>
      </c>
      <c r="AD1346" s="45">
        <f t="shared" si="333"/>
        <v>0.55511811023622</v>
      </c>
      <c r="AE1346" s="46">
        <v>1</v>
      </c>
      <c r="AF1346" s="46" t="s">
        <v>118</v>
      </c>
      <c r="AG1346" s="37" t="str">
        <f t="shared" ref="AG1346:AG1409" si="348">SUBSTITUTE(LOWER(AF1346)," ","")</f>
        <v>no</v>
      </c>
      <c r="AH1346" s="37" t="str">
        <f t="array" ref="AH1346">_xlfn.IFS(LOWER(AG1346)="n","no",LOWER(AG1346)="y","yes",TRUE,LOWER(AG1346))</f>
        <v>no</v>
      </c>
      <c r="AI1346" s="46" t="s">
        <v>4692</v>
      </c>
    </row>
    <row r="1347" spans="1:35">
      <c r="A1347" s="37" t="s">
        <v>4141</v>
      </c>
      <c r="B1347" s="38">
        <v>45363</v>
      </c>
      <c r="C1347" s="39">
        <f t="shared" si="336"/>
        <v>45363</v>
      </c>
      <c r="D1347" s="40" t="s">
        <v>633</v>
      </c>
      <c r="E1347" s="37" t="str" cm="1">
        <f t="array" ref="E1347">_xlfn.IFS(D1347="delhi","north",D1347="mumbai","west",D1347="bengaluru","south",D1347="chennai","south",D1347="kolkata","east",TRUE,"west")</f>
        <v>south</v>
      </c>
      <c r="F1347" s="37" t="s">
        <v>204</v>
      </c>
      <c r="G1347" s="37" t="str">
        <f t="shared" si="337"/>
        <v>delhivery</v>
      </c>
      <c r="H1347" s="37" t="s">
        <v>147</v>
      </c>
      <c r="I1347" s="37" t="str">
        <f t="shared" si="338"/>
        <v>road</v>
      </c>
      <c r="J1347" s="37" t="s">
        <v>277</v>
      </c>
      <c r="K1347" s="37" t="str">
        <f t="shared" si="339"/>
        <v>apparel</v>
      </c>
      <c r="L1347" s="37" t="s">
        <v>257</v>
      </c>
      <c r="M1347" s="37" t="str">
        <f t="shared" si="340"/>
        <v>west</v>
      </c>
      <c r="N1347" s="37" t="s">
        <v>187</v>
      </c>
      <c r="O1347" s="41" t="str">
        <f t="shared" si="341"/>
        <v>Yes</v>
      </c>
      <c r="P1347" s="41">
        <v>7.2</v>
      </c>
      <c r="Q1347" s="41">
        <v>238</v>
      </c>
      <c r="R1347" s="42">
        <f t="shared" si="342"/>
        <v>33.0555555555556</v>
      </c>
      <c r="S1347" s="37">
        <v>8</v>
      </c>
      <c r="T1347" s="37" t="s">
        <v>299</v>
      </c>
      <c r="U1347" s="43" t="str">
        <f t="shared" si="343"/>
        <v>2024-03-19</v>
      </c>
      <c r="V1347" s="43">
        <f t="shared" si="344"/>
        <v>45370</v>
      </c>
      <c r="W1347" s="44">
        <f t="array" ref="W1347">_xlfn.IFS(TRIM(C1347)="","",TRIM(V1347)="","",TRUE,V1347-C1347)</f>
        <v>7</v>
      </c>
      <c r="X1347" s="37">
        <f t="shared" si="345"/>
        <v>-1</v>
      </c>
      <c r="Y1347" s="37" t="s">
        <v>105</v>
      </c>
      <c r="Z1347" s="37" t="str">
        <f t="shared" si="346"/>
        <v>delivered</v>
      </c>
      <c r="AA1347" s="37" t="str">
        <f t="shared" si="347"/>
        <v>On Time</v>
      </c>
      <c r="AB1347" s="37" t="str">
        <f t="shared" si="334"/>
        <v>0</v>
      </c>
      <c r="AC1347" s="37">
        <f t="shared" si="335"/>
        <v>0</v>
      </c>
      <c r="AD1347" s="45">
        <f t="shared" ref="AD1347:AD1410" si="349">COUNTIF(AC1347:AC2946,1)/COUNT(AC1347:AC2946)</f>
        <v>0.553359683794466</v>
      </c>
      <c r="AE1347" s="37">
        <v>5</v>
      </c>
      <c r="AF1347" s="37" t="s">
        <v>131</v>
      </c>
      <c r="AG1347" s="37" t="str">
        <f t="shared" si="348"/>
        <v>n</v>
      </c>
      <c r="AH1347" s="37" t="str">
        <f t="array" ref="AH1347">_xlfn.IFS(LOWER(AG1347)="n","no",LOWER(AG1347)="y","yes",TRUE,LOWER(AG1347))</f>
        <v>no</v>
      </c>
      <c r="AI1347" s="37" t="s">
        <v>4692</v>
      </c>
    </row>
    <row r="1348" spans="1:35">
      <c r="A1348" s="46" t="s">
        <v>4142</v>
      </c>
      <c r="B1348" s="47">
        <v>45367</v>
      </c>
      <c r="C1348" s="39">
        <f t="shared" si="336"/>
        <v>45367</v>
      </c>
      <c r="D1348" s="48" t="s">
        <v>4712</v>
      </c>
      <c r="E1348" s="37" t="str" cm="1">
        <f t="array" ref="E1348">_xlfn.IFS(D1348="delhi","north",D1348="mumbai","west",D1348="bengaluru","south",D1348="chennai","south",D1348="kolkata","east",TRUE,"west")</f>
        <v>west</v>
      </c>
      <c r="F1348" s="46" t="s">
        <v>146</v>
      </c>
      <c r="G1348" s="37" t="str">
        <f t="shared" si="337"/>
        <v>ecomexpress</v>
      </c>
      <c r="H1348" s="46" t="s">
        <v>137</v>
      </c>
      <c r="I1348" s="37" t="str">
        <f t="shared" si="338"/>
        <v>road</v>
      </c>
      <c r="J1348" s="46" t="s">
        <v>263</v>
      </c>
      <c r="K1348" s="37" t="str">
        <f t="shared" si="339"/>
        <v>apparel</v>
      </c>
      <c r="L1348" s="46" t="s">
        <v>51</v>
      </c>
      <c r="M1348" s="37" t="str">
        <f t="shared" si="340"/>
        <v>south</v>
      </c>
      <c r="N1348" s="46" t="s">
        <v>54</v>
      </c>
      <c r="O1348" s="41" t="str">
        <f t="shared" si="341"/>
        <v>Yes</v>
      </c>
      <c r="P1348" s="49">
        <v>3.8</v>
      </c>
      <c r="Q1348" s="49" t="s">
        <v>2816</v>
      </c>
      <c r="R1348" s="42">
        <f t="shared" si="342"/>
        <v>25</v>
      </c>
      <c r="S1348" s="46">
        <v>6</v>
      </c>
      <c r="T1348" s="46" t="s">
        <v>1333</v>
      </c>
      <c r="U1348" s="43" t="str">
        <f t="shared" si="343"/>
        <v>22/03/2024</v>
      </c>
      <c r="V1348" s="43">
        <f t="shared" si="344"/>
        <v>45373</v>
      </c>
      <c r="W1348" s="44">
        <f t="array" ref="W1348">_xlfn.IFS(TRIM(C1348)="","",TRIM(V1348)="","",TRUE,V1348-C1348)</f>
        <v>6</v>
      </c>
      <c r="X1348" s="37">
        <f t="shared" si="345"/>
        <v>0</v>
      </c>
      <c r="Y1348" s="46" t="s">
        <v>163</v>
      </c>
      <c r="Z1348" s="37" t="str">
        <f t="shared" si="346"/>
        <v>delivered</v>
      </c>
      <c r="AA1348" s="37" t="str">
        <f t="shared" si="347"/>
        <v>On Time</v>
      </c>
      <c r="AB1348" s="37" t="str">
        <f t="shared" si="334"/>
        <v>0</v>
      </c>
      <c r="AC1348" s="37">
        <f t="shared" si="335"/>
        <v>0</v>
      </c>
      <c r="AD1348" s="45">
        <f t="shared" si="349"/>
        <v>0.555555555555556</v>
      </c>
      <c r="AE1348" s="46">
        <v>4</v>
      </c>
      <c r="AF1348" s="46" t="s">
        <v>118</v>
      </c>
      <c r="AG1348" s="37" t="str">
        <f t="shared" si="348"/>
        <v>no</v>
      </c>
      <c r="AH1348" s="37" t="str">
        <f t="array" ref="AH1348">_xlfn.IFS(LOWER(AG1348)="n","no",LOWER(AG1348)="y","yes",TRUE,LOWER(AG1348))</f>
        <v>no</v>
      </c>
      <c r="AI1348" s="46" t="s">
        <v>4692</v>
      </c>
    </row>
    <row r="1349" spans="1:35">
      <c r="A1349" s="37" t="s">
        <v>4143</v>
      </c>
      <c r="B1349" s="38">
        <v>45364</v>
      </c>
      <c r="C1349" s="39">
        <f t="shared" si="336"/>
        <v>45364</v>
      </c>
      <c r="D1349" s="40" t="s">
        <v>4699</v>
      </c>
      <c r="E1349" s="37" t="str" cm="1">
        <f t="array" ref="E1349">_xlfn.IFS(D1349="delhi","north",D1349="mumbai","west",D1349="bengaluru","south",D1349="chennai","south",D1349="kolkata","east",TRUE,"west")</f>
        <v>west</v>
      </c>
      <c r="F1349" s="37" t="s">
        <v>146</v>
      </c>
      <c r="G1349" s="37" t="str">
        <f t="shared" si="337"/>
        <v>ecomexpress</v>
      </c>
      <c r="H1349" s="37" t="s">
        <v>176</v>
      </c>
      <c r="I1349" s="37" t="str">
        <f t="shared" si="338"/>
        <v>road</v>
      </c>
      <c r="J1349" s="37" t="s">
        <v>734</v>
      </c>
      <c r="K1349" s="37" t="str">
        <f t="shared" si="339"/>
        <v>grocery&amp;fmcg</v>
      </c>
      <c r="L1349" s="37" t="s">
        <v>302</v>
      </c>
      <c r="M1349" s="37" t="str">
        <f t="shared" si="340"/>
        <v>east</v>
      </c>
      <c r="N1349" s="37" t="s">
        <v>396</v>
      </c>
      <c r="O1349" s="41" t="str">
        <f t="shared" si="341"/>
        <v>Yes</v>
      </c>
      <c r="P1349" s="41">
        <v>4</v>
      </c>
      <c r="Q1349" s="41">
        <v>183</v>
      </c>
      <c r="R1349" s="42">
        <f t="shared" si="342"/>
        <v>45.75</v>
      </c>
      <c r="S1349" s="37">
        <v>8</v>
      </c>
      <c r="T1349" s="37" t="s">
        <v>1984</v>
      </c>
      <c r="U1349" s="43" t="str">
        <f t="shared" si="343"/>
        <v>20-mar-2024</v>
      </c>
      <c r="V1349" s="43">
        <f t="shared" si="344"/>
        <v>45371</v>
      </c>
      <c r="W1349" s="44">
        <f t="array" ref="W1349">_xlfn.IFS(TRIM(C1349)="","",TRIM(V1349)="","",TRUE,V1349-C1349)</f>
        <v>7</v>
      </c>
      <c r="X1349" s="37">
        <f t="shared" si="345"/>
        <v>-1</v>
      </c>
      <c r="Y1349" s="37" t="s">
        <v>117</v>
      </c>
      <c r="Z1349" s="37" t="str">
        <f t="shared" si="346"/>
        <v>delivered</v>
      </c>
      <c r="AA1349" s="37" t="str">
        <f t="shared" si="347"/>
        <v>On Time</v>
      </c>
      <c r="AB1349" s="37" t="str">
        <f t="shared" si="334"/>
        <v>0</v>
      </c>
      <c r="AC1349" s="37">
        <f t="shared" si="335"/>
        <v>0</v>
      </c>
      <c r="AD1349" s="45">
        <f t="shared" si="349"/>
        <v>0.557768924302789</v>
      </c>
      <c r="AE1349" s="37">
        <v>4</v>
      </c>
      <c r="AF1349" s="37" t="s">
        <v>118</v>
      </c>
      <c r="AG1349" s="37" t="str">
        <f t="shared" si="348"/>
        <v>no</v>
      </c>
      <c r="AH1349" s="37" t="str">
        <f t="array" ref="AH1349">_xlfn.IFS(LOWER(AG1349)="n","no",LOWER(AG1349)="y","yes",TRUE,LOWER(AG1349))</f>
        <v>no</v>
      </c>
      <c r="AI1349" s="37" t="s">
        <v>4692</v>
      </c>
    </row>
    <row r="1350" spans="1:35">
      <c r="A1350" s="46" t="s">
        <v>4145</v>
      </c>
      <c r="B1350" s="47">
        <v>45423</v>
      </c>
      <c r="C1350" s="39">
        <f t="shared" si="336"/>
        <v>45423</v>
      </c>
      <c r="D1350" s="48" t="s">
        <v>340</v>
      </c>
      <c r="E1350" s="37" t="str" cm="1">
        <f t="array" ref="E1350">_xlfn.IFS(D1350="delhi","north",D1350="mumbai","west",D1350="bengaluru","south",D1350="chennai","south",D1350="kolkata","east",TRUE,"west")</f>
        <v>north</v>
      </c>
      <c r="F1350" s="46" t="s">
        <v>223</v>
      </c>
      <c r="G1350" s="37" t="str">
        <f t="shared" si="337"/>
        <v>xpressbees</v>
      </c>
      <c r="H1350" s="46" t="s">
        <v>224</v>
      </c>
      <c r="I1350" s="37" t="str">
        <f t="shared" si="338"/>
        <v>air</v>
      </c>
      <c r="J1350" s="46" t="s">
        <v>167</v>
      </c>
      <c r="K1350" s="37" t="str">
        <f t="shared" si="339"/>
        <v>pharma</v>
      </c>
      <c r="L1350" s="46" t="s">
        <v>418</v>
      </c>
      <c r="M1350" s="37" t="str">
        <f t="shared" si="340"/>
        <v>south</v>
      </c>
      <c r="N1350" s="46" t="s">
        <v>90</v>
      </c>
      <c r="O1350" s="41" t="str">
        <f t="shared" si="341"/>
        <v>Yes</v>
      </c>
      <c r="P1350" s="49">
        <v>3</v>
      </c>
      <c r="Q1350" s="49">
        <v>324</v>
      </c>
      <c r="R1350" s="42">
        <f t="shared" si="342"/>
        <v>108</v>
      </c>
      <c r="S1350" s="46">
        <v>4</v>
      </c>
      <c r="T1350" s="46" t="s">
        <v>388</v>
      </c>
      <c r="U1350" s="43" t="str">
        <f t="shared" si="343"/>
        <v>21-may-2024</v>
      </c>
      <c r="V1350" s="43">
        <f t="shared" si="344"/>
        <v>45433</v>
      </c>
      <c r="W1350" s="44">
        <f t="array" ref="W1350">_xlfn.IFS(TRIM(C1350)="","",TRIM(V1350)="","",TRUE,V1350-C1350)</f>
        <v>10</v>
      </c>
      <c r="X1350" s="37">
        <f t="shared" si="345"/>
        <v>6</v>
      </c>
      <c r="Y1350" s="46" t="s">
        <v>172</v>
      </c>
      <c r="Z1350" s="37" t="str">
        <f t="shared" si="346"/>
        <v>delayed</v>
      </c>
      <c r="AA1350" s="37" t="str">
        <f t="shared" si="347"/>
        <v>Late</v>
      </c>
      <c r="AB1350" s="37" t="str">
        <f t="shared" ref="AB1350:AB1413" si="350">IF(Z1350="In-Transit","N/A",IF(X1350="","",IF(X1350&gt;0,"1","0")))</f>
        <v>1</v>
      </c>
      <c r="AC1350" s="37">
        <f t="shared" si="335"/>
        <v>1</v>
      </c>
      <c r="AD1350" s="45">
        <f t="shared" si="349"/>
        <v>0.56</v>
      </c>
      <c r="AE1350" s="46">
        <v>1</v>
      </c>
      <c r="AF1350" s="46" t="s">
        <v>131</v>
      </c>
      <c r="AG1350" s="37" t="str">
        <f t="shared" si="348"/>
        <v>n</v>
      </c>
      <c r="AH1350" s="37" t="str">
        <f t="array" ref="AH1350">_xlfn.IFS(LOWER(AG1350)="n","no",LOWER(AG1350)="y","yes",TRUE,LOWER(AG1350))</f>
        <v>no</v>
      </c>
      <c r="AI1350" s="46" t="s">
        <v>4692</v>
      </c>
    </row>
    <row r="1351" spans="1:35">
      <c r="A1351" s="37" t="s">
        <v>4147</v>
      </c>
      <c r="B1351" s="38">
        <v>45415</v>
      </c>
      <c r="C1351" s="39">
        <f t="shared" si="336"/>
        <v>45415</v>
      </c>
      <c r="D1351" s="40" t="s">
        <v>366</v>
      </c>
      <c r="E1351" s="37" t="str" cm="1">
        <f t="array" ref="E1351">_xlfn.IFS(D1351="delhi","north",D1351="mumbai","west",D1351="bengaluru","south",D1351="chennai","south",D1351="kolkata","east",TRUE,"west")</f>
        <v>east</v>
      </c>
      <c r="F1351" s="37" t="s">
        <v>919</v>
      </c>
      <c r="G1351" s="37" t="str">
        <f t="shared" si="337"/>
        <v>xpressbees</v>
      </c>
      <c r="H1351" s="37" t="s">
        <v>110</v>
      </c>
      <c r="I1351" s="37" t="str">
        <f t="shared" si="338"/>
        <v>surface</v>
      </c>
      <c r="J1351" s="37" t="s">
        <v>177</v>
      </c>
      <c r="K1351" s="37" t="str">
        <f t="shared" si="339"/>
        <v>pharma</v>
      </c>
      <c r="L1351" s="37" t="s">
        <v>51</v>
      </c>
      <c r="M1351" s="37" t="str">
        <f t="shared" si="340"/>
        <v>south</v>
      </c>
      <c r="N1351" s="37" t="s">
        <v>90</v>
      </c>
      <c r="O1351" s="41" t="str">
        <f t="shared" si="341"/>
        <v>Yes</v>
      </c>
      <c r="P1351" s="41">
        <v>3.4</v>
      </c>
      <c r="Q1351" s="41">
        <v>275</v>
      </c>
      <c r="R1351" s="42">
        <f t="shared" si="342"/>
        <v>80.8823529411765</v>
      </c>
      <c r="S1351" s="37">
        <v>6</v>
      </c>
      <c r="T1351" s="37" t="s">
        <v>481</v>
      </c>
      <c r="U1351" s="43" t="str">
        <f t="shared" si="343"/>
        <v>08/05/2024</v>
      </c>
      <c r="V1351" s="43">
        <f t="shared" si="344"/>
        <v>45420</v>
      </c>
      <c r="W1351" s="44">
        <f t="array" ref="W1351">_xlfn.IFS(TRIM(C1351)="","",TRIM(V1351)="","",TRUE,V1351-C1351)</f>
        <v>5</v>
      </c>
      <c r="X1351" s="37">
        <f t="shared" si="345"/>
        <v>-1</v>
      </c>
      <c r="Y1351" s="37" t="s">
        <v>105</v>
      </c>
      <c r="Z1351" s="37" t="str">
        <f t="shared" si="346"/>
        <v>delivered</v>
      </c>
      <c r="AA1351" s="37" t="str">
        <f t="shared" si="347"/>
        <v>On Time</v>
      </c>
      <c r="AB1351" s="37" t="str">
        <f t="shared" si="350"/>
        <v>0</v>
      </c>
      <c r="AC1351" s="37">
        <f t="shared" ref="AC1351:AC1414" si="351">IF(TRIM(AB1351&amp;"")="","",VALUE(TRIM(AB1351&amp;"")))</f>
        <v>0</v>
      </c>
      <c r="AD1351" s="45">
        <f t="shared" si="349"/>
        <v>0.558232931726908</v>
      </c>
      <c r="AE1351" s="37">
        <v>4</v>
      </c>
      <c r="AF1351" s="37" t="s">
        <v>131</v>
      </c>
      <c r="AG1351" s="37" t="str">
        <f t="shared" si="348"/>
        <v>n</v>
      </c>
      <c r="AH1351" s="37" t="str">
        <f t="array" ref="AH1351">_xlfn.IFS(LOWER(AG1351)="n","no",LOWER(AG1351)="y","yes",TRUE,LOWER(AG1351))</f>
        <v>no</v>
      </c>
      <c r="AI1351" s="37" t="s">
        <v>4692</v>
      </c>
    </row>
    <row r="1352" spans="1:35">
      <c r="A1352" s="46" t="s">
        <v>4149</v>
      </c>
      <c r="B1352" s="47">
        <v>45375</v>
      </c>
      <c r="C1352" s="39">
        <f t="shared" si="336"/>
        <v>45375</v>
      </c>
      <c r="D1352" s="48" t="s">
        <v>424</v>
      </c>
      <c r="E1352" s="37" t="str" cm="1">
        <f t="array" ref="E1352">_xlfn.IFS(D1352="delhi","north",D1352="mumbai","west",D1352="bengaluru","south",D1352="chennai","south",D1352="kolkata","east",TRUE,"west")</f>
        <v>south</v>
      </c>
      <c r="F1352" s="46" t="s">
        <v>230</v>
      </c>
      <c r="G1352" s="37" t="str">
        <f t="shared" si="337"/>
        <v>dtdc</v>
      </c>
      <c r="H1352" s="46" t="s">
        <v>99</v>
      </c>
      <c r="I1352" s="37" t="str">
        <f t="shared" si="338"/>
        <v>air</v>
      </c>
      <c r="J1352" s="46" t="s">
        <v>205</v>
      </c>
      <c r="K1352" s="37" t="str">
        <f t="shared" si="339"/>
        <v>furniture</v>
      </c>
      <c r="L1352" s="46" t="s">
        <v>51</v>
      </c>
      <c r="M1352" s="37" t="str">
        <f t="shared" si="340"/>
        <v>south</v>
      </c>
      <c r="N1352" s="46" t="s">
        <v>54</v>
      </c>
      <c r="O1352" s="41" t="str">
        <f t="shared" si="341"/>
        <v>Yes</v>
      </c>
      <c r="P1352" s="49">
        <v>51.4</v>
      </c>
      <c r="Q1352" s="49" t="s">
        <v>4151</v>
      </c>
      <c r="R1352" s="42">
        <f t="shared" si="342"/>
        <v>44.4747081712062</v>
      </c>
      <c r="S1352" s="46">
        <v>2</v>
      </c>
      <c r="T1352" s="46" t="s">
        <v>694</v>
      </c>
      <c r="U1352" s="43" t="str">
        <f t="shared" si="343"/>
        <v>26/03/2024</v>
      </c>
      <c r="V1352" s="43">
        <f t="shared" si="344"/>
        <v>45377</v>
      </c>
      <c r="W1352" s="44">
        <f t="array" ref="W1352">_xlfn.IFS(TRIM(C1352)="","",TRIM(V1352)="","",TRUE,V1352-C1352)</f>
        <v>2</v>
      </c>
      <c r="X1352" s="37">
        <f t="shared" si="345"/>
        <v>0</v>
      </c>
      <c r="Y1352" s="46" t="s">
        <v>337</v>
      </c>
      <c r="Z1352" s="37" t="str">
        <f t="shared" si="346"/>
        <v>damaged</v>
      </c>
      <c r="AA1352" s="37" t="str">
        <f t="shared" si="347"/>
        <v>On Time</v>
      </c>
      <c r="AB1352" s="37" t="str">
        <f t="shared" si="350"/>
        <v>0</v>
      </c>
      <c r="AC1352" s="37">
        <f t="shared" si="351"/>
        <v>0</v>
      </c>
      <c r="AD1352" s="45">
        <f t="shared" si="349"/>
        <v>0.560483870967742</v>
      </c>
      <c r="AE1352" s="46"/>
      <c r="AF1352" s="46" t="s">
        <v>191</v>
      </c>
      <c r="AG1352" s="37" t="str">
        <f t="shared" si="348"/>
        <v>no</v>
      </c>
      <c r="AH1352" s="37" t="str">
        <f t="array" ref="AH1352">_xlfn.IFS(LOWER(AG1352)="n","no",LOWER(AG1352)="y","yes",TRUE,LOWER(AG1352))</f>
        <v>no</v>
      </c>
      <c r="AI1352" s="46" t="s">
        <v>132</v>
      </c>
    </row>
    <row r="1353" spans="1:35">
      <c r="A1353" s="37" t="s">
        <v>4152</v>
      </c>
      <c r="B1353" s="38">
        <v>45444</v>
      </c>
      <c r="C1353" s="39">
        <f t="shared" si="336"/>
        <v>45444</v>
      </c>
      <c r="D1353" s="40" t="s">
        <v>633</v>
      </c>
      <c r="E1353" s="37" t="str" cm="1">
        <f t="array" ref="E1353">_xlfn.IFS(D1353="delhi","north",D1353="mumbai","west",D1353="bengaluru","south",D1353="chennai","south",D1353="kolkata","east",TRUE,"west")</f>
        <v>south</v>
      </c>
      <c r="F1353" s="37" t="s">
        <v>194</v>
      </c>
      <c r="G1353" s="37" t="str">
        <f t="shared" si="337"/>
        <v>xpressbees</v>
      </c>
      <c r="H1353" s="37" t="s">
        <v>244</v>
      </c>
      <c r="I1353" s="37" t="str">
        <f t="shared" si="338"/>
        <v>air</v>
      </c>
      <c r="J1353" s="37" t="s">
        <v>167</v>
      </c>
      <c r="K1353" s="37" t="str">
        <f t="shared" si="339"/>
        <v>pharma</v>
      </c>
      <c r="L1353" s="37" t="s">
        <v>87</v>
      </c>
      <c r="M1353" s="37" t="str">
        <f t="shared" si="340"/>
        <v>north</v>
      </c>
      <c r="N1353" s="37" t="s">
        <v>113</v>
      </c>
      <c r="O1353" s="41" t="str">
        <f t="shared" si="341"/>
        <v>Yes</v>
      </c>
      <c r="P1353" s="41"/>
      <c r="Q1353" s="41" t="s">
        <v>2594</v>
      </c>
      <c r="R1353" s="42" t="str">
        <f t="shared" si="342"/>
        <v/>
      </c>
      <c r="S1353" s="37">
        <v>4</v>
      </c>
      <c r="T1353" s="37" t="s">
        <v>1328</v>
      </c>
      <c r="U1353" s="43" t="str">
        <f t="shared" si="343"/>
        <v>2024-06-05</v>
      </c>
      <c r="V1353" s="43">
        <f t="shared" si="344"/>
        <v>45448</v>
      </c>
      <c r="W1353" s="44">
        <f t="array" ref="W1353">_xlfn.IFS(TRIM(C1353)="","",TRIM(V1353)="","",TRUE,V1353-C1353)</f>
        <v>4</v>
      </c>
      <c r="X1353" s="37">
        <f t="shared" si="345"/>
        <v>0</v>
      </c>
      <c r="Y1353" s="37" t="s">
        <v>105</v>
      </c>
      <c r="Z1353" s="37" t="str">
        <f t="shared" si="346"/>
        <v>delivered</v>
      </c>
      <c r="AA1353" s="37" t="str">
        <f t="shared" si="347"/>
        <v>On Time</v>
      </c>
      <c r="AB1353" s="37" t="str">
        <f t="shared" si="350"/>
        <v>0</v>
      </c>
      <c r="AC1353" s="37">
        <f t="shared" si="351"/>
        <v>0</v>
      </c>
      <c r="AD1353" s="45">
        <f t="shared" si="349"/>
        <v>0.562753036437247</v>
      </c>
      <c r="AE1353" s="37">
        <v>5</v>
      </c>
      <c r="AF1353" s="37" t="s">
        <v>286</v>
      </c>
      <c r="AG1353" s="37" t="str">
        <f t="shared" si="348"/>
        <v>yes</v>
      </c>
      <c r="AH1353" s="37" t="str">
        <f t="array" ref="AH1353">_xlfn.IFS(LOWER(AG1353)="n","no",LOWER(AG1353)="y","yes",TRUE,LOWER(AG1353))</f>
        <v>yes</v>
      </c>
      <c r="AI1353" s="37" t="s">
        <v>4692</v>
      </c>
    </row>
    <row r="1354" spans="1:35">
      <c r="A1354" s="46" t="s">
        <v>4153</v>
      </c>
      <c r="B1354" s="47" t="s">
        <v>4790</v>
      </c>
      <c r="C1354" s="39">
        <f t="shared" si="336"/>
        <v>45423</v>
      </c>
      <c r="D1354" s="48" t="s">
        <v>4712</v>
      </c>
      <c r="E1354" s="37" t="str" cm="1">
        <f t="array" ref="E1354">_xlfn.IFS(D1354="delhi","north",D1354="mumbai","west",D1354="bengaluru","south",D1354="chennai","south",D1354="kolkata","east",TRUE,"west")</f>
        <v>west</v>
      </c>
      <c r="F1354" s="46" t="s">
        <v>37</v>
      </c>
      <c r="G1354" s="37" t="str">
        <f t="shared" si="337"/>
        <v>bluedart</v>
      </c>
      <c r="H1354" s="46" t="s">
        <v>147</v>
      </c>
      <c r="I1354" s="37" t="str">
        <f t="shared" si="338"/>
        <v>road</v>
      </c>
      <c r="J1354" s="46" t="s">
        <v>237</v>
      </c>
      <c r="K1354" s="37" t="str">
        <f t="shared" si="339"/>
        <v>automotiveparts</v>
      </c>
      <c r="L1354" s="46" t="s">
        <v>470</v>
      </c>
      <c r="M1354" s="37" t="str">
        <f t="shared" si="340"/>
        <v>east</v>
      </c>
      <c r="N1354" s="46" t="s">
        <v>91</v>
      </c>
      <c r="O1354" s="41" t="str">
        <f t="shared" si="341"/>
        <v>Yes</v>
      </c>
      <c r="P1354" s="49" t="s">
        <v>4154</v>
      </c>
      <c r="Q1354" s="49">
        <v>258</v>
      </c>
      <c r="R1354" s="42">
        <f t="shared" si="342"/>
        <v>49.6153846153846</v>
      </c>
      <c r="S1354" s="46">
        <v>8</v>
      </c>
      <c r="T1354" s="46" t="s">
        <v>423</v>
      </c>
      <c r="U1354" s="43" t="str">
        <f t="shared" si="343"/>
        <v>20-may-2024</v>
      </c>
      <c r="V1354" s="43">
        <f t="shared" si="344"/>
        <v>45432</v>
      </c>
      <c r="W1354" s="44">
        <f t="array" ref="W1354">_xlfn.IFS(TRIM(C1354)="","",TRIM(V1354)="","",TRUE,V1354-C1354)</f>
        <v>9</v>
      </c>
      <c r="X1354" s="37">
        <f t="shared" si="345"/>
        <v>1</v>
      </c>
      <c r="Y1354" s="46" t="s">
        <v>143</v>
      </c>
      <c r="Z1354" s="37" t="str">
        <f t="shared" si="346"/>
        <v>delayed</v>
      </c>
      <c r="AA1354" s="37" t="str">
        <f t="shared" si="347"/>
        <v>Late</v>
      </c>
      <c r="AB1354" s="37" t="str">
        <f t="shared" si="350"/>
        <v>1</v>
      </c>
      <c r="AC1354" s="37">
        <f t="shared" si="351"/>
        <v>1</v>
      </c>
      <c r="AD1354" s="45">
        <f t="shared" si="349"/>
        <v>0.565040650406504</v>
      </c>
      <c r="AE1354" s="46">
        <v>4</v>
      </c>
      <c r="AF1354" s="46" t="s">
        <v>152</v>
      </c>
      <c r="AG1354" s="37" t="str">
        <f t="shared" si="348"/>
        <v>no</v>
      </c>
      <c r="AH1354" s="37" t="str">
        <f t="array" ref="AH1354">_xlfn.IFS(LOWER(AG1354)="n","no",LOWER(AG1354)="y","yes",TRUE,LOWER(AG1354))</f>
        <v>no</v>
      </c>
      <c r="AI1354" s="46" t="s">
        <v>4692</v>
      </c>
    </row>
    <row r="1355" spans="1:35">
      <c r="A1355" s="37" t="s">
        <v>4155</v>
      </c>
      <c r="B1355" s="38">
        <v>45323</v>
      </c>
      <c r="C1355" s="39">
        <f t="shared" si="336"/>
        <v>45323</v>
      </c>
      <c r="D1355" s="40" t="s">
        <v>424</v>
      </c>
      <c r="E1355" s="37" t="str" cm="1">
        <f t="array" ref="E1355">_xlfn.IFS(D1355="delhi","north",D1355="mumbai","west",D1355="bengaluru","south",D1355="chennai","south",D1355="kolkata","east",TRUE,"west")</f>
        <v>south</v>
      </c>
      <c r="F1355" s="37" t="s">
        <v>122</v>
      </c>
      <c r="G1355" s="37" t="str">
        <f t="shared" si="337"/>
        <v>delhivery</v>
      </c>
      <c r="H1355" s="37" t="s">
        <v>185</v>
      </c>
      <c r="I1355" s="37" t="str">
        <f t="shared" si="338"/>
        <v>surface</v>
      </c>
      <c r="J1355" s="37" t="s">
        <v>283</v>
      </c>
      <c r="K1355" s="37" t="str">
        <f t="shared" si="339"/>
        <v>pharma</v>
      </c>
      <c r="L1355" s="37" t="s">
        <v>89</v>
      </c>
      <c r="M1355" s="37" t="str">
        <f t="shared" si="340"/>
        <v>west</v>
      </c>
      <c r="N1355" s="37" t="s">
        <v>88</v>
      </c>
      <c r="O1355" s="41" t="str">
        <f t="shared" si="341"/>
        <v>Yes</v>
      </c>
      <c r="P1355" s="41">
        <v>1.2</v>
      </c>
      <c r="Q1355" s="41">
        <v>208</v>
      </c>
      <c r="R1355" s="42">
        <f t="shared" si="342"/>
        <v>173.333333333333</v>
      </c>
      <c r="S1355" s="37">
        <v>6</v>
      </c>
      <c r="T1355" s="37" t="s">
        <v>725</v>
      </c>
      <c r="U1355" s="43" t="str">
        <f t="shared" si="343"/>
        <v>08/02/2024</v>
      </c>
      <c r="V1355" s="43">
        <f t="shared" si="344"/>
        <v>45330</v>
      </c>
      <c r="W1355" s="44">
        <f t="array" ref="W1355">_xlfn.IFS(TRIM(C1355)="","",TRIM(V1355)="","",TRUE,V1355-C1355)</f>
        <v>7</v>
      </c>
      <c r="X1355" s="37">
        <f t="shared" si="345"/>
        <v>1</v>
      </c>
      <c r="Y1355" s="37" t="s">
        <v>172</v>
      </c>
      <c r="Z1355" s="37" t="str">
        <f t="shared" si="346"/>
        <v>delayed</v>
      </c>
      <c r="AA1355" s="37" t="str">
        <f t="shared" si="347"/>
        <v>Late</v>
      </c>
      <c r="AB1355" s="37" t="str">
        <f t="shared" si="350"/>
        <v>1</v>
      </c>
      <c r="AC1355" s="37">
        <f t="shared" si="351"/>
        <v>1</v>
      </c>
      <c r="AD1355" s="45">
        <f t="shared" si="349"/>
        <v>0.563265306122449</v>
      </c>
      <c r="AE1355" s="37">
        <v>2</v>
      </c>
      <c r="AF1355" s="37" t="s">
        <v>118</v>
      </c>
      <c r="AG1355" s="37" t="str">
        <f t="shared" si="348"/>
        <v>no</v>
      </c>
      <c r="AH1355" s="37" t="str">
        <f t="array" ref="AH1355">_xlfn.IFS(LOWER(AG1355)="n","no",LOWER(AG1355)="y","yes",TRUE,LOWER(AG1355))</f>
        <v>no</v>
      </c>
      <c r="AI1355" s="37" t="s">
        <v>4692</v>
      </c>
    </row>
    <row r="1356" spans="1:35">
      <c r="A1356" s="46" t="s">
        <v>4157</v>
      </c>
      <c r="B1356" s="47">
        <v>45353</v>
      </c>
      <c r="C1356" s="39">
        <f t="shared" si="336"/>
        <v>45353</v>
      </c>
      <c r="D1356" s="48" t="s">
        <v>109</v>
      </c>
      <c r="E1356" s="37" t="str" cm="1">
        <f t="array" ref="E1356">_xlfn.IFS(D1356="delhi","north",D1356="mumbai","west",D1356="bengaluru","south",D1356="chennai","south",D1356="kolkata","east",TRUE,"west")</f>
        <v>west</v>
      </c>
      <c r="F1356" s="46" t="s">
        <v>352</v>
      </c>
      <c r="G1356" s="37" t="str">
        <f t="shared" si="337"/>
        <v>delhivery</v>
      </c>
      <c r="H1356" s="46" t="s">
        <v>99</v>
      </c>
      <c r="I1356" s="37" t="str">
        <f t="shared" si="338"/>
        <v>air</v>
      </c>
      <c r="J1356" s="46" t="s">
        <v>47</v>
      </c>
      <c r="K1356" s="37" t="str">
        <f t="shared" si="339"/>
        <v>electronics</v>
      </c>
      <c r="L1356" s="46" t="s">
        <v>264</v>
      </c>
      <c r="M1356" s="37" t="str">
        <f t="shared" si="340"/>
        <v>west</v>
      </c>
      <c r="N1356" s="46" t="s">
        <v>187</v>
      </c>
      <c r="O1356" s="41" t="str">
        <f t="shared" si="341"/>
        <v>Yes</v>
      </c>
      <c r="P1356" s="49">
        <v>14.9</v>
      </c>
      <c r="Q1356" s="49">
        <v>699</v>
      </c>
      <c r="R1356" s="42">
        <f t="shared" si="342"/>
        <v>46.9127516778523</v>
      </c>
      <c r="S1356" s="46">
        <v>2</v>
      </c>
      <c r="T1356" s="46" t="s">
        <v>359</v>
      </c>
      <c r="U1356" s="43" t="str">
        <f t="shared" si="343"/>
        <v>2024-03-05</v>
      </c>
      <c r="V1356" s="43">
        <f t="shared" si="344"/>
        <v>45356</v>
      </c>
      <c r="W1356" s="44">
        <f t="array" ref="W1356">_xlfn.IFS(TRIM(C1356)="","",TRIM(V1356)="","",TRUE,V1356-C1356)</f>
        <v>3</v>
      </c>
      <c r="X1356" s="37">
        <f t="shared" si="345"/>
        <v>1</v>
      </c>
      <c r="Y1356" s="46" t="s">
        <v>200</v>
      </c>
      <c r="Z1356" s="37" t="str">
        <f t="shared" si="346"/>
        <v>delayed</v>
      </c>
      <c r="AA1356" s="37" t="str">
        <f t="shared" si="347"/>
        <v>Late</v>
      </c>
      <c r="AB1356" s="37" t="str">
        <f t="shared" si="350"/>
        <v>1</v>
      </c>
      <c r="AC1356" s="37">
        <f t="shared" si="351"/>
        <v>1</v>
      </c>
      <c r="AD1356" s="45">
        <f t="shared" si="349"/>
        <v>0.561475409836066</v>
      </c>
      <c r="AE1356" s="46">
        <v>1</v>
      </c>
      <c r="AF1356" s="46" t="s">
        <v>181</v>
      </c>
      <c r="AG1356" s="37" t="str">
        <f t="shared" si="348"/>
        <v>y</v>
      </c>
      <c r="AH1356" s="37" t="str">
        <f t="array" ref="AH1356">_xlfn.IFS(LOWER(AG1356)="n","no",LOWER(AG1356)="y","yes",TRUE,LOWER(AG1356))</f>
        <v>yes</v>
      </c>
      <c r="AI1356" s="46" t="s">
        <v>4692</v>
      </c>
    </row>
    <row r="1357" spans="1:35">
      <c r="A1357" s="37" t="s">
        <v>4160</v>
      </c>
      <c r="B1357" s="38" t="s">
        <v>4853</v>
      </c>
      <c r="C1357" s="39">
        <f t="shared" si="336"/>
        <v>45363</v>
      </c>
      <c r="D1357" s="40" t="s">
        <v>4694</v>
      </c>
      <c r="E1357" s="37" t="str" cm="1">
        <f t="array" ref="E1357">_xlfn.IFS(D1357="delhi","north",D1357="mumbai","west",D1357="bengaluru","south",D1357="chennai","south",D1357="kolkata","east",TRUE,"west")</f>
        <v>west</v>
      </c>
      <c r="F1357" s="37" t="s">
        <v>367</v>
      </c>
      <c r="G1357" s="37" t="str">
        <f t="shared" si="337"/>
        <v>dtdc</v>
      </c>
      <c r="H1357" s="37" t="s">
        <v>42</v>
      </c>
      <c r="I1357" s="37" t="str">
        <f t="shared" si="338"/>
        <v>surface</v>
      </c>
      <c r="J1357" s="37" t="s">
        <v>100</v>
      </c>
      <c r="K1357" s="37" t="str">
        <f t="shared" si="339"/>
        <v>electronics</v>
      </c>
      <c r="L1357" s="37" t="s">
        <v>159</v>
      </c>
      <c r="M1357" s="37" t="str">
        <f t="shared" si="340"/>
        <v>south</v>
      </c>
      <c r="N1357" s="37" t="s">
        <v>93</v>
      </c>
      <c r="O1357" s="41" t="str">
        <f t="shared" si="341"/>
        <v>Yes</v>
      </c>
      <c r="P1357" s="41">
        <v>14.6</v>
      </c>
      <c r="Q1357" s="41">
        <v>329</v>
      </c>
      <c r="R1357" s="42">
        <f t="shared" si="342"/>
        <v>22.5342465753425</v>
      </c>
      <c r="S1357" s="37">
        <v>4</v>
      </c>
      <c r="T1357" s="37" t="s">
        <v>2498</v>
      </c>
      <c r="U1357" s="43" t="str">
        <f t="shared" si="343"/>
        <v>17-mar-2024</v>
      </c>
      <c r="V1357" s="43">
        <f t="shared" si="344"/>
        <v>45368</v>
      </c>
      <c r="W1357" s="44">
        <f t="array" ref="W1357">_xlfn.IFS(TRIM(C1357)="","",TRIM(V1357)="","",TRUE,V1357-C1357)</f>
        <v>5</v>
      </c>
      <c r="X1357" s="37">
        <f t="shared" si="345"/>
        <v>1</v>
      </c>
      <c r="Y1357" s="37" t="s">
        <v>200</v>
      </c>
      <c r="Z1357" s="37" t="str">
        <f t="shared" si="346"/>
        <v>delayed</v>
      </c>
      <c r="AA1357" s="37" t="str">
        <f t="shared" si="347"/>
        <v>Late</v>
      </c>
      <c r="AB1357" s="37" t="str">
        <f t="shared" si="350"/>
        <v>1</v>
      </c>
      <c r="AC1357" s="37">
        <f t="shared" si="351"/>
        <v>1</v>
      </c>
      <c r="AD1357" s="45">
        <f t="shared" si="349"/>
        <v>0.559670781893004</v>
      </c>
      <c r="AE1357" s="37">
        <v>3</v>
      </c>
      <c r="AF1357" s="37" t="s">
        <v>118</v>
      </c>
      <c r="AG1357" s="37" t="str">
        <f t="shared" si="348"/>
        <v>no</v>
      </c>
      <c r="AH1357" s="37" t="str">
        <f t="array" ref="AH1357">_xlfn.IFS(LOWER(AG1357)="n","no",LOWER(AG1357)="y","yes",TRUE,LOWER(AG1357))</f>
        <v>no</v>
      </c>
      <c r="AI1357" s="37" t="s">
        <v>4692</v>
      </c>
    </row>
    <row r="1358" spans="1:35">
      <c r="A1358" s="46" t="s">
        <v>4162</v>
      </c>
      <c r="B1358" s="47">
        <v>45436</v>
      </c>
      <c r="C1358" s="39">
        <f t="shared" si="336"/>
        <v>45436</v>
      </c>
      <c r="D1358" s="48" t="s">
        <v>366</v>
      </c>
      <c r="E1358" s="37" t="str" cm="1">
        <f t="array" ref="E1358">_xlfn.IFS(D1358="delhi","north",D1358="mumbai","west",D1358="bengaluru","south",D1358="chennai","south",D1358="kolkata","east",TRUE,"west")</f>
        <v>east</v>
      </c>
      <c r="F1358" s="46" t="s">
        <v>333</v>
      </c>
      <c r="G1358" s="37" t="str">
        <f t="shared" si="337"/>
        <v>delhivery</v>
      </c>
      <c r="H1358" s="46" t="s">
        <v>176</v>
      </c>
      <c r="I1358" s="37" t="str">
        <f t="shared" si="338"/>
        <v>road</v>
      </c>
      <c r="J1358" s="46" t="s">
        <v>231</v>
      </c>
      <c r="K1358" s="37" t="str">
        <f t="shared" si="339"/>
        <v>furniture</v>
      </c>
      <c r="L1358" s="46" t="s">
        <v>334</v>
      </c>
      <c r="M1358" s="37" t="str">
        <f t="shared" si="340"/>
        <v>north</v>
      </c>
      <c r="N1358" s="46" t="s">
        <v>354</v>
      </c>
      <c r="O1358" s="41" t="str">
        <f t="shared" si="341"/>
        <v>Yes</v>
      </c>
      <c r="P1358" s="49" t="s">
        <v>4163</v>
      </c>
      <c r="Q1358" s="49" t="s">
        <v>4164</v>
      </c>
      <c r="R1358" s="42">
        <f t="shared" si="342"/>
        <v>19.8011363636364</v>
      </c>
      <c r="S1358" s="46">
        <v>8</v>
      </c>
      <c r="T1358" s="46" t="s">
        <v>2182</v>
      </c>
      <c r="U1358" s="43" t="str">
        <f t="shared" si="343"/>
        <v>31/05/2024</v>
      </c>
      <c r="V1358" s="43">
        <f t="shared" si="344"/>
        <v>45443</v>
      </c>
      <c r="W1358" s="44">
        <f t="array" ref="W1358">_xlfn.IFS(TRIM(C1358)="","",TRIM(V1358)="","",TRUE,V1358-C1358)</f>
        <v>7</v>
      </c>
      <c r="X1358" s="37">
        <f t="shared" si="345"/>
        <v>-1</v>
      </c>
      <c r="Y1358" s="46" t="s">
        <v>105</v>
      </c>
      <c r="Z1358" s="37" t="str">
        <f t="shared" si="346"/>
        <v>delivered</v>
      </c>
      <c r="AA1358" s="37" t="str">
        <f t="shared" si="347"/>
        <v>On Time</v>
      </c>
      <c r="AB1358" s="37" t="str">
        <f t="shared" si="350"/>
        <v>0</v>
      </c>
      <c r="AC1358" s="37">
        <f t="shared" si="351"/>
        <v>0</v>
      </c>
      <c r="AD1358" s="45">
        <f t="shared" si="349"/>
        <v>0.557851239669422</v>
      </c>
      <c r="AE1358" s="46">
        <v>3</v>
      </c>
      <c r="AF1358" s="46" t="s">
        <v>152</v>
      </c>
      <c r="AG1358" s="37" t="str">
        <f t="shared" si="348"/>
        <v>no</v>
      </c>
      <c r="AH1358" s="37" t="str">
        <f t="array" ref="AH1358">_xlfn.IFS(LOWER(AG1358)="n","no",LOWER(AG1358)="y","yes",TRUE,LOWER(AG1358))</f>
        <v>no</v>
      </c>
      <c r="AI1358" s="46" t="s">
        <v>4692</v>
      </c>
    </row>
    <row r="1359" spans="1:35">
      <c r="A1359" s="37" t="s">
        <v>4165</v>
      </c>
      <c r="B1359" s="38">
        <v>45458</v>
      </c>
      <c r="C1359" s="39">
        <f t="shared" si="336"/>
        <v>45458</v>
      </c>
      <c r="D1359" s="40" t="s">
        <v>109</v>
      </c>
      <c r="E1359" s="37" t="str" cm="1">
        <f t="array" ref="E1359">_xlfn.IFS(D1359="delhi","north",D1359="mumbai","west",D1359="bengaluru","south",D1359="chennai","south",D1359="kolkata","east",TRUE,"west")</f>
        <v>west</v>
      </c>
      <c r="F1359" s="37" t="s">
        <v>919</v>
      </c>
      <c r="G1359" s="37" t="str">
        <f t="shared" si="337"/>
        <v>xpressbees</v>
      </c>
      <c r="H1359" s="37" t="s">
        <v>123</v>
      </c>
      <c r="I1359" s="37" t="str">
        <f t="shared" si="338"/>
        <v>air</v>
      </c>
      <c r="J1359" s="37" t="s">
        <v>148</v>
      </c>
      <c r="K1359" s="37" t="str">
        <f t="shared" si="339"/>
        <v>electronics</v>
      </c>
      <c r="L1359" s="37" t="s">
        <v>89</v>
      </c>
      <c r="M1359" s="37" t="str">
        <f t="shared" si="340"/>
        <v>west</v>
      </c>
      <c r="N1359" s="37" t="s">
        <v>88</v>
      </c>
      <c r="O1359" s="41" t="str">
        <f t="shared" si="341"/>
        <v>Yes</v>
      </c>
      <c r="P1359" s="41">
        <v>2.5</v>
      </c>
      <c r="Q1359" s="41">
        <v>110</v>
      </c>
      <c r="R1359" s="42">
        <f t="shared" si="342"/>
        <v>44</v>
      </c>
      <c r="S1359" s="37">
        <v>2</v>
      </c>
      <c r="T1359" s="37" t="s">
        <v>1602</v>
      </c>
      <c r="U1359" s="43" t="str">
        <f t="shared" si="343"/>
        <v>2024-06-24</v>
      </c>
      <c r="V1359" s="43">
        <f t="shared" si="344"/>
        <v>45467</v>
      </c>
      <c r="W1359" s="44">
        <f t="array" ref="W1359">_xlfn.IFS(TRIM(C1359)="","",TRIM(V1359)="","",TRUE,V1359-C1359)</f>
        <v>9</v>
      </c>
      <c r="X1359" s="37">
        <f t="shared" si="345"/>
        <v>7</v>
      </c>
      <c r="Y1359" s="37" t="s">
        <v>172</v>
      </c>
      <c r="Z1359" s="37" t="str">
        <f t="shared" si="346"/>
        <v>delayed</v>
      </c>
      <c r="AA1359" s="37" t="str">
        <f t="shared" si="347"/>
        <v>Late</v>
      </c>
      <c r="AB1359" s="37" t="str">
        <f t="shared" si="350"/>
        <v>1</v>
      </c>
      <c r="AC1359" s="37">
        <f t="shared" si="351"/>
        <v>1</v>
      </c>
      <c r="AD1359" s="45">
        <f t="shared" si="349"/>
        <v>0.560165975103734</v>
      </c>
      <c r="AE1359" s="37">
        <v>3</v>
      </c>
      <c r="AF1359" s="37" t="s">
        <v>181</v>
      </c>
      <c r="AG1359" s="37" t="str">
        <f t="shared" si="348"/>
        <v>y</v>
      </c>
      <c r="AH1359" s="37" t="str">
        <f t="array" ref="AH1359">_xlfn.IFS(LOWER(AG1359)="n","no",LOWER(AG1359)="y","yes",TRUE,LOWER(AG1359))</f>
        <v>yes</v>
      </c>
      <c r="AI1359" s="37" t="s">
        <v>4692</v>
      </c>
    </row>
    <row r="1360" spans="1:35">
      <c r="A1360" s="46" t="s">
        <v>4167</v>
      </c>
      <c r="B1360" s="47">
        <v>45356</v>
      </c>
      <c r="C1360" s="39">
        <f t="shared" si="336"/>
        <v>45356</v>
      </c>
      <c r="D1360" s="48" t="s">
        <v>212</v>
      </c>
      <c r="E1360" s="37" t="str" cm="1">
        <f t="array" ref="E1360">_xlfn.IFS(D1360="delhi","north",D1360="mumbai","west",D1360="bengaluru","south",D1360="chennai","south",D1360="kolkata","east",TRUE,"west")</f>
        <v>west</v>
      </c>
      <c r="F1360" s="46" t="s">
        <v>37</v>
      </c>
      <c r="G1360" s="37" t="str">
        <f t="shared" si="337"/>
        <v>bluedart</v>
      </c>
      <c r="H1360" s="46" t="s">
        <v>176</v>
      </c>
      <c r="I1360" s="37" t="str">
        <f t="shared" si="338"/>
        <v>road</v>
      </c>
      <c r="J1360" s="46" t="s">
        <v>1145</v>
      </c>
      <c r="K1360" s="37" t="str">
        <f t="shared" si="339"/>
        <v>grocery&amp;fmcg</v>
      </c>
      <c r="L1360" s="46" t="s">
        <v>197</v>
      </c>
      <c r="M1360" s="37" t="str">
        <f t="shared" si="340"/>
        <v>south</v>
      </c>
      <c r="N1360" s="46" t="s">
        <v>90</v>
      </c>
      <c r="O1360" s="41" t="str">
        <f t="shared" si="341"/>
        <v>Yes</v>
      </c>
      <c r="P1360" s="49">
        <v>13</v>
      </c>
      <c r="Q1360" s="49" t="s">
        <v>4169</v>
      </c>
      <c r="R1360" s="42">
        <f t="shared" si="342"/>
        <v>26.9230769230769</v>
      </c>
      <c r="S1360" s="46">
        <v>8</v>
      </c>
      <c r="T1360" s="46" t="s">
        <v>1564</v>
      </c>
      <c r="U1360" s="43" t="str">
        <f t="shared" si="343"/>
        <v>12-mar-2024</v>
      </c>
      <c r="V1360" s="43">
        <f t="shared" si="344"/>
        <v>45363</v>
      </c>
      <c r="W1360" s="44">
        <f t="array" ref="W1360">_xlfn.IFS(TRIM(C1360)="","",TRIM(V1360)="","",TRUE,V1360-C1360)</f>
        <v>7</v>
      </c>
      <c r="X1360" s="37">
        <f t="shared" si="345"/>
        <v>-1</v>
      </c>
      <c r="Y1360" s="46" t="s">
        <v>163</v>
      </c>
      <c r="Z1360" s="37" t="str">
        <f t="shared" si="346"/>
        <v>delivered</v>
      </c>
      <c r="AA1360" s="37" t="str">
        <f t="shared" si="347"/>
        <v>On Time</v>
      </c>
      <c r="AB1360" s="37" t="str">
        <f t="shared" si="350"/>
        <v>0</v>
      </c>
      <c r="AC1360" s="37">
        <f t="shared" si="351"/>
        <v>0</v>
      </c>
      <c r="AD1360" s="45">
        <f t="shared" si="349"/>
        <v>0.558333333333333</v>
      </c>
      <c r="AE1360" s="46">
        <v>5</v>
      </c>
      <c r="AF1360" s="46" t="s">
        <v>106</v>
      </c>
      <c r="AG1360" s="37" t="str">
        <f t="shared" si="348"/>
        <v>yes</v>
      </c>
      <c r="AH1360" s="37" t="str">
        <f t="array" ref="AH1360">_xlfn.IFS(LOWER(AG1360)="n","no",LOWER(AG1360)="y","yes",TRUE,LOWER(AG1360))</f>
        <v>yes</v>
      </c>
      <c r="AI1360" s="46" t="s">
        <v>4692</v>
      </c>
    </row>
    <row r="1361" spans="1:35">
      <c r="A1361" s="37" t="s">
        <v>4170</v>
      </c>
      <c r="B1361" s="38" t="s">
        <v>4814</v>
      </c>
      <c r="C1361" s="39">
        <f t="shared" si="336"/>
        <v>45410</v>
      </c>
      <c r="D1361" s="40" t="s">
        <v>4704</v>
      </c>
      <c r="E1361" s="37" t="str" cm="1">
        <f t="array" ref="E1361">_xlfn.IFS(D1361="delhi","north",D1361="mumbai","west",D1361="bengaluru","south",D1361="chennai","south",D1361="kolkata","east",TRUE,"west")</f>
        <v>west</v>
      </c>
      <c r="F1361" s="37" t="s">
        <v>544</v>
      </c>
      <c r="G1361" s="37" t="str">
        <f t="shared" si="337"/>
        <v>bluedart</v>
      </c>
      <c r="H1361" s="37" t="s">
        <v>157</v>
      </c>
      <c r="I1361" s="37" t="str">
        <f t="shared" si="338"/>
        <v>surface</v>
      </c>
      <c r="J1361" s="37" t="s">
        <v>301</v>
      </c>
      <c r="K1361" s="37" t="str">
        <f t="shared" si="339"/>
        <v>furniture</v>
      </c>
      <c r="L1361" s="37" t="s">
        <v>51</v>
      </c>
      <c r="M1361" s="37" t="str">
        <f t="shared" si="340"/>
        <v>south</v>
      </c>
      <c r="N1361" s="37" t="s">
        <v>54</v>
      </c>
      <c r="O1361" s="41" t="str">
        <f t="shared" si="341"/>
        <v>Yes</v>
      </c>
      <c r="P1361" s="41" t="s">
        <v>4171</v>
      </c>
      <c r="Q1361" s="41">
        <v>1472</v>
      </c>
      <c r="R1361" s="42">
        <f t="shared" si="342"/>
        <v>24.906937394247</v>
      </c>
      <c r="S1361" s="37">
        <v>6</v>
      </c>
      <c r="T1361" s="37" t="s">
        <v>1758</v>
      </c>
      <c r="U1361" s="43" t="str">
        <f t="shared" si="343"/>
        <v>05/05/2024</v>
      </c>
      <c r="V1361" s="43">
        <f t="shared" si="344"/>
        <v>45417</v>
      </c>
      <c r="W1361" s="44">
        <f t="array" ref="W1361">_xlfn.IFS(TRIM(C1361)="","",TRIM(V1361)="","",TRUE,V1361-C1361)</f>
        <v>7</v>
      </c>
      <c r="X1361" s="37">
        <f t="shared" si="345"/>
        <v>1</v>
      </c>
      <c r="Y1361" s="37" t="s">
        <v>143</v>
      </c>
      <c r="Z1361" s="37" t="str">
        <f t="shared" si="346"/>
        <v>delayed</v>
      </c>
      <c r="AA1361" s="37" t="str">
        <f t="shared" si="347"/>
        <v>Late</v>
      </c>
      <c r="AB1361" s="37" t="str">
        <f t="shared" si="350"/>
        <v>1</v>
      </c>
      <c r="AC1361" s="37">
        <f t="shared" si="351"/>
        <v>1</v>
      </c>
      <c r="AD1361" s="45">
        <f t="shared" si="349"/>
        <v>0.560669456066946</v>
      </c>
      <c r="AE1361" s="37">
        <v>2</v>
      </c>
      <c r="AF1361" s="37" t="s">
        <v>106</v>
      </c>
      <c r="AG1361" s="37" t="str">
        <f t="shared" si="348"/>
        <v>yes</v>
      </c>
      <c r="AH1361" s="37" t="str">
        <f t="array" ref="AH1361">_xlfn.IFS(LOWER(AG1361)="n","no",LOWER(AG1361)="y","yes",TRUE,LOWER(AG1361))</f>
        <v>yes</v>
      </c>
      <c r="AI1361" s="37" t="s">
        <v>4692</v>
      </c>
    </row>
    <row r="1362" spans="1:35">
      <c r="A1362" s="46" t="s">
        <v>4173</v>
      </c>
      <c r="B1362" s="47">
        <v>45457</v>
      </c>
      <c r="C1362" s="39">
        <f t="shared" si="336"/>
        <v>45457</v>
      </c>
      <c r="D1362" s="48" t="s">
        <v>109</v>
      </c>
      <c r="E1362" s="37" t="str" cm="1">
        <f t="array" ref="E1362">_xlfn.IFS(D1362="delhi","north",D1362="mumbai","west",D1362="bengaluru","south",D1362="chennai","south",D1362="kolkata","east",TRUE,"west")</f>
        <v>west</v>
      </c>
      <c r="F1362" s="46" t="s">
        <v>37</v>
      </c>
      <c r="G1362" s="37" t="str">
        <f t="shared" si="337"/>
        <v>bluedart</v>
      </c>
      <c r="H1362" s="46" t="s">
        <v>244</v>
      </c>
      <c r="I1362" s="37" t="str">
        <f t="shared" si="338"/>
        <v>air</v>
      </c>
      <c r="J1362" s="46" t="s">
        <v>353</v>
      </c>
      <c r="K1362" s="37" t="str">
        <f t="shared" si="339"/>
        <v>automotiveparts</v>
      </c>
      <c r="L1362" s="46" t="s">
        <v>470</v>
      </c>
      <c r="M1362" s="37" t="str">
        <f t="shared" si="340"/>
        <v>east</v>
      </c>
      <c r="N1362" s="46" t="s">
        <v>396</v>
      </c>
      <c r="O1362" s="41" t="str">
        <f t="shared" si="341"/>
        <v>Yes</v>
      </c>
      <c r="P1362" s="49">
        <v>34</v>
      </c>
      <c r="Q1362" s="51">
        <v>1691</v>
      </c>
      <c r="R1362" s="42">
        <f t="shared" si="342"/>
        <v>49.7352941176471</v>
      </c>
      <c r="S1362" s="46">
        <v>4</v>
      </c>
      <c r="T1362" s="46" t="s">
        <v>3756</v>
      </c>
      <c r="U1362" s="43" t="str">
        <f t="shared" si="343"/>
        <v>2024-06-18</v>
      </c>
      <c r="V1362" s="43">
        <f t="shared" si="344"/>
        <v>45461</v>
      </c>
      <c r="W1362" s="44">
        <f t="array" ref="W1362">_xlfn.IFS(TRIM(C1362)="","",TRIM(V1362)="","",TRUE,V1362-C1362)</f>
        <v>4</v>
      </c>
      <c r="X1362" s="37">
        <f t="shared" si="345"/>
        <v>0</v>
      </c>
      <c r="Y1362" s="46" t="s">
        <v>219</v>
      </c>
      <c r="Z1362" s="37" t="str">
        <f t="shared" si="346"/>
        <v>delivered</v>
      </c>
      <c r="AA1362" s="37" t="str">
        <f t="shared" si="347"/>
        <v>On Time</v>
      </c>
      <c r="AB1362" s="37" t="str">
        <f t="shared" si="350"/>
        <v>0</v>
      </c>
      <c r="AC1362" s="37">
        <f t="shared" si="351"/>
        <v>0</v>
      </c>
      <c r="AD1362" s="45">
        <f t="shared" si="349"/>
        <v>0.558823529411765</v>
      </c>
      <c r="AE1362" s="46">
        <v>5</v>
      </c>
      <c r="AF1362" s="46" t="s">
        <v>152</v>
      </c>
      <c r="AG1362" s="37" t="str">
        <f t="shared" si="348"/>
        <v>no</v>
      </c>
      <c r="AH1362" s="37" t="str">
        <f t="array" ref="AH1362">_xlfn.IFS(LOWER(AG1362)="n","no",LOWER(AG1362)="y","yes",TRUE,LOWER(AG1362))</f>
        <v>no</v>
      </c>
      <c r="AI1362" s="46" t="s">
        <v>4692</v>
      </c>
    </row>
    <row r="1363" spans="1:35">
      <c r="A1363" s="37" t="s">
        <v>4176</v>
      </c>
      <c r="B1363" s="38">
        <v>45407</v>
      </c>
      <c r="C1363" s="39">
        <f t="shared" si="336"/>
        <v>45407</v>
      </c>
      <c r="D1363" s="40" t="s">
        <v>340</v>
      </c>
      <c r="E1363" s="37" t="str" cm="1">
        <f t="array" ref="E1363">_xlfn.IFS(D1363="delhi","north",D1363="mumbai","west",D1363="bengaluru","south",D1363="chennai","south",D1363="kolkata","east",TRUE,"west")</f>
        <v>north</v>
      </c>
      <c r="F1363" s="37" t="s">
        <v>175</v>
      </c>
      <c r="G1363" s="37" t="str">
        <f t="shared" si="337"/>
        <v>ecomexpress</v>
      </c>
      <c r="H1363" s="37" t="s">
        <v>157</v>
      </c>
      <c r="I1363" s="37" t="str">
        <f t="shared" si="338"/>
        <v>surface</v>
      </c>
      <c r="J1363" s="37" t="s">
        <v>167</v>
      </c>
      <c r="K1363" s="37" t="str">
        <f t="shared" si="339"/>
        <v>pharma</v>
      </c>
      <c r="L1363" s="37" t="s">
        <v>380</v>
      </c>
      <c r="M1363" s="37" t="str">
        <f t="shared" si="340"/>
        <v>east</v>
      </c>
      <c r="N1363" s="37" t="s">
        <v>396</v>
      </c>
      <c r="O1363" s="41" t="str">
        <f t="shared" si="341"/>
        <v>Yes</v>
      </c>
      <c r="P1363" s="41" t="s">
        <v>1326</v>
      </c>
      <c r="Q1363" s="41" t="s">
        <v>4177</v>
      </c>
      <c r="R1363" s="42">
        <f t="shared" si="342"/>
        <v>106.818181818182</v>
      </c>
      <c r="S1363" s="37">
        <v>6</v>
      </c>
      <c r="T1363" s="37" t="s">
        <v>461</v>
      </c>
      <c r="U1363" s="43" t="str">
        <f t="shared" si="343"/>
        <v>30/04/2024</v>
      </c>
      <c r="V1363" s="43">
        <f t="shared" si="344"/>
        <v>45412</v>
      </c>
      <c r="W1363" s="44">
        <f t="array" ref="W1363">_xlfn.IFS(TRIM(C1363)="","",TRIM(V1363)="","",TRUE,V1363-C1363)</f>
        <v>5</v>
      </c>
      <c r="X1363" s="37">
        <f t="shared" si="345"/>
        <v>-1</v>
      </c>
      <c r="Y1363" s="37" t="s">
        <v>117</v>
      </c>
      <c r="Z1363" s="37" t="str">
        <f t="shared" si="346"/>
        <v>delivered</v>
      </c>
      <c r="AA1363" s="37" t="str">
        <f t="shared" si="347"/>
        <v>On Time</v>
      </c>
      <c r="AB1363" s="37" t="str">
        <f t="shared" si="350"/>
        <v>0</v>
      </c>
      <c r="AC1363" s="37">
        <f t="shared" si="351"/>
        <v>0</v>
      </c>
      <c r="AD1363" s="45">
        <f t="shared" si="349"/>
        <v>0.561181434599156</v>
      </c>
      <c r="AE1363" s="37">
        <v>5</v>
      </c>
      <c r="AF1363" s="37" t="s">
        <v>79</v>
      </c>
      <c r="AG1363" s="37" t="str">
        <f t="shared" si="348"/>
        <v>yes</v>
      </c>
      <c r="AH1363" s="37" t="str">
        <f t="array" ref="AH1363">_xlfn.IFS(LOWER(AG1363)="n","no",LOWER(AG1363)="y","yes",TRUE,LOWER(AG1363))</f>
        <v>yes</v>
      </c>
      <c r="AI1363" s="37" t="s">
        <v>4692</v>
      </c>
    </row>
    <row r="1364" spans="1:35">
      <c r="A1364" s="37" t="s">
        <v>4178</v>
      </c>
      <c r="B1364" s="38" t="s">
        <v>4696</v>
      </c>
      <c r="C1364" s="39">
        <f t="shared" si="336"/>
        <v>45293</v>
      </c>
      <c r="D1364" s="40" t="s">
        <v>121</v>
      </c>
      <c r="E1364" s="37" t="str" cm="1">
        <f t="array" ref="E1364">_xlfn.IFS(D1364="delhi","north",D1364="mumbai","west",D1364="bengaluru","south",D1364="chennai","south",D1364="kolkata","east",TRUE,"west")</f>
        <v>west</v>
      </c>
      <c r="F1364" s="37" t="s">
        <v>213</v>
      </c>
      <c r="G1364" s="37" t="str">
        <f t="shared" si="337"/>
        <v>dtdc</v>
      </c>
      <c r="H1364" s="37" t="s">
        <v>42</v>
      </c>
      <c r="I1364" s="37" t="str">
        <f t="shared" si="338"/>
        <v>surface</v>
      </c>
      <c r="J1364" s="37" t="s">
        <v>214</v>
      </c>
      <c r="K1364" s="37" t="str">
        <f t="shared" si="339"/>
        <v>grocery&amp;fmcg</v>
      </c>
      <c r="L1364" s="37" t="s">
        <v>346</v>
      </c>
      <c r="M1364" s="37" t="str">
        <f t="shared" si="340"/>
        <v>north</v>
      </c>
      <c r="N1364" s="37" t="s">
        <v>32</v>
      </c>
      <c r="O1364" s="41" t="str">
        <f t="shared" si="341"/>
        <v>Yes</v>
      </c>
      <c r="P1364" s="41">
        <v>9.5</v>
      </c>
      <c r="Q1364" s="41">
        <v>200</v>
      </c>
      <c r="R1364" s="42">
        <f t="shared" si="342"/>
        <v>21.0526315789474</v>
      </c>
      <c r="S1364" s="37">
        <v>4</v>
      </c>
      <c r="T1364" s="37" t="s">
        <v>240</v>
      </c>
      <c r="U1364" s="43" t="str">
        <f t="shared" si="343"/>
        <v>07/01/2024</v>
      </c>
      <c r="V1364" s="43">
        <f t="shared" si="344"/>
        <v>45298</v>
      </c>
      <c r="W1364" s="44">
        <f t="array" ref="W1364">_xlfn.IFS(TRIM(C1364)="","",TRIM(V1364)="","",TRUE,V1364-C1364)</f>
        <v>5</v>
      </c>
      <c r="X1364" s="37">
        <f t="shared" si="345"/>
        <v>1</v>
      </c>
      <c r="Y1364" s="37" t="s">
        <v>72</v>
      </c>
      <c r="Z1364" s="37" t="str">
        <f t="shared" si="346"/>
        <v>delayed</v>
      </c>
      <c r="AA1364" s="37" t="str">
        <f t="shared" si="347"/>
        <v>Late</v>
      </c>
      <c r="AB1364" s="37" t="str">
        <f t="shared" si="350"/>
        <v>1</v>
      </c>
      <c r="AC1364" s="37">
        <f t="shared" si="351"/>
        <v>1</v>
      </c>
      <c r="AD1364" s="45">
        <f t="shared" si="349"/>
        <v>0.563559322033898</v>
      </c>
      <c r="AE1364" s="37">
        <v>3</v>
      </c>
      <c r="AF1364" s="37" t="s">
        <v>152</v>
      </c>
      <c r="AG1364" s="37" t="str">
        <f t="shared" si="348"/>
        <v>no</v>
      </c>
      <c r="AH1364" s="37" t="str">
        <f t="array" ref="AH1364">_xlfn.IFS(LOWER(AG1364)="n","no",LOWER(AG1364)="y","yes",TRUE,LOWER(AG1364))</f>
        <v>no</v>
      </c>
      <c r="AI1364" s="37" t="s">
        <v>4692</v>
      </c>
    </row>
    <row r="1365" spans="1:35">
      <c r="A1365" s="46" t="s">
        <v>4179</v>
      </c>
      <c r="B1365" s="47" t="s">
        <v>4798</v>
      </c>
      <c r="C1365" s="39">
        <f t="shared" si="336"/>
        <v>45312</v>
      </c>
      <c r="D1365" s="48" t="s">
        <v>4694</v>
      </c>
      <c r="E1365" s="37" t="str" cm="1">
        <f t="array" ref="E1365">_xlfn.IFS(D1365="delhi","north",D1365="mumbai","west",D1365="bengaluru","south",D1365="chennai","south",D1365="kolkata","east",TRUE,"west")</f>
        <v>west</v>
      </c>
      <c r="F1365" s="46" t="s">
        <v>184</v>
      </c>
      <c r="G1365" s="37" t="str">
        <f t="shared" si="337"/>
        <v>ecomexpress</v>
      </c>
      <c r="H1365" s="46" t="s">
        <v>325</v>
      </c>
      <c r="I1365" s="37" t="str">
        <f t="shared" si="338"/>
        <v>air</v>
      </c>
      <c r="J1365" s="46" t="s">
        <v>843</v>
      </c>
      <c r="K1365" s="37" t="str">
        <f t="shared" si="339"/>
        <v>automotiveparts</v>
      </c>
      <c r="L1365" s="46" t="s">
        <v>470</v>
      </c>
      <c r="M1365" s="37" t="str">
        <f t="shared" si="340"/>
        <v>east</v>
      </c>
      <c r="N1365" s="46" t="s">
        <v>126</v>
      </c>
      <c r="O1365" s="41" t="str">
        <f t="shared" si="341"/>
        <v>Yes</v>
      </c>
      <c r="P1365" s="49">
        <v>28.9</v>
      </c>
      <c r="Q1365" s="51">
        <v>1452</v>
      </c>
      <c r="R1365" s="42">
        <f t="shared" si="342"/>
        <v>50.242214532872</v>
      </c>
      <c r="S1365" s="46">
        <v>4</v>
      </c>
      <c r="T1365" s="46" t="s">
        <v>4182</v>
      </c>
      <c r="U1365" s="43" t="str">
        <f t="shared" si="343"/>
        <v>24-jan-2024</v>
      </c>
      <c r="V1365" s="43">
        <f t="shared" si="344"/>
        <v>45315</v>
      </c>
      <c r="W1365" s="44">
        <f t="array" ref="W1365">_xlfn.IFS(TRIM(C1365)="","",TRIM(V1365)="","",TRUE,V1365-C1365)</f>
        <v>3</v>
      </c>
      <c r="X1365" s="37">
        <f t="shared" si="345"/>
        <v>-1</v>
      </c>
      <c r="Y1365" s="46" t="s">
        <v>117</v>
      </c>
      <c r="Z1365" s="37" t="str">
        <f t="shared" si="346"/>
        <v>delivered</v>
      </c>
      <c r="AA1365" s="37" t="str">
        <f t="shared" si="347"/>
        <v>On Time</v>
      </c>
      <c r="AB1365" s="37" t="str">
        <f t="shared" si="350"/>
        <v>0</v>
      </c>
      <c r="AC1365" s="37">
        <f t="shared" si="351"/>
        <v>0</v>
      </c>
      <c r="AD1365" s="45">
        <f t="shared" si="349"/>
        <v>0.561702127659575</v>
      </c>
      <c r="AE1365" s="46">
        <v>4</v>
      </c>
      <c r="AF1365" s="46" t="s">
        <v>79</v>
      </c>
      <c r="AG1365" s="37" t="str">
        <f t="shared" si="348"/>
        <v>yes</v>
      </c>
      <c r="AH1365" s="37" t="str">
        <f t="array" ref="AH1365">_xlfn.IFS(LOWER(AG1365)="n","no",LOWER(AG1365)="y","yes",TRUE,LOWER(AG1365))</f>
        <v>yes</v>
      </c>
      <c r="AI1365" s="46" t="s">
        <v>4692</v>
      </c>
    </row>
    <row r="1366" spans="1:35">
      <c r="A1366" s="37" t="s">
        <v>4183</v>
      </c>
      <c r="B1366" s="38" t="s">
        <v>4812</v>
      </c>
      <c r="C1366" s="39">
        <f t="shared" si="336"/>
        <v>45338</v>
      </c>
      <c r="D1366" s="40" t="s">
        <v>4712</v>
      </c>
      <c r="E1366" s="37" t="str" cm="1">
        <f t="array" ref="E1366">_xlfn.IFS(D1366="delhi","north",D1366="mumbai","west",D1366="bengaluru","south",D1366="chennai","south",D1366="kolkata","east",TRUE,"west")</f>
        <v>west</v>
      </c>
      <c r="F1366" s="37" t="s">
        <v>213</v>
      </c>
      <c r="G1366" s="37" t="str">
        <f t="shared" si="337"/>
        <v>dtdc</v>
      </c>
      <c r="H1366" s="37" t="s">
        <v>110</v>
      </c>
      <c r="I1366" s="37" t="str">
        <f t="shared" si="338"/>
        <v>surface</v>
      </c>
      <c r="J1366" s="37" t="s">
        <v>237</v>
      </c>
      <c r="K1366" s="37" t="str">
        <f t="shared" si="339"/>
        <v>automotiveparts</v>
      </c>
      <c r="L1366" s="37" t="s">
        <v>125</v>
      </c>
      <c r="M1366" s="37" t="str">
        <f t="shared" si="340"/>
        <v>east</v>
      </c>
      <c r="N1366" s="37" t="s">
        <v>91</v>
      </c>
      <c r="O1366" s="41" t="str">
        <f t="shared" si="341"/>
        <v>Yes</v>
      </c>
      <c r="P1366" s="41" t="s">
        <v>4184</v>
      </c>
      <c r="Q1366" s="41" t="s">
        <v>4185</v>
      </c>
      <c r="R1366" s="42">
        <f t="shared" si="342"/>
        <v>27.0110701107011</v>
      </c>
      <c r="S1366" s="37">
        <v>6</v>
      </c>
      <c r="T1366" s="37" t="s">
        <v>2293</v>
      </c>
      <c r="U1366" s="43" t="str">
        <f t="shared" si="343"/>
        <v>22-feb-2024</v>
      </c>
      <c r="V1366" s="43">
        <f t="shared" si="344"/>
        <v>45344</v>
      </c>
      <c r="W1366" s="44">
        <f t="array" ref="W1366">_xlfn.IFS(TRIM(C1366)="","",TRIM(V1366)="","",TRUE,V1366-C1366)</f>
        <v>6</v>
      </c>
      <c r="X1366" s="37">
        <f t="shared" si="345"/>
        <v>0</v>
      </c>
      <c r="Y1366" s="37" t="s">
        <v>105</v>
      </c>
      <c r="Z1366" s="37" t="str">
        <f t="shared" si="346"/>
        <v>delivered</v>
      </c>
      <c r="AA1366" s="37" t="str">
        <f t="shared" si="347"/>
        <v>On Time</v>
      </c>
      <c r="AB1366" s="37" t="str">
        <f t="shared" si="350"/>
        <v>0</v>
      </c>
      <c r="AC1366" s="37">
        <f t="shared" si="351"/>
        <v>0</v>
      </c>
      <c r="AD1366" s="45">
        <f t="shared" si="349"/>
        <v>0.564102564102564</v>
      </c>
      <c r="AE1366" s="37">
        <v>3</v>
      </c>
      <c r="AF1366" s="37" t="s">
        <v>118</v>
      </c>
      <c r="AG1366" s="37" t="str">
        <f t="shared" si="348"/>
        <v>no</v>
      </c>
      <c r="AH1366" s="37" t="str">
        <f t="array" ref="AH1366">_xlfn.IFS(LOWER(AG1366)="n","no",LOWER(AG1366)="y","yes",TRUE,LOWER(AG1366))</f>
        <v>no</v>
      </c>
      <c r="AI1366" s="37" t="s">
        <v>4692</v>
      </c>
    </row>
    <row r="1367" spans="1:35">
      <c r="A1367" s="46" t="s">
        <v>4186</v>
      </c>
      <c r="B1367" s="47" t="s">
        <v>4748</v>
      </c>
      <c r="C1367" s="39">
        <f t="shared" si="336"/>
        <v>45373</v>
      </c>
      <c r="D1367" s="48" t="s">
        <v>366</v>
      </c>
      <c r="E1367" s="37" t="str" cm="1">
        <f t="array" ref="E1367">_xlfn.IFS(D1367="delhi","north",D1367="mumbai","west",D1367="bengaluru","south",D1367="chennai","south",D1367="kolkata","east",TRUE,"west")</f>
        <v>east</v>
      </c>
      <c r="F1367" s="46" t="s">
        <v>230</v>
      </c>
      <c r="G1367" s="37" t="str">
        <f t="shared" si="337"/>
        <v>dtdc</v>
      </c>
      <c r="H1367" s="46" t="s">
        <v>137</v>
      </c>
      <c r="I1367" s="37" t="str">
        <f t="shared" si="338"/>
        <v>road</v>
      </c>
      <c r="J1367" s="46" t="s">
        <v>177</v>
      </c>
      <c r="K1367" s="37" t="str">
        <f t="shared" si="339"/>
        <v>pharma</v>
      </c>
      <c r="L1367" s="46" t="s">
        <v>197</v>
      </c>
      <c r="M1367" s="37" t="str">
        <f t="shared" si="340"/>
        <v>south</v>
      </c>
      <c r="N1367" s="46" t="s">
        <v>93</v>
      </c>
      <c r="O1367" s="41" t="str">
        <f t="shared" si="341"/>
        <v>Yes</v>
      </c>
      <c r="P1367" s="49">
        <v>1.1</v>
      </c>
      <c r="Q1367" s="49">
        <v>154</v>
      </c>
      <c r="R1367" s="42">
        <f t="shared" si="342"/>
        <v>140</v>
      </c>
      <c r="S1367" s="46">
        <v>8</v>
      </c>
      <c r="T1367" s="46" t="s">
        <v>2494</v>
      </c>
      <c r="U1367" s="43" t="str">
        <f t="shared" si="343"/>
        <v>2024-04-03</v>
      </c>
      <c r="V1367" s="43">
        <f t="shared" si="344"/>
        <v>45385</v>
      </c>
      <c r="W1367" s="44">
        <f t="array" ref="W1367">_xlfn.IFS(TRIM(C1367)="","",TRIM(V1367)="","",TRUE,V1367-C1367)</f>
        <v>12</v>
      </c>
      <c r="X1367" s="37">
        <f t="shared" si="345"/>
        <v>4</v>
      </c>
      <c r="Y1367" s="46" t="s">
        <v>200</v>
      </c>
      <c r="Z1367" s="37" t="str">
        <f t="shared" si="346"/>
        <v>delayed</v>
      </c>
      <c r="AA1367" s="37" t="str">
        <f t="shared" si="347"/>
        <v>Late</v>
      </c>
      <c r="AB1367" s="37" t="str">
        <f t="shared" si="350"/>
        <v>1</v>
      </c>
      <c r="AC1367" s="37">
        <f t="shared" si="351"/>
        <v>1</v>
      </c>
      <c r="AD1367" s="45">
        <f t="shared" si="349"/>
        <v>0.566523605150215</v>
      </c>
      <c r="AE1367" s="46">
        <v>3</v>
      </c>
      <c r="AF1367" s="46" t="s">
        <v>181</v>
      </c>
      <c r="AG1367" s="37" t="str">
        <f t="shared" si="348"/>
        <v>y</v>
      </c>
      <c r="AH1367" s="37" t="str">
        <f t="array" ref="AH1367">_xlfn.IFS(LOWER(AG1367)="n","no",LOWER(AG1367)="y","yes",TRUE,LOWER(AG1367))</f>
        <v>yes</v>
      </c>
      <c r="AI1367" s="46" t="s">
        <v>4692</v>
      </c>
    </row>
    <row r="1368" spans="1:35">
      <c r="A1368" s="37" t="s">
        <v>4188</v>
      </c>
      <c r="B1368" s="38">
        <v>45356</v>
      </c>
      <c r="C1368" s="39">
        <f t="shared" si="336"/>
        <v>45356</v>
      </c>
      <c r="D1368" s="40" t="s">
        <v>424</v>
      </c>
      <c r="E1368" s="37" t="str" cm="1">
        <f t="array" ref="E1368">_xlfn.IFS(D1368="delhi","north",D1368="mumbai","west",D1368="bengaluru","south",D1368="chennai","south",D1368="kolkata","east",TRUE,"west")</f>
        <v>south</v>
      </c>
      <c r="F1368" s="37" t="s">
        <v>223</v>
      </c>
      <c r="G1368" s="37" t="str">
        <f t="shared" si="337"/>
        <v>xpressbees</v>
      </c>
      <c r="H1368" s="37" t="s">
        <v>137</v>
      </c>
      <c r="I1368" s="37" t="str">
        <f t="shared" si="338"/>
        <v>road</v>
      </c>
      <c r="J1368" s="37" t="s">
        <v>271</v>
      </c>
      <c r="K1368" s="37" t="str">
        <f t="shared" si="339"/>
        <v>electronics</v>
      </c>
      <c r="L1368" s="37" t="s">
        <v>418</v>
      </c>
      <c r="M1368" s="37" t="str">
        <f t="shared" si="340"/>
        <v>south</v>
      </c>
      <c r="N1368" s="37" t="s">
        <v>93</v>
      </c>
      <c r="O1368" s="41" t="str">
        <f t="shared" si="341"/>
        <v>Yes</v>
      </c>
      <c r="P1368" s="41" t="s">
        <v>4189</v>
      </c>
      <c r="Q1368" s="41">
        <v>171</v>
      </c>
      <c r="R1368" s="42">
        <f t="shared" si="342"/>
        <v>15.6880733944954</v>
      </c>
      <c r="S1368" s="37">
        <v>6</v>
      </c>
      <c r="T1368" s="37" t="s">
        <v>1164</v>
      </c>
      <c r="U1368" s="43" t="str">
        <f t="shared" si="343"/>
        <v>15-mar-2024</v>
      </c>
      <c r="V1368" s="43">
        <f t="shared" si="344"/>
        <v>45366</v>
      </c>
      <c r="W1368" s="44">
        <f t="array" ref="W1368">_xlfn.IFS(TRIM(C1368)="","",TRIM(V1368)="","",TRUE,V1368-C1368)</f>
        <v>10</v>
      </c>
      <c r="X1368" s="37">
        <f t="shared" si="345"/>
        <v>4</v>
      </c>
      <c r="Y1368" s="37" t="s">
        <v>143</v>
      </c>
      <c r="Z1368" s="37" t="str">
        <f t="shared" si="346"/>
        <v>delayed</v>
      </c>
      <c r="AA1368" s="37" t="str">
        <f t="shared" si="347"/>
        <v>Late</v>
      </c>
      <c r="AB1368" s="37" t="str">
        <f t="shared" si="350"/>
        <v>1</v>
      </c>
      <c r="AC1368" s="37">
        <f t="shared" si="351"/>
        <v>1</v>
      </c>
      <c r="AD1368" s="45">
        <f t="shared" si="349"/>
        <v>0.564655172413793</v>
      </c>
      <c r="AE1368" s="37">
        <v>5</v>
      </c>
      <c r="AF1368" s="37" t="s">
        <v>131</v>
      </c>
      <c r="AG1368" s="37" t="str">
        <f t="shared" si="348"/>
        <v>n</v>
      </c>
      <c r="AH1368" s="37" t="str">
        <f t="array" ref="AH1368">_xlfn.IFS(LOWER(AG1368)="n","no",LOWER(AG1368)="y","yes",TRUE,LOWER(AG1368))</f>
        <v>no</v>
      </c>
      <c r="AI1368" s="37" t="s">
        <v>4692</v>
      </c>
    </row>
    <row r="1369" spans="1:35">
      <c r="A1369" s="46" t="s">
        <v>4191</v>
      </c>
      <c r="B1369" s="47">
        <v>45470</v>
      </c>
      <c r="C1369" s="39">
        <f t="shared" si="336"/>
        <v>45470</v>
      </c>
      <c r="D1369" s="48" t="s">
        <v>633</v>
      </c>
      <c r="E1369" s="37" t="str" cm="1">
        <f t="array" ref="E1369">_xlfn.IFS(D1369="delhi","north",D1369="mumbai","west",D1369="bengaluru","south",D1369="chennai","south",D1369="kolkata","east",TRUE,"west")</f>
        <v>south</v>
      </c>
      <c r="F1369" s="46" t="s">
        <v>194</v>
      </c>
      <c r="G1369" s="37" t="str">
        <f t="shared" si="337"/>
        <v>xpressbees</v>
      </c>
      <c r="H1369" s="46" t="s">
        <v>147</v>
      </c>
      <c r="I1369" s="37" t="str">
        <f t="shared" si="338"/>
        <v>road</v>
      </c>
      <c r="J1369" s="46" t="s">
        <v>430</v>
      </c>
      <c r="K1369" s="37" t="str">
        <f t="shared" si="339"/>
        <v>pharma</v>
      </c>
      <c r="L1369" s="46" t="s">
        <v>380</v>
      </c>
      <c r="M1369" s="37" t="str">
        <f t="shared" si="340"/>
        <v>east</v>
      </c>
      <c r="N1369" s="46" t="s">
        <v>294</v>
      </c>
      <c r="O1369" s="41" t="str">
        <f t="shared" si="341"/>
        <v>Yes</v>
      </c>
      <c r="P1369" s="49" t="s">
        <v>1312</v>
      </c>
      <c r="Q1369" s="49" t="s">
        <v>825</v>
      </c>
      <c r="R1369" s="42">
        <f t="shared" si="342"/>
        <v>81.3793103448276</v>
      </c>
      <c r="S1369" s="46">
        <v>8</v>
      </c>
      <c r="T1369" s="46"/>
      <c r="U1369" s="43" t="str">
        <f t="shared" si="343"/>
        <v/>
      </c>
      <c r="V1369" s="43" t="e">
        <f t="shared" si="344"/>
        <v>#VALUE!</v>
      </c>
      <c r="W1369" s="44" t="e">
        <f t="array" ref="W1369">_xlfn.IFS(TRIM(C1369)="","",TRIM(V1369)="","",TRUE,V1369-C1369)</f>
        <v>#VALUE!</v>
      </c>
      <c r="X1369" s="37" t="e">
        <f t="shared" si="345"/>
        <v>#VALUE!</v>
      </c>
      <c r="Y1369" s="46" t="s">
        <v>1439</v>
      </c>
      <c r="Z1369" s="37" t="str">
        <f t="shared" si="346"/>
        <v>in-transit</v>
      </c>
      <c r="AA1369" s="37" t="str">
        <f t="shared" si="347"/>
        <v>N/A</v>
      </c>
      <c r="AB1369" s="37" t="str">
        <f t="shared" si="350"/>
        <v>N/A</v>
      </c>
      <c r="AC1369" s="37" t="e">
        <f t="shared" si="351"/>
        <v>#VALUE!</v>
      </c>
      <c r="AD1369" s="45">
        <f t="shared" si="349"/>
        <v>0.562770562770563</v>
      </c>
      <c r="AE1369" s="46"/>
      <c r="AF1369" s="46" t="s">
        <v>286</v>
      </c>
      <c r="AG1369" s="37" t="str">
        <f t="shared" si="348"/>
        <v>yes</v>
      </c>
      <c r="AH1369" s="37" t="str">
        <f t="array" ref="AH1369">_xlfn.IFS(LOWER(AG1369)="n","no",LOWER(AG1369)="y","yes",TRUE,LOWER(AG1369))</f>
        <v>yes</v>
      </c>
      <c r="AI1369" s="46" t="s">
        <v>4692</v>
      </c>
    </row>
    <row r="1370" spans="1:35">
      <c r="A1370" s="37" t="s">
        <v>4192</v>
      </c>
      <c r="B1370" s="38">
        <v>45363</v>
      </c>
      <c r="C1370" s="39">
        <f t="shared" si="336"/>
        <v>45363</v>
      </c>
      <c r="D1370" s="40" t="s">
        <v>633</v>
      </c>
      <c r="E1370" s="37" t="str" cm="1">
        <f t="array" ref="E1370">_xlfn.IFS(D1370="delhi","north",D1370="mumbai","west",D1370="bengaluru","south",D1370="chennai","south",D1370="kolkata","east",TRUE,"west")</f>
        <v>south</v>
      </c>
      <c r="F1370" s="37" t="s">
        <v>367</v>
      </c>
      <c r="G1370" s="37" t="str">
        <f t="shared" si="337"/>
        <v>dtdc</v>
      </c>
      <c r="H1370" s="37" t="s">
        <v>147</v>
      </c>
      <c r="I1370" s="37" t="str">
        <f t="shared" si="338"/>
        <v>road</v>
      </c>
      <c r="J1370" s="37" t="s">
        <v>368</v>
      </c>
      <c r="K1370" s="37" t="str">
        <f t="shared" si="339"/>
        <v>furniture</v>
      </c>
      <c r="L1370" s="37" t="s">
        <v>92</v>
      </c>
      <c r="M1370" s="37" t="str">
        <f t="shared" si="340"/>
        <v>east</v>
      </c>
      <c r="N1370" s="37" t="s">
        <v>294</v>
      </c>
      <c r="O1370" s="41" t="str">
        <f t="shared" si="341"/>
        <v>Yes</v>
      </c>
      <c r="P1370" s="41">
        <v>40.7</v>
      </c>
      <c r="Q1370" s="41" t="s">
        <v>4194</v>
      </c>
      <c r="R1370" s="42">
        <f t="shared" si="342"/>
        <v>17.0761670761671</v>
      </c>
      <c r="S1370" s="37">
        <v>8</v>
      </c>
      <c r="T1370" s="37" t="s">
        <v>661</v>
      </c>
      <c r="U1370" s="43" t="str">
        <f t="shared" si="343"/>
        <v>2024-03-21</v>
      </c>
      <c r="V1370" s="43">
        <f t="shared" si="344"/>
        <v>45372</v>
      </c>
      <c r="W1370" s="44">
        <f t="array" ref="W1370">_xlfn.IFS(TRIM(C1370)="","",TRIM(V1370)="","",TRUE,V1370-C1370)</f>
        <v>9</v>
      </c>
      <c r="X1370" s="37">
        <f t="shared" si="345"/>
        <v>1</v>
      </c>
      <c r="Y1370" s="37" t="s">
        <v>143</v>
      </c>
      <c r="Z1370" s="37" t="str">
        <f t="shared" si="346"/>
        <v>delayed</v>
      </c>
      <c r="AA1370" s="37" t="str">
        <f t="shared" si="347"/>
        <v>Late</v>
      </c>
      <c r="AB1370" s="37" t="str">
        <f t="shared" si="350"/>
        <v>1</v>
      </c>
      <c r="AC1370" s="37">
        <f t="shared" si="351"/>
        <v>1</v>
      </c>
      <c r="AD1370" s="45">
        <f t="shared" si="349"/>
        <v>0.562770562770563</v>
      </c>
      <c r="AE1370" s="37">
        <v>3</v>
      </c>
      <c r="AF1370" s="37" t="s">
        <v>131</v>
      </c>
      <c r="AG1370" s="37" t="str">
        <f t="shared" si="348"/>
        <v>n</v>
      </c>
      <c r="AH1370" s="37" t="str">
        <f t="array" ref="AH1370">_xlfn.IFS(LOWER(AG1370)="n","no",LOWER(AG1370)="y","yes",TRUE,LOWER(AG1370))</f>
        <v>no</v>
      </c>
      <c r="AI1370" s="37" t="s">
        <v>4692</v>
      </c>
    </row>
    <row r="1371" spans="1:35">
      <c r="A1371" s="46" t="s">
        <v>4195</v>
      </c>
      <c r="B1371" s="47" t="s">
        <v>4829</v>
      </c>
      <c r="C1371" s="39">
        <f t="shared" si="336"/>
        <v>45305</v>
      </c>
      <c r="D1371" s="48" t="s">
        <v>366</v>
      </c>
      <c r="E1371" s="37" t="str" cm="1">
        <f t="array" ref="E1371">_xlfn.IFS(D1371="delhi","north",D1371="mumbai","west",D1371="bengaluru","south",D1371="chennai","south",D1371="kolkata","east",TRUE,"west")</f>
        <v>east</v>
      </c>
      <c r="F1371" s="46" t="s">
        <v>213</v>
      </c>
      <c r="G1371" s="37" t="str">
        <f t="shared" si="337"/>
        <v>dtdc</v>
      </c>
      <c r="H1371" s="46" t="s">
        <v>325</v>
      </c>
      <c r="I1371" s="37" t="str">
        <f t="shared" si="338"/>
        <v>air</v>
      </c>
      <c r="J1371" s="46" t="s">
        <v>368</v>
      </c>
      <c r="K1371" s="37" t="str">
        <f t="shared" si="339"/>
        <v>furniture</v>
      </c>
      <c r="L1371" s="46" t="s">
        <v>257</v>
      </c>
      <c r="M1371" s="37" t="str">
        <f t="shared" si="340"/>
        <v>west</v>
      </c>
      <c r="N1371" s="46" t="s">
        <v>206</v>
      </c>
      <c r="O1371" s="41" t="str">
        <f t="shared" si="341"/>
        <v>Yes</v>
      </c>
      <c r="P1371" s="49">
        <v>53.4</v>
      </c>
      <c r="Q1371" s="49">
        <v>2589</v>
      </c>
      <c r="R1371" s="42">
        <f t="shared" si="342"/>
        <v>48.4831460674157</v>
      </c>
      <c r="S1371" s="46">
        <v>4</v>
      </c>
      <c r="T1371" s="46" t="s">
        <v>1782</v>
      </c>
      <c r="U1371" s="43" t="str">
        <f t="shared" si="343"/>
        <v>19/01/2024</v>
      </c>
      <c r="V1371" s="43">
        <f t="shared" si="344"/>
        <v>45310</v>
      </c>
      <c r="W1371" s="44">
        <f t="array" ref="W1371">_xlfn.IFS(TRIM(C1371)="","",TRIM(V1371)="","",TRUE,V1371-C1371)</f>
        <v>5</v>
      </c>
      <c r="X1371" s="37">
        <f t="shared" si="345"/>
        <v>1</v>
      </c>
      <c r="Y1371" s="46" t="s">
        <v>200</v>
      </c>
      <c r="Z1371" s="37" t="str">
        <f t="shared" si="346"/>
        <v>delayed</v>
      </c>
      <c r="AA1371" s="37" t="str">
        <f t="shared" si="347"/>
        <v>Late</v>
      </c>
      <c r="AB1371" s="37" t="str">
        <f t="shared" si="350"/>
        <v>1</v>
      </c>
      <c r="AC1371" s="37">
        <f t="shared" si="351"/>
        <v>1</v>
      </c>
      <c r="AD1371" s="45">
        <f t="shared" si="349"/>
        <v>0.560869565217391</v>
      </c>
      <c r="AE1371" s="46">
        <v>1</v>
      </c>
      <c r="AF1371" s="46" t="s">
        <v>79</v>
      </c>
      <c r="AG1371" s="37" t="str">
        <f t="shared" si="348"/>
        <v>yes</v>
      </c>
      <c r="AH1371" s="37" t="str">
        <f t="array" ref="AH1371">_xlfn.IFS(LOWER(AG1371)="n","no",LOWER(AG1371)="y","yes",TRUE,LOWER(AG1371))</f>
        <v>yes</v>
      </c>
      <c r="AI1371" s="46" t="s">
        <v>4692</v>
      </c>
    </row>
    <row r="1372" spans="1:35">
      <c r="A1372" s="37" t="s">
        <v>4198</v>
      </c>
      <c r="B1372" s="38">
        <v>45405</v>
      </c>
      <c r="C1372" s="39">
        <f t="shared" si="336"/>
        <v>45405</v>
      </c>
      <c r="D1372" s="40" t="s">
        <v>633</v>
      </c>
      <c r="E1372" s="37" t="str" cm="1">
        <f t="array" ref="E1372">_xlfn.IFS(D1372="delhi","north",D1372="mumbai","west",D1372="bengaluru","south",D1372="chennai","south",D1372="kolkata","east",TRUE,"west")</f>
        <v>south</v>
      </c>
      <c r="F1372" s="37" t="s">
        <v>184</v>
      </c>
      <c r="G1372" s="37" t="str">
        <f t="shared" si="337"/>
        <v>ecomexpress</v>
      </c>
      <c r="H1372" s="37" t="s">
        <v>325</v>
      </c>
      <c r="I1372" s="37" t="str">
        <f t="shared" si="338"/>
        <v>air</v>
      </c>
      <c r="J1372" s="37" t="s">
        <v>360</v>
      </c>
      <c r="K1372" s="37" t="str">
        <f t="shared" si="339"/>
        <v>furniture</v>
      </c>
      <c r="L1372" s="37" t="s">
        <v>346</v>
      </c>
      <c r="M1372" s="37" t="str">
        <f t="shared" si="340"/>
        <v>north</v>
      </c>
      <c r="N1372" s="37" t="s">
        <v>113</v>
      </c>
      <c r="O1372" s="41" t="str">
        <f t="shared" si="341"/>
        <v>Yes</v>
      </c>
      <c r="P1372" s="41">
        <v>23.2</v>
      </c>
      <c r="Q1372" s="50">
        <v>1223</v>
      </c>
      <c r="R1372" s="42">
        <f t="shared" si="342"/>
        <v>52.7155172413793</v>
      </c>
      <c r="S1372" s="37">
        <v>4</v>
      </c>
      <c r="T1372" s="37" t="s">
        <v>4201</v>
      </c>
      <c r="U1372" s="43" t="str">
        <f t="shared" si="343"/>
        <v>2024-04-30</v>
      </c>
      <c r="V1372" s="43">
        <f t="shared" si="344"/>
        <v>45412</v>
      </c>
      <c r="W1372" s="44">
        <f t="array" ref="W1372">_xlfn.IFS(TRIM(C1372)="","",TRIM(V1372)="","",TRUE,V1372-C1372)</f>
        <v>7</v>
      </c>
      <c r="X1372" s="37">
        <f t="shared" si="345"/>
        <v>3</v>
      </c>
      <c r="Y1372" s="37" t="s">
        <v>143</v>
      </c>
      <c r="Z1372" s="37" t="str">
        <f t="shared" si="346"/>
        <v>delayed</v>
      </c>
      <c r="AA1372" s="37" t="str">
        <f t="shared" si="347"/>
        <v>Late</v>
      </c>
      <c r="AB1372" s="37" t="str">
        <f t="shared" si="350"/>
        <v>1</v>
      </c>
      <c r="AC1372" s="37">
        <f t="shared" si="351"/>
        <v>1</v>
      </c>
      <c r="AD1372" s="45">
        <f t="shared" si="349"/>
        <v>0.558951965065502</v>
      </c>
      <c r="AE1372" s="37">
        <v>3</v>
      </c>
      <c r="AF1372" s="37" t="s">
        <v>286</v>
      </c>
      <c r="AG1372" s="37" t="str">
        <f t="shared" si="348"/>
        <v>yes</v>
      </c>
      <c r="AH1372" s="37" t="str">
        <f t="array" ref="AH1372">_xlfn.IFS(LOWER(AG1372)="n","no",LOWER(AG1372)="y","yes",TRUE,LOWER(AG1372))</f>
        <v>yes</v>
      </c>
      <c r="AI1372" s="37" t="s">
        <v>4692</v>
      </c>
    </row>
    <row r="1373" spans="1:35">
      <c r="A1373" s="46" t="s">
        <v>4202</v>
      </c>
      <c r="B1373" s="47">
        <v>45415</v>
      </c>
      <c r="C1373" s="39">
        <f t="shared" si="336"/>
        <v>45415</v>
      </c>
      <c r="D1373" s="48" t="s">
        <v>4699</v>
      </c>
      <c r="E1373" s="37" t="str" cm="1">
        <f t="array" ref="E1373">_xlfn.IFS(D1373="delhi","north",D1373="mumbai","west",D1373="bengaluru","south",D1373="chennai","south",D1373="kolkata","east",TRUE,"west")</f>
        <v>west</v>
      </c>
      <c r="F1373" s="46" t="s">
        <v>184</v>
      </c>
      <c r="G1373" s="37" t="str">
        <f t="shared" si="337"/>
        <v>ecomexpress</v>
      </c>
      <c r="H1373" s="46" t="s">
        <v>224</v>
      </c>
      <c r="I1373" s="37" t="str">
        <f t="shared" si="338"/>
        <v>air</v>
      </c>
      <c r="J1373" s="46" t="s">
        <v>111</v>
      </c>
      <c r="K1373" s="37" t="str">
        <f t="shared" si="339"/>
        <v>grocery&amp;fmcg</v>
      </c>
      <c r="L1373" s="46" t="s">
        <v>159</v>
      </c>
      <c r="M1373" s="37" t="str">
        <f t="shared" si="340"/>
        <v>south</v>
      </c>
      <c r="N1373" s="46" t="s">
        <v>93</v>
      </c>
      <c r="O1373" s="41" t="str">
        <f t="shared" si="341"/>
        <v>Yes</v>
      </c>
      <c r="P1373" s="49">
        <v>7</v>
      </c>
      <c r="Q1373" s="49" t="s">
        <v>370</v>
      </c>
      <c r="R1373" s="42">
        <f t="shared" si="342"/>
        <v>62.7142857142857</v>
      </c>
      <c r="S1373" s="46">
        <v>4</v>
      </c>
      <c r="T1373" s="46" t="s">
        <v>481</v>
      </c>
      <c r="U1373" s="43" t="str">
        <f t="shared" si="343"/>
        <v>08/05/2024</v>
      </c>
      <c r="V1373" s="43">
        <f t="shared" si="344"/>
        <v>45420</v>
      </c>
      <c r="W1373" s="44">
        <f t="array" ref="W1373">_xlfn.IFS(TRIM(C1373)="","",TRIM(V1373)="","",TRUE,V1373-C1373)</f>
        <v>5</v>
      </c>
      <c r="X1373" s="37">
        <f t="shared" si="345"/>
        <v>1</v>
      </c>
      <c r="Y1373" s="46" t="s">
        <v>172</v>
      </c>
      <c r="Z1373" s="37" t="str">
        <f t="shared" si="346"/>
        <v>delayed</v>
      </c>
      <c r="AA1373" s="37" t="str">
        <f t="shared" si="347"/>
        <v>Late</v>
      </c>
      <c r="AB1373" s="37" t="str">
        <f t="shared" si="350"/>
        <v>1</v>
      </c>
      <c r="AC1373" s="37">
        <f t="shared" si="351"/>
        <v>1</v>
      </c>
      <c r="AD1373" s="45">
        <f t="shared" si="349"/>
        <v>0.557017543859649</v>
      </c>
      <c r="AE1373" s="46">
        <v>3</v>
      </c>
      <c r="AF1373" s="46" t="s">
        <v>181</v>
      </c>
      <c r="AG1373" s="37" t="str">
        <f t="shared" si="348"/>
        <v>y</v>
      </c>
      <c r="AH1373" s="37" t="str">
        <f t="array" ref="AH1373">_xlfn.IFS(LOWER(AG1373)="n","no",LOWER(AG1373)="y","yes",TRUE,LOWER(AG1373))</f>
        <v>yes</v>
      </c>
      <c r="AI1373" s="46" t="s">
        <v>4692</v>
      </c>
    </row>
    <row r="1374" spans="1:35">
      <c r="A1374" s="37" t="s">
        <v>4203</v>
      </c>
      <c r="B1374" s="38">
        <v>45389</v>
      </c>
      <c r="C1374" s="39">
        <f t="shared" si="336"/>
        <v>45389</v>
      </c>
      <c r="D1374" s="40" t="s">
        <v>4695</v>
      </c>
      <c r="E1374" s="37" t="str" cm="1">
        <f t="array" ref="E1374">_xlfn.IFS(D1374="delhi","north",D1374="mumbai","west",D1374="bengaluru","south",D1374="chennai","south",D1374="kolkata","east",TRUE,"west")</f>
        <v>west</v>
      </c>
      <c r="F1374" s="37" t="s">
        <v>213</v>
      </c>
      <c r="G1374" s="37" t="str">
        <f t="shared" si="337"/>
        <v>dtdc</v>
      </c>
      <c r="H1374" s="37" t="s">
        <v>123</v>
      </c>
      <c r="I1374" s="37" t="str">
        <f t="shared" si="338"/>
        <v>air</v>
      </c>
      <c r="J1374" s="37" t="s">
        <v>100</v>
      </c>
      <c r="K1374" s="37" t="str">
        <f t="shared" si="339"/>
        <v>electronics</v>
      </c>
      <c r="L1374" s="37" t="s">
        <v>197</v>
      </c>
      <c r="M1374" s="37" t="str">
        <f t="shared" si="340"/>
        <v>south</v>
      </c>
      <c r="N1374" s="37" t="s">
        <v>327</v>
      </c>
      <c r="O1374" s="41" t="str">
        <f t="shared" si="341"/>
        <v>Yes</v>
      </c>
      <c r="P1374" s="41">
        <v>11.8</v>
      </c>
      <c r="Q1374" s="41" t="s">
        <v>2298</v>
      </c>
      <c r="R1374" s="42">
        <f t="shared" si="342"/>
        <v>60.2542372881356</v>
      </c>
      <c r="S1374" s="37">
        <v>4</v>
      </c>
      <c r="T1374" s="37" t="s">
        <v>2362</v>
      </c>
      <c r="U1374" s="43" t="str">
        <f t="shared" si="343"/>
        <v>12/04/2024</v>
      </c>
      <c r="V1374" s="43">
        <f t="shared" si="344"/>
        <v>45394</v>
      </c>
      <c r="W1374" s="44">
        <f t="array" ref="W1374">_xlfn.IFS(TRIM(C1374)="","",TRIM(V1374)="","",TRUE,V1374-C1374)</f>
        <v>5</v>
      </c>
      <c r="X1374" s="37">
        <f t="shared" si="345"/>
        <v>1</v>
      </c>
      <c r="Y1374" s="37" t="s">
        <v>172</v>
      </c>
      <c r="Z1374" s="37" t="str">
        <f t="shared" si="346"/>
        <v>delayed</v>
      </c>
      <c r="AA1374" s="37" t="str">
        <f t="shared" si="347"/>
        <v>Late</v>
      </c>
      <c r="AB1374" s="37" t="str">
        <f t="shared" si="350"/>
        <v>1</v>
      </c>
      <c r="AC1374" s="37">
        <f t="shared" si="351"/>
        <v>1</v>
      </c>
      <c r="AD1374" s="45">
        <f t="shared" si="349"/>
        <v>0.555066079295154</v>
      </c>
      <c r="AE1374" s="37">
        <v>3</v>
      </c>
      <c r="AF1374" s="37" t="s">
        <v>131</v>
      </c>
      <c r="AG1374" s="37" t="str">
        <f t="shared" si="348"/>
        <v>n</v>
      </c>
      <c r="AH1374" s="37" t="str">
        <f t="array" ref="AH1374">_xlfn.IFS(LOWER(AG1374)="n","no",LOWER(AG1374)="y","yes",TRUE,LOWER(AG1374))</f>
        <v>no</v>
      </c>
      <c r="AI1374" s="37" t="s">
        <v>4692</v>
      </c>
    </row>
    <row r="1375" spans="1:35">
      <c r="A1375" s="46" t="s">
        <v>4204</v>
      </c>
      <c r="B1375" s="47">
        <v>45315</v>
      </c>
      <c r="C1375" s="39">
        <f t="shared" si="336"/>
        <v>45315</v>
      </c>
      <c r="D1375" s="48" t="s">
        <v>340</v>
      </c>
      <c r="E1375" s="37" t="str" cm="1">
        <f t="array" ref="E1375">_xlfn.IFS(D1375="delhi","north",D1375="mumbai","west",D1375="bengaluru","south",D1375="chennai","south",D1375="kolkata","east",TRUE,"west")</f>
        <v>north</v>
      </c>
      <c r="F1375" s="46" t="s">
        <v>175</v>
      </c>
      <c r="G1375" s="37" t="str">
        <f t="shared" si="337"/>
        <v>ecomexpress</v>
      </c>
      <c r="H1375" s="46" t="s">
        <v>244</v>
      </c>
      <c r="I1375" s="37" t="str">
        <f t="shared" si="338"/>
        <v>air</v>
      </c>
      <c r="J1375" s="46" t="s">
        <v>231</v>
      </c>
      <c r="K1375" s="37" t="str">
        <f t="shared" si="339"/>
        <v>furniture</v>
      </c>
      <c r="L1375" s="46" t="s">
        <v>139</v>
      </c>
      <c r="M1375" s="37" t="str">
        <f t="shared" si="340"/>
        <v>north</v>
      </c>
      <c r="N1375" s="46" t="s">
        <v>215</v>
      </c>
      <c r="O1375" s="41" t="str">
        <f t="shared" si="341"/>
        <v>Yes</v>
      </c>
      <c r="P1375" s="49" t="s">
        <v>4205</v>
      </c>
      <c r="Q1375" s="49" t="s">
        <v>4206</v>
      </c>
      <c r="R1375" s="42">
        <f t="shared" si="342"/>
        <v>45.6581986143187</v>
      </c>
      <c r="S1375" s="46">
        <v>2</v>
      </c>
      <c r="T1375" s="46" t="s">
        <v>3076</v>
      </c>
      <c r="U1375" s="43" t="str">
        <f t="shared" si="343"/>
        <v>2024-01-26</v>
      </c>
      <c r="V1375" s="43">
        <f t="shared" si="344"/>
        <v>45317</v>
      </c>
      <c r="W1375" s="44">
        <f t="array" ref="W1375">_xlfn.IFS(TRIM(C1375)="","",TRIM(V1375)="","",TRUE,V1375-C1375)</f>
        <v>2</v>
      </c>
      <c r="X1375" s="37">
        <f t="shared" si="345"/>
        <v>0</v>
      </c>
      <c r="Y1375" s="46" t="s">
        <v>219</v>
      </c>
      <c r="Z1375" s="37" t="str">
        <f t="shared" si="346"/>
        <v>delivered</v>
      </c>
      <c r="AA1375" s="37" t="str">
        <f t="shared" si="347"/>
        <v>On Time</v>
      </c>
      <c r="AB1375" s="37" t="str">
        <f t="shared" si="350"/>
        <v>0</v>
      </c>
      <c r="AC1375" s="37">
        <f t="shared" si="351"/>
        <v>0</v>
      </c>
      <c r="AD1375" s="45">
        <f t="shared" si="349"/>
        <v>0.553097345132743</v>
      </c>
      <c r="AE1375" s="46">
        <v>5</v>
      </c>
      <c r="AF1375" s="46" t="s">
        <v>152</v>
      </c>
      <c r="AG1375" s="37" t="str">
        <f t="shared" si="348"/>
        <v>no</v>
      </c>
      <c r="AH1375" s="37" t="str">
        <f t="array" ref="AH1375">_xlfn.IFS(LOWER(AG1375)="n","no",LOWER(AG1375)="y","yes",TRUE,LOWER(AG1375))</f>
        <v>no</v>
      </c>
      <c r="AI1375" s="46" t="s">
        <v>4692</v>
      </c>
    </row>
    <row r="1376" spans="1:35">
      <c r="A1376" s="37" t="s">
        <v>4207</v>
      </c>
      <c r="B1376" s="38" t="s">
        <v>4815</v>
      </c>
      <c r="C1376" s="39">
        <f t="shared" si="336"/>
        <v>45353</v>
      </c>
      <c r="D1376" s="40" t="s">
        <v>4712</v>
      </c>
      <c r="E1376" s="37" t="str" cm="1">
        <f t="array" ref="E1376">_xlfn.IFS(D1376="delhi","north",D1376="mumbai","west",D1376="bengaluru","south",D1376="chennai","south",D1376="kolkata","east",TRUE,"west")</f>
        <v>west</v>
      </c>
      <c r="F1376" s="37" t="s">
        <v>367</v>
      </c>
      <c r="G1376" s="37" t="str">
        <f t="shared" si="337"/>
        <v>dtdc</v>
      </c>
      <c r="H1376" s="37" t="s">
        <v>137</v>
      </c>
      <c r="I1376" s="37" t="str">
        <f t="shared" si="338"/>
        <v>road</v>
      </c>
      <c r="J1376" s="37" t="s">
        <v>167</v>
      </c>
      <c r="K1376" s="37" t="str">
        <f t="shared" si="339"/>
        <v>pharma</v>
      </c>
      <c r="L1376" s="37" t="s">
        <v>89</v>
      </c>
      <c r="M1376" s="37" t="str">
        <f t="shared" si="340"/>
        <v>west</v>
      </c>
      <c r="N1376" s="37" t="s">
        <v>206</v>
      </c>
      <c r="O1376" s="41" t="str">
        <f t="shared" si="341"/>
        <v>Yes</v>
      </c>
      <c r="P1376" s="41">
        <v>1.4</v>
      </c>
      <c r="Q1376" s="41">
        <v>155</v>
      </c>
      <c r="R1376" s="42">
        <f t="shared" si="342"/>
        <v>110.714285714286</v>
      </c>
      <c r="S1376" s="37">
        <v>8</v>
      </c>
      <c r="T1376" s="37" t="s">
        <v>2808</v>
      </c>
      <c r="U1376" s="43" t="str">
        <f t="shared" si="343"/>
        <v>19/03/2024</v>
      </c>
      <c r="V1376" s="43">
        <f t="shared" si="344"/>
        <v>45370</v>
      </c>
      <c r="W1376" s="44">
        <f t="array" ref="W1376">_xlfn.IFS(TRIM(C1376)="","",TRIM(V1376)="","",TRUE,V1376-C1376)</f>
        <v>17</v>
      </c>
      <c r="X1376" s="37">
        <f t="shared" si="345"/>
        <v>9</v>
      </c>
      <c r="Y1376" s="37" t="s">
        <v>172</v>
      </c>
      <c r="Z1376" s="37" t="str">
        <f t="shared" si="346"/>
        <v>delayed</v>
      </c>
      <c r="AA1376" s="37" t="str">
        <f t="shared" si="347"/>
        <v>Late</v>
      </c>
      <c r="AB1376" s="37" t="str">
        <f t="shared" si="350"/>
        <v>1</v>
      </c>
      <c r="AC1376" s="37">
        <f t="shared" si="351"/>
        <v>1</v>
      </c>
      <c r="AD1376" s="45">
        <f t="shared" si="349"/>
        <v>0.555555555555556</v>
      </c>
      <c r="AE1376" s="37">
        <v>2</v>
      </c>
      <c r="AF1376" s="37" t="s">
        <v>286</v>
      </c>
      <c r="AG1376" s="37" t="str">
        <f t="shared" si="348"/>
        <v>yes</v>
      </c>
      <c r="AH1376" s="37" t="str">
        <f t="array" ref="AH1376">_xlfn.IFS(LOWER(AG1376)="n","no",LOWER(AG1376)="y","yes",TRUE,LOWER(AG1376))</f>
        <v>yes</v>
      </c>
      <c r="AI1376" s="37" t="s">
        <v>4692</v>
      </c>
    </row>
    <row r="1377" spans="1:35">
      <c r="A1377" s="46" t="s">
        <v>4208</v>
      </c>
      <c r="B1377" s="47" t="s">
        <v>4854</v>
      </c>
      <c r="C1377" s="39">
        <f t="shared" si="336"/>
        <v>45417</v>
      </c>
      <c r="D1377" s="48" t="s">
        <v>135</v>
      </c>
      <c r="E1377" s="37" t="str" cm="1">
        <f t="array" ref="E1377">_xlfn.IFS(D1377="delhi","north",D1377="mumbai","west",D1377="bengaluru","south",D1377="chennai","south",D1377="kolkata","east",TRUE,"west")</f>
        <v>west</v>
      </c>
      <c r="F1377" s="46" t="s">
        <v>270</v>
      </c>
      <c r="G1377" s="37" t="str">
        <f t="shared" si="337"/>
        <v>ecomexpress</v>
      </c>
      <c r="H1377" s="46" t="s">
        <v>157</v>
      </c>
      <c r="I1377" s="37" t="str">
        <f t="shared" si="338"/>
        <v>surface</v>
      </c>
      <c r="J1377" s="46" t="s">
        <v>214</v>
      </c>
      <c r="K1377" s="37" t="str">
        <f t="shared" si="339"/>
        <v>grocery&amp;fmcg</v>
      </c>
      <c r="L1377" s="46" t="s">
        <v>139</v>
      </c>
      <c r="M1377" s="37" t="str">
        <f t="shared" si="340"/>
        <v>north</v>
      </c>
      <c r="N1377" s="46" t="s">
        <v>354</v>
      </c>
      <c r="O1377" s="41" t="str">
        <f t="shared" si="341"/>
        <v>Yes</v>
      </c>
      <c r="P1377" s="49">
        <v>13.1</v>
      </c>
      <c r="Q1377" s="49" t="s">
        <v>4209</v>
      </c>
      <c r="R1377" s="42">
        <f t="shared" si="342"/>
        <v>32.2900763358779</v>
      </c>
      <c r="S1377" s="46">
        <v>6</v>
      </c>
      <c r="T1377" s="46" t="s">
        <v>1901</v>
      </c>
      <c r="U1377" s="43" t="str">
        <f t="shared" si="343"/>
        <v>11-may-2024</v>
      </c>
      <c r="V1377" s="43">
        <f t="shared" si="344"/>
        <v>45423</v>
      </c>
      <c r="W1377" s="44">
        <f t="array" ref="W1377">_xlfn.IFS(TRIM(C1377)="","",TRIM(V1377)="","",TRUE,V1377-C1377)</f>
        <v>6</v>
      </c>
      <c r="X1377" s="37">
        <f t="shared" si="345"/>
        <v>0</v>
      </c>
      <c r="Y1377" s="46" t="s">
        <v>163</v>
      </c>
      <c r="Z1377" s="37" t="str">
        <f t="shared" si="346"/>
        <v>delivered</v>
      </c>
      <c r="AA1377" s="37" t="str">
        <f t="shared" si="347"/>
        <v>On Time</v>
      </c>
      <c r="AB1377" s="37" t="str">
        <f t="shared" si="350"/>
        <v>0</v>
      </c>
      <c r="AC1377" s="37">
        <f t="shared" si="351"/>
        <v>0</v>
      </c>
      <c r="AD1377" s="45">
        <f t="shared" si="349"/>
        <v>0.553571428571429</v>
      </c>
      <c r="AE1377" s="46">
        <v>3</v>
      </c>
      <c r="AF1377" s="46" t="s">
        <v>118</v>
      </c>
      <c r="AG1377" s="37" t="str">
        <f t="shared" si="348"/>
        <v>no</v>
      </c>
      <c r="AH1377" s="37" t="str">
        <f t="array" ref="AH1377">_xlfn.IFS(LOWER(AG1377)="n","no",LOWER(AG1377)="y","yes",TRUE,LOWER(AG1377))</f>
        <v>no</v>
      </c>
      <c r="AI1377" s="46" t="s">
        <v>4692</v>
      </c>
    </row>
    <row r="1378" spans="1:35">
      <c r="A1378" s="37" t="s">
        <v>4210</v>
      </c>
      <c r="B1378" s="38">
        <v>45366</v>
      </c>
      <c r="C1378" s="39">
        <f t="shared" si="336"/>
        <v>45366</v>
      </c>
      <c r="D1378" s="40" t="s">
        <v>109</v>
      </c>
      <c r="E1378" s="37" t="str" cm="1">
        <f t="array" ref="E1378">_xlfn.IFS(D1378="delhi","north",D1378="mumbai","west",D1378="bengaluru","south",D1378="chennai","south",D1378="kolkata","east",TRUE,"west")</f>
        <v>west</v>
      </c>
      <c r="F1378" s="37" t="s">
        <v>98</v>
      </c>
      <c r="G1378" s="37" t="str">
        <f t="shared" si="337"/>
        <v>dtdc</v>
      </c>
      <c r="H1378" s="37" t="s">
        <v>244</v>
      </c>
      <c r="I1378" s="37" t="str">
        <f t="shared" si="338"/>
        <v>air</v>
      </c>
      <c r="J1378" s="37" t="s">
        <v>430</v>
      </c>
      <c r="K1378" s="37" t="str">
        <f t="shared" si="339"/>
        <v>pharma</v>
      </c>
      <c r="L1378" s="37" t="s">
        <v>87</v>
      </c>
      <c r="M1378" s="37" t="str">
        <f t="shared" si="340"/>
        <v>north</v>
      </c>
      <c r="N1378" s="37" t="s">
        <v>215</v>
      </c>
      <c r="O1378" s="41" t="str">
        <f t="shared" si="341"/>
        <v>Yes</v>
      </c>
      <c r="P1378" s="41" t="s">
        <v>858</v>
      </c>
      <c r="Q1378" s="41">
        <v>189</v>
      </c>
      <c r="R1378" s="42">
        <f t="shared" si="342"/>
        <v>145.384615384615</v>
      </c>
      <c r="S1378" s="37">
        <v>4</v>
      </c>
      <c r="T1378" s="37" t="s">
        <v>1653</v>
      </c>
      <c r="U1378" s="43" t="str">
        <f t="shared" si="343"/>
        <v>19-mar-2024</v>
      </c>
      <c r="V1378" s="43">
        <f t="shared" si="344"/>
        <v>45370</v>
      </c>
      <c r="W1378" s="44">
        <f t="array" ref="W1378">_xlfn.IFS(TRIM(C1378)="","",TRIM(V1378)="","",TRUE,V1378-C1378)</f>
        <v>4</v>
      </c>
      <c r="X1378" s="37">
        <f t="shared" si="345"/>
        <v>0</v>
      </c>
      <c r="Y1378" s="37" t="s">
        <v>219</v>
      </c>
      <c r="Z1378" s="37" t="str">
        <f t="shared" si="346"/>
        <v>delivered</v>
      </c>
      <c r="AA1378" s="37" t="str">
        <f t="shared" si="347"/>
        <v>On Time</v>
      </c>
      <c r="AB1378" s="37" t="str">
        <f t="shared" si="350"/>
        <v>0</v>
      </c>
      <c r="AC1378" s="37">
        <f t="shared" si="351"/>
        <v>0</v>
      </c>
      <c r="AD1378" s="45">
        <f t="shared" si="349"/>
        <v>0.556053811659193</v>
      </c>
      <c r="AE1378" s="37">
        <v>4</v>
      </c>
      <c r="AF1378" s="37" t="s">
        <v>131</v>
      </c>
      <c r="AG1378" s="37" t="str">
        <f t="shared" si="348"/>
        <v>n</v>
      </c>
      <c r="AH1378" s="37" t="str">
        <f t="array" ref="AH1378">_xlfn.IFS(LOWER(AG1378)="n","no",LOWER(AG1378)="y","yes",TRUE,LOWER(AG1378))</f>
        <v>no</v>
      </c>
      <c r="AI1378" s="37" t="s">
        <v>4692</v>
      </c>
    </row>
    <row r="1379" spans="1:35">
      <c r="A1379" s="46" t="s">
        <v>4211</v>
      </c>
      <c r="B1379" s="47">
        <v>45307</v>
      </c>
      <c r="C1379" s="39">
        <f t="shared" si="336"/>
        <v>45307</v>
      </c>
      <c r="D1379" s="48" t="s">
        <v>4712</v>
      </c>
      <c r="E1379" s="37" t="str" cm="1">
        <f t="array" ref="E1379">_xlfn.IFS(D1379="delhi","north",D1379="mumbai","west",D1379="bengaluru","south",D1379="chennai","south",D1379="kolkata","east",TRUE,"west")</f>
        <v>west</v>
      </c>
      <c r="F1379" s="46" t="s">
        <v>270</v>
      </c>
      <c r="G1379" s="37" t="str">
        <f t="shared" si="337"/>
        <v>ecomexpress</v>
      </c>
      <c r="H1379" s="46" t="s">
        <v>345</v>
      </c>
      <c r="I1379" s="37" t="str">
        <f t="shared" si="338"/>
        <v>surface</v>
      </c>
      <c r="J1379" s="46" t="s">
        <v>301</v>
      </c>
      <c r="K1379" s="37" t="str">
        <f t="shared" si="339"/>
        <v>furniture</v>
      </c>
      <c r="L1379" s="46" t="s">
        <v>139</v>
      </c>
      <c r="M1379" s="37" t="str">
        <f t="shared" si="340"/>
        <v>north</v>
      </c>
      <c r="N1379" s="46" t="s">
        <v>215</v>
      </c>
      <c r="O1379" s="41" t="str">
        <f t="shared" si="341"/>
        <v>Yes</v>
      </c>
      <c r="P1379" s="49" t="s">
        <v>4212</v>
      </c>
      <c r="Q1379" s="49" t="s">
        <v>4213</v>
      </c>
      <c r="R1379" s="42">
        <f t="shared" si="342"/>
        <v>24.1897233201581</v>
      </c>
      <c r="S1379" s="46">
        <v>6</v>
      </c>
      <c r="T1379" s="46" t="s">
        <v>676</v>
      </c>
      <c r="U1379" s="43" t="str">
        <f t="shared" si="343"/>
        <v>23/01/2024</v>
      </c>
      <c r="V1379" s="43">
        <f t="shared" si="344"/>
        <v>45314</v>
      </c>
      <c r="W1379" s="44">
        <f t="array" ref="W1379">_xlfn.IFS(TRIM(C1379)="","",TRIM(V1379)="","",TRUE,V1379-C1379)</f>
        <v>7</v>
      </c>
      <c r="X1379" s="37">
        <f t="shared" si="345"/>
        <v>1</v>
      </c>
      <c r="Y1379" s="46" t="s">
        <v>172</v>
      </c>
      <c r="Z1379" s="37" t="str">
        <f t="shared" si="346"/>
        <v>delayed</v>
      </c>
      <c r="AA1379" s="37" t="str">
        <f t="shared" si="347"/>
        <v>Late</v>
      </c>
      <c r="AB1379" s="37" t="str">
        <f t="shared" si="350"/>
        <v>1</v>
      </c>
      <c r="AC1379" s="37">
        <f t="shared" si="351"/>
        <v>1</v>
      </c>
      <c r="AD1379" s="45">
        <f t="shared" si="349"/>
        <v>0.558558558558559</v>
      </c>
      <c r="AE1379" s="46">
        <v>1</v>
      </c>
      <c r="AF1379" s="46" t="s">
        <v>191</v>
      </c>
      <c r="AG1379" s="37" t="str">
        <f t="shared" si="348"/>
        <v>no</v>
      </c>
      <c r="AH1379" s="37" t="str">
        <f t="array" ref="AH1379">_xlfn.IFS(LOWER(AG1379)="n","no",LOWER(AG1379)="y","yes",TRUE,LOWER(AG1379))</f>
        <v>no</v>
      </c>
      <c r="AI1379" s="46" t="s">
        <v>4692</v>
      </c>
    </row>
    <row r="1380" spans="1:35">
      <c r="A1380" s="37" t="s">
        <v>4214</v>
      </c>
      <c r="B1380" s="38">
        <v>45314</v>
      </c>
      <c r="C1380" s="39">
        <f t="shared" si="336"/>
        <v>45314</v>
      </c>
      <c r="D1380" s="40" t="s">
        <v>366</v>
      </c>
      <c r="E1380" s="37" t="str" cm="1">
        <f t="array" ref="E1380">_xlfn.IFS(D1380="delhi","north",D1380="mumbai","west",D1380="bengaluru","south",D1380="chennai","south",D1380="kolkata","east",TRUE,"west")</f>
        <v>east</v>
      </c>
      <c r="F1380" s="37" t="s">
        <v>156</v>
      </c>
      <c r="G1380" s="37" t="str">
        <f t="shared" si="337"/>
        <v>xpressbees</v>
      </c>
      <c r="H1380" s="37" t="s">
        <v>345</v>
      </c>
      <c r="I1380" s="37" t="str">
        <f t="shared" si="338"/>
        <v>surface</v>
      </c>
      <c r="J1380" s="37" t="s">
        <v>425</v>
      </c>
      <c r="K1380" s="37" t="str">
        <f t="shared" si="339"/>
        <v>automotiveparts</v>
      </c>
      <c r="L1380" s="37" t="s">
        <v>112</v>
      </c>
      <c r="M1380" s="37" t="str">
        <f t="shared" si="340"/>
        <v>north</v>
      </c>
      <c r="N1380" s="37" t="s">
        <v>113</v>
      </c>
      <c r="O1380" s="41" t="str">
        <f t="shared" si="341"/>
        <v>Yes</v>
      </c>
      <c r="P1380" s="41">
        <v>8.3</v>
      </c>
      <c r="Q1380" s="41">
        <v>328</v>
      </c>
      <c r="R1380" s="42">
        <f t="shared" si="342"/>
        <v>39.5180722891566</v>
      </c>
      <c r="S1380" s="37">
        <v>6</v>
      </c>
      <c r="T1380" s="37" t="s">
        <v>569</v>
      </c>
      <c r="U1380" s="43" t="str">
        <f t="shared" si="343"/>
        <v>2024-02-06</v>
      </c>
      <c r="V1380" s="43">
        <f t="shared" si="344"/>
        <v>45328</v>
      </c>
      <c r="W1380" s="44">
        <f t="array" ref="W1380">_xlfn.IFS(TRIM(C1380)="","",TRIM(V1380)="","",TRUE,V1380-C1380)</f>
        <v>14</v>
      </c>
      <c r="X1380" s="37">
        <f t="shared" si="345"/>
        <v>8</v>
      </c>
      <c r="Y1380" s="37" t="s">
        <v>172</v>
      </c>
      <c r="Z1380" s="37" t="str">
        <f t="shared" si="346"/>
        <v>delayed</v>
      </c>
      <c r="AA1380" s="37" t="str">
        <f t="shared" si="347"/>
        <v>Late</v>
      </c>
      <c r="AB1380" s="37" t="str">
        <f t="shared" si="350"/>
        <v>1</v>
      </c>
      <c r="AC1380" s="37">
        <f t="shared" si="351"/>
        <v>1</v>
      </c>
      <c r="AD1380" s="45">
        <f t="shared" si="349"/>
        <v>0.556561085972851</v>
      </c>
      <c r="AE1380" s="37">
        <v>4</v>
      </c>
      <c r="AF1380" s="37" t="s">
        <v>79</v>
      </c>
      <c r="AG1380" s="37" t="str">
        <f t="shared" si="348"/>
        <v>yes</v>
      </c>
      <c r="AH1380" s="37" t="str">
        <f t="array" ref="AH1380">_xlfn.IFS(LOWER(AG1380)="n","no",LOWER(AG1380)="y","yes",TRUE,LOWER(AG1380))</f>
        <v>yes</v>
      </c>
      <c r="AI1380" s="37" t="s">
        <v>4692</v>
      </c>
    </row>
    <row r="1381" spans="1:35">
      <c r="A1381" s="46" t="s">
        <v>4215</v>
      </c>
      <c r="B1381" s="47">
        <v>45427</v>
      </c>
      <c r="C1381" s="39">
        <f t="shared" si="336"/>
        <v>45427</v>
      </c>
      <c r="D1381" s="48" t="s">
        <v>212</v>
      </c>
      <c r="E1381" s="37" t="str" cm="1">
        <f t="array" ref="E1381">_xlfn.IFS(D1381="delhi","north",D1381="mumbai","west",D1381="bengaluru","south",D1381="chennai","south",D1381="kolkata","east",TRUE,"west")</f>
        <v>west</v>
      </c>
      <c r="F1381" s="46" t="s">
        <v>122</v>
      </c>
      <c r="G1381" s="37" t="str">
        <f t="shared" si="337"/>
        <v>delhivery</v>
      </c>
      <c r="H1381" s="46" t="s">
        <v>244</v>
      </c>
      <c r="I1381" s="37" t="str">
        <f t="shared" si="338"/>
        <v>air</v>
      </c>
      <c r="J1381" s="46" t="s">
        <v>158</v>
      </c>
      <c r="K1381" s="37" t="str">
        <f t="shared" si="339"/>
        <v>pharma</v>
      </c>
      <c r="L1381" s="46" t="s">
        <v>139</v>
      </c>
      <c r="M1381" s="37" t="str">
        <f t="shared" si="340"/>
        <v>north</v>
      </c>
      <c r="N1381" s="46" t="s">
        <v>354</v>
      </c>
      <c r="O1381" s="41" t="str">
        <f t="shared" si="341"/>
        <v>Yes</v>
      </c>
      <c r="P1381" s="49">
        <v>3.1</v>
      </c>
      <c r="Q1381" s="49">
        <v>341</v>
      </c>
      <c r="R1381" s="42">
        <f t="shared" si="342"/>
        <v>110</v>
      </c>
      <c r="S1381" s="46">
        <v>4</v>
      </c>
      <c r="T1381" s="46" t="s">
        <v>388</v>
      </c>
      <c r="U1381" s="43" t="str">
        <f t="shared" si="343"/>
        <v>21-may-2024</v>
      </c>
      <c r="V1381" s="43">
        <f t="shared" si="344"/>
        <v>45433</v>
      </c>
      <c r="W1381" s="44">
        <f t="array" ref="W1381">_xlfn.IFS(TRIM(C1381)="","",TRIM(V1381)="","",TRUE,V1381-C1381)</f>
        <v>6</v>
      </c>
      <c r="X1381" s="37">
        <f t="shared" si="345"/>
        <v>2</v>
      </c>
      <c r="Y1381" s="46" t="s">
        <v>72</v>
      </c>
      <c r="Z1381" s="37" t="str">
        <f t="shared" si="346"/>
        <v>delayed</v>
      </c>
      <c r="AA1381" s="37" t="str">
        <f t="shared" si="347"/>
        <v>Late</v>
      </c>
      <c r="AB1381" s="37" t="str">
        <f t="shared" si="350"/>
        <v>1</v>
      </c>
      <c r="AC1381" s="37">
        <f t="shared" si="351"/>
        <v>1</v>
      </c>
      <c r="AD1381" s="45">
        <f t="shared" si="349"/>
        <v>0.554545454545455</v>
      </c>
      <c r="AE1381" s="46">
        <v>3</v>
      </c>
      <c r="AF1381" s="46" t="s">
        <v>152</v>
      </c>
      <c r="AG1381" s="37" t="str">
        <f t="shared" si="348"/>
        <v>no</v>
      </c>
      <c r="AH1381" s="37" t="str">
        <f t="array" ref="AH1381">_xlfn.IFS(LOWER(AG1381)="n","no",LOWER(AG1381)="y","yes",TRUE,LOWER(AG1381))</f>
        <v>no</v>
      </c>
      <c r="AI1381" s="46" t="s">
        <v>4692</v>
      </c>
    </row>
    <row r="1382" spans="1:35">
      <c r="A1382" s="37" t="s">
        <v>4217</v>
      </c>
      <c r="B1382" s="38">
        <v>45383</v>
      </c>
      <c r="C1382" s="39">
        <f t="shared" si="336"/>
        <v>45383</v>
      </c>
      <c r="D1382" s="40" t="s">
        <v>4705</v>
      </c>
      <c r="E1382" s="37" t="str" cm="1">
        <f t="array" ref="E1382">_xlfn.IFS(D1382="delhi","north",D1382="mumbai","west",D1382="bengaluru","south",D1382="chennai","south",D1382="kolkata","east",TRUE,"west")</f>
        <v>west</v>
      </c>
      <c r="F1382" s="37" t="s">
        <v>270</v>
      </c>
      <c r="G1382" s="37" t="str">
        <f t="shared" si="337"/>
        <v>ecomexpress</v>
      </c>
      <c r="H1382" s="37" t="s">
        <v>440</v>
      </c>
      <c r="I1382" s="37" t="str">
        <f t="shared" si="338"/>
        <v>road</v>
      </c>
      <c r="J1382" s="37" t="s">
        <v>664</v>
      </c>
      <c r="K1382" s="37" t="str">
        <f t="shared" si="339"/>
        <v>grocery&amp;fmcg</v>
      </c>
      <c r="L1382" s="37" t="s">
        <v>112</v>
      </c>
      <c r="M1382" s="37" t="str">
        <f t="shared" si="340"/>
        <v>north</v>
      </c>
      <c r="N1382" s="37" t="s">
        <v>354</v>
      </c>
      <c r="O1382" s="41" t="str">
        <f t="shared" si="341"/>
        <v>Yes</v>
      </c>
      <c r="P1382" s="41"/>
      <c r="Q1382" s="41">
        <v>113</v>
      </c>
      <c r="R1382" s="42" t="str">
        <f t="shared" si="342"/>
        <v/>
      </c>
      <c r="S1382" s="37">
        <v>6</v>
      </c>
      <c r="T1382" s="37" t="s">
        <v>1786</v>
      </c>
      <c r="U1382" s="43" t="str">
        <f t="shared" si="343"/>
        <v>2024-04-07</v>
      </c>
      <c r="V1382" s="43">
        <f t="shared" si="344"/>
        <v>45389</v>
      </c>
      <c r="W1382" s="44">
        <f t="array" ref="W1382">_xlfn.IFS(TRIM(C1382)="","",TRIM(V1382)="","",TRUE,V1382-C1382)</f>
        <v>6</v>
      </c>
      <c r="X1382" s="37">
        <f t="shared" si="345"/>
        <v>0</v>
      </c>
      <c r="Y1382" s="37" t="s">
        <v>163</v>
      </c>
      <c r="Z1382" s="37" t="str">
        <f t="shared" si="346"/>
        <v>delivered</v>
      </c>
      <c r="AA1382" s="37" t="str">
        <f t="shared" si="347"/>
        <v>On Time</v>
      </c>
      <c r="AB1382" s="37" t="str">
        <f t="shared" si="350"/>
        <v>0</v>
      </c>
      <c r="AC1382" s="37">
        <f t="shared" si="351"/>
        <v>0</v>
      </c>
      <c r="AD1382" s="45">
        <f t="shared" si="349"/>
        <v>0.552511415525114</v>
      </c>
      <c r="AE1382" s="37">
        <v>2</v>
      </c>
      <c r="AF1382" s="37" t="s">
        <v>152</v>
      </c>
      <c r="AG1382" s="37" t="str">
        <f t="shared" si="348"/>
        <v>no</v>
      </c>
      <c r="AH1382" s="37" t="str">
        <f t="array" ref="AH1382">_xlfn.IFS(LOWER(AG1382)="n","no",LOWER(AG1382)="y","yes",TRUE,LOWER(AG1382))</f>
        <v>no</v>
      </c>
      <c r="AI1382" s="37" t="s">
        <v>4692</v>
      </c>
    </row>
    <row r="1383" spans="1:35">
      <c r="A1383" s="46" t="s">
        <v>4218</v>
      </c>
      <c r="B1383" s="47">
        <v>45458</v>
      </c>
      <c r="C1383" s="39">
        <f t="shared" si="336"/>
        <v>45458</v>
      </c>
      <c r="D1383" s="48" t="s">
        <v>424</v>
      </c>
      <c r="E1383" s="37" t="str" cm="1">
        <f t="array" ref="E1383">_xlfn.IFS(D1383="delhi","north",D1383="mumbai","west",D1383="bengaluru","south",D1383="chennai","south",D1383="kolkata","east",TRUE,"west")</f>
        <v>south</v>
      </c>
      <c r="F1383" s="46" t="s">
        <v>194</v>
      </c>
      <c r="G1383" s="37" t="str">
        <f t="shared" si="337"/>
        <v>xpressbees</v>
      </c>
      <c r="H1383" s="46" t="s">
        <v>440</v>
      </c>
      <c r="I1383" s="37" t="str">
        <f t="shared" si="338"/>
        <v>road</v>
      </c>
      <c r="J1383" s="46" t="s">
        <v>301</v>
      </c>
      <c r="K1383" s="37" t="str">
        <f t="shared" si="339"/>
        <v>furniture</v>
      </c>
      <c r="L1383" s="46" t="s">
        <v>257</v>
      </c>
      <c r="M1383" s="37" t="str">
        <f t="shared" si="340"/>
        <v>west</v>
      </c>
      <c r="N1383" s="46" t="s">
        <v>187</v>
      </c>
      <c r="O1383" s="41" t="str">
        <f t="shared" si="341"/>
        <v>Yes</v>
      </c>
      <c r="P1383" s="49" t="s">
        <v>4219</v>
      </c>
      <c r="Q1383" s="49" t="s">
        <v>4220</v>
      </c>
      <c r="R1383" s="42">
        <f t="shared" si="342"/>
        <v>15.7648725212465</v>
      </c>
      <c r="S1383" s="46">
        <v>8</v>
      </c>
      <c r="T1383" s="46" t="s">
        <v>349</v>
      </c>
      <c r="U1383" s="43" t="str">
        <f t="shared" si="343"/>
        <v>2024-06-22</v>
      </c>
      <c r="V1383" s="43">
        <f t="shared" si="344"/>
        <v>45465</v>
      </c>
      <c r="W1383" s="44">
        <f t="array" ref="W1383">_xlfn.IFS(TRIM(C1383)="","",TRIM(V1383)="","",TRUE,V1383-C1383)</f>
        <v>7</v>
      </c>
      <c r="X1383" s="37">
        <f t="shared" si="345"/>
        <v>-1</v>
      </c>
      <c r="Y1383" s="46" t="s">
        <v>105</v>
      </c>
      <c r="Z1383" s="37" t="str">
        <f t="shared" si="346"/>
        <v>delivered</v>
      </c>
      <c r="AA1383" s="37" t="str">
        <f t="shared" si="347"/>
        <v>On Time</v>
      </c>
      <c r="AB1383" s="37" t="str">
        <f t="shared" si="350"/>
        <v>0</v>
      </c>
      <c r="AC1383" s="37">
        <f t="shared" si="351"/>
        <v>0</v>
      </c>
      <c r="AD1383" s="45">
        <f t="shared" si="349"/>
        <v>0.555045871559633</v>
      </c>
      <c r="AE1383" s="46">
        <v>5</v>
      </c>
      <c r="AF1383" s="46" t="s">
        <v>106</v>
      </c>
      <c r="AG1383" s="37" t="str">
        <f t="shared" si="348"/>
        <v>yes</v>
      </c>
      <c r="AH1383" s="37" t="str">
        <f t="array" ref="AH1383">_xlfn.IFS(LOWER(AG1383)="n","no",LOWER(AG1383)="y","yes",TRUE,LOWER(AG1383))</f>
        <v>yes</v>
      </c>
      <c r="AI1383" s="46" t="s">
        <v>4692</v>
      </c>
    </row>
    <row r="1384" spans="1:35">
      <c r="A1384" s="37" t="s">
        <v>4221</v>
      </c>
      <c r="B1384" s="38">
        <v>45419</v>
      </c>
      <c r="C1384" s="39">
        <f t="shared" si="336"/>
        <v>45419</v>
      </c>
      <c r="D1384" s="40" t="s">
        <v>4712</v>
      </c>
      <c r="E1384" s="37" t="str" cm="1">
        <f t="array" ref="E1384">_xlfn.IFS(D1384="delhi","north",D1384="mumbai","west",D1384="bengaluru","south",D1384="chennai","south",D1384="kolkata","east",TRUE,"west")</f>
        <v>west</v>
      </c>
      <c r="F1384" s="37" t="s">
        <v>919</v>
      </c>
      <c r="G1384" s="37" t="str">
        <f t="shared" si="337"/>
        <v>xpressbees</v>
      </c>
      <c r="H1384" s="37" t="s">
        <v>185</v>
      </c>
      <c r="I1384" s="37" t="str">
        <f t="shared" si="338"/>
        <v>surface</v>
      </c>
      <c r="J1384" s="37" t="s">
        <v>47</v>
      </c>
      <c r="K1384" s="37" t="str">
        <f t="shared" si="339"/>
        <v>electronics</v>
      </c>
      <c r="L1384" s="37" t="s">
        <v>334</v>
      </c>
      <c r="M1384" s="37" t="str">
        <f t="shared" si="340"/>
        <v>north</v>
      </c>
      <c r="N1384" s="37" t="s">
        <v>354</v>
      </c>
      <c r="O1384" s="41" t="str">
        <f t="shared" si="341"/>
        <v>Yes</v>
      </c>
      <c r="P1384" s="41">
        <v>13.1</v>
      </c>
      <c r="Q1384" s="41">
        <v>489</v>
      </c>
      <c r="R1384" s="42">
        <f t="shared" si="342"/>
        <v>37.3282442748092</v>
      </c>
      <c r="S1384" s="37">
        <v>6</v>
      </c>
      <c r="T1384" s="37" t="s">
        <v>2526</v>
      </c>
      <c r="U1384" s="43" t="str">
        <f t="shared" si="343"/>
        <v>2024-05-14</v>
      </c>
      <c r="V1384" s="43">
        <f t="shared" si="344"/>
        <v>45426</v>
      </c>
      <c r="W1384" s="44">
        <f t="array" ref="W1384">_xlfn.IFS(TRIM(C1384)="","",TRIM(V1384)="","",TRUE,V1384-C1384)</f>
        <v>7</v>
      </c>
      <c r="X1384" s="37">
        <f t="shared" si="345"/>
        <v>1</v>
      </c>
      <c r="Y1384" s="37" t="s">
        <v>200</v>
      </c>
      <c r="Z1384" s="37" t="str">
        <f t="shared" si="346"/>
        <v>delayed</v>
      </c>
      <c r="AA1384" s="37" t="str">
        <f t="shared" si="347"/>
        <v>Late</v>
      </c>
      <c r="AB1384" s="37" t="str">
        <f t="shared" si="350"/>
        <v>1</v>
      </c>
      <c r="AC1384" s="37">
        <f t="shared" si="351"/>
        <v>1</v>
      </c>
      <c r="AD1384" s="45">
        <f t="shared" si="349"/>
        <v>0.557603686635945</v>
      </c>
      <c r="AE1384" s="37">
        <v>4</v>
      </c>
      <c r="AF1384" s="37" t="s">
        <v>152</v>
      </c>
      <c r="AG1384" s="37" t="str">
        <f t="shared" si="348"/>
        <v>no</v>
      </c>
      <c r="AH1384" s="37" t="str">
        <f t="array" ref="AH1384">_xlfn.IFS(LOWER(AG1384)="n","no",LOWER(AG1384)="y","yes",TRUE,LOWER(AG1384))</f>
        <v>no</v>
      </c>
      <c r="AI1384" s="37" t="s">
        <v>4692</v>
      </c>
    </row>
    <row r="1385" spans="1:35">
      <c r="A1385" s="46" t="s">
        <v>4224</v>
      </c>
      <c r="B1385" s="47">
        <v>45324</v>
      </c>
      <c r="C1385" s="39">
        <f t="shared" si="336"/>
        <v>45324</v>
      </c>
      <c r="D1385" s="48" t="s">
        <v>109</v>
      </c>
      <c r="E1385" s="37" t="str" cm="1">
        <f t="array" ref="E1385">_xlfn.IFS(D1385="delhi","north",D1385="mumbai","west",D1385="bengaluru","south",D1385="chennai","south",D1385="kolkata","east",TRUE,"west")</f>
        <v>west</v>
      </c>
      <c r="F1385" s="46" t="s">
        <v>213</v>
      </c>
      <c r="G1385" s="37" t="str">
        <f t="shared" si="337"/>
        <v>dtdc</v>
      </c>
      <c r="H1385" s="46" t="s">
        <v>176</v>
      </c>
      <c r="I1385" s="37" t="str">
        <f t="shared" si="338"/>
        <v>road</v>
      </c>
      <c r="J1385" s="46" t="s">
        <v>498</v>
      </c>
      <c r="K1385" s="37" t="str">
        <f t="shared" si="339"/>
        <v>apparel</v>
      </c>
      <c r="L1385" s="46" t="s">
        <v>89</v>
      </c>
      <c r="M1385" s="37" t="str">
        <f t="shared" si="340"/>
        <v>west</v>
      </c>
      <c r="N1385" s="46" t="s">
        <v>88</v>
      </c>
      <c r="O1385" s="41" t="str">
        <f t="shared" si="341"/>
        <v>Yes</v>
      </c>
      <c r="P1385" s="49">
        <v>2.3</v>
      </c>
      <c r="Q1385" s="49">
        <v>80</v>
      </c>
      <c r="R1385" s="42">
        <f t="shared" si="342"/>
        <v>34.7826086956522</v>
      </c>
      <c r="S1385" s="46">
        <v>6</v>
      </c>
      <c r="T1385" s="46" t="s">
        <v>602</v>
      </c>
      <c r="U1385" s="43" t="str">
        <f t="shared" si="343"/>
        <v>15/02/2024</v>
      </c>
      <c r="V1385" s="43">
        <f t="shared" si="344"/>
        <v>45337</v>
      </c>
      <c r="W1385" s="44">
        <f t="array" ref="W1385">_xlfn.IFS(TRIM(C1385)="","",TRIM(V1385)="","",TRUE,V1385-C1385)</f>
        <v>13</v>
      </c>
      <c r="X1385" s="37">
        <f t="shared" si="345"/>
        <v>7</v>
      </c>
      <c r="Y1385" s="46" t="s">
        <v>624</v>
      </c>
      <c r="Z1385" s="37" t="str">
        <f t="shared" si="346"/>
        <v>returned</v>
      </c>
      <c r="AA1385" s="37" t="str">
        <f t="shared" si="347"/>
        <v>Late</v>
      </c>
      <c r="AB1385" s="37" t="str">
        <f t="shared" si="350"/>
        <v>1</v>
      </c>
      <c r="AC1385" s="37">
        <f t="shared" si="351"/>
        <v>1</v>
      </c>
      <c r="AD1385" s="45">
        <f t="shared" si="349"/>
        <v>0.555555555555556</v>
      </c>
      <c r="AE1385" s="46"/>
      <c r="AF1385" s="46" t="s">
        <v>79</v>
      </c>
      <c r="AG1385" s="37" t="str">
        <f t="shared" si="348"/>
        <v>yes</v>
      </c>
      <c r="AH1385" s="37" t="str">
        <f t="array" ref="AH1385">_xlfn.IFS(LOWER(AG1385)="n","no",LOWER(AG1385)="y","yes",TRUE,LOWER(AG1385))</f>
        <v>yes</v>
      </c>
      <c r="AI1385" s="46" t="s">
        <v>625</v>
      </c>
    </row>
    <row r="1386" spans="1:35">
      <c r="A1386" s="37" t="s">
        <v>4225</v>
      </c>
      <c r="B1386" s="38" t="s">
        <v>4854</v>
      </c>
      <c r="C1386" s="39">
        <f t="shared" si="336"/>
        <v>45417</v>
      </c>
      <c r="D1386" s="40" t="s">
        <v>243</v>
      </c>
      <c r="E1386" s="37" t="str" cm="1">
        <f t="array" ref="E1386">_xlfn.IFS(D1386="delhi","north",D1386="mumbai","west",D1386="bengaluru","south",D1386="chennai","south",D1386="kolkata","east",TRUE,"west")</f>
        <v>west</v>
      </c>
      <c r="F1386" s="37" t="s">
        <v>352</v>
      </c>
      <c r="G1386" s="37" t="str">
        <f t="shared" si="337"/>
        <v>delhivery</v>
      </c>
      <c r="H1386" s="37" t="s">
        <v>123</v>
      </c>
      <c r="I1386" s="37" t="str">
        <f t="shared" si="338"/>
        <v>air</v>
      </c>
      <c r="J1386" s="37" t="s">
        <v>313</v>
      </c>
      <c r="K1386" s="37" t="str">
        <f t="shared" si="339"/>
        <v>automotiveparts</v>
      </c>
      <c r="L1386" s="37" t="s">
        <v>51</v>
      </c>
      <c r="M1386" s="37" t="str">
        <f t="shared" si="340"/>
        <v>south</v>
      </c>
      <c r="N1386" s="37" t="s">
        <v>90</v>
      </c>
      <c r="O1386" s="41" t="str">
        <f t="shared" si="341"/>
        <v>Yes</v>
      </c>
      <c r="P1386" s="41" t="s">
        <v>4226</v>
      </c>
      <c r="Q1386" s="41" t="s">
        <v>4227</v>
      </c>
      <c r="R1386" s="42">
        <f t="shared" si="342"/>
        <v>46.5129682997118</v>
      </c>
      <c r="S1386" s="37">
        <v>2</v>
      </c>
      <c r="T1386" s="37" t="s">
        <v>1252</v>
      </c>
      <c r="U1386" s="43" t="str">
        <f t="shared" si="343"/>
        <v>08/05/2024</v>
      </c>
      <c r="V1386" s="43">
        <f t="shared" si="344"/>
        <v>45420</v>
      </c>
      <c r="W1386" s="44">
        <f t="array" ref="W1386">_xlfn.IFS(TRIM(C1386)="","",TRIM(V1386)="","",TRUE,V1386-C1386)</f>
        <v>3</v>
      </c>
      <c r="X1386" s="37">
        <f t="shared" si="345"/>
        <v>1</v>
      </c>
      <c r="Y1386" s="37" t="s">
        <v>72</v>
      </c>
      <c r="Z1386" s="37" t="str">
        <f t="shared" si="346"/>
        <v>delayed</v>
      </c>
      <c r="AA1386" s="37" t="str">
        <f t="shared" si="347"/>
        <v>Late</v>
      </c>
      <c r="AB1386" s="37" t="str">
        <f t="shared" si="350"/>
        <v>1</v>
      </c>
      <c r="AC1386" s="37">
        <f t="shared" si="351"/>
        <v>1</v>
      </c>
      <c r="AD1386" s="45">
        <f t="shared" si="349"/>
        <v>0.553488372093023</v>
      </c>
      <c r="AE1386" s="37">
        <v>4</v>
      </c>
      <c r="AF1386" s="37" t="s">
        <v>181</v>
      </c>
      <c r="AG1386" s="37" t="str">
        <f t="shared" si="348"/>
        <v>y</v>
      </c>
      <c r="AH1386" s="37" t="str">
        <f t="array" ref="AH1386">_xlfn.IFS(LOWER(AG1386)="n","no",LOWER(AG1386)="y","yes",TRUE,LOWER(AG1386))</f>
        <v>yes</v>
      </c>
      <c r="AI1386" s="37" t="s">
        <v>4692</v>
      </c>
    </row>
    <row r="1387" spans="1:35">
      <c r="A1387" s="46" t="s">
        <v>4228</v>
      </c>
      <c r="B1387" s="47">
        <v>45363</v>
      </c>
      <c r="C1387" s="39">
        <f t="shared" si="336"/>
        <v>45363</v>
      </c>
      <c r="D1387" s="48" t="s">
        <v>424</v>
      </c>
      <c r="E1387" s="37" t="str" cm="1">
        <f t="array" ref="E1387">_xlfn.IFS(D1387="delhi","north",D1387="mumbai","west",D1387="bengaluru","south",D1387="chennai","south",D1387="kolkata","east",TRUE,"west")</f>
        <v>south</v>
      </c>
      <c r="F1387" s="46" t="s">
        <v>136</v>
      </c>
      <c r="G1387" s="37" t="str">
        <f t="shared" si="337"/>
        <v>bluedart</v>
      </c>
      <c r="H1387" s="46" t="s">
        <v>99</v>
      </c>
      <c r="I1387" s="37" t="str">
        <f t="shared" si="338"/>
        <v>air</v>
      </c>
      <c r="J1387" s="46" t="s">
        <v>231</v>
      </c>
      <c r="K1387" s="37" t="str">
        <f t="shared" si="339"/>
        <v>furniture</v>
      </c>
      <c r="L1387" s="46" t="s">
        <v>197</v>
      </c>
      <c r="M1387" s="37" t="str">
        <f t="shared" si="340"/>
        <v>south</v>
      </c>
      <c r="N1387" s="46" t="s">
        <v>90</v>
      </c>
      <c r="O1387" s="41" t="str">
        <f t="shared" si="341"/>
        <v>Yes</v>
      </c>
      <c r="P1387" s="49">
        <v>19.4</v>
      </c>
      <c r="Q1387" s="49">
        <v>866</v>
      </c>
      <c r="R1387" s="42">
        <f t="shared" si="342"/>
        <v>44.639175257732</v>
      </c>
      <c r="S1387" s="46">
        <v>2</v>
      </c>
      <c r="T1387" s="46" t="s">
        <v>959</v>
      </c>
      <c r="U1387" s="43" t="str">
        <f t="shared" si="343"/>
        <v>2024-03-15</v>
      </c>
      <c r="V1387" s="43">
        <f t="shared" si="344"/>
        <v>45366</v>
      </c>
      <c r="W1387" s="44">
        <f t="array" ref="W1387">_xlfn.IFS(TRIM(C1387)="","",TRIM(V1387)="","",TRUE,V1387-C1387)</f>
        <v>3</v>
      </c>
      <c r="X1387" s="37">
        <f t="shared" si="345"/>
        <v>1</v>
      </c>
      <c r="Y1387" s="46" t="s">
        <v>172</v>
      </c>
      <c r="Z1387" s="37" t="str">
        <f t="shared" si="346"/>
        <v>delayed</v>
      </c>
      <c r="AA1387" s="37" t="str">
        <f t="shared" si="347"/>
        <v>Late</v>
      </c>
      <c r="AB1387" s="37" t="str">
        <f t="shared" si="350"/>
        <v>1</v>
      </c>
      <c r="AC1387" s="37">
        <f t="shared" si="351"/>
        <v>1</v>
      </c>
      <c r="AD1387" s="45">
        <f t="shared" si="349"/>
        <v>0.551401869158878</v>
      </c>
      <c r="AE1387" s="46">
        <v>1</v>
      </c>
      <c r="AF1387" s="46" t="s">
        <v>181</v>
      </c>
      <c r="AG1387" s="37" t="str">
        <f t="shared" si="348"/>
        <v>y</v>
      </c>
      <c r="AH1387" s="37" t="str">
        <f t="array" ref="AH1387">_xlfn.IFS(LOWER(AG1387)="n","no",LOWER(AG1387)="y","yes",TRUE,LOWER(AG1387))</f>
        <v>yes</v>
      </c>
      <c r="AI1387" s="46" t="s">
        <v>4692</v>
      </c>
    </row>
    <row r="1388" spans="1:35">
      <c r="A1388" s="37" t="s">
        <v>4231</v>
      </c>
      <c r="B1388" s="38" t="s">
        <v>4698</v>
      </c>
      <c r="C1388" s="39">
        <f t="shared" si="336"/>
        <v>45302</v>
      </c>
      <c r="D1388" s="40" t="s">
        <v>212</v>
      </c>
      <c r="E1388" s="37" t="str" cm="1">
        <f t="array" ref="E1388">_xlfn.IFS(D1388="delhi","north",D1388="mumbai","west",D1388="bengaluru","south",D1388="chennai","south",D1388="kolkata","east",TRUE,"west")</f>
        <v>west</v>
      </c>
      <c r="F1388" s="37" t="s">
        <v>146</v>
      </c>
      <c r="G1388" s="37" t="str">
        <f t="shared" si="337"/>
        <v>ecomexpress</v>
      </c>
      <c r="H1388" s="37" t="s">
        <v>123</v>
      </c>
      <c r="I1388" s="37" t="str">
        <f t="shared" si="338"/>
        <v>air</v>
      </c>
      <c r="J1388" s="37" t="s">
        <v>186</v>
      </c>
      <c r="K1388" s="37" t="str">
        <f t="shared" si="339"/>
        <v>automotiveparts</v>
      </c>
      <c r="L1388" s="37" t="s">
        <v>51</v>
      </c>
      <c r="M1388" s="37" t="str">
        <f t="shared" si="340"/>
        <v>south</v>
      </c>
      <c r="N1388" s="37" t="s">
        <v>54</v>
      </c>
      <c r="O1388" s="41" t="str">
        <f t="shared" si="341"/>
        <v>Yes</v>
      </c>
      <c r="P1388" s="41">
        <v>19.6</v>
      </c>
      <c r="Q1388" s="41" t="s">
        <v>4233</v>
      </c>
      <c r="R1388" s="42">
        <f t="shared" si="342"/>
        <v>55.4081632653061</v>
      </c>
      <c r="S1388" s="37">
        <v>4</v>
      </c>
      <c r="T1388" s="37" t="s">
        <v>1496</v>
      </c>
      <c r="U1388" s="43" t="str">
        <f t="shared" si="343"/>
        <v>2024-01-15</v>
      </c>
      <c r="V1388" s="43">
        <f t="shared" si="344"/>
        <v>45306</v>
      </c>
      <c r="W1388" s="44">
        <f t="array" ref="W1388">_xlfn.IFS(TRIM(C1388)="","",TRIM(V1388)="","",TRUE,V1388-C1388)</f>
        <v>4</v>
      </c>
      <c r="X1388" s="37">
        <f t="shared" si="345"/>
        <v>0</v>
      </c>
      <c r="Y1388" s="37" t="s">
        <v>219</v>
      </c>
      <c r="Z1388" s="37" t="str">
        <f t="shared" si="346"/>
        <v>delivered</v>
      </c>
      <c r="AA1388" s="37" t="str">
        <f t="shared" si="347"/>
        <v>On Time</v>
      </c>
      <c r="AB1388" s="37" t="str">
        <f t="shared" si="350"/>
        <v>0</v>
      </c>
      <c r="AC1388" s="37">
        <f t="shared" si="351"/>
        <v>0</v>
      </c>
      <c r="AD1388" s="45">
        <f t="shared" si="349"/>
        <v>0.549295774647887</v>
      </c>
      <c r="AE1388" s="37">
        <v>4</v>
      </c>
      <c r="AF1388" s="37" t="s">
        <v>286</v>
      </c>
      <c r="AG1388" s="37" t="str">
        <f t="shared" si="348"/>
        <v>yes</v>
      </c>
      <c r="AH1388" s="37" t="str">
        <f t="array" ref="AH1388">_xlfn.IFS(LOWER(AG1388)="n","no",LOWER(AG1388)="y","yes",TRUE,LOWER(AG1388))</f>
        <v>yes</v>
      </c>
      <c r="AI1388" s="37" t="s">
        <v>4692</v>
      </c>
    </row>
    <row r="1389" spans="1:35">
      <c r="A1389" s="46" t="s">
        <v>4234</v>
      </c>
      <c r="B1389" s="47">
        <v>45354</v>
      </c>
      <c r="C1389" s="39">
        <f t="shared" si="336"/>
        <v>45354</v>
      </c>
      <c r="D1389" s="48" t="s">
        <v>366</v>
      </c>
      <c r="E1389" s="37" t="str" cm="1">
        <f t="array" ref="E1389">_xlfn.IFS(D1389="delhi","north",D1389="mumbai","west",D1389="bengaluru","south",D1389="chennai","south",D1389="kolkata","east",TRUE,"west")</f>
        <v>east</v>
      </c>
      <c r="F1389" s="46" t="s">
        <v>194</v>
      </c>
      <c r="G1389" s="37" t="str">
        <f t="shared" si="337"/>
        <v>xpressbees</v>
      </c>
      <c r="H1389" s="46" t="s">
        <v>147</v>
      </c>
      <c r="I1389" s="37" t="str">
        <f t="shared" si="338"/>
        <v>road</v>
      </c>
      <c r="J1389" s="46" t="s">
        <v>734</v>
      </c>
      <c r="K1389" s="37" t="str">
        <f t="shared" si="339"/>
        <v>grocery&amp;fmcg</v>
      </c>
      <c r="L1389" s="46" t="s">
        <v>257</v>
      </c>
      <c r="M1389" s="37" t="str">
        <f t="shared" si="340"/>
        <v>west</v>
      </c>
      <c r="N1389" s="46" t="s">
        <v>88</v>
      </c>
      <c r="O1389" s="41" t="str">
        <f t="shared" si="341"/>
        <v>Yes</v>
      </c>
      <c r="P1389" s="49">
        <v>18.9</v>
      </c>
      <c r="Q1389" s="49">
        <v>472</v>
      </c>
      <c r="R1389" s="42">
        <f t="shared" si="342"/>
        <v>24.973544973545</v>
      </c>
      <c r="S1389" s="46">
        <v>8</v>
      </c>
      <c r="T1389" s="46" t="s">
        <v>1377</v>
      </c>
      <c r="U1389" s="43" t="str">
        <f t="shared" si="343"/>
        <v>12/03/2024</v>
      </c>
      <c r="V1389" s="43">
        <f t="shared" si="344"/>
        <v>45363</v>
      </c>
      <c r="W1389" s="44">
        <f t="array" ref="W1389">_xlfn.IFS(TRIM(C1389)="","",TRIM(V1389)="","",TRUE,V1389-C1389)</f>
        <v>9</v>
      </c>
      <c r="X1389" s="37">
        <f t="shared" si="345"/>
        <v>1</v>
      </c>
      <c r="Y1389" s="46" t="s">
        <v>143</v>
      </c>
      <c r="Z1389" s="37" t="str">
        <f t="shared" si="346"/>
        <v>delayed</v>
      </c>
      <c r="AA1389" s="37" t="str">
        <f t="shared" si="347"/>
        <v>Late</v>
      </c>
      <c r="AB1389" s="37" t="str">
        <f t="shared" si="350"/>
        <v>1</v>
      </c>
      <c r="AC1389" s="37">
        <f t="shared" si="351"/>
        <v>1</v>
      </c>
      <c r="AD1389" s="45">
        <f t="shared" si="349"/>
        <v>0.55188679245283</v>
      </c>
      <c r="AE1389" s="46">
        <v>3</v>
      </c>
      <c r="AF1389" s="46" t="s">
        <v>181</v>
      </c>
      <c r="AG1389" s="37" t="str">
        <f t="shared" si="348"/>
        <v>y</v>
      </c>
      <c r="AH1389" s="37" t="str">
        <f t="array" ref="AH1389">_xlfn.IFS(LOWER(AG1389)="n","no",LOWER(AG1389)="y","yes",TRUE,LOWER(AG1389))</f>
        <v>yes</v>
      </c>
      <c r="AI1389" s="46" t="s">
        <v>4692</v>
      </c>
    </row>
    <row r="1390" spans="1:35">
      <c r="A1390" s="37" t="s">
        <v>4236</v>
      </c>
      <c r="B1390" s="38">
        <v>45303</v>
      </c>
      <c r="C1390" s="39">
        <f t="shared" si="336"/>
        <v>45303</v>
      </c>
      <c r="D1390" s="40" t="s">
        <v>212</v>
      </c>
      <c r="E1390" s="37" t="str" cm="1">
        <f t="array" ref="E1390">_xlfn.IFS(D1390="delhi","north",D1390="mumbai","west",D1390="bengaluru","south",D1390="chennai","south",D1390="kolkata","east",TRUE,"west")</f>
        <v>west</v>
      </c>
      <c r="F1390" s="37" t="s">
        <v>204</v>
      </c>
      <c r="G1390" s="37" t="str">
        <f t="shared" si="337"/>
        <v>delhivery</v>
      </c>
      <c r="H1390" s="37" t="s">
        <v>325</v>
      </c>
      <c r="I1390" s="37" t="str">
        <f t="shared" si="338"/>
        <v>air</v>
      </c>
      <c r="J1390" s="37" t="s">
        <v>430</v>
      </c>
      <c r="K1390" s="37" t="str">
        <f t="shared" si="339"/>
        <v>pharma</v>
      </c>
      <c r="L1390" s="37" t="s">
        <v>264</v>
      </c>
      <c r="M1390" s="37" t="str">
        <f t="shared" si="340"/>
        <v>west</v>
      </c>
      <c r="N1390" s="37" t="s">
        <v>187</v>
      </c>
      <c r="O1390" s="41" t="str">
        <f t="shared" si="341"/>
        <v>Yes</v>
      </c>
      <c r="P1390" s="41">
        <v>2.1</v>
      </c>
      <c r="Q1390" s="41">
        <v>80</v>
      </c>
      <c r="R1390" s="42">
        <f t="shared" si="342"/>
        <v>38.0952380952381</v>
      </c>
      <c r="S1390" s="37">
        <v>2</v>
      </c>
      <c r="T1390" s="37" t="s">
        <v>1496</v>
      </c>
      <c r="U1390" s="43" t="str">
        <f t="shared" si="343"/>
        <v>2024-01-15</v>
      </c>
      <c r="V1390" s="43">
        <f t="shared" si="344"/>
        <v>45306</v>
      </c>
      <c r="W1390" s="44">
        <f t="array" ref="W1390">_xlfn.IFS(TRIM(C1390)="","",TRIM(V1390)="","",TRUE,V1390-C1390)</f>
        <v>3</v>
      </c>
      <c r="X1390" s="37">
        <f t="shared" si="345"/>
        <v>1</v>
      </c>
      <c r="Y1390" s="37" t="s">
        <v>143</v>
      </c>
      <c r="Z1390" s="37" t="str">
        <f t="shared" si="346"/>
        <v>delayed</v>
      </c>
      <c r="AA1390" s="37" t="str">
        <f t="shared" si="347"/>
        <v>Late</v>
      </c>
      <c r="AB1390" s="37" t="str">
        <f t="shared" si="350"/>
        <v>1</v>
      </c>
      <c r="AC1390" s="37">
        <f t="shared" si="351"/>
        <v>1</v>
      </c>
      <c r="AD1390" s="45">
        <f t="shared" si="349"/>
        <v>0.549763033175355</v>
      </c>
      <c r="AE1390" s="37">
        <v>4</v>
      </c>
      <c r="AF1390" s="37" t="s">
        <v>106</v>
      </c>
      <c r="AG1390" s="37" t="str">
        <f t="shared" si="348"/>
        <v>yes</v>
      </c>
      <c r="AH1390" s="37" t="str">
        <f t="array" ref="AH1390">_xlfn.IFS(LOWER(AG1390)="n","no",LOWER(AG1390)="y","yes",TRUE,LOWER(AG1390))</f>
        <v>yes</v>
      </c>
      <c r="AI1390" s="37" t="s">
        <v>4692</v>
      </c>
    </row>
    <row r="1391" spans="1:35">
      <c r="A1391" s="46" t="s">
        <v>4237</v>
      </c>
      <c r="B1391" s="47">
        <v>45311</v>
      </c>
      <c r="C1391" s="39">
        <f t="shared" si="336"/>
        <v>45311</v>
      </c>
      <c r="D1391" s="48" t="s">
        <v>366</v>
      </c>
      <c r="E1391" s="37" t="str" cm="1">
        <f t="array" ref="E1391">_xlfn.IFS(D1391="delhi","north",D1391="mumbai","west",D1391="bengaluru","south",D1391="chennai","south",D1391="kolkata","east",TRUE,"west")</f>
        <v>east</v>
      </c>
      <c r="F1391" s="46" t="s">
        <v>544</v>
      </c>
      <c r="G1391" s="37" t="str">
        <f t="shared" si="337"/>
        <v>bluedart</v>
      </c>
      <c r="H1391" s="46" t="s">
        <v>137</v>
      </c>
      <c r="I1391" s="37" t="str">
        <f t="shared" si="338"/>
        <v>road</v>
      </c>
      <c r="J1391" s="46" t="s">
        <v>263</v>
      </c>
      <c r="K1391" s="37" t="str">
        <f t="shared" si="339"/>
        <v>apparel</v>
      </c>
      <c r="L1391" s="46" t="s">
        <v>92</v>
      </c>
      <c r="M1391" s="37" t="str">
        <f t="shared" si="340"/>
        <v>east</v>
      </c>
      <c r="N1391" s="46" t="s">
        <v>396</v>
      </c>
      <c r="O1391" s="41" t="str">
        <f t="shared" si="341"/>
        <v>Yes</v>
      </c>
      <c r="P1391" s="49">
        <v>4.9</v>
      </c>
      <c r="Q1391" s="49">
        <v>99</v>
      </c>
      <c r="R1391" s="42">
        <f t="shared" si="342"/>
        <v>20.2040816326531</v>
      </c>
      <c r="S1391" s="46">
        <v>6</v>
      </c>
      <c r="T1391" s="46" t="s">
        <v>1317</v>
      </c>
      <c r="U1391" s="43" t="str">
        <f t="shared" si="343"/>
        <v>25/01/2024</v>
      </c>
      <c r="V1391" s="43">
        <f t="shared" si="344"/>
        <v>45316</v>
      </c>
      <c r="W1391" s="44">
        <f t="array" ref="W1391">_xlfn.IFS(TRIM(C1391)="","",TRIM(V1391)="","",TRUE,V1391-C1391)</f>
        <v>5</v>
      </c>
      <c r="X1391" s="37">
        <f t="shared" si="345"/>
        <v>-1</v>
      </c>
      <c r="Y1391" s="46" t="s">
        <v>219</v>
      </c>
      <c r="Z1391" s="37" t="str">
        <f t="shared" si="346"/>
        <v>delivered</v>
      </c>
      <c r="AA1391" s="37" t="str">
        <f t="shared" si="347"/>
        <v>On Time</v>
      </c>
      <c r="AB1391" s="37" t="str">
        <f t="shared" si="350"/>
        <v>0</v>
      </c>
      <c r="AC1391" s="37">
        <f t="shared" si="351"/>
        <v>0</v>
      </c>
      <c r="AD1391" s="45">
        <f t="shared" si="349"/>
        <v>0.547619047619048</v>
      </c>
      <c r="AE1391" s="46">
        <v>1</v>
      </c>
      <c r="AF1391" s="46" t="s">
        <v>152</v>
      </c>
      <c r="AG1391" s="37" t="str">
        <f t="shared" si="348"/>
        <v>no</v>
      </c>
      <c r="AH1391" s="37" t="str">
        <f t="array" ref="AH1391">_xlfn.IFS(LOWER(AG1391)="n","no",LOWER(AG1391)="y","yes",TRUE,LOWER(AG1391))</f>
        <v>no</v>
      </c>
      <c r="AI1391" s="46" t="s">
        <v>4692</v>
      </c>
    </row>
    <row r="1392" spans="1:35">
      <c r="A1392" s="37" t="s">
        <v>4239</v>
      </c>
      <c r="B1392" s="38" t="s">
        <v>4843</v>
      </c>
      <c r="C1392" s="39">
        <f t="shared" si="336"/>
        <v>45298</v>
      </c>
      <c r="D1392" s="40" t="s">
        <v>222</v>
      </c>
      <c r="E1392" s="37" t="str" cm="1">
        <f t="array" ref="E1392">_xlfn.IFS(D1392="delhi","north",D1392="mumbai","west",D1392="bengaluru","south",D1392="chennai","south",D1392="kolkata","east",TRUE,"west")</f>
        <v>west</v>
      </c>
      <c r="F1392" s="37" t="s">
        <v>367</v>
      </c>
      <c r="G1392" s="37" t="str">
        <f t="shared" si="337"/>
        <v>dtdc</v>
      </c>
      <c r="H1392" s="37" t="s">
        <v>123</v>
      </c>
      <c r="I1392" s="37" t="str">
        <f t="shared" si="338"/>
        <v>air</v>
      </c>
      <c r="J1392" s="37" t="s">
        <v>498</v>
      </c>
      <c r="K1392" s="37" t="str">
        <f t="shared" si="339"/>
        <v>apparel</v>
      </c>
      <c r="L1392" s="37" t="s">
        <v>264</v>
      </c>
      <c r="M1392" s="37" t="str">
        <f t="shared" si="340"/>
        <v>west</v>
      </c>
      <c r="N1392" s="37" t="s">
        <v>206</v>
      </c>
      <c r="O1392" s="41" t="str">
        <f t="shared" si="341"/>
        <v>Yes</v>
      </c>
      <c r="P1392" s="41">
        <v>7.5</v>
      </c>
      <c r="Q1392" s="41">
        <v>329</v>
      </c>
      <c r="R1392" s="42">
        <f t="shared" si="342"/>
        <v>43.8666666666667</v>
      </c>
      <c r="S1392" s="37">
        <v>2</v>
      </c>
      <c r="T1392" s="37" t="s">
        <v>2225</v>
      </c>
      <c r="U1392" s="43" t="str">
        <f t="shared" si="343"/>
        <v>09/01/2024</v>
      </c>
      <c r="V1392" s="43">
        <f t="shared" si="344"/>
        <v>45300</v>
      </c>
      <c r="W1392" s="44">
        <f t="array" ref="W1392">_xlfn.IFS(TRIM(C1392)="","",TRIM(V1392)="","",TRUE,V1392-C1392)</f>
        <v>2</v>
      </c>
      <c r="X1392" s="37">
        <f t="shared" si="345"/>
        <v>0</v>
      </c>
      <c r="Y1392" s="37" t="s">
        <v>624</v>
      </c>
      <c r="Z1392" s="37" t="str">
        <f t="shared" si="346"/>
        <v>returned</v>
      </c>
      <c r="AA1392" s="37" t="str">
        <f t="shared" si="347"/>
        <v>On Time</v>
      </c>
      <c r="AB1392" s="37" t="str">
        <f t="shared" si="350"/>
        <v>0</v>
      </c>
      <c r="AC1392" s="37">
        <f t="shared" si="351"/>
        <v>0</v>
      </c>
      <c r="AD1392" s="45">
        <f t="shared" si="349"/>
        <v>0.550239234449761</v>
      </c>
      <c r="AE1392" s="37"/>
      <c r="AF1392" s="37" t="s">
        <v>191</v>
      </c>
      <c r="AG1392" s="37" t="str">
        <f t="shared" si="348"/>
        <v>no</v>
      </c>
      <c r="AH1392" s="37" t="str">
        <f t="array" ref="AH1392">_xlfn.IFS(LOWER(AG1392)="n","no",LOWER(AG1392)="y","yes",TRUE,LOWER(AG1392))</f>
        <v>no</v>
      </c>
      <c r="AI1392" s="37" t="s">
        <v>818</v>
      </c>
    </row>
    <row r="1393" spans="1:35">
      <c r="A1393" s="46" t="s">
        <v>4241</v>
      </c>
      <c r="B1393" s="47" t="s">
        <v>4855</v>
      </c>
      <c r="C1393" s="39">
        <f t="shared" si="336"/>
        <v>45296</v>
      </c>
      <c r="D1393" s="48" t="s">
        <v>424</v>
      </c>
      <c r="E1393" s="37" t="str" cm="1">
        <f t="array" ref="E1393">_xlfn.IFS(D1393="delhi","north",D1393="mumbai","west",D1393="bengaluru","south",D1393="chennai","south",D1393="kolkata","east",TRUE,"west")</f>
        <v>south</v>
      </c>
      <c r="F1393" s="46" t="s">
        <v>312</v>
      </c>
      <c r="G1393" s="37" t="str">
        <f t="shared" si="337"/>
        <v>bluedart</v>
      </c>
      <c r="H1393" s="46" t="s">
        <v>325</v>
      </c>
      <c r="I1393" s="37" t="str">
        <f t="shared" si="338"/>
        <v>air</v>
      </c>
      <c r="J1393" s="46" t="s">
        <v>158</v>
      </c>
      <c r="K1393" s="37" t="str">
        <f t="shared" si="339"/>
        <v>pharma</v>
      </c>
      <c r="L1393" s="46" t="s">
        <v>112</v>
      </c>
      <c r="M1393" s="37" t="str">
        <f t="shared" si="340"/>
        <v>north</v>
      </c>
      <c r="N1393" s="46" t="s">
        <v>32</v>
      </c>
      <c r="O1393" s="41" t="str">
        <f t="shared" si="341"/>
        <v>Yes</v>
      </c>
      <c r="P1393" s="49">
        <v>1</v>
      </c>
      <c r="Q1393" s="49" t="s">
        <v>4243</v>
      </c>
      <c r="R1393" s="42">
        <f t="shared" si="342"/>
        <v>183</v>
      </c>
      <c r="S1393" s="46">
        <v>4</v>
      </c>
      <c r="T1393" s="46" t="s">
        <v>851</v>
      </c>
      <c r="U1393" s="43" t="str">
        <f t="shared" si="343"/>
        <v>10/01/2024</v>
      </c>
      <c r="V1393" s="43">
        <f t="shared" si="344"/>
        <v>45301</v>
      </c>
      <c r="W1393" s="44">
        <f t="array" ref="W1393">_xlfn.IFS(TRIM(C1393)="","",TRIM(V1393)="","",TRUE,V1393-C1393)</f>
        <v>5</v>
      </c>
      <c r="X1393" s="37">
        <f t="shared" si="345"/>
        <v>1</v>
      </c>
      <c r="Y1393" s="46" t="s">
        <v>200</v>
      </c>
      <c r="Z1393" s="37" t="str">
        <f t="shared" si="346"/>
        <v>delayed</v>
      </c>
      <c r="AA1393" s="37" t="str">
        <f t="shared" si="347"/>
        <v>Late</v>
      </c>
      <c r="AB1393" s="37" t="str">
        <f t="shared" si="350"/>
        <v>1</v>
      </c>
      <c r="AC1393" s="37">
        <f t="shared" si="351"/>
        <v>1</v>
      </c>
      <c r="AD1393" s="45">
        <f t="shared" si="349"/>
        <v>0.552884615384615</v>
      </c>
      <c r="AE1393" s="46">
        <v>4</v>
      </c>
      <c r="AF1393" s="46" t="s">
        <v>191</v>
      </c>
      <c r="AG1393" s="37" t="str">
        <f t="shared" si="348"/>
        <v>no</v>
      </c>
      <c r="AH1393" s="37" t="str">
        <f t="array" ref="AH1393">_xlfn.IFS(LOWER(AG1393)="n","no",LOWER(AG1393)="y","yes",TRUE,LOWER(AG1393))</f>
        <v>no</v>
      </c>
      <c r="AI1393" s="46" t="s">
        <v>4692</v>
      </c>
    </row>
    <row r="1394" spans="1:35">
      <c r="A1394" s="37" t="s">
        <v>4244</v>
      </c>
      <c r="B1394" s="38">
        <v>45313</v>
      </c>
      <c r="C1394" s="39">
        <f t="shared" si="336"/>
        <v>45313</v>
      </c>
      <c r="D1394" s="40" t="s">
        <v>424</v>
      </c>
      <c r="E1394" s="37" t="str" cm="1">
        <f t="array" ref="E1394">_xlfn.IFS(D1394="delhi","north",D1394="mumbai","west",D1394="bengaluru","south",D1394="chennai","south",D1394="kolkata","east",TRUE,"west")</f>
        <v>south</v>
      </c>
      <c r="F1394" s="37" t="s">
        <v>184</v>
      </c>
      <c r="G1394" s="37" t="str">
        <f t="shared" si="337"/>
        <v>ecomexpress</v>
      </c>
      <c r="H1394" s="37" t="s">
        <v>440</v>
      </c>
      <c r="I1394" s="37" t="str">
        <f t="shared" si="338"/>
        <v>road</v>
      </c>
      <c r="J1394" s="37" t="s">
        <v>283</v>
      </c>
      <c r="K1394" s="37" t="str">
        <f t="shared" si="339"/>
        <v>pharma</v>
      </c>
      <c r="L1394" s="37" t="s">
        <v>51</v>
      </c>
      <c r="M1394" s="37" t="str">
        <f t="shared" si="340"/>
        <v>south</v>
      </c>
      <c r="N1394" s="37" t="s">
        <v>90</v>
      </c>
      <c r="O1394" s="41" t="str">
        <f t="shared" si="341"/>
        <v>Yes</v>
      </c>
      <c r="P1394" s="41">
        <v>3.3</v>
      </c>
      <c r="Q1394" s="41" t="s">
        <v>432</v>
      </c>
      <c r="R1394" s="42">
        <f t="shared" si="342"/>
        <v>24.2424242424242</v>
      </c>
      <c r="S1394" s="37">
        <v>6</v>
      </c>
      <c r="T1394" s="37" t="s">
        <v>1897</v>
      </c>
      <c r="U1394" s="43" t="str">
        <f t="shared" si="343"/>
        <v>2024-01-27</v>
      </c>
      <c r="V1394" s="43">
        <f t="shared" si="344"/>
        <v>45318</v>
      </c>
      <c r="W1394" s="44">
        <f t="array" ref="W1394">_xlfn.IFS(TRIM(C1394)="","",TRIM(V1394)="","",TRUE,V1394-C1394)</f>
        <v>5</v>
      </c>
      <c r="X1394" s="37">
        <f t="shared" si="345"/>
        <v>-1</v>
      </c>
      <c r="Y1394" s="37" t="s">
        <v>105</v>
      </c>
      <c r="Z1394" s="37" t="str">
        <f t="shared" si="346"/>
        <v>delivered</v>
      </c>
      <c r="AA1394" s="37" t="str">
        <f t="shared" si="347"/>
        <v>On Time</v>
      </c>
      <c r="AB1394" s="37" t="str">
        <f t="shared" si="350"/>
        <v>0</v>
      </c>
      <c r="AC1394" s="37">
        <f t="shared" si="351"/>
        <v>0</v>
      </c>
      <c r="AD1394" s="45">
        <f t="shared" si="349"/>
        <v>0.550724637681159</v>
      </c>
      <c r="AE1394" s="37">
        <v>5</v>
      </c>
      <c r="AF1394" s="37" t="s">
        <v>106</v>
      </c>
      <c r="AG1394" s="37" t="str">
        <f t="shared" si="348"/>
        <v>yes</v>
      </c>
      <c r="AH1394" s="37" t="str">
        <f t="array" ref="AH1394">_xlfn.IFS(LOWER(AG1394)="n","no",LOWER(AG1394)="y","yes",TRUE,LOWER(AG1394))</f>
        <v>yes</v>
      </c>
      <c r="AI1394" s="37" t="s">
        <v>4692</v>
      </c>
    </row>
    <row r="1395" spans="1:35">
      <c r="A1395" s="46" t="s">
        <v>4245</v>
      </c>
      <c r="B1395" s="47" t="s">
        <v>4849</v>
      </c>
      <c r="C1395" s="39">
        <f t="shared" si="336"/>
        <v>45386</v>
      </c>
      <c r="D1395" s="48" t="s">
        <v>366</v>
      </c>
      <c r="E1395" s="37" t="str" cm="1">
        <f t="array" ref="E1395">_xlfn.IFS(D1395="delhi","north",D1395="mumbai","west",D1395="bengaluru","south",D1395="chennai","south",D1395="kolkata","east",TRUE,"west")</f>
        <v>east</v>
      </c>
      <c r="F1395" s="46" t="s">
        <v>136</v>
      </c>
      <c r="G1395" s="37" t="str">
        <f t="shared" si="337"/>
        <v>bluedart</v>
      </c>
      <c r="H1395" s="46" t="s">
        <v>440</v>
      </c>
      <c r="I1395" s="37" t="str">
        <f t="shared" si="338"/>
        <v>road</v>
      </c>
      <c r="J1395" s="46" t="s">
        <v>177</v>
      </c>
      <c r="K1395" s="37" t="str">
        <f t="shared" si="339"/>
        <v>pharma</v>
      </c>
      <c r="L1395" s="46" t="s">
        <v>264</v>
      </c>
      <c r="M1395" s="37" t="str">
        <f t="shared" si="340"/>
        <v>west</v>
      </c>
      <c r="N1395" s="46" t="s">
        <v>278</v>
      </c>
      <c r="O1395" s="41" t="str">
        <f t="shared" si="341"/>
        <v>Yes</v>
      </c>
      <c r="P1395" s="49">
        <v>2.8</v>
      </c>
      <c r="Q1395" s="49">
        <v>191</v>
      </c>
      <c r="R1395" s="42">
        <f t="shared" si="342"/>
        <v>68.2142857142857</v>
      </c>
      <c r="S1395" s="46">
        <v>8</v>
      </c>
      <c r="T1395" s="46" t="s">
        <v>623</v>
      </c>
      <c r="U1395" s="43" t="str">
        <f t="shared" si="343"/>
        <v>13/04/2024</v>
      </c>
      <c r="V1395" s="43">
        <f t="shared" si="344"/>
        <v>45395</v>
      </c>
      <c r="W1395" s="44">
        <f t="array" ref="W1395">_xlfn.IFS(TRIM(C1395)="","",TRIM(V1395)="","",TRUE,V1395-C1395)</f>
        <v>9</v>
      </c>
      <c r="X1395" s="37">
        <f t="shared" si="345"/>
        <v>1</v>
      </c>
      <c r="Y1395" s="46" t="s">
        <v>172</v>
      </c>
      <c r="Z1395" s="37" t="str">
        <f t="shared" si="346"/>
        <v>delayed</v>
      </c>
      <c r="AA1395" s="37" t="str">
        <f t="shared" si="347"/>
        <v>Late</v>
      </c>
      <c r="AB1395" s="37" t="str">
        <f t="shared" si="350"/>
        <v>1</v>
      </c>
      <c r="AC1395" s="37">
        <f t="shared" si="351"/>
        <v>1</v>
      </c>
      <c r="AD1395" s="45">
        <f t="shared" si="349"/>
        <v>0.553398058252427</v>
      </c>
      <c r="AE1395" s="46">
        <v>2</v>
      </c>
      <c r="AF1395" s="46" t="s">
        <v>152</v>
      </c>
      <c r="AG1395" s="37" t="str">
        <f t="shared" si="348"/>
        <v>no</v>
      </c>
      <c r="AH1395" s="37" t="str">
        <f t="array" ref="AH1395">_xlfn.IFS(LOWER(AG1395)="n","no",LOWER(AG1395)="y","yes",TRUE,LOWER(AG1395))</f>
        <v>no</v>
      </c>
      <c r="AI1395" s="46" t="s">
        <v>4692</v>
      </c>
    </row>
    <row r="1396" spans="1:35">
      <c r="A1396" s="37" t="s">
        <v>4247</v>
      </c>
      <c r="B1396" s="38">
        <v>45318</v>
      </c>
      <c r="C1396" s="39">
        <f t="shared" si="336"/>
        <v>45318</v>
      </c>
      <c r="D1396" s="40" t="s">
        <v>4704</v>
      </c>
      <c r="E1396" s="37" t="str" cm="1">
        <f t="array" ref="E1396">_xlfn.IFS(D1396="delhi","north",D1396="mumbai","west",D1396="bengaluru","south",D1396="chennai","south",D1396="kolkata","east",TRUE,"west")</f>
        <v>west</v>
      </c>
      <c r="F1396" s="37" t="s">
        <v>367</v>
      </c>
      <c r="G1396" s="37" t="str">
        <f t="shared" si="337"/>
        <v>dtdc</v>
      </c>
      <c r="H1396" s="37" t="s">
        <v>110</v>
      </c>
      <c r="I1396" s="37" t="str">
        <f t="shared" si="338"/>
        <v>surface</v>
      </c>
      <c r="J1396" s="37" t="s">
        <v>214</v>
      </c>
      <c r="K1396" s="37" t="str">
        <f t="shared" si="339"/>
        <v>grocery&amp;fmcg</v>
      </c>
      <c r="L1396" s="37" t="s">
        <v>168</v>
      </c>
      <c r="M1396" s="37" t="str">
        <f t="shared" si="340"/>
        <v>west</v>
      </c>
      <c r="N1396" s="37" t="s">
        <v>206</v>
      </c>
      <c r="O1396" s="41" t="str">
        <f t="shared" si="341"/>
        <v>Yes</v>
      </c>
      <c r="P1396" s="41">
        <v>12.6</v>
      </c>
      <c r="Q1396" s="41">
        <v>456</v>
      </c>
      <c r="R1396" s="42">
        <f t="shared" si="342"/>
        <v>36.1904761904762</v>
      </c>
      <c r="S1396" s="37">
        <v>6</v>
      </c>
      <c r="T1396" s="37" t="s">
        <v>318</v>
      </c>
      <c r="U1396" s="43" t="str">
        <f t="shared" si="343"/>
        <v>01-feb-2024</v>
      </c>
      <c r="V1396" s="43">
        <f t="shared" si="344"/>
        <v>45323</v>
      </c>
      <c r="W1396" s="44">
        <f t="array" ref="W1396">_xlfn.IFS(TRIM(C1396)="","",TRIM(V1396)="","",TRUE,V1396-C1396)</f>
        <v>5</v>
      </c>
      <c r="X1396" s="37">
        <f t="shared" si="345"/>
        <v>-1</v>
      </c>
      <c r="Y1396" s="37" t="s">
        <v>117</v>
      </c>
      <c r="Z1396" s="37" t="str">
        <f t="shared" si="346"/>
        <v>delivered</v>
      </c>
      <c r="AA1396" s="37" t="str">
        <f t="shared" si="347"/>
        <v>On Time</v>
      </c>
      <c r="AB1396" s="37" t="str">
        <f t="shared" si="350"/>
        <v>0</v>
      </c>
      <c r="AC1396" s="37">
        <f t="shared" si="351"/>
        <v>0</v>
      </c>
      <c r="AD1396" s="45">
        <f t="shared" si="349"/>
        <v>0.551219512195122</v>
      </c>
      <c r="AE1396" s="37">
        <v>5</v>
      </c>
      <c r="AF1396" s="37" t="s">
        <v>106</v>
      </c>
      <c r="AG1396" s="37" t="str">
        <f t="shared" si="348"/>
        <v>yes</v>
      </c>
      <c r="AH1396" s="37" t="str">
        <f t="array" ref="AH1396">_xlfn.IFS(LOWER(AG1396)="n","no",LOWER(AG1396)="y","yes",TRUE,LOWER(AG1396))</f>
        <v>yes</v>
      </c>
      <c r="AI1396" s="37" t="s">
        <v>4692</v>
      </c>
    </row>
    <row r="1397" spans="1:35">
      <c r="A1397" s="46" t="s">
        <v>4249</v>
      </c>
      <c r="B1397" s="47">
        <v>45342</v>
      </c>
      <c r="C1397" s="39">
        <f t="shared" si="336"/>
        <v>45342</v>
      </c>
      <c r="D1397" s="48" t="s">
        <v>4695</v>
      </c>
      <c r="E1397" s="37" t="str" cm="1">
        <f t="array" ref="E1397">_xlfn.IFS(D1397="delhi","north",D1397="mumbai","west",D1397="bengaluru","south",D1397="chennai","south",D1397="kolkata","east",TRUE,"west")</f>
        <v>west</v>
      </c>
      <c r="F1397" s="46" t="s">
        <v>223</v>
      </c>
      <c r="G1397" s="37" t="str">
        <f t="shared" si="337"/>
        <v>xpressbees</v>
      </c>
      <c r="H1397" s="46" t="s">
        <v>110</v>
      </c>
      <c r="I1397" s="37" t="str">
        <f t="shared" si="338"/>
        <v>surface</v>
      </c>
      <c r="J1397" s="46" t="s">
        <v>664</v>
      </c>
      <c r="K1397" s="37" t="str">
        <f t="shared" si="339"/>
        <v>grocery&amp;fmcg</v>
      </c>
      <c r="L1397" s="46" t="s">
        <v>101</v>
      </c>
      <c r="M1397" s="37" t="str">
        <f t="shared" si="340"/>
        <v>west</v>
      </c>
      <c r="N1397" s="46" t="s">
        <v>187</v>
      </c>
      <c r="O1397" s="41" t="str">
        <f t="shared" si="341"/>
        <v>Yes</v>
      </c>
      <c r="P1397" s="49">
        <v>17.8</v>
      </c>
      <c r="Q1397" s="49">
        <v>379</v>
      </c>
      <c r="R1397" s="42">
        <f t="shared" si="342"/>
        <v>21.2921348314607</v>
      </c>
      <c r="S1397" s="46">
        <v>4</v>
      </c>
      <c r="T1397" s="46" t="s">
        <v>3089</v>
      </c>
      <c r="U1397" s="43" t="str">
        <f t="shared" si="343"/>
        <v>25/02/2024</v>
      </c>
      <c r="V1397" s="43">
        <f t="shared" si="344"/>
        <v>45347</v>
      </c>
      <c r="W1397" s="44">
        <f t="array" ref="W1397">_xlfn.IFS(TRIM(C1397)="","",TRIM(V1397)="","",TRUE,V1397-C1397)</f>
        <v>5</v>
      </c>
      <c r="X1397" s="37">
        <f t="shared" si="345"/>
        <v>1</v>
      </c>
      <c r="Y1397" s="46" t="s">
        <v>72</v>
      </c>
      <c r="Z1397" s="37" t="str">
        <f t="shared" si="346"/>
        <v>delayed</v>
      </c>
      <c r="AA1397" s="37" t="str">
        <f t="shared" si="347"/>
        <v>Late</v>
      </c>
      <c r="AB1397" s="37" t="str">
        <f t="shared" si="350"/>
        <v>1</v>
      </c>
      <c r="AC1397" s="37">
        <f t="shared" si="351"/>
        <v>1</v>
      </c>
      <c r="AD1397" s="45">
        <f t="shared" si="349"/>
        <v>0.553921568627451</v>
      </c>
      <c r="AE1397" s="46">
        <v>3</v>
      </c>
      <c r="AF1397" s="46" t="s">
        <v>118</v>
      </c>
      <c r="AG1397" s="37" t="str">
        <f t="shared" si="348"/>
        <v>no</v>
      </c>
      <c r="AH1397" s="37" t="str">
        <f t="array" ref="AH1397">_xlfn.IFS(LOWER(AG1397)="n","no",LOWER(AG1397)="y","yes",TRUE,LOWER(AG1397))</f>
        <v>no</v>
      </c>
      <c r="AI1397" s="46" t="s">
        <v>4692</v>
      </c>
    </row>
    <row r="1398" spans="1:35">
      <c r="A1398" s="37" t="s">
        <v>4251</v>
      </c>
      <c r="B1398" s="38">
        <v>45367</v>
      </c>
      <c r="C1398" s="39">
        <f t="shared" si="336"/>
        <v>45367</v>
      </c>
      <c r="D1398" s="40" t="s">
        <v>340</v>
      </c>
      <c r="E1398" s="37" t="str" cm="1">
        <f t="array" ref="E1398">_xlfn.IFS(D1398="delhi","north",D1398="mumbai","west",D1398="bengaluru","south",D1398="chennai","south",D1398="kolkata","east",TRUE,"west")</f>
        <v>north</v>
      </c>
      <c r="F1398" s="37" t="s">
        <v>156</v>
      </c>
      <c r="G1398" s="37" t="str">
        <f t="shared" si="337"/>
        <v>xpressbees</v>
      </c>
      <c r="H1398" s="37" t="s">
        <v>110</v>
      </c>
      <c r="I1398" s="37" t="str">
        <f t="shared" si="338"/>
        <v>surface</v>
      </c>
      <c r="J1398" s="37" t="s">
        <v>498</v>
      </c>
      <c r="K1398" s="37" t="str">
        <f t="shared" si="339"/>
        <v>apparel</v>
      </c>
      <c r="L1398" s="37" t="s">
        <v>101</v>
      </c>
      <c r="M1398" s="37" t="str">
        <f t="shared" si="340"/>
        <v>west</v>
      </c>
      <c r="N1398" s="37" t="s">
        <v>278</v>
      </c>
      <c r="O1398" s="41" t="str">
        <f t="shared" si="341"/>
        <v>Yes</v>
      </c>
      <c r="P1398" s="41">
        <v>2.9</v>
      </c>
      <c r="Q1398" s="41">
        <v>255</v>
      </c>
      <c r="R1398" s="42">
        <f t="shared" si="342"/>
        <v>87.9310344827586</v>
      </c>
      <c r="S1398" s="37">
        <v>6</v>
      </c>
      <c r="T1398" s="37" t="s">
        <v>2501</v>
      </c>
      <c r="U1398" s="43" t="str">
        <f t="shared" si="343"/>
        <v>23/03/2024</v>
      </c>
      <c r="V1398" s="43">
        <f t="shared" si="344"/>
        <v>45374</v>
      </c>
      <c r="W1398" s="44">
        <f t="array" ref="W1398">_xlfn.IFS(TRIM(C1398)="","",TRIM(V1398)="","",TRUE,V1398-C1398)</f>
        <v>7</v>
      </c>
      <c r="X1398" s="37">
        <f t="shared" si="345"/>
        <v>1</v>
      </c>
      <c r="Y1398" s="37" t="s">
        <v>143</v>
      </c>
      <c r="Z1398" s="37" t="str">
        <f t="shared" si="346"/>
        <v>delayed</v>
      </c>
      <c r="AA1398" s="37" t="str">
        <f t="shared" si="347"/>
        <v>Late</v>
      </c>
      <c r="AB1398" s="37" t="str">
        <f t="shared" si="350"/>
        <v>1</v>
      </c>
      <c r="AC1398" s="37">
        <f t="shared" si="351"/>
        <v>1</v>
      </c>
      <c r="AD1398" s="45">
        <f t="shared" si="349"/>
        <v>0.551724137931034</v>
      </c>
      <c r="AE1398" s="37">
        <v>5</v>
      </c>
      <c r="AF1398" s="37" t="s">
        <v>79</v>
      </c>
      <c r="AG1398" s="37" t="str">
        <f t="shared" si="348"/>
        <v>yes</v>
      </c>
      <c r="AH1398" s="37" t="str">
        <f t="array" ref="AH1398">_xlfn.IFS(LOWER(AG1398)="n","no",LOWER(AG1398)="y","yes",TRUE,LOWER(AG1398))</f>
        <v>yes</v>
      </c>
      <c r="AI1398" s="37" t="s">
        <v>4692</v>
      </c>
    </row>
    <row r="1399" spans="1:35">
      <c r="A1399" s="46" t="s">
        <v>4253</v>
      </c>
      <c r="B1399" s="47">
        <v>45324</v>
      </c>
      <c r="C1399" s="39">
        <f t="shared" si="336"/>
        <v>45324</v>
      </c>
      <c r="D1399" s="48" t="s">
        <v>109</v>
      </c>
      <c r="E1399" s="37" t="str" cm="1">
        <f t="array" ref="E1399">_xlfn.IFS(D1399="delhi","north",D1399="mumbai","west",D1399="bengaluru","south",D1399="chennai","south",D1399="kolkata","east",TRUE,"west")</f>
        <v>west</v>
      </c>
      <c r="F1399" s="46" t="s">
        <v>213</v>
      </c>
      <c r="G1399" s="37" t="str">
        <f t="shared" si="337"/>
        <v>dtdc</v>
      </c>
      <c r="H1399" s="46" t="s">
        <v>325</v>
      </c>
      <c r="I1399" s="37" t="str">
        <f t="shared" si="338"/>
        <v>air</v>
      </c>
      <c r="J1399" s="46" t="s">
        <v>167</v>
      </c>
      <c r="K1399" s="37" t="str">
        <f t="shared" si="339"/>
        <v>pharma</v>
      </c>
      <c r="L1399" s="46" t="s">
        <v>92</v>
      </c>
      <c r="M1399" s="37" t="str">
        <f t="shared" si="340"/>
        <v>east</v>
      </c>
      <c r="N1399" s="46" t="s">
        <v>91</v>
      </c>
      <c r="O1399" s="41" t="str">
        <f t="shared" si="341"/>
        <v>Yes</v>
      </c>
      <c r="P1399" s="49">
        <v>0.7</v>
      </c>
      <c r="Q1399" s="49" t="s">
        <v>4255</v>
      </c>
      <c r="R1399" s="42">
        <f t="shared" si="342"/>
        <v>292.857142857143</v>
      </c>
      <c r="S1399" s="46">
        <v>4</v>
      </c>
      <c r="T1399" s="46" t="s">
        <v>322</v>
      </c>
      <c r="U1399" s="43" t="str">
        <f t="shared" si="343"/>
        <v>07/02/2024</v>
      </c>
      <c r="V1399" s="43">
        <f t="shared" si="344"/>
        <v>45329</v>
      </c>
      <c r="W1399" s="44">
        <f t="array" ref="W1399">_xlfn.IFS(TRIM(C1399)="","",TRIM(V1399)="","",TRUE,V1399-C1399)</f>
        <v>5</v>
      </c>
      <c r="X1399" s="37">
        <f t="shared" si="345"/>
        <v>1</v>
      </c>
      <c r="Y1399" s="46" t="s">
        <v>72</v>
      </c>
      <c r="Z1399" s="37" t="str">
        <f t="shared" si="346"/>
        <v>delayed</v>
      </c>
      <c r="AA1399" s="37" t="str">
        <f t="shared" si="347"/>
        <v>Late</v>
      </c>
      <c r="AB1399" s="37" t="str">
        <f t="shared" si="350"/>
        <v>1</v>
      </c>
      <c r="AC1399" s="37">
        <f t="shared" si="351"/>
        <v>1</v>
      </c>
      <c r="AD1399" s="45">
        <f t="shared" si="349"/>
        <v>0.54950495049505</v>
      </c>
      <c r="AE1399" s="46">
        <v>2</v>
      </c>
      <c r="AF1399" s="46" t="s">
        <v>181</v>
      </c>
      <c r="AG1399" s="37" t="str">
        <f t="shared" si="348"/>
        <v>y</v>
      </c>
      <c r="AH1399" s="37" t="str">
        <f t="array" ref="AH1399">_xlfn.IFS(LOWER(AG1399)="n","no",LOWER(AG1399)="y","yes",TRUE,LOWER(AG1399))</f>
        <v>yes</v>
      </c>
      <c r="AI1399" s="46" t="s">
        <v>4692</v>
      </c>
    </row>
    <row r="1400" spans="1:35">
      <c r="A1400" s="37" t="s">
        <v>4256</v>
      </c>
      <c r="B1400" s="38">
        <v>45330</v>
      </c>
      <c r="C1400" s="39">
        <f t="shared" si="336"/>
        <v>45330</v>
      </c>
      <c r="D1400" s="40" t="s">
        <v>424</v>
      </c>
      <c r="E1400" s="37" t="str" cm="1">
        <f t="array" ref="E1400">_xlfn.IFS(D1400="delhi","north",D1400="mumbai","west",D1400="bengaluru","south",D1400="chennai","south",D1400="kolkata","east",TRUE,"west")</f>
        <v>south</v>
      </c>
      <c r="F1400" s="37" t="s">
        <v>146</v>
      </c>
      <c r="G1400" s="37" t="str">
        <f t="shared" si="337"/>
        <v>ecomexpress</v>
      </c>
      <c r="H1400" s="37" t="s">
        <v>42</v>
      </c>
      <c r="I1400" s="37" t="str">
        <f t="shared" si="338"/>
        <v>surface</v>
      </c>
      <c r="J1400" s="37" t="s">
        <v>237</v>
      </c>
      <c r="K1400" s="37" t="str">
        <f t="shared" si="339"/>
        <v>automotiveparts</v>
      </c>
      <c r="L1400" s="37" t="s">
        <v>197</v>
      </c>
      <c r="M1400" s="37" t="str">
        <f t="shared" si="340"/>
        <v>south</v>
      </c>
      <c r="N1400" s="37" t="s">
        <v>93</v>
      </c>
      <c r="O1400" s="41" t="str">
        <f t="shared" si="341"/>
        <v>Yes</v>
      </c>
      <c r="P1400" s="41" t="s">
        <v>2859</v>
      </c>
      <c r="Q1400" s="41" t="s">
        <v>2572</v>
      </c>
      <c r="R1400" s="42">
        <f t="shared" si="342"/>
        <v>25.0326797385621</v>
      </c>
      <c r="S1400" s="37">
        <v>4</v>
      </c>
      <c r="T1400" s="37" t="s">
        <v>1115</v>
      </c>
      <c r="U1400" s="43" t="str">
        <f t="shared" si="343"/>
        <v>13/02/2024</v>
      </c>
      <c r="V1400" s="43">
        <f t="shared" si="344"/>
        <v>45335</v>
      </c>
      <c r="W1400" s="44">
        <f t="array" ref="W1400">_xlfn.IFS(TRIM(C1400)="","",TRIM(V1400)="","",TRUE,V1400-C1400)</f>
        <v>5</v>
      </c>
      <c r="X1400" s="37">
        <f t="shared" si="345"/>
        <v>1</v>
      </c>
      <c r="Y1400" s="37" t="s">
        <v>143</v>
      </c>
      <c r="Z1400" s="37" t="str">
        <f t="shared" si="346"/>
        <v>delayed</v>
      </c>
      <c r="AA1400" s="37" t="str">
        <f t="shared" si="347"/>
        <v>Late</v>
      </c>
      <c r="AB1400" s="37" t="str">
        <f t="shared" si="350"/>
        <v>1</v>
      </c>
      <c r="AC1400" s="37">
        <f t="shared" si="351"/>
        <v>1</v>
      </c>
      <c r="AD1400" s="45">
        <f t="shared" si="349"/>
        <v>0.54726368159204</v>
      </c>
      <c r="AE1400" s="37">
        <v>3</v>
      </c>
      <c r="AF1400" s="37" t="s">
        <v>191</v>
      </c>
      <c r="AG1400" s="37" t="str">
        <f t="shared" si="348"/>
        <v>no</v>
      </c>
      <c r="AH1400" s="37" t="str">
        <f t="array" ref="AH1400">_xlfn.IFS(LOWER(AG1400)="n","no",LOWER(AG1400)="y","yes",TRUE,LOWER(AG1400))</f>
        <v>no</v>
      </c>
      <c r="AI1400" s="37" t="s">
        <v>4692</v>
      </c>
    </row>
    <row r="1401" spans="1:35">
      <c r="A1401" s="46" t="s">
        <v>4257</v>
      </c>
      <c r="B1401" s="47" t="s">
        <v>4693</v>
      </c>
      <c r="C1401" s="39">
        <f t="shared" si="336"/>
        <v>45453</v>
      </c>
      <c r="D1401" s="48" t="s">
        <v>212</v>
      </c>
      <c r="E1401" s="37" t="str" cm="1">
        <f t="array" ref="E1401">_xlfn.IFS(D1401="delhi","north",D1401="mumbai","west",D1401="bengaluru","south",D1401="chennai","south",D1401="kolkata","east",TRUE,"west")</f>
        <v>west</v>
      </c>
      <c r="F1401" s="46" t="s">
        <v>270</v>
      </c>
      <c r="G1401" s="37" t="str">
        <f t="shared" si="337"/>
        <v>ecomexpress</v>
      </c>
      <c r="H1401" s="46" t="s">
        <v>99</v>
      </c>
      <c r="I1401" s="37" t="str">
        <f t="shared" si="338"/>
        <v>air</v>
      </c>
      <c r="J1401" s="46" t="s">
        <v>612</v>
      </c>
      <c r="K1401" s="37" t="str">
        <f t="shared" si="339"/>
        <v>grocery&amp;fmcg</v>
      </c>
      <c r="L1401" s="46" t="s">
        <v>257</v>
      </c>
      <c r="M1401" s="37" t="str">
        <f t="shared" si="340"/>
        <v>west</v>
      </c>
      <c r="N1401" s="46" t="s">
        <v>278</v>
      </c>
      <c r="O1401" s="41" t="str">
        <f t="shared" si="341"/>
        <v>Yes</v>
      </c>
      <c r="P1401" s="49">
        <v>8.9</v>
      </c>
      <c r="Q1401" s="49" t="s">
        <v>4258</v>
      </c>
      <c r="R1401" s="42">
        <f t="shared" si="342"/>
        <v>45.0561797752809</v>
      </c>
      <c r="S1401" s="46">
        <v>2</v>
      </c>
      <c r="T1401" s="46" t="s">
        <v>853</v>
      </c>
      <c r="U1401" s="43" t="str">
        <f t="shared" si="343"/>
        <v>2024-06-11</v>
      </c>
      <c r="V1401" s="43">
        <f t="shared" si="344"/>
        <v>45454</v>
      </c>
      <c r="W1401" s="44">
        <f t="array" ref="W1401">_xlfn.IFS(TRIM(C1401)="","",TRIM(V1401)="","",TRUE,V1401-C1401)</f>
        <v>1</v>
      </c>
      <c r="X1401" s="37">
        <f t="shared" si="345"/>
        <v>-1</v>
      </c>
      <c r="Y1401" s="46" t="s">
        <v>219</v>
      </c>
      <c r="Z1401" s="37" t="str">
        <f t="shared" si="346"/>
        <v>delivered</v>
      </c>
      <c r="AA1401" s="37" t="str">
        <f t="shared" si="347"/>
        <v>On Time</v>
      </c>
      <c r="AB1401" s="37" t="str">
        <f t="shared" si="350"/>
        <v>0</v>
      </c>
      <c r="AC1401" s="37">
        <f t="shared" si="351"/>
        <v>0</v>
      </c>
      <c r="AD1401" s="45">
        <f t="shared" si="349"/>
        <v>0.545</v>
      </c>
      <c r="AE1401" s="46">
        <v>5</v>
      </c>
      <c r="AF1401" s="46" t="s">
        <v>191</v>
      </c>
      <c r="AG1401" s="37" t="str">
        <f t="shared" si="348"/>
        <v>no</v>
      </c>
      <c r="AH1401" s="37" t="str">
        <f t="array" ref="AH1401">_xlfn.IFS(LOWER(AG1401)="n","no",LOWER(AG1401)="y","yes",TRUE,LOWER(AG1401))</f>
        <v>no</v>
      </c>
      <c r="AI1401" s="46" t="s">
        <v>4692</v>
      </c>
    </row>
    <row r="1402" spans="1:35">
      <c r="A1402" s="37" t="s">
        <v>4259</v>
      </c>
      <c r="B1402" s="38">
        <v>45418</v>
      </c>
      <c r="C1402" s="39">
        <f t="shared" si="336"/>
        <v>45418</v>
      </c>
      <c r="D1402" s="40" t="s">
        <v>300</v>
      </c>
      <c r="E1402" s="37" t="str" cm="1">
        <f t="array" ref="E1402">_xlfn.IFS(D1402="delhi","north",D1402="mumbai","west",D1402="bengaluru","south",D1402="chennai","south",D1402="kolkata","east",TRUE,"west")</f>
        <v>west</v>
      </c>
      <c r="F1402" s="37" t="s">
        <v>312</v>
      </c>
      <c r="G1402" s="37" t="str">
        <f t="shared" si="337"/>
        <v>bluedart</v>
      </c>
      <c r="H1402" s="37" t="s">
        <v>345</v>
      </c>
      <c r="I1402" s="37" t="str">
        <f t="shared" si="338"/>
        <v>surface</v>
      </c>
      <c r="J1402" s="37" t="s">
        <v>1145</v>
      </c>
      <c r="K1402" s="37" t="str">
        <f t="shared" si="339"/>
        <v>grocery&amp;fmcg</v>
      </c>
      <c r="L1402" s="37" t="s">
        <v>125</v>
      </c>
      <c r="M1402" s="37" t="str">
        <f t="shared" si="340"/>
        <v>east</v>
      </c>
      <c r="N1402" s="37" t="s">
        <v>294</v>
      </c>
      <c r="O1402" s="41" t="str">
        <f t="shared" si="341"/>
        <v>Yes</v>
      </c>
      <c r="P1402" s="41">
        <v>13.2</v>
      </c>
      <c r="Q1402" s="41" t="s">
        <v>4260</v>
      </c>
      <c r="R1402" s="42">
        <f t="shared" si="342"/>
        <v>36.2878787878788</v>
      </c>
      <c r="S1402" s="37">
        <v>6</v>
      </c>
      <c r="T1402" s="37" t="s">
        <v>877</v>
      </c>
      <c r="U1402" s="43" t="str">
        <f t="shared" si="343"/>
        <v>12-may-2024</v>
      </c>
      <c r="V1402" s="43">
        <f t="shared" si="344"/>
        <v>45424</v>
      </c>
      <c r="W1402" s="44">
        <f t="array" ref="W1402">_xlfn.IFS(TRIM(C1402)="","",TRIM(V1402)="","",TRUE,V1402-C1402)</f>
        <v>6</v>
      </c>
      <c r="X1402" s="37">
        <f t="shared" si="345"/>
        <v>0</v>
      </c>
      <c r="Y1402" s="37" t="s">
        <v>219</v>
      </c>
      <c r="Z1402" s="37" t="str">
        <f t="shared" si="346"/>
        <v>delivered</v>
      </c>
      <c r="AA1402" s="37" t="str">
        <f t="shared" si="347"/>
        <v>On Time</v>
      </c>
      <c r="AB1402" s="37" t="str">
        <f t="shared" si="350"/>
        <v>0</v>
      </c>
      <c r="AC1402" s="37">
        <f t="shared" si="351"/>
        <v>0</v>
      </c>
      <c r="AD1402" s="45">
        <f t="shared" si="349"/>
        <v>0.547738693467337</v>
      </c>
      <c r="AE1402" s="37">
        <v>4</v>
      </c>
      <c r="AF1402" s="37" t="s">
        <v>152</v>
      </c>
      <c r="AG1402" s="37" t="str">
        <f t="shared" si="348"/>
        <v>no</v>
      </c>
      <c r="AH1402" s="37" t="str">
        <f t="array" ref="AH1402">_xlfn.IFS(LOWER(AG1402)="n","no",LOWER(AG1402)="y","yes",TRUE,LOWER(AG1402))</f>
        <v>no</v>
      </c>
      <c r="AI1402" s="37" t="s">
        <v>4692</v>
      </c>
    </row>
    <row r="1403" spans="1:35">
      <c r="A1403" s="46" t="s">
        <v>4261</v>
      </c>
      <c r="B1403" s="47">
        <v>45408</v>
      </c>
      <c r="C1403" s="39">
        <f t="shared" si="336"/>
        <v>45408</v>
      </c>
      <c r="D1403" s="48" t="s">
        <v>340</v>
      </c>
      <c r="E1403" s="37" t="str" cm="1">
        <f t="array" ref="E1403">_xlfn.IFS(D1403="delhi","north",D1403="mumbai","west",D1403="bengaluru","south",D1403="chennai","south",D1403="kolkata","east",TRUE,"west")</f>
        <v>north</v>
      </c>
      <c r="F1403" s="46" t="s">
        <v>194</v>
      </c>
      <c r="G1403" s="37" t="str">
        <f t="shared" si="337"/>
        <v>xpressbees</v>
      </c>
      <c r="H1403" s="46" t="s">
        <v>440</v>
      </c>
      <c r="I1403" s="37" t="str">
        <f t="shared" si="338"/>
        <v>road</v>
      </c>
      <c r="J1403" s="46" t="s">
        <v>425</v>
      </c>
      <c r="K1403" s="37" t="str">
        <f t="shared" si="339"/>
        <v>automotiveparts</v>
      </c>
      <c r="L1403" s="46" t="s">
        <v>89</v>
      </c>
      <c r="M1403" s="37" t="str">
        <f t="shared" si="340"/>
        <v>west</v>
      </c>
      <c r="N1403" s="46" t="s">
        <v>88</v>
      </c>
      <c r="O1403" s="41" t="str">
        <f t="shared" si="341"/>
        <v>Yes</v>
      </c>
      <c r="P1403" s="49">
        <v>12.9</v>
      </c>
      <c r="Q1403" s="49" t="s">
        <v>4263</v>
      </c>
      <c r="R1403" s="42">
        <f t="shared" si="342"/>
        <v>27.3643410852713</v>
      </c>
      <c r="S1403" s="46">
        <v>8</v>
      </c>
      <c r="T1403" s="46" t="s">
        <v>3192</v>
      </c>
      <c r="U1403" s="43" t="str">
        <f t="shared" si="343"/>
        <v>03/05/2024</v>
      </c>
      <c r="V1403" s="43">
        <f t="shared" si="344"/>
        <v>45415</v>
      </c>
      <c r="W1403" s="44">
        <f t="array" ref="W1403">_xlfn.IFS(TRIM(C1403)="","",TRIM(V1403)="","",TRUE,V1403-C1403)</f>
        <v>7</v>
      </c>
      <c r="X1403" s="37">
        <f t="shared" si="345"/>
        <v>-1</v>
      </c>
      <c r="Y1403" s="46" t="s">
        <v>219</v>
      </c>
      <c r="Z1403" s="37" t="str">
        <f t="shared" si="346"/>
        <v>delivered</v>
      </c>
      <c r="AA1403" s="37" t="str">
        <f t="shared" si="347"/>
        <v>On Time</v>
      </c>
      <c r="AB1403" s="37" t="str">
        <f t="shared" si="350"/>
        <v>0</v>
      </c>
      <c r="AC1403" s="37">
        <f t="shared" si="351"/>
        <v>0</v>
      </c>
      <c r="AD1403" s="45">
        <f t="shared" si="349"/>
        <v>0.55050505050505</v>
      </c>
      <c r="AE1403" s="46">
        <v>4</v>
      </c>
      <c r="AF1403" s="46" t="s">
        <v>131</v>
      </c>
      <c r="AG1403" s="37" t="str">
        <f t="shared" si="348"/>
        <v>n</v>
      </c>
      <c r="AH1403" s="37" t="str">
        <f t="array" ref="AH1403">_xlfn.IFS(LOWER(AG1403)="n","no",LOWER(AG1403)="y","yes",TRUE,LOWER(AG1403))</f>
        <v>no</v>
      </c>
      <c r="AI1403" s="46" t="s">
        <v>4692</v>
      </c>
    </row>
    <row r="1404" spans="1:35">
      <c r="A1404" s="37" t="s">
        <v>4264</v>
      </c>
      <c r="B1404" s="38">
        <v>45393</v>
      </c>
      <c r="C1404" s="39">
        <f t="shared" si="336"/>
        <v>45393</v>
      </c>
      <c r="D1404" s="40" t="s">
        <v>212</v>
      </c>
      <c r="E1404" s="37" t="str" cm="1">
        <f t="array" ref="E1404">_xlfn.IFS(D1404="delhi","north",D1404="mumbai","west",D1404="bengaluru","south",D1404="chennai","south",D1404="kolkata","east",TRUE,"west")</f>
        <v>west</v>
      </c>
      <c r="F1404" s="37" t="s">
        <v>312</v>
      </c>
      <c r="G1404" s="37" t="str">
        <f t="shared" si="337"/>
        <v>bluedart</v>
      </c>
      <c r="H1404" s="37" t="s">
        <v>147</v>
      </c>
      <c r="I1404" s="37" t="str">
        <f t="shared" si="338"/>
        <v>road</v>
      </c>
      <c r="J1404" s="37" t="s">
        <v>283</v>
      </c>
      <c r="K1404" s="37" t="str">
        <f t="shared" si="339"/>
        <v>pharma</v>
      </c>
      <c r="L1404" s="37" t="s">
        <v>264</v>
      </c>
      <c r="M1404" s="37" t="str">
        <f t="shared" si="340"/>
        <v>west</v>
      </c>
      <c r="N1404" s="37" t="s">
        <v>206</v>
      </c>
      <c r="O1404" s="41" t="str">
        <f t="shared" si="341"/>
        <v>Yes</v>
      </c>
      <c r="P1404" s="41">
        <v>4</v>
      </c>
      <c r="Q1404" s="41">
        <v>115</v>
      </c>
      <c r="R1404" s="42">
        <f t="shared" si="342"/>
        <v>28.75</v>
      </c>
      <c r="S1404" s="37">
        <v>6</v>
      </c>
      <c r="T1404" s="37" t="s">
        <v>2883</v>
      </c>
      <c r="U1404" s="43" t="str">
        <f t="shared" si="343"/>
        <v>2024-04-17</v>
      </c>
      <c r="V1404" s="43">
        <f t="shared" si="344"/>
        <v>45399</v>
      </c>
      <c r="W1404" s="44">
        <f t="array" ref="W1404">_xlfn.IFS(TRIM(C1404)="","",TRIM(V1404)="","",TRUE,V1404-C1404)</f>
        <v>6</v>
      </c>
      <c r="X1404" s="37">
        <f t="shared" si="345"/>
        <v>0</v>
      </c>
      <c r="Y1404" s="37" t="s">
        <v>219</v>
      </c>
      <c r="Z1404" s="37" t="str">
        <f t="shared" si="346"/>
        <v>delivered</v>
      </c>
      <c r="AA1404" s="37" t="str">
        <f t="shared" si="347"/>
        <v>On Time</v>
      </c>
      <c r="AB1404" s="37" t="str">
        <f t="shared" si="350"/>
        <v>0</v>
      </c>
      <c r="AC1404" s="37">
        <f t="shared" si="351"/>
        <v>0</v>
      </c>
      <c r="AD1404" s="45">
        <f t="shared" si="349"/>
        <v>0.553299492385787</v>
      </c>
      <c r="AE1404" s="37">
        <v>4</v>
      </c>
      <c r="AF1404" s="37" t="s">
        <v>286</v>
      </c>
      <c r="AG1404" s="37" t="str">
        <f t="shared" si="348"/>
        <v>yes</v>
      </c>
      <c r="AH1404" s="37" t="str">
        <f t="array" ref="AH1404">_xlfn.IFS(LOWER(AG1404)="n","no",LOWER(AG1404)="y","yes",TRUE,LOWER(AG1404))</f>
        <v>yes</v>
      </c>
      <c r="AI1404" s="37" t="s">
        <v>4692</v>
      </c>
    </row>
    <row r="1405" spans="1:35">
      <c r="A1405" s="46" t="s">
        <v>4266</v>
      </c>
      <c r="B1405" s="47" t="s">
        <v>4770</v>
      </c>
      <c r="C1405" s="39">
        <f t="shared" si="336"/>
        <v>45426</v>
      </c>
      <c r="D1405" s="48" t="s">
        <v>366</v>
      </c>
      <c r="E1405" s="37" t="str" cm="1">
        <f t="array" ref="E1405">_xlfn.IFS(D1405="delhi","north",D1405="mumbai","west",D1405="bengaluru","south",D1405="chennai","south",D1405="kolkata","east",TRUE,"west")</f>
        <v>east</v>
      </c>
      <c r="F1405" s="46" t="s">
        <v>352</v>
      </c>
      <c r="G1405" s="37" t="str">
        <f t="shared" si="337"/>
        <v>delhivery</v>
      </c>
      <c r="H1405" s="46" t="s">
        <v>224</v>
      </c>
      <c r="I1405" s="37" t="str">
        <f t="shared" si="338"/>
        <v>air</v>
      </c>
      <c r="J1405" s="46" t="s">
        <v>186</v>
      </c>
      <c r="K1405" s="37" t="str">
        <f t="shared" si="339"/>
        <v>automotiveparts</v>
      </c>
      <c r="L1405" s="46" t="s">
        <v>159</v>
      </c>
      <c r="M1405" s="37" t="str">
        <f t="shared" si="340"/>
        <v>south</v>
      </c>
      <c r="N1405" s="46" t="s">
        <v>54</v>
      </c>
      <c r="O1405" s="41" t="str">
        <f t="shared" si="341"/>
        <v>Yes</v>
      </c>
      <c r="P1405" s="49" t="s">
        <v>3335</v>
      </c>
      <c r="Q1405" s="49">
        <v>493</v>
      </c>
      <c r="R1405" s="42">
        <f t="shared" si="342"/>
        <v>77.03125</v>
      </c>
      <c r="S1405" s="46">
        <v>4</v>
      </c>
      <c r="T1405" s="46" t="s">
        <v>2602</v>
      </c>
      <c r="U1405" s="43" t="str">
        <f t="shared" si="343"/>
        <v>19-may-2024</v>
      </c>
      <c r="V1405" s="43">
        <f t="shared" si="344"/>
        <v>45431</v>
      </c>
      <c r="W1405" s="44">
        <f t="array" ref="W1405">_xlfn.IFS(TRIM(C1405)="","",TRIM(V1405)="","",TRUE,V1405-C1405)</f>
        <v>5</v>
      </c>
      <c r="X1405" s="37">
        <f t="shared" si="345"/>
        <v>1</v>
      </c>
      <c r="Y1405" s="46" t="s">
        <v>143</v>
      </c>
      <c r="Z1405" s="37" t="str">
        <f t="shared" si="346"/>
        <v>delayed</v>
      </c>
      <c r="AA1405" s="37" t="str">
        <f t="shared" si="347"/>
        <v>Late</v>
      </c>
      <c r="AB1405" s="37" t="str">
        <f t="shared" si="350"/>
        <v>1</v>
      </c>
      <c r="AC1405" s="37">
        <f t="shared" si="351"/>
        <v>1</v>
      </c>
      <c r="AD1405" s="45">
        <f t="shared" si="349"/>
        <v>0.556122448979592</v>
      </c>
      <c r="AE1405" s="46">
        <v>1</v>
      </c>
      <c r="AF1405" s="46" t="s">
        <v>79</v>
      </c>
      <c r="AG1405" s="37" t="str">
        <f t="shared" si="348"/>
        <v>yes</v>
      </c>
      <c r="AH1405" s="37" t="str">
        <f t="array" ref="AH1405">_xlfn.IFS(LOWER(AG1405)="n","no",LOWER(AG1405)="y","yes",TRUE,LOWER(AG1405))</f>
        <v>yes</v>
      </c>
      <c r="AI1405" s="46" t="s">
        <v>4692</v>
      </c>
    </row>
    <row r="1406" spans="1:35">
      <c r="A1406" s="37" t="s">
        <v>4268</v>
      </c>
      <c r="B1406" s="38">
        <v>45357</v>
      </c>
      <c r="C1406" s="39">
        <f t="shared" si="336"/>
        <v>45357</v>
      </c>
      <c r="D1406" s="40" t="s">
        <v>366</v>
      </c>
      <c r="E1406" s="37" t="str" cm="1">
        <f t="array" ref="E1406">_xlfn.IFS(D1406="delhi","north",D1406="mumbai","west",D1406="bengaluru","south",D1406="chennai","south",D1406="kolkata","east",TRUE,"west")</f>
        <v>east</v>
      </c>
      <c r="F1406" s="37" t="s">
        <v>37</v>
      </c>
      <c r="G1406" s="37" t="str">
        <f t="shared" si="337"/>
        <v>bluedart</v>
      </c>
      <c r="H1406" s="37" t="s">
        <v>195</v>
      </c>
      <c r="I1406" s="37" t="str">
        <f t="shared" si="338"/>
        <v>road</v>
      </c>
      <c r="J1406" s="37" t="s">
        <v>277</v>
      </c>
      <c r="K1406" s="37" t="str">
        <f t="shared" si="339"/>
        <v>apparel</v>
      </c>
      <c r="L1406" s="37" t="s">
        <v>125</v>
      </c>
      <c r="M1406" s="37" t="str">
        <f t="shared" si="340"/>
        <v>east</v>
      </c>
      <c r="N1406" s="37" t="s">
        <v>126</v>
      </c>
      <c r="O1406" s="41" t="str">
        <f t="shared" si="341"/>
        <v>Yes</v>
      </c>
      <c r="P1406" s="41">
        <v>5.7</v>
      </c>
      <c r="Q1406" s="41" t="s">
        <v>4269</v>
      </c>
      <c r="R1406" s="42">
        <f t="shared" si="342"/>
        <v>14.9122807017544</v>
      </c>
      <c r="S1406" s="37">
        <v>6</v>
      </c>
      <c r="T1406" s="37" t="s">
        <v>835</v>
      </c>
      <c r="U1406" s="43" t="str">
        <f t="shared" si="343"/>
        <v>13/03/2024</v>
      </c>
      <c r="V1406" s="43">
        <f t="shared" si="344"/>
        <v>45364</v>
      </c>
      <c r="W1406" s="44">
        <f t="array" ref="W1406">_xlfn.IFS(TRIM(C1406)="","",TRIM(V1406)="","",TRUE,V1406-C1406)</f>
        <v>7</v>
      </c>
      <c r="X1406" s="37">
        <f t="shared" si="345"/>
        <v>1</v>
      </c>
      <c r="Y1406" s="37" t="s">
        <v>72</v>
      </c>
      <c r="Z1406" s="37" t="str">
        <f t="shared" si="346"/>
        <v>delayed</v>
      </c>
      <c r="AA1406" s="37" t="str">
        <f t="shared" si="347"/>
        <v>Late</v>
      </c>
      <c r="AB1406" s="37" t="str">
        <f t="shared" si="350"/>
        <v>1</v>
      </c>
      <c r="AC1406" s="37">
        <f t="shared" si="351"/>
        <v>1</v>
      </c>
      <c r="AD1406" s="45">
        <f t="shared" si="349"/>
        <v>0.553846153846154</v>
      </c>
      <c r="AE1406" s="37">
        <v>3</v>
      </c>
      <c r="AF1406" s="37" t="s">
        <v>131</v>
      </c>
      <c r="AG1406" s="37" t="str">
        <f t="shared" si="348"/>
        <v>n</v>
      </c>
      <c r="AH1406" s="37" t="str">
        <f t="array" ref="AH1406">_xlfn.IFS(LOWER(AG1406)="n","no",LOWER(AG1406)="y","yes",TRUE,LOWER(AG1406))</f>
        <v>no</v>
      </c>
      <c r="AI1406" s="37" t="s">
        <v>4692</v>
      </c>
    </row>
    <row r="1407" spans="1:35">
      <c r="A1407" s="46" t="s">
        <v>4270</v>
      </c>
      <c r="B1407" s="47">
        <v>45405</v>
      </c>
      <c r="C1407" s="39">
        <f t="shared" si="336"/>
        <v>45405</v>
      </c>
      <c r="D1407" s="48" t="s">
        <v>212</v>
      </c>
      <c r="E1407" s="37" t="str" cm="1">
        <f t="array" ref="E1407">_xlfn.IFS(D1407="delhi","north",D1407="mumbai","west",D1407="bengaluru","south",D1407="chennai","south",D1407="kolkata","east",TRUE,"west")</f>
        <v>west</v>
      </c>
      <c r="F1407" s="46" t="s">
        <v>312</v>
      </c>
      <c r="G1407" s="37" t="str">
        <f t="shared" si="337"/>
        <v>bluedart</v>
      </c>
      <c r="H1407" s="46" t="s">
        <v>42</v>
      </c>
      <c r="I1407" s="37" t="str">
        <f t="shared" si="338"/>
        <v>surface</v>
      </c>
      <c r="J1407" s="46" t="s">
        <v>498</v>
      </c>
      <c r="K1407" s="37" t="str">
        <f t="shared" si="339"/>
        <v>apparel</v>
      </c>
      <c r="L1407" s="46" t="s">
        <v>470</v>
      </c>
      <c r="M1407" s="37" t="str">
        <f t="shared" si="340"/>
        <v>east</v>
      </c>
      <c r="N1407" s="46" t="s">
        <v>396</v>
      </c>
      <c r="O1407" s="41" t="str">
        <f t="shared" si="341"/>
        <v>Yes</v>
      </c>
      <c r="P1407" s="49">
        <v>5.6</v>
      </c>
      <c r="Q1407" s="49">
        <v>299</v>
      </c>
      <c r="R1407" s="42">
        <f t="shared" si="342"/>
        <v>53.3928571428571</v>
      </c>
      <c r="S1407" s="46">
        <v>6</v>
      </c>
      <c r="T1407" s="46" t="s">
        <v>1945</v>
      </c>
      <c r="U1407" s="43" t="str">
        <f t="shared" si="343"/>
        <v>30-apr-2024</v>
      </c>
      <c r="V1407" s="43">
        <f t="shared" si="344"/>
        <v>45412</v>
      </c>
      <c r="W1407" s="44">
        <f t="array" ref="W1407">_xlfn.IFS(TRIM(C1407)="","",TRIM(V1407)="","",TRUE,V1407-C1407)</f>
        <v>7</v>
      </c>
      <c r="X1407" s="37">
        <f t="shared" si="345"/>
        <v>1</v>
      </c>
      <c r="Y1407" s="46" t="s">
        <v>200</v>
      </c>
      <c r="Z1407" s="37" t="str">
        <f t="shared" si="346"/>
        <v>delayed</v>
      </c>
      <c r="AA1407" s="37" t="str">
        <f t="shared" si="347"/>
        <v>Late</v>
      </c>
      <c r="AB1407" s="37" t="str">
        <f t="shared" si="350"/>
        <v>1</v>
      </c>
      <c r="AC1407" s="37">
        <f t="shared" si="351"/>
        <v>1</v>
      </c>
      <c r="AD1407" s="45">
        <f t="shared" si="349"/>
        <v>0.551546391752577</v>
      </c>
      <c r="AE1407" s="46">
        <v>4</v>
      </c>
      <c r="AF1407" s="46" t="s">
        <v>106</v>
      </c>
      <c r="AG1407" s="37" t="str">
        <f t="shared" si="348"/>
        <v>yes</v>
      </c>
      <c r="AH1407" s="37" t="str">
        <f t="array" ref="AH1407">_xlfn.IFS(LOWER(AG1407)="n","no",LOWER(AG1407)="y","yes",TRUE,LOWER(AG1407))</f>
        <v>yes</v>
      </c>
      <c r="AI1407" s="46" t="s">
        <v>4692</v>
      </c>
    </row>
    <row r="1408" spans="1:35">
      <c r="A1408" s="37" t="s">
        <v>4273</v>
      </c>
      <c r="B1408" s="38">
        <v>45451</v>
      </c>
      <c r="C1408" s="39">
        <f t="shared" si="336"/>
        <v>45451</v>
      </c>
      <c r="D1408" s="40" t="s">
        <v>340</v>
      </c>
      <c r="E1408" s="37" t="str" cm="1">
        <f t="array" ref="E1408">_xlfn.IFS(D1408="delhi","north",D1408="mumbai","west",D1408="bengaluru","south",D1408="chennai","south",D1408="kolkata","east",TRUE,"west")</f>
        <v>north</v>
      </c>
      <c r="F1408" s="37" t="s">
        <v>194</v>
      </c>
      <c r="G1408" s="37" t="str">
        <f t="shared" si="337"/>
        <v>xpressbees</v>
      </c>
      <c r="H1408" s="37" t="s">
        <v>42</v>
      </c>
      <c r="I1408" s="37" t="str">
        <f t="shared" si="338"/>
        <v>surface</v>
      </c>
      <c r="J1408" s="37" t="s">
        <v>47</v>
      </c>
      <c r="K1408" s="37" t="str">
        <f t="shared" si="339"/>
        <v>electronics</v>
      </c>
      <c r="L1408" s="37" t="s">
        <v>257</v>
      </c>
      <c r="M1408" s="37" t="str">
        <f t="shared" si="340"/>
        <v>west</v>
      </c>
      <c r="N1408" s="37" t="s">
        <v>278</v>
      </c>
      <c r="O1408" s="41" t="str">
        <f t="shared" si="341"/>
        <v>Yes</v>
      </c>
      <c r="P1408" s="41">
        <v>9.4</v>
      </c>
      <c r="Q1408" s="41" t="s">
        <v>3540</v>
      </c>
      <c r="R1408" s="42">
        <f t="shared" si="342"/>
        <v>38.936170212766</v>
      </c>
      <c r="S1408" s="37">
        <v>6</v>
      </c>
      <c r="T1408" s="37" t="s">
        <v>116</v>
      </c>
      <c r="U1408" s="43" t="str">
        <f t="shared" si="343"/>
        <v>2024-06-16</v>
      </c>
      <c r="V1408" s="43">
        <f t="shared" si="344"/>
        <v>45459</v>
      </c>
      <c r="W1408" s="44">
        <f t="array" ref="W1408">_xlfn.IFS(TRIM(C1408)="","",TRIM(V1408)="","",TRUE,V1408-C1408)</f>
        <v>8</v>
      </c>
      <c r="X1408" s="37">
        <f t="shared" si="345"/>
        <v>2</v>
      </c>
      <c r="Y1408" s="37" t="s">
        <v>172</v>
      </c>
      <c r="Z1408" s="37" t="str">
        <f t="shared" si="346"/>
        <v>delayed</v>
      </c>
      <c r="AA1408" s="37" t="str">
        <f t="shared" si="347"/>
        <v>Late</v>
      </c>
      <c r="AB1408" s="37" t="str">
        <f t="shared" si="350"/>
        <v>1</v>
      </c>
      <c r="AC1408" s="37">
        <f t="shared" si="351"/>
        <v>1</v>
      </c>
      <c r="AD1408" s="45">
        <f t="shared" si="349"/>
        <v>0.549222797927461</v>
      </c>
      <c r="AE1408" s="37">
        <v>5</v>
      </c>
      <c r="AF1408" s="37" t="s">
        <v>181</v>
      </c>
      <c r="AG1408" s="37" t="str">
        <f t="shared" si="348"/>
        <v>y</v>
      </c>
      <c r="AH1408" s="37" t="str">
        <f t="array" ref="AH1408">_xlfn.IFS(LOWER(AG1408)="n","no",LOWER(AG1408)="y","yes",TRUE,LOWER(AG1408))</f>
        <v>yes</v>
      </c>
      <c r="AI1408" s="37" t="s">
        <v>4692</v>
      </c>
    </row>
    <row r="1409" spans="1:35">
      <c r="A1409" s="46" t="s">
        <v>4275</v>
      </c>
      <c r="B1409" s="47">
        <v>45305</v>
      </c>
      <c r="C1409" s="39">
        <f t="shared" si="336"/>
        <v>45305</v>
      </c>
      <c r="D1409" s="48" t="s">
        <v>212</v>
      </c>
      <c r="E1409" s="37" t="str" cm="1">
        <f t="array" ref="E1409">_xlfn.IFS(D1409="delhi","north",D1409="mumbai","west",D1409="bengaluru","south",D1409="chennai","south",D1409="kolkata","east",TRUE,"west")</f>
        <v>west</v>
      </c>
      <c r="F1409" s="46" t="s">
        <v>156</v>
      </c>
      <c r="G1409" s="37" t="str">
        <f t="shared" si="337"/>
        <v>xpressbees</v>
      </c>
      <c r="H1409" s="46" t="s">
        <v>42</v>
      </c>
      <c r="I1409" s="37" t="str">
        <f t="shared" si="338"/>
        <v>surface</v>
      </c>
      <c r="J1409" s="46" t="s">
        <v>237</v>
      </c>
      <c r="K1409" s="37" t="str">
        <f t="shared" si="339"/>
        <v>automotiveparts</v>
      </c>
      <c r="L1409" s="46" t="s">
        <v>197</v>
      </c>
      <c r="M1409" s="37" t="str">
        <f t="shared" si="340"/>
        <v>south</v>
      </c>
      <c r="N1409" s="46" t="s">
        <v>327</v>
      </c>
      <c r="O1409" s="41" t="str">
        <f t="shared" si="341"/>
        <v>Yes</v>
      </c>
      <c r="P1409" s="49">
        <v>24.6</v>
      </c>
      <c r="Q1409" s="49">
        <v>727</v>
      </c>
      <c r="R1409" s="42">
        <f t="shared" si="342"/>
        <v>29.5528455284553</v>
      </c>
      <c r="S1409" s="46">
        <v>6</v>
      </c>
      <c r="T1409" s="46" t="s">
        <v>2221</v>
      </c>
      <c r="U1409" s="43" t="str">
        <f t="shared" si="343"/>
        <v>20/01/2024</v>
      </c>
      <c r="V1409" s="43">
        <f t="shared" si="344"/>
        <v>45311</v>
      </c>
      <c r="W1409" s="44">
        <f t="array" ref="W1409">_xlfn.IFS(TRIM(C1409)="","",TRIM(V1409)="","",TRUE,V1409-C1409)</f>
        <v>6</v>
      </c>
      <c r="X1409" s="37">
        <f t="shared" si="345"/>
        <v>0</v>
      </c>
      <c r="Y1409" s="46" t="s">
        <v>219</v>
      </c>
      <c r="Z1409" s="37" t="str">
        <f t="shared" si="346"/>
        <v>delivered</v>
      </c>
      <c r="AA1409" s="37" t="str">
        <f t="shared" si="347"/>
        <v>On Time</v>
      </c>
      <c r="AB1409" s="37" t="str">
        <f t="shared" si="350"/>
        <v>0</v>
      </c>
      <c r="AC1409" s="37">
        <f t="shared" si="351"/>
        <v>0</v>
      </c>
      <c r="AD1409" s="45">
        <f t="shared" si="349"/>
        <v>0.546875</v>
      </c>
      <c r="AE1409" s="46">
        <v>1</v>
      </c>
      <c r="AF1409" s="46" t="s">
        <v>181</v>
      </c>
      <c r="AG1409" s="37" t="str">
        <f t="shared" si="348"/>
        <v>y</v>
      </c>
      <c r="AH1409" s="37" t="str">
        <f t="array" ref="AH1409">_xlfn.IFS(LOWER(AG1409)="n","no",LOWER(AG1409)="y","yes",TRUE,LOWER(AG1409))</f>
        <v>yes</v>
      </c>
      <c r="AI1409" s="46" t="s">
        <v>4692</v>
      </c>
    </row>
    <row r="1410" spans="1:35">
      <c r="A1410" s="37" t="s">
        <v>4278</v>
      </c>
      <c r="B1410" s="38">
        <v>45437</v>
      </c>
      <c r="C1410" s="39">
        <f t="shared" ref="C1410:C1473" si="352">IF(ISNUMBER(B1410),B1410,DATE(RIGHT(TRIM(B1410),4),MID(TRIM(B1410),4,2),LEFT(TRIM(B1410),2)))</f>
        <v>45437</v>
      </c>
      <c r="D1410" s="40" t="s">
        <v>4695</v>
      </c>
      <c r="E1410" s="37" t="str" cm="1">
        <f t="array" ref="E1410">_xlfn.IFS(D1410="delhi","north",D1410="mumbai","west",D1410="bengaluru","south",D1410="chennai","south",D1410="kolkata","east",TRUE,"west")</f>
        <v>west</v>
      </c>
      <c r="F1410" s="37" t="s">
        <v>367</v>
      </c>
      <c r="G1410" s="37" t="str">
        <f t="shared" ref="G1410:G1473" si="353">SUBSTITUTE(LOWER(F1410)," ","")</f>
        <v>dtdc</v>
      </c>
      <c r="H1410" s="37" t="s">
        <v>195</v>
      </c>
      <c r="I1410" s="37" t="str">
        <f t="shared" ref="I1410:I1473" si="354">SUBSTITUTE(LOWER(H1410)," ","")</f>
        <v>road</v>
      </c>
      <c r="J1410" s="37" t="s">
        <v>205</v>
      </c>
      <c r="K1410" s="37" t="str">
        <f t="shared" ref="K1410:K1473" si="355">SUBSTITUTE(LOWER(J1410)," ","")</f>
        <v>furniture</v>
      </c>
      <c r="L1410" s="37" t="s">
        <v>257</v>
      </c>
      <c r="M1410" s="37" t="str">
        <f t="shared" ref="M1410:M1473" si="356">SUBSTITUTE(LOWER(L1410)," ","")</f>
        <v>west</v>
      </c>
      <c r="N1410" s="37" t="s">
        <v>88</v>
      </c>
      <c r="O1410" s="41" t="str">
        <f t="shared" ref="O1410:O1473" si="357">IF(OR(D1410="",M1410=""),"",IF(D1410=M1410,"No","Yes"))</f>
        <v>Yes</v>
      </c>
      <c r="P1410" s="41">
        <v>51</v>
      </c>
      <c r="Q1410" s="41" t="s">
        <v>4280</v>
      </c>
      <c r="R1410" s="42">
        <f t="shared" ref="R1410:R1473" si="358">IF(OR(Q1410="",P1410="",P1410=0),"",Q1410/P1410)</f>
        <v>14.9411764705882</v>
      </c>
      <c r="S1410" s="37">
        <v>6</v>
      </c>
      <c r="T1410" s="37" t="s">
        <v>3467</v>
      </c>
      <c r="U1410" s="43" t="str">
        <f t="shared" ref="U1410:U1473" si="359">SUBSTITUTE(LOWER(T1410)," ","")</f>
        <v>02/06/2024</v>
      </c>
      <c r="V1410" s="43">
        <f t="shared" ref="V1410:V1473" si="360">DATEVALUE(TEXT(U1410,"yyyy-mm-dd"))</f>
        <v>45445</v>
      </c>
      <c r="W1410" s="44">
        <f t="array" ref="W1410">_xlfn.IFS(TRIM(C1410)="","",TRIM(V1410)="","",TRUE,V1410-C1410)</f>
        <v>8</v>
      </c>
      <c r="X1410" s="37">
        <f t="shared" ref="X1410:X1473" si="361">IF(OR(W1410="",S1410=""),"",W1410-S1410)</f>
        <v>2</v>
      </c>
      <c r="Y1410" s="37" t="s">
        <v>172</v>
      </c>
      <c r="Z1410" s="37" t="str">
        <f t="shared" ref="Z1410:Z1473" si="362">SUBSTITUTE(LOWER(Y1410)," ","")</f>
        <v>delayed</v>
      </c>
      <c r="AA1410" s="37" t="str">
        <f t="shared" ref="AA1410:AA1473" si="363">IF(Z1410="In-Transit","N/A",IF(X1410="","",IF(X1410&gt;0,"Late","On Time")))</f>
        <v>Late</v>
      </c>
      <c r="AB1410" s="37" t="str">
        <f t="shared" si="350"/>
        <v>1</v>
      </c>
      <c r="AC1410" s="37">
        <f t="shared" si="351"/>
        <v>1</v>
      </c>
      <c r="AD1410" s="45">
        <f t="shared" si="349"/>
        <v>0.549738219895288</v>
      </c>
      <c r="AE1410" s="37">
        <v>3</v>
      </c>
      <c r="AF1410" s="37" t="s">
        <v>131</v>
      </c>
      <c r="AG1410" s="37" t="str">
        <f t="shared" ref="AG1410:AG1473" si="364">SUBSTITUTE(LOWER(AF1410)," ","")</f>
        <v>n</v>
      </c>
      <c r="AH1410" s="37" t="str">
        <f t="array" ref="AH1410">_xlfn.IFS(LOWER(AG1410)="n","no",LOWER(AG1410)="y","yes",TRUE,LOWER(AG1410))</f>
        <v>no</v>
      </c>
      <c r="AI1410" s="37" t="s">
        <v>4692</v>
      </c>
    </row>
    <row r="1411" spans="1:35">
      <c r="A1411" s="46" t="s">
        <v>4281</v>
      </c>
      <c r="B1411" s="47">
        <v>45446</v>
      </c>
      <c r="C1411" s="39">
        <f t="shared" si="352"/>
        <v>45446</v>
      </c>
      <c r="D1411" s="48" t="s">
        <v>340</v>
      </c>
      <c r="E1411" s="37" t="str" cm="1">
        <f t="array" ref="E1411">_xlfn.IFS(D1411="delhi","north",D1411="mumbai","west",D1411="bengaluru","south",D1411="chennai","south",D1411="kolkata","east",TRUE,"west")</f>
        <v>north</v>
      </c>
      <c r="F1411" s="46" t="s">
        <v>122</v>
      </c>
      <c r="G1411" s="37" t="str">
        <f t="shared" si="353"/>
        <v>delhivery</v>
      </c>
      <c r="H1411" s="46" t="s">
        <v>224</v>
      </c>
      <c r="I1411" s="37" t="str">
        <f t="shared" si="354"/>
        <v>air</v>
      </c>
      <c r="J1411" s="46" t="s">
        <v>186</v>
      </c>
      <c r="K1411" s="37" t="str">
        <f t="shared" si="355"/>
        <v>automotiveparts</v>
      </c>
      <c r="L1411" s="46" t="s">
        <v>92</v>
      </c>
      <c r="M1411" s="37" t="str">
        <f t="shared" si="356"/>
        <v>east</v>
      </c>
      <c r="N1411" s="46" t="s">
        <v>91</v>
      </c>
      <c r="O1411" s="41" t="str">
        <f t="shared" si="357"/>
        <v>Yes</v>
      </c>
      <c r="P1411" s="49">
        <v>26.7</v>
      </c>
      <c r="Q1411" s="49">
        <v>1355</v>
      </c>
      <c r="R1411" s="42">
        <f t="shared" si="358"/>
        <v>50.749063670412</v>
      </c>
      <c r="S1411" s="46">
        <v>4</v>
      </c>
      <c r="T1411" s="46" t="s">
        <v>3470</v>
      </c>
      <c r="U1411" s="43" t="str">
        <f t="shared" si="359"/>
        <v>06/06/2024</v>
      </c>
      <c r="V1411" s="43">
        <f t="shared" si="360"/>
        <v>45449</v>
      </c>
      <c r="W1411" s="44">
        <f t="array" ref="W1411">_xlfn.IFS(TRIM(C1411)="","",TRIM(V1411)="","",TRUE,V1411-C1411)</f>
        <v>3</v>
      </c>
      <c r="X1411" s="37">
        <f t="shared" si="361"/>
        <v>-1</v>
      </c>
      <c r="Y1411" s="46" t="s">
        <v>117</v>
      </c>
      <c r="Z1411" s="37" t="str">
        <f t="shared" si="362"/>
        <v>delivered</v>
      </c>
      <c r="AA1411" s="37" t="str">
        <f t="shared" si="363"/>
        <v>On Time</v>
      </c>
      <c r="AB1411" s="37" t="str">
        <f t="shared" si="350"/>
        <v>0</v>
      </c>
      <c r="AC1411" s="37">
        <f t="shared" si="351"/>
        <v>0</v>
      </c>
      <c r="AD1411" s="45">
        <f t="shared" ref="AD1411:AD1474" si="365">COUNTIF(AC1411:AC3010,1)/COUNT(AC1411:AC3010)</f>
        <v>0.547368421052632</v>
      </c>
      <c r="AE1411" s="46">
        <v>5</v>
      </c>
      <c r="AF1411" s="46" t="s">
        <v>131</v>
      </c>
      <c r="AG1411" s="37" t="str">
        <f t="shared" si="364"/>
        <v>n</v>
      </c>
      <c r="AH1411" s="37" t="str">
        <f t="array" ref="AH1411">_xlfn.IFS(LOWER(AG1411)="n","no",LOWER(AG1411)="y","yes",TRUE,LOWER(AG1411))</f>
        <v>no</v>
      </c>
      <c r="AI1411" s="46" t="s">
        <v>4692</v>
      </c>
    </row>
    <row r="1412" spans="1:35">
      <c r="A1412" s="37" t="s">
        <v>4284</v>
      </c>
      <c r="B1412" s="38" t="s">
        <v>4706</v>
      </c>
      <c r="C1412" s="39">
        <f t="shared" si="352"/>
        <v>45408</v>
      </c>
      <c r="D1412" s="40" t="s">
        <v>633</v>
      </c>
      <c r="E1412" s="37" t="str" cm="1">
        <f t="array" ref="E1412">_xlfn.IFS(D1412="delhi","north",D1412="mumbai","west",D1412="bengaluru","south",D1412="chennai","south",D1412="kolkata","east",TRUE,"west")</f>
        <v>south</v>
      </c>
      <c r="F1412" s="37" t="s">
        <v>223</v>
      </c>
      <c r="G1412" s="37" t="str">
        <f t="shared" si="353"/>
        <v>xpressbees</v>
      </c>
      <c r="H1412" s="37" t="s">
        <v>244</v>
      </c>
      <c r="I1412" s="37" t="str">
        <f t="shared" si="354"/>
        <v>air</v>
      </c>
      <c r="J1412" s="37" t="s">
        <v>167</v>
      </c>
      <c r="K1412" s="37" t="str">
        <f t="shared" si="355"/>
        <v>pharma</v>
      </c>
      <c r="L1412" s="37" t="s">
        <v>346</v>
      </c>
      <c r="M1412" s="37" t="str">
        <f t="shared" si="356"/>
        <v>north</v>
      </c>
      <c r="N1412" s="37" t="s">
        <v>215</v>
      </c>
      <c r="O1412" s="41" t="str">
        <f t="shared" si="357"/>
        <v>Yes</v>
      </c>
      <c r="P1412" s="41">
        <v>0.7</v>
      </c>
      <c r="Q1412" s="41" t="s">
        <v>1299</v>
      </c>
      <c r="R1412" s="42">
        <f t="shared" si="358"/>
        <v>227.142857142857</v>
      </c>
      <c r="S1412" s="37">
        <v>4</v>
      </c>
      <c r="T1412" s="37" t="s">
        <v>2848</v>
      </c>
      <c r="U1412" s="43" t="str">
        <f t="shared" si="359"/>
        <v>01/05/2024</v>
      </c>
      <c r="V1412" s="43">
        <f t="shared" si="360"/>
        <v>45413</v>
      </c>
      <c r="W1412" s="44">
        <f t="array" ref="W1412">_xlfn.IFS(TRIM(C1412)="","",TRIM(V1412)="","",TRUE,V1412-C1412)</f>
        <v>5</v>
      </c>
      <c r="X1412" s="37">
        <f t="shared" si="361"/>
        <v>1</v>
      </c>
      <c r="Y1412" s="37" t="s">
        <v>200</v>
      </c>
      <c r="Z1412" s="37" t="str">
        <f t="shared" si="362"/>
        <v>delayed</v>
      </c>
      <c r="AA1412" s="37" t="str">
        <f t="shared" si="363"/>
        <v>Late</v>
      </c>
      <c r="AB1412" s="37" t="str">
        <f t="shared" si="350"/>
        <v>1</v>
      </c>
      <c r="AC1412" s="37">
        <f t="shared" si="351"/>
        <v>1</v>
      </c>
      <c r="AD1412" s="45">
        <f t="shared" si="365"/>
        <v>0.55026455026455</v>
      </c>
      <c r="AE1412" s="37">
        <v>3</v>
      </c>
      <c r="AF1412" s="37" t="s">
        <v>152</v>
      </c>
      <c r="AG1412" s="37" t="str">
        <f t="shared" si="364"/>
        <v>no</v>
      </c>
      <c r="AH1412" s="37" t="str">
        <f t="array" ref="AH1412">_xlfn.IFS(LOWER(AG1412)="n","no",LOWER(AG1412)="y","yes",TRUE,LOWER(AG1412))</f>
        <v>no</v>
      </c>
      <c r="AI1412" s="37" t="s">
        <v>4692</v>
      </c>
    </row>
    <row r="1413" spans="1:35">
      <c r="A1413" s="46" t="s">
        <v>4285</v>
      </c>
      <c r="B1413" s="47" t="s">
        <v>4826</v>
      </c>
      <c r="C1413" s="39">
        <f t="shared" si="352"/>
        <v>45385</v>
      </c>
      <c r="D1413" s="48" t="s">
        <v>366</v>
      </c>
      <c r="E1413" s="37" t="str" cm="1">
        <f t="array" ref="E1413">_xlfn.IFS(D1413="delhi","north",D1413="mumbai","west",D1413="bengaluru","south",D1413="chennai","south",D1413="kolkata","east",TRUE,"west")</f>
        <v>east</v>
      </c>
      <c r="F1413" s="46" t="s">
        <v>919</v>
      </c>
      <c r="G1413" s="37" t="str">
        <f t="shared" si="353"/>
        <v>xpressbees</v>
      </c>
      <c r="H1413" s="46" t="s">
        <v>195</v>
      </c>
      <c r="I1413" s="37" t="str">
        <f t="shared" si="354"/>
        <v>road</v>
      </c>
      <c r="J1413" s="46" t="s">
        <v>1734</v>
      </c>
      <c r="K1413" s="37" t="str">
        <f t="shared" si="355"/>
        <v>automotiveparts</v>
      </c>
      <c r="L1413" s="46" t="s">
        <v>380</v>
      </c>
      <c r="M1413" s="37" t="str">
        <f t="shared" si="356"/>
        <v>east</v>
      </c>
      <c r="N1413" s="46" t="s">
        <v>294</v>
      </c>
      <c r="O1413" s="41" t="str">
        <f t="shared" si="357"/>
        <v>Yes</v>
      </c>
      <c r="P1413" s="49" t="s">
        <v>2352</v>
      </c>
      <c r="Q1413" s="49" t="s">
        <v>4286</v>
      </c>
      <c r="R1413" s="42">
        <f t="shared" si="358"/>
        <v>17.2192513368984</v>
      </c>
      <c r="S1413" s="46">
        <v>6</v>
      </c>
      <c r="T1413" s="46" t="s">
        <v>1228</v>
      </c>
      <c r="U1413" s="43" t="str">
        <f t="shared" si="359"/>
        <v>08-apr-2024</v>
      </c>
      <c r="V1413" s="43">
        <f t="shared" si="360"/>
        <v>45390</v>
      </c>
      <c r="W1413" s="44">
        <f t="array" ref="W1413">_xlfn.IFS(TRIM(C1413)="","",TRIM(V1413)="","",TRUE,V1413-C1413)</f>
        <v>5</v>
      </c>
      <c r="X1413" s="37">
        <f t="shared" si="361"/>
        <v>-1</v>
      </c>
      <c r="Y1413" s="46" t="s">
        <v>219</v>
      </c>
      <c r="Z1413" s="37" t="str">
        <f t="shared" si="362"/>
        <v>delivered</v>
      </c>
      <c r="AA1413" s="37" t="str">
        <f t="shared" si="363"/>
        <v>On Time</v>
      </c>
      <c r="AB1413" s="37" t="str">
        <f t="shared" si="350"/>
        <v>0</v>
      </c>
      <c r="AC1413" s="37">
        <f t="shared" si="351"/>
        <v>0</v>
      </c>
      <c r="AD1413" s="45">
        <f t="shared" si="365"/>
        <v>0.547872340425532</v>
      </c>
      <c r="AE1413" s="46">
        <v>5</v>
      </c>
      <c r="AF1413" s="46" t="s">
        <v>131</v>
      </c>
      <c r="AG1413" s="37" t="str">
        <f t="shared" si="364"/>
        <v>n</v>
      </c>
      <c r="AH1413" s="37" t="str">
        <f t="array" ref="AH1413">_xlfn.IFS(LOWER(AG1413)="n","no",LOWER(AG1413)="y","yes",TRUE,LOWER(AG1413))</f>
        <v>no</v>
      </c>
      <c r="AI1413" s="46" t="s">
        <v>4692</v>
      </c>
    </row>
    <row r="1414" spans="1:35">
      <c r="A1414" s="37" t="s">
        <v>4287</v>
      </c>
      <c r="B1414" s="38">
        <v>45311</v>
      </c>
      <c r="C1414" s="39">
        <f t="shared" si="352"/>
        <v>45311</v>
      </c>
      <c r="D1414" s="40" t="s">
        <v>340</v>
      </c>
      <c r="E1414" s="37" t="str" cm="1">
        <f t="array" ref="E1414">_xlfn.IFS(D1414="delhi","north",D1414="mumbai","west",D1414="bengaluru","south",D1414="chennai","south",D1414="kolkata","east",TRUE,"west")</f>
        <v>north</v>
      </c>
      <c r="F1414" s="37" t="s">
        <v>312</v>
      </c>
      <c r="G1414" s="37" t="str">
        <f t="shared" si="353"/>
        <v>bluedart</v>
      </c>
      <c r="H1414" s="37" t="s">
        <v>99</v>
      </c>
      <c r="I1414" s="37" t="str">
        <f t="shared" si="354"/>
        <v>air</v>
      </c>
      <c r="J1414" s="37" t="s">
        <v>138</v>
      </c>
      <c r="K1414" s="37" t="str">
        <f t="shared" si="355"/>
        <v>apparel</v>
      </c>
      <c r="L1414" s="37" t="s">
        <v>197</v>
      </c>
      <c r="M1414" s="37" t="str">
        <f t="shared" si="356"/>
        <v>south</v>
      </c>
      <c r="N1414" s="37" t="s">
        <v>93</v>
      </c>
      <c r="O1414" s="41" t="str">
        <f t="shared" si="357"/>
        <v>Yes</v>
      </c>
      <c r="P1414" s="41">
        <v>7.9</v>
      </c>
      <c r="Q1414" s="41">
        <v>518</v>
      </c>
      <c r="R1414" s="42">
        <f t="shared" si="358"/>
        <v>65.5696202531646</v>
      </c>
      <c r="S1414" s="37">
        <v>4</v>
      </c>
      <c r="T1414" s="37" t="s">
        <v>3080</v>
      </c>
      <c r="U1414" s="43" t="str">
        <f t="shared" si="359"/>
        <v>2024-01-23</v>
      </c>
      <c r="V1414" s="43">
        <f t="shared" si="360"/>
        <v>45314</v>
      </c>
      <c r="W1414" s="44">
        <f t="array" ref="W1414">_xlfn.IFS(TRIM(C1414)="","",TRIM(V1414)="","",TRUE,V1414-C1414)</f>
        <v>3</v>
      </c>
      <c r="X1414" s="37">
        <f t="shared" si="361"/>
        <v>-1</v>
      </c>
      <c r="Y1414" s="37" t="s">
        <v>117</v>
      </c>
      <c r="Z1414" s="37" t="str">
        <f t="shared" si="362"/>
        <v>delivered</v>
      </c>
      <c r="AA1414" s="37" t="str">
        <f t="shared" si="363"/>
        <v>On Time</v>
      </c>
      <c r="AB1414" s="37" t="str">
        <f t="shared" ref="AB1414:AB1477" si="366">IF(Z1414="In-Transit","N/A",IF(X1414="","",IF(X1414&gt;0,"1","0")))</f>
        <v>0</v>
      </c>
      <c r="AC1414" s="37">
        <f t="shared" si="351"/>
        <v>0</v>
      </c>
      <c r="AD1414" s="45">
        <f t="shared" si="365"/>
        <v>0.550802139037433</v>
      </c>
      <c r="AE1414" s="37">
        <v>2</v>
      </c>
      <c r="AF1414" s="37" t="s">
        <v>152</v>
      </c>
      <c r="AG1414" s="37" t="str">
        <f t="shared" si="364"/>
        <v>no</v>
      </c>
      <c r="AH1414" s="37" t="str">
        <f t="array" ref="AH1414">_xlfn.IFS(LOWER(AG1414)="n","no",LOWER(AG1414)="y","yes",TRUE,LOWER(AG1414))</f>
        <v>no</v>
      </c>
      <c r="AI1414" s="37" t="s">
        <v>4692</v>
      </c>
    </row>
    <row r="1415" spans="1:35">
      <c r="A1415" s="46" t="s">
        <v>4289</v>
      </c>
      <c r="B1415" s="47">
        <v>45466</v>
      </c>
      <c r="C1415" s="39">
        <f t="shared" si="352"/>
        <v>45466</v>
      </c>
      <c r="D1415" s="48" t="s">
        <v>366</v>
      </c>
      <c r="E1415" s="37" t="str" cm="1">
        <f t="array" ref="E1415">_xlfn.IFS(D1415="delhi","north",D1415="mumbai","west",D1415="bengaluru","south",D1415="chennai","south",D1415="kolkata","east",TRUE,"west")</f>
        <v>east</v>
      </c>
      <c r="F1415" s="46" t="s">
        <v>333</v>
      </c>
      <c r="G1415" s="37" t="str">
        <f t="shared" si="353"/>
        <v>delhivery</v>
      </c>
      <c r="H1415" s="46" t="s">
        <v>176</v>
      </c>
      <c r="I1415" s="37" t="str">
        <f t="shared" si="354"/>
        <v>road</v>
      </c>
      <c r="J1415" s="46" t="s">
        <v>263</v>
      </c>
      <c r="K1415" s="37" t="str">
        <f t="shared" si="355"/>
        <v>apparel</v>
      </c>
      <c r="L1415" s="46" t="s">
        <v>101</v>
      </c>
      <c r="M1415" s="37" t="str">
        <f t="shared" si="356"/>
        <v>west</v>
      </c>
      <c r="N1415" s="46" t="s">
        <v>187</v>
      </c>
      <c r="O1415" s="41" t="str">
        <f t="shared" si="357"/>
        <v>Yes</v>
      </c>
      <c r="P1415" s="49">
        <v>2.1</v>
      </c>
      <c r="Q1415" s="49" t="s">
        <v>4290</v>
      </c>
      <c r="R1415" s="42">
        <f t="shared" si="358"/>
        <v>104.285714285714</v>
      </c>
      <c r="S1415" s="46">
        <v>8</v>
      </c>
      <c r="T1415" s="46" t="s">
        <v>4291</v>
      </c>
      <c r="U1415" s="43" t="str">
        <f t="shared" si="359"/>
        <v>01-jul-2024</v>
      </c>
      <c r="V1415" s="43">
        <f t="shared" si="360"/>
        <v>45474</v>
      </c>
      <c r="W1415" s="44">
        <f t="array" ref="W1415">_xlfn.IFS(TRIM(C1415)="","",TRIM(V1415)="","",TRUE,V1415-C1415)</f>
        <v>8</v>
      </c>
      <c r="X1415" s="37">
        <f t="shared" si="361"/>
        <v>0</v>
      </c>
      <c r="Y1415" s="46" t="s">
        <v>117</v>
      </c>
      <c r="Z1415" s="37" t="str">
        <f t="shared" si="362"/>
        <v>delivered</v>
      </c>
      <c r="AA1415" s="37" t="str">
        <f t="shared" si="363"/>
        <v>On Time</v>
      </c>
      <c r="AB1415" s="37" t="str">
        <f t="shared" si="366"/>
        <v>0</v>
      </c>
      <c r="AC1415" s="37">
        <f t="shared" ref="AC1415:AC1478" si="367">IF(TRIM(AB1415&amp;"")="","",VALUE(TRIM(AB1415&amp;"")))</f>
        <v>0</v>
      </c>
      <c r="AD1415" s="45">
        <f t="shared" si="365"/>
        <v>0.553763440860215</v>
      </c>
      <c r="AE1415" s="46">
        <v>5</v>
      </c>
      <c r="AF1415" s="46" t="s">
        <v>106</v>
      </c>
      <c r="AG1415" s="37" t="str">
        <f t="shared" si="364"/>
        <v>yes</v>
      </c>
      <c r="AH1415" s="37" t="str">
        <f t="array" ref="AH1415">_xlfn.IFS(LOWER(AG1415)="n","no",LOWER(AG1415)="y","yes",TRUE,LOWER(AG1415))</f>
        <v>yes</v>
      </c>
      <c r="AI1415" s="46" t="s">
        <v>4692</v>
      </c>
    </row>
    <row r="1416" spans="1:35">
      <c r="A1416" s="37" t="s">
        <v>4292</v>
      </c>
      <c r="B1416" s="38">
        <v>45371</v>
      </c>
      <c r="C1416" s="39">
        <f t="shared" si="352"/>
        <v>45371</v>
      </c>
      <c r="D1416" s="40" t="s">
        <v>424</v>
      </c>
      <c r="E1416" s="37" t="str" cm="1">
        <f t="array" ref="E1416">_xlfn.IFS(D1416="delhi","north",D1416="mumbai","west",D1416="bengaluru","south",D1416="chennai","south",D1416="kolkata","east",TRUE,"west")</f>
        <v>south</v>
      </c>
      <c r="F1416" s="37" t="s">
        <v>223</v>
      </c>
      <c r="G1416" s="37" t="str">
        <f t="shared" si="353"/>
        <v>xpressbees</v>
      </c>
      <c r="H1416" s="37" t="s">
        <v>185</v>
      </c>
      <c r="I1416" s="37" t="str">
        <f t="shared" si="354"/>
        <v>surface</v>
      </c>
      <c r="J1416" s="37" t="s">
        <v>148</v>
      </c>
      <c r="K1416" s="37" t="str">
        <f t="shared" si="355"/>
        <v>electronics</v>
      </c>
      <c r="L1416" s="37" t="s">
        <v>125</v>
      </c>
      <c r="M1416" s="37" t="str">
        <f t="shared" si="356"/>
        <v>east</v>
      </c>
      <c r="N1416" s="37" t="s">
        <v>396</v>
      </c>
      <c r="O1416" s="41" t="str">
        <f t="shared" si="357"/>
        <v>Yes</v>
      </c>
      <c r="P1416" s="41">
        <v>10.8</v>
      </c>
      <c r="Q1416" s="41">
        <v>429</v>
      </c>
      <c r="R1416" s="42">
        <f t="shared" si="358"/>
        <v>39.7222222222222</v>
      </c>
      <c r="S1416" s="37">
        <v>6</v>
      </c>
      <c r="T1416" s="37" t="s">
        <v>681</v>
      </c>
      <c r="U1416" s="43" t="str">
        <f t="shared" si="359"/>
        <v>25-mar-2024</v>
      </c>
      <c r="V1416" s="43">
        <f t="shared" si="360"/>
        <v>45376</v>
      </c>
      <c r="W1416" s="44">
        <f t="array" ref="W1416">_xlfn.IFS(TRIM(C1416)="","",TRIM(V1416)="","",TRUE,V1416-C1416)</f>
        <v>5</v>
      </c>
      <c r="X1416" s="37">
        <f t="shared" si="361"/>
        <v>-1</v>
      </c>
      <c r="Y1416" s="37" t="s">
        <v>163</v>
      </c>
      <c r="Z1416" s="37" t="str">
        <f t="shared" si="362"/>
        <v>delivered</v>
      </c>
      <c r="AA1416" s="37" t="str">
        <f t="shared" si="363"/>
        <v>On Time</v>
      </c>
      <c r="AB1416" s="37" t="str">
        <f t="shared" si="366"/>
        <v>0</v>
      </c>
      <c r="AC1416" s="37">
        <f t="shared" si="367"/>
        <v>0</v>
      </c>
      <c r="AD1416" s="45">
        <f t="shared" si="365"/>
        <v>0.556756756756757</v>
      </c>
      <c r="AE1416" s="37">
        <v>5</v>
      </c>
      <c r="AF1416" s="37" t="s">
        <v>181</v>
      </c>
      <c r="AG1416" s="37" t="str">
        <f t="shared" si="364"/>
        <v>y</v>
      </c>
      <c r="AH1416" s="37" t="str">
        <f t="array" ref="AH1416">_xlfn.IFS(LOWER(AG1416)="n","no",LOWER(AG1416)="y","yes",TRUE,LOWER(AG1416))</f>
        <v>yes</v>
      </c>
      <c r="AI1416" s="37" t="s">
        <v>4692</v>
      </c>
    </row>
    <row r="1417" spans="1:35">
      <c r="A1417" s="46" t="s">
        <v>4294</v>
      </c>
      <c r="B1417" s="47">
        <v>45369</v>
      </c>
      <c r="C1417" s="39">
        <f t="shared" si="352"/>
        <v>45369</v>
      </c>
      <c r="D1417" s="48" t="s">
        <v>212</v>
      </c>
      <c r="E1417" s="37" t="str" cm="1">
        <f t="array" ref="E1417">_xlfn.IFS(D1417="delhi","north",D1417="mumbai","west",D1417="bengaluru","south",D1417="chennai","south",D1417="kolkata","east",TRUE,"west")</f>
        <v>west</v>
      </c>
      <c r="F1417" s="46" t="s">
        <v>367</v>
      </c>
      <c r="G1417" s="37" t="str">
        <f t="shared" si="353"/>
        <v>dtdc</v>
      </c>
      <c r="H1417" s="46" t="s">
        <v>440</v>
      </c>
      <c r="I1417" s="37" t="str">
        <f t="shared" si="354"/>
        <v>road</v>
      </c>
      <c r="J1417" s="46"/>
      <c r="K1417" s="37" t="str">
        <f t="shared" si="355"/>
        <v/>
      </c>
      <c r="L1417" s="46" t="s">
        <v>470</v>
      </c>
      <c r="M1417" s="37" t="str">
        <f t="shared" si="356"/>
        <v>east</v>
      </c>
      <c r="N1417" s="46" t="s">
        <v>294</v>
      </c>
      <c r="O1417" s="41" t="str">
        <f t="shared" si="357"/>
        <v>Yes</v>
      </c>
      <c r="P1417" s="49" t="s">
        <v>436</v>
      </c>
      <c r="Q1417" s="49" t="s">
        <v>2931</v>
      </c>
      <c r="R1417" s="42">
        <f t="shared" si="358"/>
        <v>69</v>
      </c>
      <c r="S1417" s="46">
        <v>8</v>
      </c>
      <c r="T1417" s="46" t="s">
        <v>1765</v>
      </c>
      <c r="U1417" s="43" t="str">
        <f t="shared" si="359"/>
        <v>02/04/2024</v>
      </c>
      <c r="V1417" s="43">
        <f t="shared" si="360"/>
        <v>45384</v>
      </c>
      <c r="W1417" s="44">
        <f t="array" ref="W1417">_xlfn.IFS(TRIM(C1417)="","",TRIM(V1417)="","",TRUE,V1417-C1417)</f>
        <v>15</v>
      </c>
      <c r="X1417" s="37">
        <f t="shared" si="361"/>
        <v>7</v>
      </c>
      <c r="Y1417" s="46" t="s">
        <v>172</v>
      </c>
      <c r="Z1417" s="37" t="str">
        <f t="shared" si="362"/>
        <v>delayed</v>
      </c>
      <c r="AA1417" s="37" t="str">
        <f t="shared" si="363"/>
        <v>Late</v>
      </c>
      <c r="AB1417" s="37" t="str">
        <f t="shared" si="366"/>
        <v>1</v>
      </c>
      <c r="AC1417" s="37">
        <f t="shared" si="367"/>
        <v>1</v>
      </c>
      <c r="AD1417" s="45">
        <f t="shared" si="365"/>
        <v>0.559782608695652</v>
      </c>
      <c r="AE1417" s="46">
        <v>3</v>
      </c>
      <c r="AF1417" s="46" t="s">
        <v>79</v>
      </c>
      <c r="AG1417" s="37" t="str">
        <f t="shared" si="364"/>
        <v>yes</v>
      </c>
      <c r="AH1417" s="37" t="str">
        <f t="array" ref="AH1417">_xlfn.IFS(LOWER(AG1417)="n","no",LOWER(AG1417)="y","yes",TRUE,LOWER(AG1417))</f>
        <v>yes</v>
      </c>
      <c r="AI1417" s="46" t="s">
        <v>4692</v>
      </c>
    </row>
    <row r="1418" spans="1:35">
      <c r="A1418" s="37" t="s">
        <v>4295</v>
      </c>
      <c r="B1418" s="38">
        <v>45359</v>
      </c>
      <c r="C1418" s="39">
        <f t="shared" si="352"/>
        <v>45359</v>
      </c>
      <c r="D1418" s="40" t="s">
        <v>212</v>
      </c>
      <c r="E1418" s="37" t="str" cm="1">
        <f t="array" ref="E1418">_xlfn.IFS(D1418="delhi","north",D1418="mumbai","west",D1418="bengaluru","south",D1418="chennai","south",D1418="kolkata","east",TRUE,"west")</f>
        <v>west</v>
      </c>
      <c r="F1418" s="37" t="s">
        <v>37</v>
      </c>
      <c r="G1418" s="37" t="str">
        <f t="shared" si="353"/>
        <v>bluedart</v>
      </c>
      <c r="H1418" s="37" t="s">
        <v>123</v>
      </c>
      <c r="I1418" s="37" t="str">
        <f t="shared" si="354"/>
        <v>air</v>
      </c>
      <c r="J1418" s="37" t="s">
        <v>430</v>
      </c>
      <c r="K1418" s="37" t="str">
        <f t="shared" si="355"/>
        <v>pharma</v>
      </c>
      <c r="L1418" s="37" t="s">
        <v>112</v>
      </c>
      <c r="M1418" s="37" t="str">
        <f t="shared" si="356"/>
        <v>north</v>
      </c>
      <c r="N1418" s="37" t="s">
        <v>215</v>
      </c>
      <c r="O1418" s="41" t="str">
        <f t="shared" si="357"/>
        <v>Yes</v>
      </c>
      <c r="P1418" s="41" t="s">
        <v>682</v>
      </c>
      <c r="Q1418" s="41">
        <v>247</v>
      </c>
      <c r="R1418" s="42">
        <f t="shared" si="358"/>
        <v>137.222222222222</v>
      </c>
      <c r="S1418" s="37">
        <v>4</v>
      </c>
      <c r="T1418" s="37" t="s">
        <v>1838</v>
      </c>
      <c r="U1418" s="43" t="str">
        <f t="shared" si="359"/>
        <v>11/03/2024</v>
      </c>
      <c r="V1418" s="43">
        <f t="shared" si="360"/>
        <v>45362</v>
      </c>
      <c r="W1418" s="44">
        <f t="array" ref="W1418">_xlfn.IFS(TRIM(C1418)="","",TRIM(V1418)="","",TRUE,V1418-C1418)</f>
        <v>3</v>
      </c>
      <c r="X1418" s="37">
        <f t="shared" si="361"/>
        <v>-1</v>
      </c>
      <c r="Y1418" s="37" t="s">
        <v>219</v>
      </c>
      <c r="Z1418" s="37" t="str">
        <f t="shared" si="362"/>
        <v>delivered</v>
      </c>
      <c r="AA1418" s="37" t="str">
        <f t="shared" si="363"/>
        <v>On Time</v>
      </c>
      <c r="AB1418" s="37" t="str">
        <f t="shared" si="366"/>
        <v>0</v>
      </c>
      <c r="AC1418" s="37">
        <f t="shared" si="367"/>
        <v>0</v>
      </c>
      <c r="AD1418" s="45">
        <f t="shared" si="365"/>
        <v>0.557377049180328</v>
      </c>
      <c r="AE1418" s="37">
        <v>4</v>
      </c>
      <c r="AF1418" s="37" t="s">
        <v>286</v>
      </c>
      <c r="AG1418" s="37" t="str">
        <f t="shared" si="364"/>
        <v>yes</v>
      </c>
      <c r="AH1418" s="37" t="str">
        <f t="array" ref="AH1418">_xlfn.IFS(LOWER(AG1418)="n","no",LOWER(AG1418)="y","yes",TRUE,LOWER(AG1418))</f>
        <v>yes</v>
      </c>
      <c r="AI1418" s="37" t="s">
        <v>4692</v>
      </c>
    </row>
    <row r="1419" spans="1:35">
      <c r="A1419" s="46" t="s">
        <v>4296</v>
      </c>
      <c r="B1419" s="47" t="s">
        <v>4752</v>
      </c>
      <c r="C1419" s="39">
        <f t="shared" si="352"/>
        <v>45360</v>
      </c>
      <c r="D1419" s="48" t="s">
        <v>109</v>
      </c>
      <c r="E1419" s="37" t="str" cm="1">
        <f t="array" ref="E1419">_xlfn.IFS(D1419="delhi","north",D1419="mumbai","west",D1419="bengaluru","south",D1419="chennai","south",D1419="kolkata","east",TRUE,"west")</f>
        <v>west</v>
      </c>
      <c r="F1419" s="46" t="s">
        <v>37</v>
      </c>
      <c r="G1419" s="37" t="str">
        <f t="shared" si="353"/>
        <v>bluedart</v>
      </c>
      <c r="H1419" s="46" t="s">
        <v>42</v>
      </c>
      <c r="I1419" s="37" t="str">
        <f t="shared" si="354"/>
        <v>surface</v>
      </c>
      <c r="J1419" s="46" t="s">
        <v>186</v>
      </c>
      <c r="K1419" s="37" t="str">
        <f t="shared" si="355"/>
        <v>automotiveparts</v>
      </c>
      <c r="L1419" s="46" t="s">
        <v>302</v>
      </c>
      <c r="M1419" s="37" t="str">
        <f t="shared" si="356"/>
        <v>east</v>
      </c>
      <c r="N1419" s="46" t="s">
        <v>396</v>
      </c>
      <c r="O1419" s="41" t="str">
        <f t="shared" si="357"/>
        <v>Yes</v>
      </c>
      <c r="P1419" s="49">
        <v>5.4</v>
      </c>
      <c r="Q1419" s="49">
        <v>280</v>
      </c>
      <c r="R1419" s="42">
        <f t="shared" si="358"/>
        <v>51.8518518518518</v>
      </c>
      <c r="S1419" s="46">
        <v>6</v>
      </c>
      <c r="T1419" s="46" t="s">
        <v>2535</v>
      </c>
      <c r="U1419" s="43" t="str">
        <f t="shared" si="359"/>
        <v>2024-03-16</v>
      </c>
      <c r="V1419" s="43">
        <f t="shared" si="360"/>
        <v>45367</v>
      </c>
      <c r="W1419" s="44">
        <f t="array" ref="W1419">_xlfn.IFS(TRIM(C1419)="","",TRIM(V1419)="","",TRUE,V1419-C1419)</f>
        <v>7</v>
      </c>
      <c r="X1419" s="37">
        <f t="shared" si="361"/>
        <v>1</v>
      </c>
      <c r="Y1419" s="46" t="s">
        <v>143</v>
      </c>
      <c r="Z1419" s="37" t="str">
        <f t="shared" si="362"/>
        <v>delayed</v>
      </c>
      <c r="AA1419" s="37" t="str">
        <f t="shared" si="363"/>
        <v>Late</v>
      </c>
      <c r="AB1419" s="37" t="str">
        <f t="shared" si="366"/>
        <v>1</v>
      </c>
      <c r="AC1419" s="37">
        <f t="shared" si="367"/>
        <v>1</v>
      </c>
      <c r="AD1419" s="45">
        <f t="shared" si="365"/>
        <v>0.56043956043956</v>
      </c>
      <c r="AE1419" s="46">
        <v>3</v>
      </c>
      <c r="AF1419" s="46" t="s">
        <v>286</v>
      </c>
      <c r="AG1419" s="37" t="str">
        <f t="shared" si="364"/>
        <v>yes</v>
      </c>
      <c r="AH1419" s="37" t="str">
        <f t="array" ref="AH1419">_xlfn.IFS(LOWER(AG1419)="n","no",LOWER(AG1419)="y","yes",TRUE,LOWER(AG1419))</f>
        <v>yes</v>
      </c>
      <c r="AI1419" s="46" t="s">
        <v>4692</v>
      </c>
    </row>
    <row r="1420" spans="1:35">
      <c r="A1420" s="37" t="s">
        <v>4298</v>
      </c>
      <c r="B1420" s="38" t="s">
        <v>4734</v>
      </c>
      <c r="C1420" s="39">
        <f t="shared" si="352"/>
        <v>45454</v>
      </c>
      <c r="D1420" s="40" t="s">
        <v>424</v>
      </c>
      <c r="E1420" s="37" t="str" cm="1">
        <f t="array" ref="E1420">_xlfn.IFS(D1420="delhi","north",D1420="mumbai","west",D1420="bengaluru","south",D1420="chennai","south",D1420="kolkata","east",TRUE,"west")</f>
        <v>south</v>
      </c>
      <c r="F1420" s="37" t="s">
        <v>156</v>
      </c>
      <c r="G1420" s="37" t="str">
        <f t="shared" si="353"/>
        <v>xpressbees</v>
      </c>
      <c r="H1420" s="37" t="s">
        <v>157</v>
      </c>
      <c r="I1420" s="37" t="str">
        <f t="shared" si="354"/>
        <v>surface</v>
      </c>
      <c r="J1420" s="37" t="s">
        <v>592</v>
      </c>
      <c r="K1420" s="37" t="str">
        <f t="shared" si="355"/>
        <v>grocery&amp;fmcg</v>
      </c>
      <c r="L1420" s="37" t="s">
        <v>470</v>
      </c>
      <c r="M1420" s="37" t="str">
        <f t="shared" si="356"/>
        <v>east</v>
      </c>
      <c r="N1420" s="37" t="s">
        <v>126</v>
      </c>
      <c r="O1420" s="41" t="str">
        <f t="shared" si="357"/>
        <v>Yes</v>
      </c>
      <c r="P1420" s="41" t="s">
        <v>1070</v>
      </c>
      <c r="Q1420" s="41">
        <v>282</v>
      </c>
      <c r="R1420" s="42">
        <f t="shared" si="358"/>
        <v>57.5510204081633</v>
      </c>
      <c r="S1420" s="37">
        <v>6</v>
      </c>
      <c r="T1420" s="37" t="s">
        <v>1619</v>
      </c>
      <c r="U1420" s="43" t="str">
        <f t="shared" si="359"/>
        <v>16-jun-2024</v>
      </c>
      <c r="V1420" s="43">
        <f t="shared" si="360"/>
        <v>45459</v>
      </c>
      <c r="W1420" s="44">
        <f t="array" ref="W1420">_xlfn.IFS(TRIM(C1420)="","",TRIM(V1420)="","",TRUE,V1420-C1420)</f>
        <v>5</v>
      </c>
      <c r="X1420" s="37">
        <f t="shared" si="361"/>
        <v>-1</v>
      </c>
      <c r="Y1420" s="37" t="s">
        <v>117</v>
      </c>
      <c r="Z1420" s="37" t="str">
        <f t="shared" si="362"/>
        <v>delivered</v>
      </c>
      <c r="AA1420" s="37" t="str">
        <f t="shared" si="363"/>
        <v>On Time</v>
      </c>
      <c r="AB1420" s="37" t="str">
        <f t="shared" si="366"/>
        <v>0</v>
      </c>
      <c r="AC1420" s="37">
        <f t="shared" si="367"/>
        <v>0</v>
      </c>
      <c r="AD1420" s="45">
        <f t="shared" si="365"/>
        <v>0.558011049723757</v>
      </c>
      <c r="AE1420" s="37">
        <v>4</v>
      </c>
      <c r="AF1420" s="37" t="s">
        <v>181</v>
      </c>
      <c r="AG1420" s="37" t="str">
        <f t="shared" si="364"/>
        <v>y</v>
      </c>
      <c r="AH1420" s="37" t="str">
        <f t="array" ref="AH1420">_xlfn.IFS(LOWER(AG1420)="n","no",LOWER(AG1420)="y","yes",TRUE,LOWER(AG1420))</f>
        <v>yes</v>
      </c>
      <c r="AI1420" s="37" t="s">
        <v>4692</v>
      </c>
    </row>
    <row r="1421" spans="1:35">
      <c r="A1421" s="46" t="s">
        <v>4299</v>
      </c>
      <c r="B1421" s="47">
        <v>45316</v>
      </c>
      <c r="C1421" s="39">
        <f t="shared" si="352"/>
        <v>45316</v>
      </c>
      <c r="D1421" s="48" t="s">
        <v>4694</v>
      </c>
      <c r="E1421" s="37" t="str" cm="1">
        <f t="array" ref="E1421">_xlfn.IFS(D1421="delhi","north",D1421="mumbai","west",D1421="bengaluru","south",D1421="chennai","south",D1421="kolkata","east",TRUE,"west")</f>
        <v>west</v>
      </c>
      <c r="F1421" s="46" t="s">
        <v>544</v>
      </c>
      <c r="G1421" s="37" t="str">
        <f t="shared" si="353"/>
        <v>bluedart</v>
      </c>
      <c r="H1421" s="46" t="s">
        <v>123</v>
      </c>
      <c r="I1421" s="37" t="str">
        <f t="shared" si="354"/>
        <v>air</v>
      </c>
      <c r="J1421" s="46" t="s">
        <v>981</v>
      </c>
      <c r="K1421" s="37" t="str">
        <f t="shared" si="355"/>
        <v>automotiveparts</v>
      </c>
      <c r="L1421" s="46" t="s">
        <v>257</v>
      </c>
      <c r="M1421" s="37" t="str">
        <f t="shared" si="356"/>
        <v>west</v>
      </c>
      <c r="N1421" s="46" t="s">
        <v>88</v>
      </c>
      <c r="O1421" s="41" t="str">
        <f t="shared" si="357"/>
        <v>Yes</v>
      </c>
      <c r="P1421" s="49">
        <v>11.7</v>
      </c>
      <c r="Q1421" s="49">
        <v>664</v>
      </c>
      <c r="R1421" s="42">
        <f t="shared" si="358"/>
        <v>56.7521367521368</v>
      </c>
      <c r="S1421" s="46">
        <v>4</v>
      </c>
      <c r="T1421" s="46" t="s">
        <v>1160</v>
      </c>
      <c r="U1421" s="43" t="str">
        <f t="shared" si="359"/>
        <v>2024-01-29</v>
      </c>
      <c r="V1421" s="43">
        <f t="shared" si="360"/>
        <v>45320</v>
      </c>
      <c r="W1421" s="44">
        <f t="array" ref="W1421">_xlfn.IFS(TRIM(C1421)="","",TRIM(V1421)="","",TRUE,V1421-C1421)</f>
        <v>4</v>
      </c>
      <c r="X1421" s="37">
        <f t="shared" si="361"/>
        <v>0</v>
      </c>
      <c r="Y1421" s="46" t="s">
        <v>163</v>
      </c>
      <c r="Z1421" s="37" t="str">
        <f t="shared" si="362"/>
        <v>delivered</v>
      </c>
      <c r="AA1421" s="37" t="str">
        <f t="shared" si="363"/>
        <v>On Time</v>
      </c>
      <c r="AB1421" s="37" t="str">
        <f t="shared" si="366"/>
        <v>0</v>
      </c>
      <c r="AC1421" s="37">
        <f t="shared" si="367"/>
        <v>0</v>
      </c>
      <c r="AD1421" s="45">
        <f t="shared" si="365"/>
        <v>0.561111111111111</v>
      </c>
      <c r="AE1421" s="46">
        <v>5</v>
      </c>
      <c r="AF1421" s="46" t="s">
        <v>106</v>
      </c>
      <c r="AG1421" s="37" t="str">
        <f t="shared" si="364"/>
        <v>yes</v>
      </c>
      <c r="AH1421" s="37" t="str">
        <f t="array" ref="AH1421">_xlfn.IFS(LOWER(AG1421)="n","no",LOWER(AG1421)="y","yes",TRUE,LOWER(AG1421))</f>
        <v>yes</v>
      </c>
      <c r="AI1421" s="46" t="s">
        <v>4692</v>
      </c>
    </row>
    <row r="1422" spans="1:35">
      <c r="A1422" s="37" t="s">
        <v>4301</v>
      </c>
      <c r="B1422" s="38">
        <v>45329</v>
      </c>
      <c r="C1422" s="39">
        <f t="shared" si="352"/>
        <v>45329</v>
      </c>
      <c r="D1422" s="40" t="s">
        <v>135</v>
      </c>
      <c r="E1422" s="37" t="str" cm="1">
        <f t="array" ref="E1422">_xlfn.IFS(D1422="delhi","north",D1422="mumbai","west",D1422="bengaluru","south",D1422="chennai","south",D1422="kolkata","east",TRUE,"west")</f>
        <v>west</v>
      </c>
      <c r="F1422" s="37" t="s">
        <v>122</v>
      </c>
      <c r="G1422" s="37" t="str">
        <f t="shared" si="353"/>
        <v>delhivery</v>
      </c>
      <c r="H1422" s="37" t="s">
        <v>176</v>
      </c>
      <c r="I1422" s="37" t="str">
        <f t="shared" si="354"/>
        <v>road</v>
      </c>
      <c r="J1422" s="37" t="s">
        <v>214</v>
      </c>
      <c r="K1422" s="37" t="str">
        <f t="shared" si="355"/>
        <v>grocery&amp;fmcg</v>
      </c>
      <c r="L1422" s="37" t="s">
        <v>168</v>
      </c>
      <c r="M1422" s="37" t="str">
        <f t="shared" si="356"/>
        <v>west</v>
      </c>
      <c r="N1422" s="37" t="s">
        <v>278</v>
      </c>
      <c r="O1422" s="41" t="str">
        <f t="shared" si="357"/>
        <v>Yes</v>
      </c>
      <c r="P1422" s="41" t="s">
        <v>3675</v>
      </c>
      <c r="Q1422" s="41">
        <v>173</v>
      </c>
      <c r="R1422" s="42">
        <f t="shared" si="358"/>
        <v>12.536231884058</v>
      </c>
      <c r="S1422" s="37">
        <v>6</v>
      </c>
      <c r="T1422" s="37" t="s">
        <v>218</v>
      </c>
      <c r="U1422" s="43" t="str">
        <f t="shared" si="359"/>
        <v>13-feb-2024</v>
      </c>
      <c r="V1422" s="43">
        <f t="shared" si="360"/>
        <v>45335</v>
      </c>
      <c r="W1422" s="44">
        <f t="array" ref="W1422">_xlfn.IFS(TRIM(C1422)="","",TRIM(V1422)="","",TRUE,V1422-C1422)</f>
        <v>6</v>
      </c>
      <c r="X1422" s="37">
        <f t="shared" si="361"/>
        <v>0</v>
      </c>
      <c r="Y1422" s="37" t="s">
        <v>163</v>
      </c>
      <c r="Z1422" s="37" t="str">
        <f t="shared" si="362"/>
        <v>delivered</v>
      </c>
      <c r="AA1422" s="37" t="str">
        <f t="shared" si="363"/>
        <v>On Time</v>
      </c>
      <c r="AB1422" s="37" t="str">
        <f t="shared" si="366"/>
        <v>0</v>
      </c>
      <c r="AC1422" s="37">
        <f t="shared" si="367"/>
        <v>0</v>
      </c>
      <c r="AD1422" s="45">
        <f t="shared" si="365"/>
        <v>0.564245810055866</v>
      </c>
      <c r="AE1422" s="37">
        <v>3</v>
      </c>
      <c r="AF1422" s="37" t="s">
        <v>191</v>
      </c>
      <c r="AG1422" s="37" t="str">
        <f t="shared" si="364"/>
        <v>no</v>
      </c>
      <c r="AH1422" s="37" t="str">
        <f t="array" ref="AH1422">_xlfn.IFS(LOWER(AG1422)="n","no",LOWER(AG1422)="y","yes",TRUE,LOWER(AG1422))</f>
        <v>no</v>
      </c>
      <c r="AI1422" s="37" t="s">
        <v>4692</v>
      </c>
    </row>
    <row r="1423" spans="1:35">
      <c r="A1423" s="46" t="s">
        <v>4302</v>
      </c>
      <c r="B1423" s="47">
        <v>45418</v>
      </c>
      <c r="C1423" s="39">
        <f t="shared" si="352"/>
        <v>45418</v>
      </c>
      <c r="D1423" s="48" t="s">
        <v>4712</v>
      </c>
      <c r="E1423" s="37" t="str" cm="1">
        <f t="array" ref="E1423">_xlfn.IFS(D1423="delhi","north",D1423="mumbai","west",D1423="bengaluru","south",D1423="chennai","south",D1423="kolkata","east",TRUE,"west")</f>
        <v>west</v>
      </c>
      <c r="F1423" s="46" t="s">
        <v>98</v>
      </c>
      <c r="G1423" s="37" t="str">
        <f t="shared" si="353"/>
        <v>dtdc</v>
      </c>
      <c r="H1423" s="46" t="s">
        <v>176</v>
      </c>
      <c r="I1423" s="37" t="str">
        <f t="shared" si="354"/>
        <v>road</v>
      </c>
      <c r="J1423" s="46" t="s">
        <v>167</v>
      </c>
      <c r="K1423" s="37" t="str">
        <f t="shared" si="355"/>
        <v>pharma</v>
      </c>
      <c r="L1423" s="46" t="s">
        <v>257</v>
      </c>
      <c r="M1423" s="37" t="str">
        <f t="shared" si="356"/>
        <v>west</v>
      </c>
      <c r="N1423" s="46" t="s">
        <v>187</v>
      </c>
      <c r="O1423" s="41" t="str">
        <f t="shared" si="357"/>
        <v>Yes</v>
      </c>
      <c r="P1423" s="49">
        <v>4.5</v>
      </c>
      <c r="Q1423" s="49" t="s">
        <v>2106</v>
      </c>
      <c r="R1423" s="42">
        <f t="shared" si="358"/>
        <v>56.6666666666667</v>
      </c>
      <c r="S1423" s="46">
        <v>8</v>
      </c>
      <c r="T1423" s="46" t="s">
        <v>2902</v>
      </c>
      <c r="U1423" s="43" t="str">
        <f t="shared" si="359"/>
        <v>19/05/2024</v>
      </c>
      <c r="V1423" s="43">
        <f t="shared" si="360"/>
        <v>45431</v>
      </c>
      <c r="W1423" s="44">
        <f t="array" ref="W1423">_xlfn.IFS(TRIM(C1423)="","",TRIM(V1423)="","",TRUE,V1423-C1423)</f>
        <v>13</v>
      </c>
      <c r="X1423" s="37">
        <f t="shared" si="361"/>
        <v>5</v>
      </c>
      <c r="Y1423" s="46" t="s">
        <v>172</v>
      </c>
      <c r="Z1423" s="37" t="str">
        <f t="shared" si="362"/>
        <v>delayed</v>
      </c>
      <c r="AA1423" s="37" t="str">
        <f t="shared" si="363"/>
        <v>Late</v>
      </c>
      <c r="AB1423" s="37" t="str">
        <f t="shared" si="366"/>
        <v>1</v>
      </c>
      <c r="AC1423" s="37">
        <f t="shared" si="367"/>
        <v>1</v>
      </c>
      <c r="AD1423" s="45">
        <f t="shared" si="365"/>
        <v>0.567415730337079</v>
      </c>
      <c r="AE1423" s="46">
        <v>2</v>
      </c>
      <c r="AF1423" s="46" t="s">
        <v>286</v>
      </c>
      <c r="AG1423" s="37" t="str">
        <f t="shared" si="364"/>
        <v>yes</v>
      </c>
      <c r="AH1423" s="37" t="str">
        <f t="array" ref="AH1423">_xlfn.IFS(LOWER(AG1423)="n","no",LOWER(AG1423)="y","yes",TRUE,LOWER(AG1423))</f>
        <v>yes</v>
      </c>
      <c r="AI1423" s="46" t="s">
        <v>4692</v>
      </c>
    </row>
    <row r="1424" spans="1:35">
      <c r="A1424" s="46" t="s">
        <v>4303</v>
      </c>
      <c r="B1424" s="47">
        <v>45377</v>
      </c>
      <c r="C1424" s="39">
        <f t="shared" si="352"/>
        <v>45377</v>
      </c>
      <c r="D1424" s="48" t="s">
        <v>633</v>
      </c>
      <c r="E1424" s="37" t="str" cm="1">
        <f t="array" ref="E1424">_xlfn.IFS(D1424="delhi","north",D1424="mumbai","west",D1424="bengaluru","south",D1424="chennai","south",D1424="kolkata","east",TRUE,"west")</f>
        <v>south</v>
      </c>
      <c r="F1424" s="46" t="s">
        <v>37</v>
      </c>
      <c r="G1424" s="37" t="str">
        <f t="shared" si="353"/>
        <v>bluedart</v>
      </c>
      <c r="H1424" s="46" t="s">
        <v>123</v>
      </c>
      <c r="I1424" s="37" t="str">
        <f t="shared" si="354"/>
        <v>air</v>
      </c>
      <c r="J1424" s="46" t="s">
        <v>231</v>
      </c>
      <c r="K1424" s="37" t="str">
        <f t="shared" si="355"/>
        <v>furniture</v>
      </c>
      <c r="L1424" s="46" t="s">
        <v>101</v>
      </c>
      <c r="M1424" s="37" t="str">
        <f t="shared" si="356"/>
        <v>west</v>
      </c>
      <c r="N1424" s="46" t="s">
        <v>206</v>
      </c>
      <c r="O1424" s="41" t="str">
        <f t="shared" si="357"/>
        <v>Yes</v>
      </c>
      <c r="P1424" s="49">
        <v>64.1</v>
      </c>
      <c r="Q1424" s="51">
        <v>3061</v>
      </c>
      <c r="R1424" s="42">
        <f t="shared" si="358"/>
        <v>47.7535101404056</v>
      </c>
      <c r="S1424" s="46">
        <v>4</v>
      </c>
      <c r="T1424" s="46" t="s">
        <v>3389</v>
      </c>
      <c r="U1424" s="43" t="str">
        <f t="shared" si="359"/>
        <v>31/03/2024</v>
      </c>
      <c r="V1424" s="43">
        <f t="shared" si="360"/>
        <v>45382</v>
      </c>
      <c r="W1424" s="44">
        <f t="array" ref="W1424">_xlfn.IFS(TRIM(C1424)="","",TRIM(V1424)="","",TRUE,V1424-C1424)</f>
        <v>5</v>
      </c>
      <c r="X1424" s="37">
        <f t="shared" si="361"/>
        <v>1</v>
      </c>
      <c r="Y1424" s="46" t="s">
        <v>72</v>
      </c>
      <c r="Z1424" s="37" t="str">
        <f t="shared" si="362"/>
        <v>delayed</v>
      </c>
      <c r="AA1424" s="37" t="str">
        <f t="shared" si="363"/>
        <v>Late</v>
      </c>
      <c r="AB1424" s="37" t="str">
        <f t="shared" si="366"/>
        <v>1</v>
      </c>
      <c r="AC1424" s="37">
        <f t="shared" si="367"/>
        <v>1</v>
      </c>
      <c r="AD1424" s="45">
        <f t="shared" si="365"/>
        <v>0.564971751412429</v>
      </c>
      <c r="AE1424" s="46">
        <v>5</v>
      </c>
      <c r="AF1424" s="46" t="s">
        <v>118</v>
      </c>
      <c r="AG1424" s="37" t="str">
        <f t="shared" si="364"/>
        <v>no</v>
      </c>
      <c r="AH1424" s="37" t="str">
        <f t="array" ref="AH1424">_xlfn.IFS(LOWER(AG1424)="n","no",LOWER(AG1424)="y","yes",TRUE,LOWER(AG1424))</f>
        <v>no</v>
      </c>
      <c r="AI1424" s="46" t="s">
        <v>4692</v>
      </c>
    </row>
    <row r="1425" spans="1:35">
      <c r="A1425" s="37" t="s">
        <v>4306</v>
      </c>
      <c r="B1425" s="38">
        <v>45298</v>
      </c>
      <c r="C1425" s="39">
        <f t="shared" si="352"/>
        <v>45298</v>
      </c>
      <c r="D1425" s="40" t="s">
        <v>366</v>
      </c>
      <c r="E1425" s="37" t="str" cm="1">
        <f t="array" ref="E1425">_xlfn.IFS(D1425="delhi","north",D1425="mumbai","west",D1425="bengaluru","south",D1425="chennai","south",D1425="kolkata","east",TRUE,"west")</f>
        <v>east</v>
      </c>
      <c r="F1425" s="37" t="s">
        <v>156</v>
      </c>
      <c r="G1425" s="37" t="str">
        <f t="shared" si="353"/>
        <v>xpressbees</v>
      </c>
      <c r="H1425" s="37" t="s">
        <v>325</v>
      </c>
      <c r="I1425" s="37" t="str">
        <f t="shared" si="354"/>
        <v>air</v>
      </c>
      <c r="J1425" s="37" t="s">
        <v>498</v>
      </c>
      <c r="K1425" s="37" t="str">
        <f t="shared" si="355"/>
        <v>apparel</v>
      </c>
      <c r="L1425" s="37" t="s">
        <v>380</v>
      </c>
      <c r="M1425" s="37" t="str">
        <f t="shared" si="356"/>
        <v>east</v>
      </c>
      <c r="N1425" s="37" t="s">
        <v>91</v>
      </c>
      <c r="O1425" s="41" t="str">
        <f t="shared" si="357"/>
        <v>Yes</v>
      </c>
      <c r="P1425" s="41">
        <v>4.9</v>
      </c>
      <c r="Q1425" s="41">
        <v>280</v>
      </c>
      <c r="R1425" s="42">
        <f t="shared" si="358"/>
        <v>57.1428571428571</v>
      </c>
      <c r="S1425" s="37">
        <v>2</v>
      </c>
      <c r="T1425" s="37" t="s">
        <v>2225</v>
      </c>
      <c r="U1425" s="43" t="str">
        <f t="shared" si="359"/>
        <v>09/01/2024</v>
      </c>
      <c r="V1425" s="43">
        <f t="shared" si="360"/>
        <v>45300</v>
      </c>
      <c r="W1425" s="44">
        <f t="array" ref="W1425">_xlfn.IFS(TRIM(C1425)="","",TRIM(V1425)="","",TRUE,V1425-C1425)</f>
        <v>2</v>
      </c>
      <c r="X1425" s="37">
        <f t="shared" si="361"/>
        <v>0</v>
      </c>
      <c r="Y1425" s="37" t="s">
        <v>105</v>
      </c>
      <c r="Z1425" s="37" t="str">
        <f t="shared" si="362"/>
        <v>delivered</v>
      </c>
      <c r="AA1425" s="37" t="str">
        <f t="shared" si="363"/>
        <v>On Time</v>
      </c>
      <c r="AB1425" s="37" t="str">
        <f t="shared" si="366"/>
        <v>0</v>
      </c>
      <c r="AC1425" s="37">
        <f t="shared" si="367"/>
        <v>0</v>
      </c>
      <c r="AD1425" s="45">
        <f t="shared" si="365"/>
        <v>0.5625</v>
      </c>
      <c r="AE1425" s="37">
        <v>5</v>
      </c>
      <c r="AF1425" s="37" t="s">
        <v>152</v>
      </c>
      <c r="AG1425" s="37" t="str">
        <f t="shared" si="364"/>
        <v>no</v>
      </c>
      <c r="AH1425" s="37" t="str">
        <f t="array" ref="AH1425">_xlfn.IFS(LOWER(AG1425)="n","no",LOWER(AG1425)="y","yes",TRUE,LOWER(AG1425))</f>
        <v>no</v>
      </c>
      <c r="AI1425" s="37" t="s">
        <v>4692</v>
      </c>
    </row>
    <row r="1426" spans="1:35">
      <c r="A1426" s="46" t="s">
        <v>4308</v>
      </c>
      <c r="B1426" s="47">
        <v>45310</v>
      </c>
      <c r="C1426" s="39">
        <f t="shared" si="352"/>
        <v>45310</v>
      </c>
      <c r="D1426" s="48" t="s">
        <v>109</v>
      </c>
      <c r="E1426" s="37" t="str" cm="1">
        <f t="array" ref="E1426">_xlfn.IFS(D1426="delhi","north",D1426="mumbai","west",D1426="bengaluru","south",D1426="chennai","south",D1426="kolkata","east",TRUE,"west")</f>
        <v>west</v>
      </c>
      <c r="F1426" s="46" t="s">
        <v>352</v>
      </c>
      <c r="G1426" s="37" t="str">
        <f t="shared" si="353"/>
        <v>delhivery</v>
      </c>
      <c r="H1426" s="46" t="s">
        <v>147</v>
      </c>
      <c r="I1426" s="37" t="str">
        <f t="shared" si="354"/>
        <v>road</v>
      </c>
      <c r="J1426" s="46" t="s">
        <v>385</v>
      </c>
      <c r="K1426" s="37" t="str">
        <f t="shared" si="355"/>
        <v>furniture</v>
      </c>
      <c r="L1426" s="46" t="s">
        <v>168</v>
      </c>
      <c r="M1426" s="37" t="str">
        <f t="shared" si="356"/>
        <v>west</v>
      </c>
      <c r="N1426" s="46" t="s">
        <v>278</v>
      </c>
      <c r="O1426" s="41" t="str">
        <f t="shared" si="357"/>
        <v>Yes</v>
      </c>
      <c r="P1426" s="49">
        <v>35.5</v>
      </c>
      <c r="Q1426" s="49">
        <v>495</v>
      </c>
      <c r="R1426" s="42">
        <f t="shared" si="358"/>
        <v>13.943661971831</v>
      </c>
      <c r="S1426" s="46">
        <v>6</v>
      </c>
      <c r="T1426" s="46" t="s">
        <v>1317</v>
      </c>
      <c r="U1426" s="43" t="str">
        <f t="shared" si="359"/>
        <v>25/01/2024</v>
      </c>
      <c r="V1426" s="43">
        <f t="shared" si="360"/>
        <v>45316</v>
      </c>
      <c r="W1426" s="44">
        <f t="array" ref="W1426">_xlfn.IFS(TRIM(C1426)="","",TRIM(V1426)="","",TRUE,V1426-C1426)</f>
        <v>6</v>
      </c>
      <c r="X1426" s="37">
        <f t="shared" si="361"/>
        <v>0</v>
      </c>
      <c r="Y1426" s="46" t="s">
        <v>163</v>
      </c>
      <c r="Z1426" s="37" t="str">
        <f t="shared" si="362"/>
        <v>delivered</v>
      </c>
      <c r="AA1426" s="37" t="str">
        <f t="shared" si="363"/>
        <v>On Time</v>
      </c>
      <c r="AB1426" s="37" t="str">
        <f t="shared" si="366"/>
        <v>0</v>
      </c>
      <c r="AC1426" s="37">
        <f t="shared" si="367"/>
        <v>0</v>
      </c>
      <c r="AD1426" s="45">
        <f t="shared" si="365"/>
        <v>0.565714285714286</v>
      </c>
      <c r="AE1426" s="46">
        <v>5</v>
      </c>
      <c r="AF1426" s="46" t="s">
        <v>118</v>
      </c>
      <c r="AG1426" s="37" t="str">
        <f t="shared" si="364"/>
        <v>no</v>
      </c>
      <c r="AH1426" s="37" t="str">
        <f t="array" ref="AH1426">_xlfn.IFS(LOWER(AG1426)="n","no",LOWER(AG1426)="y","yes",TRUE,LOWER(AG1426))</f>
        <v>no</v>
      </c>
      <c r="AI1426" s="46" t="s">
        <v>4692</v>
      </c>
    </row>
    <row r="1427" spans="1:35">
      <c r="A1427" s="37" t="s">
        <v>4310</v>
      </c>
      <c r="B1427" s="38" t="s">
        <v>4766</v>
      </c>
      <c r="C1427" s="39">
        <f t="shared" si="352"/>
        <v>45315</v>
      </c>
      <c r="D1427" s="40" t="s">
        <v>4705</v>
      </c>
      <c r="E1427" s="37" t="str" cm="1">
        <f t="array" ref="E1427">_xlfn.IFS(D1427="delhi","north",D1427="mumbai","west",D1427="bengaluru","south",D1427="chennai","south",D1427="kolkata","east",TRUE,"west")</f>
        <v>west</v>
      </c>
      <c r="F1427" s="37" t="s">
        <v>352</v>
      </c>
      <c r="G1427" s="37" t="str">
        <f t="shared" si="353"/>
        <v>delhivery</v>
      </c>
      <c r="H1427" s="37" t="s">
        <v>325</v>
      </c>
      <c r="I1427" s="37" t="str">
        <f t="shared" si="354"/>
        <v>air</v>
      </c>
      <c r="J1427" s="37" t="s">
        <v>664</v>
      </c>
      <c r="K1427" s="37" t="str">
        <f t="shared" si="355"/>
        <v>grocery&amp;fmcg</v>
      </c>
      <c r="L1427" s="37" t="s">
        <v>159</v>
      </c>
      <c r="M1427" s="37" t="str">
        <f t="shared" si="356"/>
        <v>south</v>
      </c>
      <c r="N1427" s="37" t="s">
        <v>54</v>
      </c>
      <c r="O1427" s="41" t="str">
        <f t="shared" si="357"/>
        <v>Yes</v>
      </c>
      <c r="P1427" s="41">
        <v>8.6</v>
      </c>
      <c r="Q1427" s="41">
        <v>574</v>
      </c>
      <c r="R1427" s="42">
        <f t="shared" si="358"/>
        <v>66.7441860465116</v>
      </c>
      <c r="S1427" s="37">
        <v>4</v>
      </c>
      <c r="T1427" s="37" t="s">
        <v>679</v>
      </c>
      <c r="U1427" s="43" t="str">
        <f t="shared" si="359"/>
        <v>29/01/2024</v>
      </c>
      <c r="V1427" s="43">
        <f t="shared" si="360"/>
        <v>45320</v>
      </c>
      <c r="W1427" s="44">
        <f t="array" ref="W1427">_xlfn.IFS(TRIM(C1427)="","",TRIM(V1427)="","",TRUE,V1427-C1427)</f>
        <v>5</v>
      </c>
      <c r="X1427" s="37">
        <f t="shared" si="361"/>
        <v>1</v>
      </c>
      <c r="Y1427" s="37" t="s">
        <v>200</v>
      </c>
      <c r="Z1427" s="37" t="str">
        <f t="shared" si="362"/>
        <v>delayed</v>
      </c>
      <c r="AA1427" s="37" t="str">
        <f t="shared" si="363"/>
        <v>Late</v>
      </c>
      <c r="AB1427" s="37" t="str">
        <f t="shared" si="366"/>
        <v>1</v>
      </c>
      <c r="AC1427" s="37">
        <f t="shared" si="367"/>
        <v>1</v>
      </c>
      <c r="AD1427" s="45">
        <f t="shared" si="365"/>
        <v>0.568965517241379</v>
      </c>
      <c r="AE1427" s="37">
        <v>4</v>
      </c>
      <c r="AF1427" s="37" t="s">
        <v>106</v>
      </c>
      <c r="AG1427" s="37" t="str">
        <f t="shared" si="364"/>
        <v>yes</v>
      </c>
      <c r="AH1427" s="37" t="str">
        <f t="array" ref="AH1427">_xlfn.IFS(LOWER(AG1427)="n","no",LOWER(AG1427)="y","yes",TRUE,LOWER(AG1427))</f>
        <v>yes</v>
      </c>
      <c r="AI1427" s="37" t="s">
        <v>4692</v>
      </c>
    </row>
    <row r="1428" spans="1:35">
      <c r="A1428" s="46" t="s">
        <v>4312</v>
      </c>
      <c r="B1428" s="47">
        <v>45378</v>
      </c>
      <c r="C1428" s="39">
        <f t="shared" si="352"/>
        <v>45378</v>
      </c>
      <c r="D1428" s="48" t="s">
        <v>633</v>
      </c>
      <c r="E1428" s="37" t="str" cm="1">
        <f t="array" ref="E1428">_xlfn.IFS(D1428="delhi","north",D1428="mumbai","west",D1428="bengaluru","south",D1428="chennai","south",D1428="kolkata","east",TRUE,"west")</f>
        <v>south</v>
      </c>
      <c r="F1428" s="46" t="s">
        <v>544</v>
      </c>
      <c r="G1428" s="37" t="str">
        <f t="shared" si="353"/>
        <v>bluedart</v>
      </c>
      <c r="H1428" s="46" t="s">
        <v>244</v>
      </c>
      <c r="I1428" s="37" t="str">
        <f t="shared" si="354"/>
        <v>air</v>
      </c>
      <c r="J1428" s="46" t="s">
        <v>385</v>
      </c>
      <c r="K1428" s="37" t="str">
        <f t="shared" si="355"/>
        <v>furniture</v>
      </c>
      <c r="L1428" s="46" t="s">
        <v>346</v>
      </c>
      <c r="M1428" s="37" t="str">
        <f t="shared" si="356"/>
        <v>north</v>
      </c>
      <c r="N1428" s="46" t="s">
        <v>113</v>
      </c>
      <c r="O1428" s="41" t="str">
        <f t="shared" si="357"/>
        <v>Yes</v>
      </c>
      <c r="P1428" s="49">
        <v>68.9</v>
      </c>
      <c r="Q1428" s="51">
        <v>3282</v>
      </c>
      <c r="R1428" s="42">
        <f t="shared" si="358"/>
        <v>47.6342525399129</v>
      </c>
      <c r="S1428" s="46">
        <v>4</v>
      </c>
      <c r="T1428" s="46" t="s">
        <v>2132</v>
      </c>
      <c r="U1428" s="43" t="str">
        <f t="shared" si="359"/>
        <v>30-mar-2024</v>
      </c>
      <c r="V1428" s="43">
        <f t="shared" si="360"/>
        <v>45381</v>
      </c>
      <c r="W1428" s="44">
        <f t="array" ref="W1428">_xlfn.IFS(TRIM(C1428)="","",TRIM(V1428)="","",TRUE,V1428-C1428)</f>
        <v>3</v>
      </c>
      <c r="X1428" s="37">
        <f t="shared" si="361"/>
        <v>-1</v>
      </c>
      <c r="Y1428" s="46" t="s">
        <v>163</v>
      </c>
      <c r="Z1428" s="37" t="str">
        <f t="shared" si="362"/>
        <v>delivered</v>
      </c>
      <c r="AA1428" s="37" t="str">
        <f t="shared" si="363"/>
        <v>On Time</v>
      </c>
      <c r="AB1428" s="37" t="str">
        <f t="shared" si="366"/>
        <v>0</v>
      </c>
      <c r="AC1428" s="37">
        <f t="shared" si="367"/>
        <v>0</v>
      </c>
      <c r="AD1428" s="45">
        <f t="shared" si="365"/>
        <v>0.566473988439306</v>
      </c>
      <c r="AE1428" s="46">
        <v>4</v>
      </c>
      <c r="AF1428" s="46" t="s">
        <v>118</v>
      </c>
      <c r="AG1428" s="37" t="str">
        <f t="shared" si="364"/>
        <v>no</v>
      </c>
      <c r="AH1428" s="37" t="str">
        <f t="array" ref="AH1428">_xlfn.IFS(LOWER(AG1428)="n","no",LOWER(AG1428)="y","yes",TRUE,LOWER(AG1428))</f>
        <v>no</v>
      </c>
      <c r="AI1428" s="46" t="s">
        <v>4692</v>
      </c>
    </row>
    <row r="1429" spans="1:35">
      <c r="A1429" s="37" t="s">
        <v>4314</v>
      </c>
      <c r="B1429" s="38">
        <v>45436</v>
      </c>
      <c r="C1429" s="39">
        <f t="shared" si="352"/>
        <v>45436</v>
      </c>
      <c r="D1429" s="40" t="s">
        <v>366</v>
      </c>
      <c r="E1429" s="37" t="str" cm="1">
        <f t="array" ref="E1429">_xlfn.IFS(D1429="delhi","north",D1429="mumbai","west",D1429="bengaluru","south",D1429="chennai","south",D1429="kolkata","east",TRUE,"west")</f>
        <v>east</v>
      </c>
      <c r="F1429" s="37" t="s">
        <v>919</v>
      </c>
      <c r="G1429" s="37" t="str">
        <f t="shared" si="353"/>
        <v>xpressbees</v>
      </c>
      <c r="H1429" s="37" t="s">
        <v>99</v>
      </c>
      <c r="I1429" s="37" t="str">
        <f t="shared" si="354"/>
        <v>air</v>
      </c>
      <c r="J1429" s="37" t="s">
        <v>158</v>
      </c>
      <c r="K1429" s="37" t="str">
        <f t="shared" si="355"/>
        <v>pharma</v>
      </c>
      <c r="L1429" s="37" t="s">
        <v>92</v>
      </c>
      <c r="M1429" s="37" t="str">
        <f t="shared" si="356"/>
        <v>east</v>
      </c>
      <c r="N1429" s="37" t="s">
        <v>396</v>
      </c>
      <c r="O1429" s="41" t="str">
        <f t="shared" si="357"/>
        <v>Yes</v>
      </c>
      <c r="P1429" s="41">
        <v>3.7</v>
      </c>
      <c r="Q1429" s="41" t="s">
        <v>2272</v>
      </c>
      <c r="R1429" s="42">
        <f t="shared" si="358"/>
        <v>44.5945945945946</v>
      </c>
      <c r="S1429" s="37">
        <v>2</v>
      </c>
      <c r="T1429" s="37" t="s">
        <v>796</v>
      </c>
      <c r="U1429" s="43" t="str">
        <f t="shared" si="359"/>
        <v>2024-05-26</v>
      </c>
      <c r="V1429" s="43">
        <f t="shared" si="360"/>
        <v>45438</v>
      </c>
      <c r="W1429" s="44">
        <f t="array" ref="W1429">_xlfn.IFS(TRIM(C1429)="","",TRIM(V1429)="","",TRUE,V1429-C1429)</f>
        <v>2</v>
      </c>
      <c r="X1429" s="37">
        <f t="shared" si="361"/>
        <v>0</v>
      </c>
      <c r="Y1429" s="37" t="s">
        <v>117</v>
      </c>
      <c r="Z1429" s="37" t="str">
        <f t="shared" si="362"/>
        <v>delivered</v>
      </c>
      <c r="AA1429" s="37" t="str">
        <f t="shared" si="363"/>
        <v>On Time</v>
      </c>
      <c r="AB1429" s="37" t="str">
        <f t="shared" si="366"/>
        <v>0</v>
      </c>
      <c r="AC1429" s="37">
        <f t="shared" si="367"/>
        <v>0</v>
      </c>
      <c r="AD1429" s="45">
        <f t="shared" si="365"/>
        <v>0.569767441860465</v>
      </c>
      <c r="AE1429" s="37">
        <v>2</v>
      </c>
      <c r="AF1429" s="37" t="s">
        <v>191</v>
      </c>
      <c r="AG1429" s="37" t="str">
        <f t="shared" si="364"/>
        <v>no</v>
      </c>
      <c r="AH1429" s="37" t="str">
        <f t="array" ref="AH1429">_xlfn.IFS(LOWER(AG1429)="n","no",LOWER(AG1429)="y","yes",TRUE,LOWER(AG1429))</f>
        <v>no</v>
      </c>
      <c r="AI1429" s="37" t="s">
        <v>4692</v>
      </c>
    </row>
    <row r="1430" spans="1:35">
      <c r="A1430" s="46" t="s">
        <v>4315</v>
      </c>
      <c r="B1430" s="47">
        <v>45402</v>
      </c>
      <c r="C1430" s="39">
        <f t="shared" si="352"/>
        <v>45402</v>
      </c>
      <c r="D1430" s="48" t="s">
        <v>340</v>
      </c>
      <c r="E1430" s="37" t="str" cm="1">
        <f t="array" ref="E1430">_xlfn.IFS(D1430="delhi","north",D1430="mumbai","west",D1430="bengaluru","south",D1430="chennai","south",D1430="kolkata","east",TRUE,"west")</f>
        <v>north</v>
      </c>
      <c r="F1430" s="46" t="s">
        <v>919</v>
      </c>
      <c r="G1430" s="37" t="str">
        <f t="shared" si="353"/>
        <v>xpressbees</v>
      </c>
      <c r="H1430" s="46" t="s">
        <v>99</v>
      </c>
      <c r="I1430" s="37" t="str">
        <f t="shared" si="354"/>
        <v>air</v>
      </c>
      <c r="J1430" s="46" t="s">
        <v>167</v>
      </c>
      <c r="K1430" s="37" t="str">
        <f t="shared" si="355"/>
        <v>pharma</v>
      </c>
      <c r="L1430" s="46" t="s">
        <v>89</v>
      </c>
      <c r="M1430" s="37" t="str">
        <f t="shared" si="356"/>
        <v>west</v>
      </c>
      <c r="N1430" s="46" t="s">
        <v>278</v>
      </c>
      <c r="O1430" s="41" t="str">
        <f t="shared" si="357"/>
        <v>Yes</v>
      </c>
      <c r="P1430" s="49">
        <v>3.7</v>
      </c>
      <c r="Q1430" s="49" t="s">
        <v>4169</v>
      </c>
      <c r="R1430" s="42">
        <f t="shared" si="358"/>
        <v>94.5945945945946</v>
      </c>
      <c r="S1430" s="46">
        <v>4</v>
      </c>
      <c r="T1430" s="46" t="s">
        <v>752</v>
      </c>
      <c r="U1430" s="43" t="str">
        <f t="shared" si="359"/>
        <v>23/04/2024</v>
      </c>
      <c r="V1430" s="43">
        <f t="shared" si="360"/>
        <v>45405</v>
      </c>
      <c r="W1430" s="44">
        <f t="array" ref="W1430">_xlfn.IFS(TRIM(C1430)="","",TRIM(V1430)="","",TRUE,V1430-C1430)</f>
        <v>3</v>
      </c>
      <c r="X1430" s="37">
        <f t="shared" si="361"/>
        <v>-1</v>
      </c>
      <c r="Y1430" s="46" t="s">
        <v>219</v>
      </c>
      <c r="Z1430" s="37" t="str">
        <f t="shared" si="362"/>
        <v>delivered</v>
      </c>
      <c r="AA1430" s="37" t="str">
        <f t="shared" si="363"/>
        <v>On Time</v>
      </c>
      <c r="AB1430" s="37" t="str">
        <f t="shared" si="366"/>
        <v>0</v>
      </c>
      <c r="AC1430" s="37">
        <f t="shared" si="367"/>
        <v>0</v>
      </c>
      <c r="AD1430" s="45">
        <f t="shared" si="365"/>
        <v>0.573099415204678</v>
      </c>
      <c r="AE1430" s="46">
        <v>5</v>
      </c>
      <c r="AF1430" s="46" t="s">
        <v>118</v>
      </c>
      <c r="AG1430" s="37" t="str">
        <f t="shared" si="364"/>
        <v>no</v>
      </c>
      <c r="AH1430" s="37" t="str">
        <f t="array" ref="AH1430">_xlfn.IFS(LOWER(AG1430)="n","no",LOWER(AG1430)="y","yes",TRUE,LOWER(AG1430))</f>
        <v>no</v>
      </c>
      <c r="AI1430" s="46" t="s">
        <v>4692</v>
      </c>
    </row>
    <row r="1431" spans="1:35">
      <c r="A1431" s="37" t="s">
        <v>4316</v>
      </c>
      <c r="B1431" s="38">
        <v>45375</v>
      </c>
      <c r="C1431" s="39">
        <f t="shared" si="352"/>
        <v>45375</v>
      </c>
      <c r="D1431" s="40" t="s">
        <v>424</v>
      </c>
      <c r="E1431" s="37" t="str" cm="1">
        <f t="array" ref="E1431">_xlfn.IFS(D1431="delhi","north",D1431="mumbai","west",D1431="bengaluru","south",D1431="chennai","south",D1431="kolkata","east",TRUE,"west")</f>
        <v>south</v>
      </c>
      <c r="F1431" s="37" t="s">
        <v>122</v>
      </c>
      <c r="G1431" s="37" t="str">
        <f t="shared" si="353"/>
        <v>delhivery</v>
      </c>
      <c r="H1431" s="37" t="s">
        <v>224</v>
      </c>
      <c r="I1431" s="37" t="str">
        <f t="shared" si="354"/>
        <v>air</v>
      </c>
      <c r="J1431" s="37" t="s">
        <v>582</v>
      </c>
      <c r="K1431" s="37" t="str">
        <f t="shared" si="355"/>
        <v>grocery&amp;fmcg</v>
      </c>
      <c r="L1431" s="37" t="s">
        <v>197</v>
      </c>
      <c r="M1431" s="37" t="str">
        <f t="shared" si="356"/>
        <v>south</v>
      </c>
      <c r="N1431" s="37" t="s">
        <v>93</v>
      </c>
      <c r="O1431" s="41" t="str">
        <f t="shared" si="357"/>
        <v>Yes</v>
      </c>
      <c r="P1431" s="41">
        <v>6.1</v>
      </c>
      <c r="Q1431" s="41">
        <v>274</v>
      </c>
      <c r="R1431" s="42">
        <f t="shared" si="358"/>
        <v>44.9180327868852</v>
      </c>
      <c r="S1431" s="37">
        <v>2</v>
      </c>
      <c r="T1431" s="37" t="s">
        <v>4319</v>
      </c>
      <c r="U1431" s="43" t="str">
        <f t="shared" si="359"/>
        <v>26-mar-2024</v>
      </c>
      <c r="V1431" s="43">
        <f t="shared" si="360"/>
        <v>45377</v>
      </c>
      <c r="W1431" s="44">
        <f t="array" ref="W1431">_xlfn.IFS(TRIM(C1431)="","",TRIM(V1431)="","",TRUE,V1431-C1431)</f>
        <v>2</v>
      </c>
      <c r="X1431" s="37">
        <f t="shared" si="361"/>
        <v>0</v>
      </c>
      <c r="Y1431" s="37" t="s">
        <v>117</v>
      </c>
      <c r="Z1431" s="37" t="str">
        <f t="shared" si="362"/>
        <v>delivered</v>
      </c>
      <c r="AA1431" s="37" t="str">
        <f t="shared" si="363"/>
        <v>On Time</v>
      </c>
      <c r="AB1431" s="37" t="str">
        <f t="shared" si="366"/>
        <v>0</v>
      </c>
      <c r="AC1431" s="37">
        <f t="shared" si="367"/>
        <v>0</v>
      </c>
      <c r="AD1431" s="45">
        <f t="shared" si="365"/>
        <v>0.576470588235294</v>
      </c>
      <c r="AE1431" s="37">
        <v>5</v>
      </c>
      <c r="AF1431" s="37" t="s">
        <v>152</v>
      </c>
      <c r="AG1431" s="37" t="str">
        <f t="shared" si="364"/>
        <v>no</v>
      </c>
      <c r="AH1431" s="37" t="str">
        <f t="array" ref="AH1431">_xlfn.IFS(LOWER(AG1431)="n","no",LOWER(AG1431)="y","yes",TRUE,LOWER(AG1431))</f>
        <v>no</v>
      </c>
      <c r="AI1431" s="37" t="s">
        <v>4692</v>
      </c>
    </row>
    <row r="1432" spans="1:35">
      <c r="A1432" s="46" t="s">
        <v>4320</v>
      </c>
      <c r="B1432" s="47">
        <v>45348</v>
      </c>
      <c r="C1432" s="39">
        <f t="shared" si="352"/>
        <v>45348</v>
      </c>
      <c r="D1432" s="48" t="s">
        <v>424</v>
      </c>
      <c r="E1432" s="37" t="str" cm="1">
        <f t="array" ref="E1432">_xlfn.IFS(D1432="delhi","north",D1432="mumbai","west",D1432="bengaluru","south",D1432="chennai","south",D1432="kolkata","east",TRUE,"west")</f>
        <v>south</v>
      </c>
      <c r="F1432" s="46" t="s">
        <v>156</v>
      </c>
      <c r="G1432" s="37" t="str">
        <f t="shared" si="353"/>
        <v>xpressbees</v>
      </c>
      <c r="H1432" s="46" t="s">
        <v>147</v>
      </c>
      <c r="I1432" s="37" t="str">
        <f t="shared" si="354"/>
        <v>road</v>
      </c>
      <c r="J1432" s="46" t="s">
        <v>148</v>
      </c>
      <c r="K1432" s="37" t="str">
        <f t="shared" si="355"/>
        <v>electronics</v>
      </c>
      <c r="L1432" s="46" t="s">
        <v>89</v>
      </c>
      <c r="M1432" s="37" t="str">
        <f t="shared" si="356"/>
        <v>west</v>
      </c>
      <c r="N1432" s="46" t="s">
        <v>206</v>
      </c>
      <c r="O1432" s="41" t="str">
        <f t="shared" si="357"/>
        <v>Yes</v>
      </c>
      <c r="P1432" s="49" t="s">
        <v>1441</v>
      </c>
      <c r="Q1432" s="49" t="s">
        <v>4321</v>
      </c>
      <c r="R1432" s="42">
        <f t="shared" si="358"/>
        <v>105.714285714286</v>
      </c>
      <c r="S1432" s="46">
        <v>8</v>
      </c>
      <c r="T1432" s="46" t="s">
        <v>3102</v>
      </c>
      <c r="U1432" s="43" t="str">
        <f t="shared" si="359"/>
        <v>04/03/2024</v>
      </c>
      <c r="V1432" s="43">
        <f t="shared" si="360"/>
        <v>45355</v>
      </c>
      <c r="W1432" s="44">
        <f t="array" ref="W1432">_xlfn.IFS(TRIM(C1432)="","",TRIM(V1432)="","",TRUE,V1432-C1432)</f>
        <v>7</v>
      </c>
      <c r="X1432" s="37">
        <f t="shared" si="361"/>
        <v>-1</v>
      </c>
      <c r="Y1432" s="46" t="s">
        <v>105</v>
      </c>
      <c r="Z1432" s="37" t="str">
        <f t="shared" si="362"/>
        <v>delivered</v>
      </c>
      <c r="AA1432" s="37" t="str">
        <f t="shared" si="363"/>
        <v>On Time</v>
      </c>
      <c r="AB1432" s="37" t="str">
        <f t="shared" si="366"/>
        <v>0</v>
      </c>
      <c r="AC1432" s="37">
        <f t="shared" si="367"/>
        <v>0</v>
      </c>
      <c r="AD1432" s="45">
        <f t="shared" si="365"/>
        <v>0.579881656804734</v>
      </c>
      <c r="AE1432" s="46">
        <v>4</v>
      </c>
      <c r="AF1432" s="46" t="s">
        <v>152</v>
      </c>
      <c r="AG1432" s="37" t="str">
        <f t="shared" si="364"/>
        <v>no</v>
      </c>
      <c r="AH1432" s="37" t="str">
        <f t="array" ref="AH1432">_xlfn.IFS(LOWER(AG1432)="n","no",LOWER(AG1432)="y","yes",TRUE,LOWER(AG1432))</f>
        <v>no</v>
      </c>
      <c r="AI1432" s="46" t="s">
        <v>4692</v>
      </c>
    </row>
    <row r="1433" spans="1:35">
      <c r="A1433" s="37" t="s">
        <v>4322</v>
      </c>
      <c r="B1433" s="38">
        <v>45349</v>
      </c>
      <c r="C1433" s="39">
        <f t="shared" si="352"/>
        <v>45349</v>
      </c>
      <c r="D1433" s="40" t="s">
        <v>4699</v>
      </c>
      <c r="E1433" s="37" t="str" cm="1">
        <f t="array" ref="E1433">_xlfn.IFS(D1433="delhi","north",D1433="mumbai","west",D1433="bengaluru","south",D1433="chennai","south",D1433="kolkata","east",TRUE,"west")</f>
        <v>west</v>
      </c>
      <c r="F1433" s="37" t="s">
        <v>544</v>
      </c>
      <c r="G1433" s="37" t="str">
        <f t="shared" si="353"/>
        <v>bluedart</v>
      </c>
      <c r="H1433" s="37" t="s">
        <v>440</v>
      </c>
      <c r="I1433" s="37" t="str">
        <f t="shared" si="354"/>
        <v>road</v>
      </c>
      <c r="J1433" s="37" t="s">
        <v>326</v>
      </c>
      <c r="K1433" s="37" t="str">
        <f t="shared" si="355"/>
        <v>apparel</v>
      </c>
      <c r="L1433" s="37" t="s">
        <v>401</v>
      </c>
      <c r="M1433" s="37" t="str">
        <f t="shared" si="356"/>
        <v>south</v>
      </c>
      <c r="N1433" s="37" t="s">
        <v>90</v>
      </c>
      <c r="O1433" s="41" t="str">
        <f t="shared" si="357"/>
        <v>Yes</v>
      </c>
      <c r="P1433" s="41">
        <v>6.9</v>
      </c>
      <c r="Q1433" s="41">
        <v>228</v>
      </c>
      <c r="R1433" s="42">
        <f t="shared" si="358"/>
        <v>33.0434782608696</v>
      </c>
      <c r="S1433" s="37">
        <v>8</v>
      </c>
      <c r="T1433" s="37" t="s">
        <v>359</v>
      </c>
      <c r="U1433" s="43" t="str">
        <f t="shared" si="359"/>
        <v>2024-03-05</v>
      </c>
      <c r="V1433" s="43">
        <f t="shared" si="360"/>
        <v>45356</v>
      </c>
      <c r="W1433" s="44">
        <f t="array" ref="W1433">_xlfn.IFS(TRIM(C1433)="","",TRIM(V1433)="","",TRUE,V1433-C1433)</f>
        <v>7</v>
      </c>
      <c r="X1433" s="37">
        <f t="shared" si="361"/>
        <v>-1</v>
      </c>
      <c r="Y1433" s="37" t="s">
        <v>117</v>
      </c>
      <c r="Z1433" s="37" t="str">
        <f t="shared" si="362"/>
        <v>delivered</v>
      </c>
      <c r="AA1433" s="37" t="str">
        <f t="shared" si="363"/>
        <v>On Time</v>
      </c>
      <c r="AB1433" s="37" t="str">
        <f t="shared" si="366"/>
        <v>0</v>
      </c>
      <c r="AC1433" s="37">
        <f t="shared" si="367"/>
        <v>0</v>
      </c>
      <c r="AD1433" s="45">
        <f t="shared" si="365"/>
        <v>0.583333333333333</v>
      </c>
      <c r="AE1433" s="37">
        <v>4</v>
      </c>
      <c r="AF1433" s="37" t="s">
        <v>118</v>
      </c>
      <c r="AG1433" s="37" t="str">
        <f t="shared" si="364"/>
        <v>no</v>
      </c>
      <c r="AH1433" s="37" t="str">
        <f t="array" ref="AH1433">_xlfn.IFS(LOWER(AG1433)="n","no",LOWER(AG1433)="y","yes",TRUE,LOWER(AG1433))</f>
        <v>no</v>
      </c>
      <c r="AI1433" s="37" t="s">
        <v>4692</v>
      </c>
    </row>
    <row r="1434" spans="1:35">
      <c r="A1434" s="46" t="s">
        <v>4324</v>
      </c>
      <c r="B1434" s="47" t="s">
        <v>4823</v>
      </c>
      <c r="C1434" s="39">
        <f t="shared" si="352"/>
        <v>45370</v>
      </c>
      <c r="D1434" s="48" t="s">
        <v>212</v>
      </c>
      <c r="E1434" s="37" t="str" cm="1">
        <f t="array" ref="E1434">_xlfn.IFS(D1434="delhi","north",D1434="mumbai","west",D1434="bengaluru","south",D1434="chennai","south",D1434="kolkata","east",TRUE,"west")</f>
        <v>west</v>
      </c>
      <c r="F1434" s="46" t="s">
        <v>122</v>
      </c>
      <c r="G1434" s="37" t="str">
        <f t="shared" si="353"/>
        <v>delhivery</v>
      </c>
      <c r="H1434" s="46" t="s">
        <v>99</v>
      </c>
      <c r="I1434" s="37" t="str">
        <f t="shared" si="354"/>
        <v>air</v>
      </c>
      <c r="J1434" s="46" t="s">
        <v>283</v>
      </c>
      <c r="K1434" s="37" t="str">
        <f t="shared" si="355"/>
        <v>pharma</v>
      </c>
      <c r="L1434" s="46" t="s">
        <v>334</v>
      </c>
      <c r="M1434" s="37" t="str">
        <f t="shared" si="356"/>
        <v>north</v>
      </c>
      <c r="N1434" s="46" t="s">
        <v>354</v>
      </c>
      <c r="O1434" s="41" t="str">
        <f t="shared" si="357"/>
        <v>Yes</v>
      </c>
      <c r="P1434" s="49">
        <v>3.6</v>
      </c>
      <c r="Q1434" s="49">
        <v>371</v>
      </c>
      <c r="R1434" s="42">
        <f t="shared" si="358"/>
        <v>103.055555555556</v>
      </c>
      <c r="S1434" s="46">
        <v>4</v>
      </c>
      <c r="T1434" s="46" t="s">
        <v>154</v>
      </c>
      <c r="U1434" s="43" t="str">
        <f t="shared" si="359"/>
        <v>24/03/2024</v>
      </c>
      <c r="V1434" s="43">
        <f t="shared" si="360"/>
        <v>45375</v>
      </c>
      <c r="W1434" s="44">
        <f t="array" ref="W1434">_xlfn.IFS(TRIM(C1434)="","",TRIM(V1434)="","",TRUE,V1434-C1434)</f>
        <v>5</v>
      </c>
      <c r="X1434" s="37">
        <f t="shared" si="361"/>
        <v>1</v>
      </c>
      <c r="Y1434" s="46" t="s">
        <v>200</v>
      </c>
      <c r="Z1434" s="37" t="str">
        <f t="shared" si="362"/>
        <v>delayed</v>
      </c>
      <c r="AA1434" s="37" t="str">
        <f t="shared" si="363"/>
        <v>Late</v>
      </c>
      <c r="AB1434" s="37" t="str">
        <f t="shared" si="366"/>
        <v>1</v>
      </c>
      <c r="AC1434" s="37">
        <f t="shared" si="367"/>
        <v>1</v>
      </c>
      <c r="AD1434" s="45">
        <f t="shared" si="365"/>
        <v>0.586826347305389</v>
      </c>
      <c r="AE1434" s="46">
        <v>1</v>
      </c>
      <c r="AF1434" s="46" t="s">
        <v>106</v>
      </c>
      <c r="AG1434" s="37" t="str">
        <f t="shared" si="364"/>
        <v>yes</v>
      </c>
      <c r="AH1434" s="37" t="str">
        <f t="array" ref="AH1434">_xlfn.IFS(LOWER(AG1434)="n","no",LOWER(AG1434)="y","yes",TRUE,LOWER(AG1434))</f>
        <v>yes</v>
      </c>
      <c r="AI1434" s="46" t="s">
        <v>4692</v>
      </c>
    </row>
    <row r="1435" spans="1:35">
      <c r="A1435" s="37" t="s">
        <v>4325</v>
      </c>
      <c r="B1435" s="38">
        <v>45446</v>
      </c>
      <c r="C1435" s="39">
        <f t="shared" si="352"/>
        <v>45446</v>
      </c>
      <c r="D1435" s="40" t="s">
        <v>366</v>
      </c>
      <c r="E1435" s="37" t="str" cm="1">
        <f t="array" ref="E1435">_xlfn.IFS(D1435="delhi","north",D1435="mumbai","west",D1435="bengaluru","south",D1435="chennai","south",D1435="kolkata","east",TRUE,"west")</f>
        <v>east</v>
      </c>
      <c r="F1435" s="37" t="s">
        <v>919</v>
      </c>
      <c r="G1435" s="37" t="str">
        <f t="shared" si="353"/>
        <v>xpressbees</v>
      </c>
      <c r="H1435" s="37" t="s">
        <v>157</v>
      </c>
      <c r="I1435" s="37" t="str">
        <f t="shared" si="354"/>
        <v>surface</v>
      </c>
      <c r="J1435" s="37" t="s">
        <v>592</v>
      </c>
      <c r="K1435" s="37" t="str">
        <f t="shared" si="355"/>
        <v>grocery&amp;fmcg</v>
      </c>
      <c r="L1435" s="37" t="s">
        <v>346</v>
      </c>
      <c r="M1435" s="37" t="str">
        <f t="shared" si="356"/>
        <v>north</v>
      </c>
      <c r="N1435" s="37" t="s">
        <v>113</v>
      </c>
      <c r="O1435" s="41" t="str">
        <f t="shared" si="357"/>
        <v>Yes</v>
      </c>
      <c r="P1435" s="41">
        <v>9.7</v>
      </c>
      <c r="Q1435" s="41">
        <v>373</v>
      </c>
      <c r="R1435" s="42">
        <f t="shared" si="358"/>
        <v>38.4536082474227</v>
      </c>
      <c r="S1435" s="37">
        <v>6</v>
      </c>
      <c r="T1435" s="37" t="s">
        <v>3659</v>
      </c>
      <c r="U1435" s="43" t="str">
        <f t="shared" si="359"/>
        <v>09/06/2024</v>
      </c>
      <c r="V1435" s="43">
        <f t="shared" si="360"/>
        <v>45452</v>
      </c>
      <c r="W1435" s="44">
        <f t="array" ref="W1435">_xlfn.IFS(TRIM(C1435)="","",TRIM(V1435)="","",TRUE,V1435-C1435)</f>
        <v>6</v>
      </c>
      <c r="X1435" s="37">
        <f t="shared" si="361"/>
        <v>0</v>
      </c>
      <c r="Y1435" s="37" t="s">
        <v>105</v>
      </c>
      <c r="Z1435" s="37" t="str">
        <f t="shared" si="362"/>
        <v>delivered</v>
      </c>
      <c r="AA1435" s="37" t="str">
        <f t="shared" si="363"/>
        <v>On Time</v>
      </c>
      <c r="AB1435" s="37" t="str">
        <f t="shared" si="366"/>
        <v>0</v>
      </c>
      <c r="AC1435" s="37">
        <f t="shared" si="367"/>
        <v>0</v>
      </c>
      <c r="AD1435" s="45">
        <f t="shared" si="365"/>
        <v>0.58433734939759</v>
      </c>
      <c r="AE1435" s="37">
        <v>5</v>
      </c>
      <c r="AF1435" s="37" t="s">
        <v>191</v>
      </c>
      <c r="AG1435" s="37" t="str">
        <f t="shared" si="364"/>
        <v>no</v>
      </c>
      <c r="AH1435" s="37" t="str">
        <f t="array" ref="AH1435">_xlfn.IFS(LOWER(AG1435)="n","no",LOWER(AG1435)="y","yes",TRUE,LOWER(AG1435))</f>
        <v>no</v>
      </c>
      <c r="AI1435" s="37" t="s">
        <v>4692</v>
      </c>
    </row>
    <row r="1436" spans="1:35">
      <c r="A1436" s="46" t="s">
        <v>4328</v>
      </c>
      <c r="B1436" s="47">
        <v>45408</v>
      </c>
      <c r="C1436" s="39">
        <f t="shared" si="352"/>
        <v>45408</v>
      </c>
      <c r="D1436" s="48" t="s">
        <v>212</v>
      </c>
      <c r="E1436" s="37" t="str" cm="1">
        <f t="array" ref="E1436">_xlfn.IFS(D1436="delhi","north",D1436="mumbai","west",D1436="bengaluru","south",D1436="chennai","south",D1436="kolkata","east",TRUE,"west")</f>
        <v>west</v>
      </c>
      <c r="F1436" s="46" t="s">
        <v>333</v>
      </c>
      <c r="G1436" s="37" t="str">
        <f t="shared" si="353"/>
        <v>delhivery</v>
      </c>
      <c r="H1436" s="46" t="s">
        <v>440</v>
      </c>
      <c r="I1436" s="37" t="str">
        <f t="shared" si="354"/>
        <v>road</v>
      </c>
      <c r="J1436" s="46" t="s">
        <v>1734</v>
      </c>
      <c r="K1436" s="37" t="str">
        <f t="shared" si="355"/>
        <v>automotiveparts</v>
      </c>
      <c r="L1436" s="46" t="s">
        <v>302</v>
      </c>
      <c r="M1436" s="37" t="str">
        <f t="shared" si="356"/>
        <v>east</v>
      </c>
      <c r="N1436" s="46" t="s">
        <v>126</v>
      </c>
      <c r="O1436" s="41" t="str">
        <f t="shared" si="357"/>
        <v>Yes</v>
      </c>
      <c r="P1436" s="49">
        <v>11.1</v>
      </c>
      <c r="Q1436" s="49">
        <v>354</v>
      </c>
      <c r="R1436" s="42">
        <f t="shared" si="358"/>
        <v>31.8918918918919</v>
      </c>
      <c r="S1436" s="46">
        <v>8</v>
      </c>
      <c r="T1436" s="46" t="s">
        <v>3192</v>
      </c>
      <c r="U1436" s="43" t="str">
        <f t="shared" si="359"/>
        <v>03/05/2024</v>
      </c>
      <c r="V1436" s="43">
        <f t="shared" si="360"/>
        <v>45415</v>
      </c>
      <c r="W1436" s="44">
        <f t="array" ref="W1436">_xlfn.IFS(TRIM(C1436)="","",TRIM(V1436)="","",TRUE,V1436-C1436)</f>
        <v>7</v>
      </c>
      <c r="X1436" s="37">
        <f t="shared" si="361"/>
        <v>-1</v>
      </c>
      <c r="Y1436" s="46" t="s">
        <v>219</v>
      </c>
      <c r="Z1436" s="37" t="str">
        <f t="shared" si="362"/>
        <v>delivered</v>
      </c>
      <c r="AA1436" s="37" t="str">
        <f t="shared" si="363"/>
        <v>On Time</v>
      </c>
      <c r="AB1436" s="37" t="str">
        <f t="shared" si="366"/>
        <v>0</v>
      </c>
      <c r="AC1436" s="37">
        <f t="shared" si="367"/>
        <v>0</v>
      </c>
      <c r="AD1436" s="45">
        <f t="shared" si="365"/>
        <v>0.587878787878788</v>
      </c>
      <c r="AE1436" s="46">
        <v>5</v>
      </c>
      <c r="AF1436" s="46" t="s">
        <v>131</v>
      </c>
      <c r="AG1436" s="37" t="str">
        <f t="shared" si="364"/>
        <v>n</v>
      </c>
      <c r="AH1436" s="37" t="str">
        <f t="array" ref="AH1436">_xlfn.IFS(LOWER(AG1436)="n","no",LOWER(AG1436)="y","yes",TRUE,LOWER(AG1436))</f>
        <v>no</v>
      </c>
      <c r="AI1436" s="46" t="s">
        <v>4692</v>
      </c>
    </row>
    <row r="1437" spans="1:35">
      <c r="A1437" s="37" t="s">
        <v>4330</v>
      </c>
      <c r="B1437" s="38">
        <v>45410</v>
      </c>
      <c r="C1437" s="39">
        <f t="shared" si="352"/>
        <v>45410</v>
      </c>
      <c r="D1437" s="40" t="s">
        <v>243</v>
      </c>
      <c r="E1437" s="37" t="str" cm="1">
        <f t="array" ref="E1437">_xlfn.IFS(D1437="delhi","north",D1437="mumbai","west",D1437="bengaluru","south",D1437="chennai","south",D1437="kolkata","east",TRUE,"west")</f>
        <v>west</v>
      </c>
      <c r="F1437" s="37" t="s">
        <v>204</v>
      </c>
      <c r="G1437" s="37" t="str">
        <f t="shared" si="353"/>
        <v>delhivery</v>
      </c>
      <c r="H1437" s="37" t="s">
        <v>440</v>
      </c>
      <c r="I1437" s="37" t="str">
        <f t="shared" si="354"/>
        <v>road</v>
      </c>
      <c r="J1437" s="37" t="s">
        <v>612</v>
      </c>
      <c r="K1437" s="37" t="str">
        <f t="shared" si="355"/>
        <v>grocery&amp;fmcg</v>
      </c>
      <c r="L1437" s="37" t="s">
        <v>197</v>
      </c>
      <c r="M1437" s="37" t="str">
        <f t="shared" si="356"/>
        <v>south</v>
      </c>
      <c r="N1437" s="37" t="s">
        <v>90</v>
      </c>
      <c r="O1437" s="41" t="str">
        <f t="shared" si="357"/>
        <v>Yes</v>
      </c>
      <c r="P1437" s="41">
        <v>13.7</v>
      </c>
      <c r="Q1437" s="41" t="s">
        <v>4290</v>
      </c>
      <c r="R1437" s="42">
        <f t="shared" si="358"/>
        <v>15.985401459854</v>
      </c>
      <c r="S1437" s="37">
        <v>6</v>
      </c>
      <c r="T1437" s="37" t="s">
        <v>1931</v>
      </c>
      <c r="U1437" s="43" t="str">
        <f t="shared" si="359"/>
        <v>09/05/2024</v>
      </c>
      <c r="V1437" s="43">
        <f t="shared" si="360"/>
        <v>45421</v>
      </c>
      <c r="W1437" s="44">
        <f t="array" ref="W1437">_xlfn.IFS(TRIM(C1437)="","",TRIM(V1437)="","",TRUE,V1437-C1437)</f>
        <v>11</v>
      </c>
      <c r="X1437" s="37">
        <f t="shared" si="361"/>
        <v>5</v>
      </c>
      <c r="Y1437" s="37" t="s">
        <v>143</v>
      </c>
      <c r="Z1437" s="37" t="str">
        <f t="shared" si="362"/>
        <v>delayed</v>
      </c>
      <c r="AA1437" s="37" t="str">
        <f t="shared" si="363"/>
        <v>Late</v>
      </c>
      <c r="AB1437" s="37" t="str">
        <f t="shared" si="366"/>
        <v>1</v>
      </c>
      <c r="AC1437" s="37">
        <f t="shared" si="367"/>
        <v>1</v>
      </c>
      <c r="AD1437" s="45">
        <f t="shared" si="365"/>
        <v>0.591463414634146</v>
      </c>
      <c r="AE1437" s="37">
        <v>3</v>
      </c>
      <c r="AF1437" s="37" t="s">
        <v>286</v>
      </c>
      <c r="AG1437" s="37" t="str">
        <f t="shared" si="364"/>
        <v>yes</v>
      </c>
      <c r="AH1437" s="37" t="str">
        <f t="array" ref="AH1437">_xlfn.IFS(LOWER(AG1437)="n","no",LOWER(AG1437)="y","yes",TRUE,LOWER(AG1437))</f>
        <v>yes</v>
      </c>
      <c r="AI1437" s="37" t="s">
        <v>4692</v>
      </c>
    </row>
    <row r="1438" spans="1:35">
      <c r="A1438" s="46" t="s">
        <v>4332</v>
      </c>
      <c r="B1438" s="47">
        <v>45421</v>
      </c>
      <c r="C1438" s="39">
        <f t="shared" si="352"/>
        <v>45421</v>
      </c>
      <c r="D1438" s="48" t="s">
        <v>424</v>
      </c>
      <c r="E1438" s="37" t="str" cm="1">
        <f t="array" ref="E1438">_xlfn.IFS(D1438="delhi","north",D1438="mumbai","west",D1438="bengaluru","south",D1438="chennai","south",D1438="kolkata","east",TRUE,"west")</f>
        <v>south</v>
      </c>
      <c r="F1438" s="46" t="s">
        <v>175</v>
      </c>
      <c r="G1438" s="37" t="str">
        <f t="shared" si="353"/>
        <v>ecomexpress</v>
      </c>
      <c r="H1438" s="46" t="s">
        <v>176</v>
      </c>
      <c r="I1438" s="37" t="str">
        <f t="shared" si="354"/>
        <v>road</v>
      </c>
      <c r="J1438" s="46" t="s">
        <v>237</v>
      </c>
      <c r="K1438" s="37" t="str">
        <f t="shared" si="355"/>
        <v>automotiveparts</v>
      </c>
      <c r="L1438" s="46" t="s">
        <v>125</v>
      </c>
      <c r="M1438" s="37" t="str">
        <f t="shared" si="356"/>
        <v>east</v>
      </c>
      <c r="N1438" s="46" t="s">
        <v>396</v>
      </c>
      <c r="O1438" s="41" t="str">
        <f t="shared" si="357"/>
        <v>Yes</v>
      </c>
      <c r="P1438" s="49">
        <v>24.7</v>
      </c>
      <c r="Q1438" s="49" t="s">
        <v>4334</v>
      </c>
      <c r="R1438" s="42">
        <f t="shared" si="358"/>
        <v>20.4858299595142</v>
      </c>
      <c r="S1438" s="46">
        <v>8</v>
      </c>
      <c r="T1438" s="46" t="s">
        <v>3141</v>
      </c>
      <c r="U1438" s="43" t="str">
        <f t="shared" si="359"/>
        <v>16-may-2024</v>
      </c>
      <c r="V1438" s="43">
        <f t="shared" si="360"/>
        <v>45428</v>
      </c>
      <c r="W1438" s="44">
        <f t="array" ref="W1438">_xlfn.IFS(TRIM(C1438)="","",TRIM(V1438)="","",TRUE,V1438-C1438)</f>
        <v>7</v>
      </c>
      <c r="X1438" s="37">
        <f t="shared" si="361"/>
        <v>-1</v>
      </c>
      <c r="Y1438" s="46" t="s">
        <v>219</v>
      </c>
      <c r="Z1438" s="37" t="str">
        <f t="shared" si="362"/>
        <v>delivered</v>
      </c>
      <c r="AA1438" s="37" t="str">
        <f t="shared" si="363"/>
        <v>On Time</v>
      </c>
      <c r="AB1438" s="37" t="str">
        <f t="shared" si="366"/>
        <v>0</v>
      </c>
      <c r="AC1438" s="37">
        <f t="shared" si="367"/>
        <v>0</v>
      </c>
      <c r="AD1438" s="45">
        <f t="shared" si="365"/>
        <v>0.588957055214724</v>
      </c>
      <c r="AE1438" s="46">
        <v>5</v>
      </c>
      <c r="AF1438" s="46" t="s">
        <v>118</v>
      </c>
      <c r="AG1438" s="37" t="str">
        <f t="shared" si="364"/>
        <v>no</v>
      </c>
      <c r="AH1438" s="37" t="str">
        <f t="array" ref="AH1438">_xlfn.IFS(LOWER(AG1438)="n","no",LOWER(AG1438)="y","yes",TRUE,LOWER(AG1438))</f>
        <v>no</v>
      </c>
      <c r="AI1438" s="46" t="s">
        <v>4692</v>
      </c>
    </row>
    <row r="1439" spans="1:35">
      <c r="A1439" s="37" t="s">
        <v>4335</v>
      </c>
      <c r="B1439" s="38" t="s">
        <v>4856</v>
      </c>
      <c r="C1439" s="39">
        <f t="shared" si="352"/>
        <v>45447</v>
      </c>
      <c r="D1439" s="40" t="s">
        <v>633</v>
      </c>
      <c r="E1439" s="37" t="str" cm="1">
        <f t="array" ref="E1439">_xlfn.IFS(D1439="delhi","north",D1439="mumbai","west",D1439="bengaluru","south",D1439="chennai","south",D1439="kolkata","east",TRUE,"west")</f>
        <v>south</v>
      </c>
      <c r="F1439" s="37" t="s">
        <v>223</v>
      </c>
      <c r="G1439" s="37" t="str">
        <f t="shared" si="353"/>
        <v>xpressbees</v>
      </c>
      <c r="H1439" s="37" t="s">
        <v>99</v>
      </c>
      <c r="I1439" s="37" t="str">
        <f t="shared" si="354"/>
        <v>air</v>
      </c>
      <c r="J1439" s="37" t="s">
        <v>205</v>
      </c>
      <c r="K1439" s="37" t="str">
        <f t="shared" si="355"/>
        <v>furniture</v>
      </c>
      <c r="L1439" s="37" t="s">
        <v>264</v>
      </c>
      <c r="M1439" s="37" t="str">
        <f t="shared" si="356"/>
        <v>west</v>
      </c>
      <c r="N1439" s="37" t="s">
        <v>187</v>
      </c>
      <c r="O1439" s="41" t="str">
        <f t="shared" si="357"/>
        <v>Yes</v>
      </c>
      <c r="P1439" s="41">
        <v>72.1</v>
      </c>
      <c r="Q1439" s="50">
        <v>3427</v>
      </c>
      <c r="R1439" s="42">
        <f t="shared" si="358"/>
        <v>47.5312066574203</v>
      </c>
      <c r="S1439" s="37">
        <v>4</v>
      </c>
      <c r="T1439" s="37" t="s">
        <v>1582</v>
      </c>
      <c r="U1439" s="43" t="str">
        <f t="shared" si="359"/>
        <v>2024-06-09</v>
      </c>
      <c r="V1439" s="43">
        <f t="shared" si="360"/>
        <v>45452</v>
      </c>
      <c r="W1439" s="44">
        <f t="array" ref="W1439">_xlfn.IFS(TRIM(C1439)="","",TRIM(V1439)="","",TRUE,V1439-C1439)</f>
        <v>5</v>
      </c>
      <c r="X1439" s="37">
        <f t="shared" si="361"/>
        <v>1</v>
      </c>
      <c r="Y1439" s="37" t="s">
        <v>200</v>
      </c>
      <c r="Z1439" s="37" t="str">
        <f t="shared" si="362"/>
        <v>delayed</v>
      </c>
      <c r="AA1439" s="37" t="str">
        <f t="shared" si="363"/>
        <v>Late</v>
      </c>
      <c r="AB1439" s="37" t="str">
        <f t="shared" si="366"/>
        <v>1</v>
      </c>
      <c r="AC1439" s="37">
        <f t="shared" si="367"/>
        <v>1</v>
      </c>
      <c r="AD1439" s="45">
        <f t="shared" si="365"/>
        <v>0.592592592592593</v>
      </c>
      <c r="AE1439" s="37">
        <v>1</v>
      </c>
      <c r="AF1439" s="37" t="s">
        <v>152</v>
      </c>
      <c r="AG1439" s="37" t="str">
        <f t="shared" si="364"/>
        <v>no</v>
      </c>
      <c r="AH1439" s="37" t="str">
        <f t="array" ref="AH1439">_xlfn.IFS(LOWER(AG1439)="n","no",LOWER(AG1439)="y","yes",TRUE,LOWER(AG1439))</f>
        <v>no</v>
      </c>
      <c r="AI1439" s="37" t="s">
        <v>4692</v>
      </c>
    </row>
    <row r="1440" spans="1:35">
      <c r="A1440" s="46" t="s">
        <v>4339</v>
      </c>
      <c r="B1440" s="47">
        <v>45360</v>
      </c>
      <c r="C1440" s="39">
        <f t="shared" si="352"/>
        <v>45360</v>
      </c>
      <c r="D1440" s="48" t="s">
        <v>4695</v>
      </c>
      <c r="E1440" s="37" t="str" cm="1">
        <f t="array" ref="E1440">_xlfn.IFS(D1440="delhi","north",D1440="mumbai","west",D1440="bengaluru","south",D1440="chennai","south",D1440="kolkata","east",TRUE,"west")</f>
        <v>west</v>
      </c>
      <c r="F1440" s="46" t="s">
        <v>136</v>
      </c>
      <c r="G1440" s="37" t="str">
        <f t="shared" si="353"/>
        <v>bluedart</v>
      </c>
      <c r="H1440" s="46" t="s">
        <v>325</v>
      </c>
      <c r="I1440" s="37" t="str">
        <f t="shared" si="354"/>
        <v>air</v>
      </c>
      <c r="J1440" s="46" t="s">
        <v>326</v>
      </c>
      <c r="K1440" s="37" t="str">
        <f t="shared" si="355"/>
        <v>apparel</v>
      </c>
      <c r="L1440" s="46" t="s">
        <v>125</v>
      </c>
      <c r="M1440" s="37" t="str">
        <f t="shared" si="356"/>
        <v>east</v>
      </c>
      <c r="N1440" s="46" t="s">
        <v>294</v>
      </c>
      <c r="O1440" s="41" t="str">
        <f t="shared" si="357"/>
        <v>Yes</v>
      </c>
      <c r="P1440" s="49" t="s">
        <v>1312</v>
      </c>
      <c r="Q1440" s="49">
        <v>285</v>
      </c>
      <c r="R1440" s="42">
        <f t="shared" si="358"/>
        <v>98.2758620689655</v>
      </c>
      <c r="S1440" s="46">
        <v>4</v>
      </c>
      <c r="T1440" s="46" t="s">
        <v>1008</v>
      </c>
      <c r="U1440" s="43" t="str">
        <f t="shared" si="359"/>
        <v>14/03/2024</v>
      </c>
      <c r="V1440" s="43">
        <f t="shared" si="360"/>
        <v>45365</v>
      </c>
      <c r="W1440" s="44">
        <f t="array" ref="W1440">_xlfn.IFS(TRIM(C1440)="","",TRIM(V1440)="","",TRUE,V1440-C1440)</f>
        <v>5</v>
      </c>
      <c r="X1440" s="37">
        <f t="shared" si="361"/>
        <v>1</v>
      </c>
      <c r="Y1440" s="46" t="s">
        <v>143</v>
      </c>
      <c r="Z1440" s="37" t="str">
        <f t="shared" si="362"/>
        <v>delayed</v>
      </c>
      <c r="AA1440" s="37" t="str">
        <f t="shared" si="363"/>
        <v>Late</v>
      </c>
      <c r="AB1440" s="37" t="str">
        <f t="shared" si="366"/>
        <v>1</v>
      </c>
      <c r="AC1440" s="37">
        <f t="shared" si="367"/>
        <v>1</v>
      </c>
      <c r="AD1440" s="45">
        <f t="shared" si="365"/>
        <v>0.590062111801242</v>
      </c>
      <c r="AE1440" s="46">
        <v>4</v>
      </c>
      <c r="AF1440" s="46" t="s">
        <v>286</v>
      </c>
      <c r="AG1440" s="37" t="str">
        <f t="shared" si="364"/>
        <v>yes</v>
      </c>
      <c r="AH1440" s="37" t="str">
        <f t="array" ref="AH1440">_xlfn.IFS(LOWER(AG1440)="n","no",LOWER(AG1440)="y","yes",TRUE,LOWER(AG1440))</f>
        <v>yes</v>
      </c>
      <c r="AI1440" s="46" t="s">
        <v>4692</v>
      </c>
    </row>
    <row r="1441" spans="1:35">
      <c r="A1441" s="37" t="s">
        <v>4341</v>
      </c>
      <c r="B1441" s="38">
        <v>45422</v>
      </c>
      <c r="C1441" s="39">
        <f t="shared" si="352"/>
        <v>45422</v>
      </c>
      <c r="D1441" s="40" t="s">
        <v>212</v>
      </c>
      <c r="E1441" s="37" t="str" cm="1">
        <f t="array" ref="E1441">_xlfn.IFS(D1441="delhi","north",D1441="mumbai","west",D1441="bengaluru","south",D1441="chennai","south",D1441="kolkata","east",TRUE,"west")</f>
        <v>west</v>
      </c>
      <c r="F1441" s="37" t="s">
        <v>230</v>
      </c>
      <c r="G1441" s="37" t="str">
        <f t="shared" si="353"/>
        <v>dtdc</v>
      </c>
      <c r="H1441" s="37" t="s">
        <v>195</v>
      </c>
      <c r="I1441" s="37" t="str">
        <f t="shared" si="354"/>
        <v>road</v>
      </c>
      <c r="J1441" s="37" t="s">
        <v>612</v>
      </c>
      <c r="K1441" s="37" t="str">
        <f t="shared" si="355"/>
        <v>grocery&amp;fmcg</v>
      </c>
      <c r="L1441" s="37" t="s">
        <v>159</v>
      </c>
      <c r="M1441" s="37" t="str">
        <f t="shared" si="356"/>
        <v>south</v>
      </c>
      <c r="N1441" s="37" t="s">
        <v>54</v>
      </c>
      <c r="O1441" s="41" t="str">
        <f t="shared" si="357"/>
        <v>Yes</v>
      </c>
      <c r="P1441" s="41" t="s">
        <v>4342</v>
      </c>
      <c r="Q1441" s="41" t="s">
        <v>4343</v>
      </c>
      <c r="R1441" s="42">
        <f t="shared" si="358"/>
        <v>25.8125</v>
      </c>
      <c r="S1441" s="37">
        <v>8</v>
      </c>
      <c r="T1441" s="37" t="s">
        <v>690</v>
      </c>
      <c r="U1441" s="43" t="str">
        <f t="shared" si="359"/>
        <v>18/05/2024</v>
      </c>
      <c r="V1441" s="43">
        <f t="shared" si="360"/>
        <v>45430</v>
      </c>
      <c r="W1441" s="44">
        <f t="array" ref="W1441">_xlfn.IFS(TRIM(C1441)="","",TRIM(V1441)="","",TRUE,V1441-C1441)</f>
        <v>8</v>
      </c>
      <c r="X1441" s="37">
        <f t="shared" si="361"/>
        <v>0</v>
      </c>
      <c r="Y1441" s="37" t="s">
        <v>163</v>
      </c>
      <c r="Z1441" s="37" t="str">
        <f t="shared" si="362"/>
        <v>delivered</v>
      </c>
      <c r="AA1441" s="37" t="str">
        <f t="shared" si="363"/>
        <v>On Time</v>
      </c>
      <c r="AB1441" s="37" t="str">
        <f t="shared" si="366"/>
        <v>0</v>
      </c>
      <c r="AC1441" s="37">
        <f t="shared" si="367"/>
        <v>0</v>
      </c>
      <c r="AD1441" s="45">
        <f t="shared" si="365"/>
        <v>0.5875</v>
      </c>
      <c r="AE1441" s="37">
        <v>4</v>
      </c>
      <c r="AF1441" s="37" t="s">
        <v>181</v>
      </c>
      <c r="AG1441" s="37" t="str">
        <f t="shared" si="364"/>
        <v>y</v>
      </c>
      <c r="AH1441" s="37" t="str">
        <f t="array" ref="AH1441">_xlfn.IFS(LOWER(AG1441)="n","no",LOWER(AG1441)="y","yes",TRUE,LOWER(AG1441))</f>
        <v>yes</v>
      </c>
      <c r="AI1441" s="37" t="s">
        <v>4692</v>
      </c>
    </row>
    <row r="1442" spans="1:35">
      <c r="A1442" s="46" t="s">
        <v>4344</v>
      </c>
      <c r="B1442" s="47" t="s">
        <v>4855</v>
      </c>
      <c r="C1442" s="39">
        <f t="shared" si="352"/>
        <v>45296</v>
      </c>
      <c r="D1442" s="48" t="s">
        <v>243</v>
      </c>
      <c r="E1442" s="37" t="str" cm="1">
        <f t="array" ref="E1442">_xlfn.IFS(D1442="delhi","north",D1442="mumbai","west",D1442="bengaluru","south",D1442="chennai","south",D1442="kolkata","east",TRUE,"west")</f>
        <v>west</v>
      </c>
      <c r="F1442" s="46" t="s">
        <v>98</v>
      </c>
      <c r="G1442" s="37" t="str">
        <f t="shared" si="353"/>
        <v>dtdc</v>
      </c>
      <c r="H1442" s="46" t="s">
        <v>42</v>
      </c>
      <c r="I1442" s="37" t="str">
        <f t="shared" si="354"/>
        <v>surface</v>
      </c>
      <c r="J1442" s="46" t="s">
        <v>353</v>
      </c>
      <c r="K1442" s="37" t="str">
        <f t="shared" si="355"/>
        <v>automotiveparts</v>
      </c>
      <c r="L1442" s="46" t="s">
        <v>139</v>
      </c>
      <c r="M1442" s="37" t="str">
        <f t="shared" si="356"/>
        <v>north</v>
      </c>
      <c r="N1442" s="46" t="s">
        <v>32</v>
      </c>
      <c r="O1442" s="41" t="str">
        <f t="shared" si="357"/>
        <v>Yes</v>
      </c>
      <c r="P1442" s="49">
        <v>36.5</v>
      </c>
      <c r="Q1442" s="49" t="s">
        <v>4345</v>
      </c>
      <c r="R1442" s="42">
        <f t="shared" si="358"/>
        <v>27.4794520547945</v>
      </c>
      <c r="S1442" s="46">
        <v>6</v>
      </c>
      <c r="T1442" s="46" t="s">
        <v>2840</v>
      </c>
      <c r="U1442" s="43" t="str">
        <f t="shared" si="359"/>
        <v>12-jan-2024</v>
      </c>
      <c r="V1442" s="43">
        <f t="shared" si="360"/>
        <v>45303</v>
      </c>
      <c r="W1442" s="44">
        <f t="array" ref="W1442">_xlfn.IFS(TRIM(C1442)="","",TRIM(V1442)="","",TRUE,V1442-C1442)</f>
        <v>7</v>
      </c>
      <c r="X1442" s="37">
        <f t="shared" si="361"/>
        <v>1</v>
      </c>
      <c r="Y1442" s="46" t="s">
        <v>143</v>
      </c>
      <c r="Z1442" s="37" t="str">
        <f t="shared" si="362"/>
        <v>delayed</v>
      </c>
      <c r="AA1442" s="37" t="str">
        <f t="shared" si="363"/>
        <v>Late</v>
      </c>
      <c r="AB1442" s="37" t="str">
        <f t="shared" si="366"/>
        <v>1</v>
      </c>
      <c r="AC1442" s="37">
        <f t="shared" si="367"/>
        <v>1</v>
      </c>
      <c r="AD1442" s="45">
        <f t="shared" si="365"/>
        <v>0.591194968553459</v>
      </c>
      <c r="AE1442" s="46">
        <v>1</v>
      </c>
      <c r="AF1442" s="46" t="s">
        <v>191</v>
      </c>
      <c r="AG1442" s="37" t="str">
        <f t="shared" si="364"/>
        <v>no</v>
      </c>
      <c r="AH1442" s="37" t="str">
        <f t="array" ref="AH1442">_xlfn.IFS(LOWER(AG1442)="n","no",LOWER(AG1442)="y","yes",TRUE,LOWER(AG1442))</f>
        <v>no</v>
      </c>
      <c r="AI1442" s="46" t="s">
        <v>4692</v>
      </c>
    </row>
    <row r="1443" spans="1:35">
      <c r="A1443" s="37" t="s">
        <v>4346</v>
      </c>
      <c r="B1443" s="38">
        <v>45447</v>
      </c>
      <c r="C1443" s="39">
        <f t="shared" si="352"/>
        <v>45447</v>
      </c>
      <c r="D1443" s="40" t="s">
        <v>109</v>
      </c>
      <c r="E1443" s="37" t="str" cm="1">
        <f t="array" ref="E1443">_xlfn.IFS(D1443="delhi","north",D1443="mumbai","west",D1443="bengaluru","south",D1443="chennai","south",D1443="kolkata","east",TRUE,"west")</f>
        <v>west</v>
      </c>
      <c r="F1443" s="37" t="s">
        <v>194</v>
      </c>
      <c r="G1443" s="37" t="str">
        <f t="shared" si="353"/>
        <v>xpressbees</v>
      </c>
      <c r="H1443" s="37" t="s">
        <v>244</v>
      </c>
      <c r="I1443" s="37" t="str">
        <f t="shared" si="354"/>
        <v>air</v>
      </c>
      <c r="J1443" s="37" t="s">
        <v>313</v>
      </c>
      <c r="K1443" s="37" t="str">
        <f t="shared" si="355"/>
        <v>automotiveparts</v>
      </c>
      <c r="L1443" s="37" t="s">
        <v>125</v>
      </c>
      <c r="M1443" s="37" t="str">
        <f t="shared" si="356"/>
        <v>east</v>
      </c>
      <c r="N1443" s="37" t="s">
        <v>396</v>
      </c>
      <c r="O1443" s="41" t="str">
        <f t="shared" si="357"/>
        <v>Yes</v>
      </c>
      <c r="P1443" s="41">
        <v>6.9</v>
      </c>
      <c r="Q1443" s="41">
        <v>495</v>
      </c>
      <c r="R1443" s="42">
        <f t="shared" si="358"/>
        <v>71.7391304347826</v>
      </c>
      <c r="S1443" s="37">
        <v>4</v>
      </c>
      <c r="T1443" s="37" t="s">
        <v>2324</v>
      </c>
      <c r="U1443" s="43" t="str">
        <f t="shared" si="359"/>
        <v>08-jun-2024</v>
      </c>
      <c r="V1443" s="43">
        <f t="shared" si="360"/>
        <v>45451</v>
      </c>
      <c r="W1443" s="44">
        <f t="array" ref="W1443">_xlfn.IFS(TRIM(C1443)="","",TRIM(V1443)="","",TRUE,V1443-C1443)</f>
        <v>4</v>
      </c>
      <c r="X1443" s="37">
        <f t="shared" si="361"/>
        <v>0</v>
      </c>
      <c r="Y1443" s="37" t="s">
        <v>105</v>
      </c>
      <c r="Z1443" s="37" t="str">
        <f t="shared" si="362"/>
        <v>delivered</v>
      </c>
      <c r="AA1443" s="37" t="str">
        <f t="shared" si="363"/>
        <v>On Time</v>
      </c>
      <c r="AB1443" s="37" t="str">
        <f t="shared" si="366"/>
        <v>0</v>
      </c>
      <c r="AC1443" s="37">
        <f t="shared" si="367"/>
        <v>0</v>
      </c>
      <c r="AD1443" s="45">
        <f t="shared" si="365"/>
        <v>0.588607594936709</v>
      </c>
      <c r="AE1443" s="37">
        <v>5</v>
      </c>
      <c r="AF1443" s="37" t="s">
        <v>118</v>
      </c>
      <c r="AG1443" s="37" t="str">
        <f t="shared" si="364"/>
        <v>no</v>
      </c>
      <c r="AH1443" s="37" t="str">
        <f t="array" ref="AH1443">_xlfn.IFS(LOWER(AG1443)="n","no",LOWER(AG1443)="y","yes",TRUE,LOWER(AG1443))</f>
        <v>no</v>
      </c>
      <c r="AI1443" s="37" t="s">
        <v>4692</v>
      </c>
    </row>
    <row r="1444" spans="1:35">
      <c r="A1444" s="46" t="s">
        <v>4347</v>
      </c>
      <c r="B1444" s="47" t="s">
        <v>4825</v>
      </c>
      <c r="C1444" s="39">
        <f t="shared" si="352"/>
        <v>45413</v>
      </c>
      <c r="D1444" s="48" t="s">
        <v>366</v>
      </c>
      <c r="E1444" s="37" t="str" cm="1">
        <f t="array" ref="E1444">_xlfn.IFS(D1444="delhi","north",D1444="mumbai","west",D1444="bengaluru","south",D1444="chennai","south",D1444="kolkata","east",TRUE,"west")</f>
        <v>east</v>
      </c>
      <c r="F1444" s="46" t="s">
        <v>204</v>
      </c>
      <c r="G1444" s="37" t="str">
        <f t="shared" si="353"/>
        <v>delhivery</v>
      </c>
      <c r="H1444" s="46" t="s">
        <v>224</v>
      </c>
      <c r="I1444" s="37" t="str">
        <f t="shared" si="354"/>
        <v>air</v>
      </c>
      <c r="J1444" s="46" t="s">
        <v>430</v>
      </c>
      <c r="K1444" s="37" t="str">
        <f t="shared" si="355"/>
        <v>pharma</v>
      </c>
      <c r="L1444" s="46" t="s">
        <v>89</v>
      </c>
      <c r="M1444" s="37" t="str">
        <f t="shared" si="356"/>
        <v>west</v>
      </c>
      <c r="N1444" s="46" t="s">
        <v>206</v>
      </c>
      <c r="O1444" s="41" t="str">
        <f t="shared" si="357"/>
        <v>Yes</v>
      </c>
      <c r="P1444" s="49">
        <v>4.9</v>
      </c>
      <c r="Q1444" s="49">
        <v>344</v>
      </c>
      <c r="R1444" s="42">
        <f t="shared" si="358"/>
        <v>70.2040816326531</v>
      </c>
      <c r="S1444" s="46">
        <v>4</v>
      </c>
      <c r="T1444" s="46" t="s">
        <v>2278</v>
      </c>
      <c r="U1444" s="43" t="str">
        <f t="shared" si="359"/>
        <v>05/05/2024</v>
      </c>
      <c r="V1444" s="43">
        <f t="shared" si="360"/>
        <v>45417</v>
      </c>
      <c r="W1444" s="44">
        <f t="array" ref="W1444">_xlfn.IFS(TRIM(C1444)="","",TRIM(V1444)="","",TRUE,V1444-C1444)</f>
        <v>4</v>
      </c>
      <c r="X1444" s="37">
        <f t="shared" si="361"/>
        <v>0</v>
      </c>
      <c r="Y1444" s="46" t="s">
        <v>163</v>
      </c>
      <c r="Z1444" s="37" t="str">
        <f t="shared" si="362"/>
        <v>delivered</v>
      </c>
      <c r="AA1444" s="37" t="str">
        <f t="shared" si="363"/>
        <v>On Time</v>
      </c>
      <c r="AB1444" s="37" t="str">
        <f t="shared" si="366"/>
        <v>0</v>
      </c>
      <c r="AC1444" s="37">
        <f t="shared" si="367"/>
        <v>0</v>
      </c>
      <c r="AD1444" s="45">
        <f t="shared" si="365"/>
        <v>0.592356687898089</v>
      </c>
      <c r="AE1444" s="46">
        <v>2</v>
      </c>
      <c r="AF1444" s="46" t="s">
        <v>131</v>
      </c>
      <c r="AG1444" s="37" t="str">
        <f t="shared" si="364"/>
        <v>n</v>
      </c>
      <c r="AH1444" s="37" t="str">
        <f t="array" ref="AH1444">_xlfn.IFS(LOWER(AG1444)="n","no",LOWER(AG1444)="y","yes",TRUE,LOWER(AG1444))</f>
        <v>no</v>
      </c>
      <c r="AI1444" s="46" t="s">
        <v>4692</v>
      </c>
    </row>
    <row r="1445" spans="1:35">
      <c r="A1445" s="37" t="s">
        <v>4349</v>
      </c>
      <c r="B1445" s="38">
        <v>45419</v>
      </c>
      <c r="C1445" s="39">
        <f t="shared" si="352"/>
        <v>45419</v>
      </c>
      <c r="D1445" s="40" t="s">
        <v>109</v>
      </c>
      <c r="E1445" s="37" t="str" cm="1">
        <f t="array" ref="E1445">_xlfn.IFS(D1445="delhi","north",D1445="mumbai","west",D1445="bengaluru","south",D1445="chennai","south",D1445="kolkata","east",TRUE,"west")</f>
        <v>west</v>
      </c>
      <c r="F1445" s="37" t="s">
        <v>333</v>
      </c>
      <c r="G1445" s="37" t="str">
        <f t="shared" si="353"/>
        <v>delhivery</v>
      </c>
      <c r="H1445" s="37" t="s">
        <v>123</v>
      </c>
      <c r="I1445" s="37" t="str">
        <f t="shared" si="354"/>
        <v>air</v>
      </c>
      <c r="J1445" s="37" t="s">
        <v>326</v>
      </c>
      <c r="K1445" s="37" t="str">
        <f t="shared" si="355"/>
        <v>apparel</v>
      </c>
      <c r="L1445" s="37" t="s">
        <v>264</v>
      </c>
      <c r="M1445" s="37" t="str">
        <f t="shared" si="356"/>
        <v>west</v>
      </c>
      <c r="N1445" s="37" t="s">
        <v>278</v>
      </c>
      <c r="O1445" s="41" t="str">
        <f t="shared" si="357"/>
        <v>Yes</v>
      </c>
      <c r="P1445" s="41">
        <v>5.5</v>
      </c>
      <c r="Q1445" s="41">
        <v>220</v>
      </c>
      <c r="R1445" s="42">
        <f t="shared" si="358"/>
        <v>40</v>
      </c>
      <c r="S1445" s="37">
        <v>2</v>
      </c>
      <c r="T1445" s="37" t="s">
        <v>3023</v>
      </c>
      <c r="U1445" s="43" t="str">
        <f t="shared" si="359"/>
        <v>09-may-2024</v>
      </c>
      <c r="V1445" s="43">
        <f t="shared" si="360"/>
        <v>45421</v>
      </c>
      <c r="W1445" s="44">
        <f t="array" ref="W1445">_xlfn.IFS(TRIM(C1445)="","",TRIM(V1445)="","",TRUE,V1445-C1445)</f>
        <v>2</v>
      </c>
      <c r="X1445" s="37">
        <f t="shared" si="361"/>
        <v>0</v>
      </c>
      <c r="Y1445" s="37" t="s">
        <v>163</v>
      </c>
      <c r="Z1445" s="37" t="str">
        <f t="shared" si="362"/>
        <v>delivered</v>
      </c>
      <c r="AA1445" s="37" t="str">
        <f t="shared" si="363"/>
        <v>On Time</v>
      </c>
      <c r="AB1445" s="37" t="str">
        <f t="shared" si="366"/>
        <v>0</v>
      </c>
      <c r="AC1445" s="37">
        <f t="shared" si="367"/>
        <v>0</v>
      </c>
      <c r="AD1445" s="45">
        <f t="shared" si="365"/>
        <v>0.596153846153846</v>
      </c>
      <c r="AE1445" s="37">
        <v>5</v>
      </c>
      <c r="AF1445" s="37" t="s">
        <v>152</v>
      </c>
      <c r="AG1445" s="37" t="str">
        <f t="shared" si="364"/>
        <v>no</v>
      </c>
      <c r="AH1445" s="37" t="str">
        <f t="array" ref="AH1445">_xlfn.IFS(LOWER(AG1445)="n","no",LOWER(AG1445)="y","yes",TRUE,LOWER(AG1445))</f>
        <v>no</v>
      </c>
      <c r="AI1445" s="37" t="s">
        <v>4692</v>
      </c>
    </row>
    <row r="1446" spans="1:35">
      <c r="A1446" s="46" t="s">
        <v>4350</v>
      </c>
      <c r="B1446" s="47">
        <v>45341</v>
      </c>
      <c r="C1446" s="39">
        <f t="shared" si="352"/>
        <v>45341</v>
      </c>
      <c r="D1446" s="48" t="s">
        <v>366</v>
      </c>
      <c r="E1446" s="37" t="str" cm="1">
        <f t="array" ref="E1446">_xlfn.IFS(D1446="delhi","north",D1446="mumbai","west",D1446="bengaluru","south",D1446="chennai","south",D1446="kolkata","east",TRUE,"west")</f>
        <v>east</v>
      </c>
      <c r="F1446" s="46" t="s">
        <v>544</v>
      </c>
      <c r="G1446" s="37" t="str">
        <f t="shared" si="353"/>
        <v>bluedart</v>
      </c>
      <c r="H1446" s="46" t="s">
        <v>440</v>
      </c>
      <c r="I1446" s="37" t="str">
        <f t="shared" si="354"/>
        <v>road</v>
      </c>
      <c r="J1446" s="46" t="s">
        <v>47</v>
      </c>
      <c r="K1446" s="37" t="str">
        <f t="shared" si="355"/>
        <v>electronics</v>
      </c>
      <c r="L1446" s="46" t="s">
        <v>334</v>
      </c>
      <c r="M1446" s="37" t="str">
        <f t="shared" si="356"/>
        <v>north</v>
      </c>
      <c r="N1446" s="46" t="s">
        <v>113</v>
      </c>
      <c r="O1446" s="41" t="str">
        <f t="shared" si="357"/>
        <v>Yes</v>
      </c>
      <c r="P1446" s="49">
        <v>2</v>
      </c>
      <c r="Q1446" s="49">
        <v>231</v>
      </c>
      <c r="R1446" s="42">
        <f t="shared" si="358"/>
        <v>115.5</v>
      </c>
      <c r="S1446" s="46">
        <v>8</v>
      </c>
      <c r="T1446" s="46" t="s">
        <v>324</v>
      </c>
      <c r="U1446" s="43" t="str">
        <f t="shared" si="359"/>
        <v>26/02/2024</v>
      </c>
      <c r="V1446" s="43">
        <f t="shared" si="360"/>
        <v>45348</v>
      </c>
      <c r="W1446" s="44">
        <f t="array" ref="W1446">_xlfn.IFS(TRIM(C1446)="","",TRIM(V1446)="","",TRUE,V1446-C1446)</f>
        <v>7</v>
      </c>
      <c r="X1446" s="37">
        <f t="shared" si="361"/>
        <v>-1</v>
      </c>
      <c r="Y1446" s="46" t="s">
        <v>105</v>
      </c>
      <c r="Z1446" s="37" t="str">
        <f t="shared" si="362"/>
        <v>delivered</v>
      </c>
      <c r="AA1446" s="37" t="str">
        <f t="shared" si="363"/>
        <v>On Time</v>
      </c>
      <c r="AB1446" s="37" t="str">
        <f t="shared" si="366"/>
        <v>0</v>
      </c>
      <c r="AC1446" s="37">
        <f t="shared" si="367"/>
        <v>0</v>
      </c>
      <c r="AD1446" s="45">
        <f t="shared" si="365"/>
        <v>0.6</v>
      </c>
      <c r="AE1446" s="46">
        <v>4</v>
      </c>
      <c r="AF1446" s="46" t="s">
        <v>118</v>
      </c>
      <c r="AG1446" s="37" t="str">
        <f t="shared" si="364"/>
        <v>no</v>
      </c>
      <c r="AH1446" s="37" t="str">
        <f t="array" ref="AH1446">_xlfn.IFS(LOWER(AG1446)="n","no",LOWER(AG1446)="y","yes",TRUE,LOWER(AG1446))</f>
        <v>no</v>
      </c>
      <c r="AI1446" s="46" t="s">
        <v>4692</v>
      </c>
    </row>
    <row r="1447" spans="1:35">
      <c r="A1447" s="37" t="s">
        <v>4352</v>
      </c>
      <c r="B1447" s="38">
        <v>45327</v>
      </c>
      <c r="C1447" s="39">
        <f t="shared" si="352"/>
        <v>45327</v>
      </c>
      <c r="D1447" s="40" t="s">
        <v>366</v>
      </c>
      <c r="E1447" s="37" t="str" cm="1">
        <f t="array" ref="E1447">_xlfn.IFS(D1447="delhi","north",D1447="mumbai","west",D1447="bengaluru","south",D1447="chennai","south",D1447="kolkata","east",TRUE,"west")</f>
        <v>east</v>
      </c>
      <c r="F1447" s="37" t="s">
        <v>213</v>
      </c>
      <c r="G1447" s="37" t="str">
        <f t="shared" si="353"/>
        <v>dtdc</v>
      </c>
      <c r="H1447" s="37" t="s">
        <v>345</v>
      </c>
      <c r="I1447" s="37" t="str">
        <f t="shared" si="354"/>
        <v>surface</v>
      </c>
      <c r="J1447" s="37" t="s">
        <v>533</v>
      </c>
      <c r="K1447" s="37" t="str">
        <f t="shared" si="355"/>
        <v>pharma</v>
      </c>
      <c r="L1447" s="37" t="s">
        <v>334</v>
      </c>
      <c r="M1447" s="37" t="str">
        <f t="shared" si="356"/>
        <v>north</v>
      </c>
      <c r="N1447" s="37" t="s">
        <v>32</v>
      </c>
      <c r="O1447" s="41" t="str">
        <f t="shared" si="357"/>
        <v>Yes</v>
      </c>
      <c r="P1447" s="41">
        <v>4</v>
      </c>
      <c r="Q1447" s="41">
        <v>212</v>
      </c>
      <c r="R1447" s="42">
        <f t="shared" si="358"/>
        <v>53</v>
      </c>
      <c r="S1447" s="37">
        <v>6</v>
      </c>
      <c r="T1447" s="37" t="s">
        <v>1823</v>
      </c>
      <c r="U1447" s="43" t="str">
        <f t="shared" si="359"/>
        <v>10/02/2024</v>
      </c>
      <c r="V1447" s="43">
        <f t="shared" si="360"/>
        <v>45332</v>
      </c>
      <c r="W1447" s="44">
        <f t="array" ref="W1447">_xlfn.IFS(TRIM(C1447)="","",TRIM(V1447)="","",TRUE,V1447-C1447)</f>
        <v>5</v>
      </c>
      <c r="X1447" s="37">
        <f t="shared" si="361"/>
        <v>-1</v>
      </c>
      <c r="Y1447" s="37" t="s">
        <v>105</v>
      </c>
      <c r="Z1447" s="37" t="str">
        <f t="shared" si="362"/>
        <v>delivered</v>
      </c>
      <c r="AA1447" s="37" t="str">
        <f t="shared" si="363"/>
        <v>On Time</v>
      </c>
      <c r="AB1447" s="37" t="str">
        <f t="shared" si="366"/>
        <v>0</v>
      </c>
      <c r="AC1447" s="37">
        <f t="shared" si="367"/>
        <v>0</v>
      </c>
      <c r="AD1447" s="45">
        <f t="shared" si="365"/>
        <v>0.603896103896104</v>
      </c>
      <c r="AE1447" s="37">
        <v>4</v>
      </c>
      <c r="AF1447" s="37" t="s">
        <v>286</v>
      </c>
      <c r="AG1447" s="37" t="str">
        <f t="shared" si="364"/>
        <v>yes</v>
      </c>
      <c r="AH1447" s="37" t="str">
        <f t="array" ref="AH1447">_xlfn.IFS(LOWER(AG1447)="n","no",LOWER(AG1447)="y","yes",TRUE,LOWER(AG1447))</f>
        <v>yes</v>
      </c>
      <c r="AI1447" s="37" t="s">
        <v>4692</v>
      </c>
    </row>
    <row r="1448" spans="1:35">
      <c r="A1448" s="46" t="s">
        <v>4354</v>
      </c>
      <c r="B1448" s="47">
        <v>45328</v>
      </c>
      <c r="C1448" s="39">
        <f t="shared" si="352"/>
        <v>45328</v>
      </c>
      <c r="D1448" s="48" t="s">
        <v>633</v>
      </c>
      <c r="E1448" s="37" t="str" cm="1">
        <f t="array" ref="E1448">_xlfn.IFS(D1448="delhi","north",D1448="mumbai","west",D1448="bengaluru","south",D1448="chennai","south",D1448="kolkata","east",TRUE,"west")</f>
        <v>south</v>
      </c>
      <c r="F1448" s="46" t="s">
        <v>230</v>
      </c>
      <c r="G1448" s="37" t="str">
        <f t="shared" si="353"/>
        <v>dtdc</v>
      </c>
      <c r="H1448" s="46" t="s">
        <v>176</v>
      </c>
      <c r="I1448" s="37" t="str">
        <f t="shared" si="354"/>
        <v>road</v>
      </c>
      <c r="J1448" s="46" t="s">
        <v>47</v>
      </c>
      <c r="K1448" s="37" t="str">
        <f t="shared" si="355"/>
        <v>electronics</v>
      </c>
      <c r="L1448" s="46" t="s">
        <v>302</v>
      </c>
      <c r="M1448" s="37" t="str">
        <f t="shared" si="356"/>
        <v>east</v>
      </c>
      <c r="N1448" s="46" t="s">
        <v>396</v>
      </c>
      <c r="O1448" s="41" t="str">
        <f t="shared" si="357"/>
        <v>Yes</v>
      </c>
      <c r="P1448" s="49">
        <v>14.3</v>
      </c>
      <c r="Q1448" s="49">
        <v>332</v>
      </c>
      <c r="R1448" s="42">
        <f t="shared" si="358"/>
        <v>23.2167832167832</v>
      </c>
      <c r="S1448" s="46">
        <v>8</v>
      </c>
      <c r="T1448" s="46" t="s">
        <v>3257</v>
      </c>
      <c r="U1448" s="43" t="str">
        <f t="shared" si="359"/>
        <v>15/02/2024</v>
      </c>
      <c r="V1448" s="43">
        <f t="shared" si="360"/>
        <v>45337</v>
      </c>
      <c r="W1448" s="44">
        <f t="array" ref="W1448">_xlfn.IFS(TRIM(C1448)="","",TRIM(V1448)="","",TRUE,V1448-C1448)</f>
        <v>9</v>
      </c>
      <c r="X1448" s="37">
        <f t="shared" si="361"/>
        <v>1</v>
      </c>
      <c r="Y1448" s="46" t="s">
        <v>1513</v>
      </c>
      <c r="Z1448" s="37" t="str">
        <f t="shared" si="362"/>
        <v>damaged</v>
      </c>
      <c r="AA1448" s="37" t="str">
        <f t="shared" si="363"/>
        <v>Late</v>
      </c>
      <c r="AB1448" s="37" t="str">
        <f t="shared" si="366"/>
        <v>1</v>
      </c>
      <c r="AC1448" s="37">
        <f t="shared" si="367"/>
        <v>1</v>
      </c>
      <c r="AD1448" s="45">
        <f t="shared" si="365"/>
        <v>0.607843137254902</v>
      </c>
      <c r="AE1448" s="46"/>
      <c r="AF1448" s="46" t="s">
        <v>286</v>
      </c>
      <c r="AG1448" s="37" t="str">
        <f t="shared" si="364"/>
        <v>yes</v>
      </c>
      <c r="AH1448" s="37" t="str">
        <f t="array" ref="AH1448">_xlfn.IFS(LOWER(AG1448)="n","no",LOWER(AG1448)="y","yes",TRUE,LOWER(AG1448))</f>
        <v>yes</v>
      </c>
      <c r="AI1448" s="46" t="s">
        <v>759</v>
      </c>
    </row>
    <row r="1449" spans="1:35">
      <c r="A1449" s="37" t="s">
        <v>4355</v>
      </c>
      <c r="B1449" s="38">
        <v>45298</v>
      </c>
      <c r="C1449" s="39">
        <f t="shared" si="352"/>
        <v>45298</v>
      </c>
      <c r="D1449" s="40" t="s">
        <v>212</v>
      </c>
      <c r="E1449" s="37" t="str" cm="1">
        <f t="array" ref="E1449">_xlfn.IFS(D1449="delhi","north",D1449="mumbai","west",D1449="bengaluru","south",D1449="chennai","south",D1449="kolkata","east",TRUE,"west")</f>
        <v>west</v>
      </c>
      <c r="F1449" s="37" t="s">
        <v>223</v>
      </c>
      <c r="G1449" s="37" t="str">
        <f t="shared" si="353"/>
        <v>xpressbees</v>
      </c>
      <c r="H1449" s="37" t="s">
        <v>99</v>
      </c>
      <c r="I1449" s="37" t="str">
        <f t="shared" si="354"/>
        <v>air</v>
      </c>
      <c r="J1449" s="37" t="s">
        <v>592</v>
      </c>
      <c r="K1449" s="37" t="str">
        <f t="shared" si="355"/>
        <v>grocery&amp;fmcg</v>
      </c>
      <c r="L1449" s="37" t="s">
        <v>257</v>
      </c>
      <c r="M1449" s="37" t="str">
        <f t="shared" si="356"/>
        <v>west</v>
      </c>
      <c r="N1449" s="37" t="s">
        <v>88</v>
      </c>
      <c r="O1449" s="41" t="str">
        <f t="shared" si="357"/>
        <v>Yes</v>
      </c>
      <c r="P1449" s="41" t="s">
        <v>493</v>
      </c>
      <c r="Q1449" s="41" t="s">
        <v>1951</v>
      </c>
      <c r="R1449" s="42">
        <f t="shared" si="358"/>
        <v>47.4</v>
      </c>
      <c r="S1449" s="37">
        <v>2</v>
      </c>
      <c r="T1449" s="37" t="s">
        <v>965</v>
      </c>
      <c r="U1449" s="43" t="str">
        <f t="shared" si="359"/>
        <v>14-jan-2024</v>
      </c>
      <c r="V1449" s="43">
        <f t="shared" si="360"/>
        <v>45305</v>
      </c>
      <c r="W1449" s="44">
        <f t="array" ref="W1449">_xlfn.IFS(TRIM(C1449)="","",TRIM(V1449)="","",TRUE,V1449-C1449)</f>
        <v>7</v>
      </c>
      <c r="X1449" s="37">
        <f t="shared" si="361"/>
        <v>5</v>
      </c>
      <c r="Y1449" s="37" t="s">
        <v>72</v>
      </c>
      <c r="Z1449" s="37" t="str">
        <f t="shared" si="362"/>
        <v>delayed</v>
      </c>
      <c r="AA1449" s="37" t="str">
        <f t="shared" si="363"/>
        <v>Late</v>
      </c>
      <c r="AB1449" s="37" t="str">
        <f t="shared" si="366"/>
        <v>1</v>
      </c>
      <c r="AC1449" s="37">
        <f t="shared" si="367"/>
        <v>1</v>
      </c>
      <c r="AD1449" s="45">
        <f t="shared" si="365"/>
        <v>0.605263157894737</v>
      </c>
      <c r="AE1449" s="37">
        <v>4</v>
      </c>
      <c r="AF1449" s="37" t="s">
        <v>181</v>
      </c>
      <c r="AG1449" s="37" t="str">
        <f t="shared" si="364"/>
        <v>y</v>
      </c>
      <c r="AH1449" s="37" t="str">
        <f t="array" ref="AH1449">_xlfn.IFS(LOWER(AG1449)="n","no",LOWER(AG1449)="y","yes",TRUE,LOWER(AG1449))</f>
        <v>yes</v>
      </c>
      <c r="AI1449" s="37" t="s">
        <v>4692</v>
      </c>
    </row>
    <row r="1450" spans="1:35">
      <c r="A1450" s="46" t="s">
        <v>4356</v>
      </c>
      <c r="B1450" s="47" t="s">
        <v>4774</v>
      </c>
      <c r="C1450" s="39">
        <f t="shared" si="352"/>
        <v>45367</v>
      </c>
      <c r="D1450" s="48" t="s">
        <v>166</v>
      </c>
      <c r="E1450" s="37" t="str" cm="1">
        <f t="array" ref="E1450">_xlfn.IFS(D1450="delhi","north",D1450="mumbai","west",D1450="bengaluru","south",D1450="chennai","south",D1450="kolkata","east",TRUE,"west")</f>
        <v>west</v>
      </c>
      <c r="F1450" s="46" t="s">
        <v>352</v>
      </c>
      <c r="G1450" s="37" t="str">
        <f t="shared" si="353"/>
        <v>delhivery</v>
      </c>
      <c r="H1450" s="46" t="s">
        <v>440</v>
      </c>
      <c r="I1450" s="37" t="str">
        <f t="shared" si="354"/>
        <v>road</v>
      </c>
      <c r="J1450" s="46"/>
      <c r="K1450" s="37" t="str">
        <f t="shared" si="355"/>
        <v/>
      </c>
      <c r="L1450" s="46" t="s">
        <v>257</v>
      </c>
      <c r="M1450" s="37" t="str">
        <f t="shared" si="356"/>
        <v>west</v>
      </c>
      <c r="N1450" s="46" t="s">
        <v>206</v>
      </c>
      <c r="O1450" s="41" t="str">
        <f t="shared" si="357"/>
        <v>Yes</v>
      </c>
      <c r="P1450" s="49" t="s">
        <v>1312</v>
      </c>
      <c r="Q1450" s="49">
        <v>229</v>
      </c>
      <c r="R1450" s="42">
        <f t="shared" si="358"/>
        <v>78.9655172413793</v>
      </c>
      <c r="S1450" s="46">
        <v>8</v>
      </c>
      <c r="T1450" s="46" t="s">
        <v>1261</v>
      </c>
      <c r="U1450" s="43" t="str">
        <f t="shared" si="359"/>
        <v>25/03/2024</v>
      </c>
      <c r="V1450" s="43">
        <f t="shared" si="360"/>
        <v>45376</v>
      </c>
      <c r="W1450" s="44">
        <f t="array" ref="W1450">_xlfn.IFS(TRIM(C1450)="","",TRIM(V1450)="","",TRUE,V1450-C1450)</f>
        <v>9</v>
      </c>
      <c r="X1450" s="37">
        <f t="shared" si="361"/>
        <v>1</v>
      </c>
      <c r="Y1450" s="46" t="s">
        <v>143</v>
      </c>
      <c r="Z1450" s="37" t="str">
        <f t="shared" si="362"/>
        <v>delayed</v>
      </c>
      <c r="AA1450" s="37" t="str">
        <f t="shared" si="363"/>
        <v>Late</v>
      </c>
      <c r="AB1450" s="37" t="str">
        <f t="shared" si="366"/>
        <v>1</v>
      </c>
      <c r="AC1450" s="37">
        <f t="shared" si="367"/>
        <v>1</v>
      </c>
      <c r="AD1450" s="45">
        <f t="shared" si="365"/>
        <v>0.602649006622517</v>
      </c>
      <c r="AE1450" s="46">
        <v>2</v>
      </c>
      <c r="AF1450" s="46" t="s">
        <v>118</v>
      </c>
      <c r="AG1450" s="37" t="str">
        <f t="shared" si="364"/>
        <v>no</v>
      </c>
      <c r="AH1450" s="37" t="str">
        <f t="array" ref="AH1450">_xlfn.IFS(LOWER(AG1450)="n","no",LOWER(AG1450)="y","yes",TRUE,LOWER(AG1450))</f>
        <v>no</v>
      </c>
      <c r="AI1450" s="46" t="s">
        <v>4692</v>
      </c>
    </row>
    <row r="1451" spans="1:35">
      <c r="A1451" s="37" t="s">
        <v>4357</v>
      </c>
      <c r="B1451" s="38">
        <v>45300</v>
      </c>
      <c r="C1451" s="39">
        <f t="shared" si="352"/>
        <v>45300</v>
      </c>
      <c r="D1451" s="40" t="s">
        <v>424</v>
      </c>
      <c r="E1451" s="37" t="str" cm="1">
        <f t="array" ref="E1451">_xlfn.IFS(D1451="delhi","north",D1451="mumbai","west",D1451="bengaluru","south",D1451="chennai","south",D1451="kolkata","east",TRUE,"west")</f>
        <v>south</v>
      </c>
      <c r="F1451" s="37" t="s">
        <v>146</v>
      </c>
      <c r="G1451" s="37" t="str">
        <f t="shared" si="353"/>
        <v>ecomexpress</v>
      </c>
      <c r="H1451" s="37" t="s">
        <v>110</v>
      </c>
      <c r="I1451" s="37" t="str">
        <f t="shared" si="354"/>
        <v>surface</v>
      </c>
      <c r="J1451" s="37" t="s">
        <v>425</v>
      </c>
      <c r="K1451" s="37" t="str">
        <f t="shared" si="355"/>
        <v>automotiveparts</v>
      </c>
      <c r="L1451" s="37" t="s">
        <v>401</v>
      </c>
      <c r="M1451" s="37" t="str">
        <f t="shared" si="356"/>
        <v>south</v>
      </c>
      <c r="N1451" s="37" t="s">
        <v>327</v>
      </c>
      <c r="O1451" s="41" t="str">
        <f t="shared" si="357"/>
        <v>Yes</v>
      </c>
      <c r="P1451" s="41">
        <v>13</v>
      </c>
      <c r="Q1451" s="41" t="s">
        <v>629</v>
      </c>
      <c r="R1451" s="42">
        <f t="shared" si="358"/>
        <v>21.4615384615385</v>
      </c>
      <c r="S1451" s="37">
        <v>4</v>
      </c>
      <c r="T1451" s="37" t="s">
        <v>2059</v>
      </c>
      <c r="U1451" s="43" t="str">
        <f t="shared" si="359"/>
        <v>14/01/2024</v>
      </c>
      <c r="V1451" s="43">
        <f t="shared" si="360"/>
        <v>45305</v>
      </c>
      <c r="W1451" s="44">
        <f t="array" ref="W1451">_xlfn.IFS(TRIM(C1451)="","",TRIM(V1451)="","",TRUE,V1451-C1451)</f>
        <v>5</v>
      </c>
      <c r="X1451" s="37">
        <f t="shared" si="361"/>
        <v>1</v>
      </c>
      <c r="Y1451" s="37" t="s">
        <v>143</v>
      </c>
      <c r="Z1451" s="37" t="str">
        <f t="shared" si="362"/>
        <v>delayed</v>
      </c>
      <c r="AA1451" s="37" t="str">
        <f t="shared" si="363"/>
        <v>Late</v>
      </c>
      <c r="AB1451" s="37" t="str">
        <f t="shared" si="366"/>
        <v>1</v>
      </c>
      <c r="AC1451" s="37">
        <f t="shared" si="367"/>
        <v>1</v>
      </c>
      <c r="AD1451" s="45">
        <f t="shared" si="365"/>
        <v>0.6</v>
      </c>
      <c r="AE1451" s="37">
        <v>3</v>
      </c>
      <c r="AF1451" s="37" t="s">
        <v>286</v>
      </c>
      <c r="AG1451" s="37" t="str">
        <f t="shared" si="364"/>
        <v>yes</v>
      </c>
      <c r="AH1451" s="37" t="str">
        <f t="array" ref="AH1451">_xlfn.IFS(LOWER(AG1451)="n","no",LOWER(AG1451)="y","yes",TRUE,LOWER(AG1451))</f>
        <v>yes</v>
      </c>
      <c r="AI1451" s="37" t="s">
        <v>4692</v>
      </c>
    </row>
    <row r="1452" spans="1:35">
      <c r="A1452" s="46" t="s">
        <v>4358</v>
      </c>
      <c r="B1452" s="47">
        <v>45352</v>
      </c>
      <c r="C1452" s="39">
        <f t="shared" si="352"/>
        <v>45352</v>
      </c>
      <c r="D1452" s="48" t="s">
        <v>366</v>
      </c>
      <c r="E1452" s="37" t="str" cm="1">
        <f t="array" ref="E1452">_xlfn.IFS(D1452="delhi","north",D1452="mumbai","west",D1452="bengaluru","south",D1452="chennai","south",D1452="kolkata","east",TRUE,"west")</f>
        <v>east</v>
      </c>
      <c r="F1452" s="46" t="s">
        <v>367</v>
      </c>
      <c r="G1452" s="37" t="str">
        <f t="shared" si="353"/>
        <v>dtdc</v>
      </c>
      <c r="H1452" s="46" t="s">
        <v>440</v>
      </c>
      <c r="I1452" s="37" t="str">
        <f t="shared" si="354"/>
        <v>road</v>
      </c>
      <c r="J1452" s="46" t="s">
        <v>186</v>
      </c>
      <c r="K1452" s="37" t="str">
        <f t="shared" si="355"/>
        <v>automotiveparts</v>
      </c>
      <c r="L1452" s="46" t="s">
        <v>380</v>
      </c>
      <c r="M1452" s="37" t="str">
        <f t="shared" si="356"/>
        <v>east</v>
      </c>
      <c r="N1452" s="46" t="s">
        <v>294</v>
      </c>
      <c r="O1452" s="41" t="str">
        <f t="shared" si="357"/>
        <v>Yes</v>
      </c>
      <c r="P1452" s="49" t="s">
        <v>4359</v>
      </c>
      <c r="Q1452" s="49">
        <v>331</v>
      </c>
      <c r="R1452" s="42">
        <f t="shared" si="358"/>
        <v>15.8373205741627</v>
      </c>
      <c r="S1452" s="46">
        <v>6</v>
      </c>
      <c r="T1452" s="46" t="s">
        <v>1649</v>
      </c>
      <c r="U1452" s="43" t="str">
        <f t="shared" si="359"/>
        <v>08/03/2024</v>
      </c>
      <c r="V1452" s="43">
        <f t="shared" si="360"/>
        <v>45359</v>
      </c>
      <c r="W1452" s="44">
        <f t="array" ref="W1452">_xlfn.IFS(TRIM(C1452)="","",TRIM(V1452)="","",TRUE,V1452-C1452)</f>
        <v>7</v>
      </c>
      <c r="X1452" s="37">
        <f t="shared" si="361"/>
        <v>1</v>
      </c>
      <c r="Y1452" s="46" t="s">
        <v>72</v>
      </c>
      <c r="Z1452" s="37" t="str">
        <f t="shared" si="362"/>
        <v>delayed</v>
      </c>
      <c r="AA1452" s="37" t="str">
        <f t="shared" si="363"/>
        <v>Late</v>
      </c>
      <c r="AB1452" s="37" t="str">
        <f t="shared" si="366"/>
        <v>1</v>
      </c>
      <c r="AC1452" s="37">
        <f t="shared" si="367"/>
        <v>1</v>
      </c>
      <c r="AD1452" s="45">
        <f t="shared" si="365"/>
        <v>0.597315436241611</v>
      </c>
      <c r="AE1452" s="46">
        <v>5</v>
      </c>
      <c r="AF1452" s="46" t="s">
        <v>131</v>
      </c>
      <c r="AG1452" s="37" t="str">
        <f t="shared" si="364"/>
        <v>n</v>
      </c>
      <c r="AH1452" s="37" t="str">
        <f t="array" ref="AH1452">_xlfn.IFS(LOWER(AG1452)="n","no",LOWER(AG1452)="y","yes",TRUE,LOWER(AG1452))</f>
        <v>no</v>
      </c>
      <c r="AI1452" s="46" t="s">
        <v>4692</v>
      </c>
    </row>
    <row r="1453" spans="1:35">
      <c r="A1453" s="37" t="s">
        <v>4361</v>
      </c>
      <c r="B1453" s="38">
        <v>45399</v>
      </c>
      <c r="C1453" s="39">
        <f t="shared" si="352"/>
        <v>45399</v>
      </c>
      <c r="D1453" s="40" t="s">
        <v>340</v>
      </c>
      <c r="E1453" s="37" t="str" cm="1">
        <f t="array" ref="E1453">_xlfn.IFS(D1453="delhi","north",D1453="mumbai","west",D1453="bengaluru","south",D1453="chennai","south",D1453="kolkata","east",TRUE,"west")</f>
        <v>north</v>
      </c>
      <c r="F1453" s="37" t="s">
        <v>230</v>
      </c>
      <c r="G1453" s="37" t="str">
        <f t="shared" si="353"/>
        <v>dtdc</v>
      </c>
      <c r="H1453" s="37" t="s">
        <v>244</v>
      </c>
      <c r="I1453" s="37" t="str">
        <f t="shared" si="354"/>
        <v>air</v>
      </c>
      <c r="J1453" s="37" t="s">
        <v>582</v>
      </c>
      <c r="K1453" s="37" t="str">
        <f t="shared" si="355"/>
        <v>grocery&amp;fmcg</v>
      </c>
      <c r="L1453" s="37" t="s">
        <v>168</v>
      </c>
      <c r="M1453" s="37" t="str">
        <f t="shared" si="356"/>
        <v>west</v>
      </c>
      <c r="N1453" s="37" t="s">
        <v>88</v>
      </c>
      <c r="O1453" s="41" t="str">
        <f t="shared" si="357"/>
        <v>Yes</v>
      </c>
      <c r="P1453" s="41" t="s">
        <v>436</v>
      </c>
      <c r="Q1453" s="41">
        <v>301</v>
      </c>
      <c r="R1453" s="42">
        <f t="shared" si="358"/>
        <v>100.333333333333</v>
      </c>
      <c r="S1453" s="37">
        <v>4</v>
      </c>
      <c r="T1453" s="37" t="s">
        <v>4362</v>
      </c>
      <c r="U1453" s="43" t="str">
        <f t="shared" si="359"/>
        <v>29/04/2024</v>
      </c>
      <c r="V1453" s="43">
        <f t="shared" si="360"/>
        <v>45411</v>
      </c>
      <c r="W1453" s="44">
        <f t="array" ref="W1453">_xlfn.IFS(TRIM(C1453)="","",TRIM(V1453)="","",TRUE,V1453-C1453)</f>
        <v>12</v>
      </c>
      <c r="X1453" s="37">
        <f t="shared" si="361"/>
        <v>8</v>
      </c>
      <c r="Y1453" s="37" t="s">
        <v>143</v>
      </c>
      <c r="Z1453" s="37" t="str">
        <f t="shared" si="362"/>
        <v>delayed</v>
      </c>
      <c r="AA1453" s="37" t="str">
        <f t="shared" si="363"/>
        <v>Late</v>
      </c>
      <c r="AB1453" s="37" t="str">
        <f t="shared" si="366"/>
        <v>1</v>
      </c>
      <c r="AC1453" s="37">
        <f t="shared" si="367"/>
        <v>1</v>
      </c>
      <c r="AD1453" s="45">
        <f t="shared" si="365"/>
        <v>0.594594594594595</v>
      </c>
      <c r="AE1453" s="37">
        <v>5</v>
      </c>
      <c r="AF1453" s="37" t="s">
        <v>191</v>
      </c>
      <c r="AG1453" s="37" t="str">
        <f t="shared" si="364"/>
        <v>no</v>
      </c>
      <c r="AH1453" s="37" t="str">
        <f t="array" ref="AH1453">_xlfn.IFS(LOWER(AG1453)="n","no",LOWER(AG1453)="y","yes",TRUE,LOWER(AG1453))</f>
        <v>no</v>
      </c>
      <c r="AI1453" s="37" t="s">
        <v>4692</v>
      </c>
    </row>
    <row r="1454" spans="1:35">
      <c r="A1454" s="46" t="s">
        <v>4363</v>
      </c>
      <c r="B1454" s="47">
        <v>45423</v>
      </c>
      <c r="C1454" s="39">
        <f t="shared" si="352"/>
        <v>45423</v>
      </c>
      <c r="D1454" s="48" t="s">
        <v>109</v>
      </c>
      <c r="E1454" s="37" t="str" cm="1">
        <f t="array" ref="E1454">_xlfn.IFS(D1454="delhi","north",D1454="mumbai","west",D1454="bengaluru","south",D1454="chennai","south",D1454="kolkata","east",TRUE,"west")</f>
        <v>west</v>
      </c>
      <c r="F1454" s="46" t="s">
        <v>37</v>
      </c>
      <c r="G1454" s="37" t="str">
        <f t="shared" si="353"/>
        <v>bluedart</v>
      </c>
      <c r="H1454" s="46" t="s">
        <v>176</v>
      </c>
      <c r="I1454" s="37" t="str">
        <f t="shared" si="354"/>
        <v>road</v>
      </c>
      <c r="J1454" s="46" t="s">
        <v>612</v>
      </c>
      <c r="K1454" s="37" t="str">
        <f t="shared" si="355"/>
        <v>grocery&amp;fmcg</v>
      </c>
      <c r="L1454" s="46" t="s">
        <v>92</v>
      </c>
      <c r="M1454" s="37" t="str">
        <f t="shared" si="356"/>
        <v>east</v>
      </c>
      <c r="N1454" s="46" t="s">
        <v>396</v>
      </c>
      <c r="O1454" s="41" t="str">
        <f t="shared" si="357"/>
        <v>Yes</v>
      </c>
      <c r="P1454" s="49">
        <v>3.4</v>
      </c>
      <c r="Q1454" s="49">
        <v>226</v>
      </c>
      <c r="R1454" s="42">
        <f t="shared" si="358"/>
        <v>66.4705882352941</v>
      </c>
      <c r="S1454" s="46">
        <v>8</v>
      </c>
      <c r="T1454" s="46" t="s">
        <v>423</v>
      </c>
      <c r="U1454" s="43" t="str">
        <f t="shared" si="359"/>
        <v>20-may-2024</v>
      </c>
      <c r="V1454" s="43">
        <f t="shared" si="360"/>
        <v>45432</v>
      </c>
      <c r="W1454" s="44">
        <f t="array" ref="W1454">_xlfn.IFS(TRIM(C1454)="","",TRIM(V1454)="","",TRUE,V1454-C1454)</f>
        <v>9</v>
      </c>
      <c r="X1454" s="37">
        <f t="shared" si="361"/>
        <v>1</v>
      </c>
      <c r="Y1454" s="46" t="s">
        <v>72</v>
      </c>
      <c r="Z1454" s="37" t="str">
        <f t="shared" si="362"/>
        <v>delayed</v>
      </c>
      <c r="AA1454" s="37" t="str">
        <f t="shared" si="363"/>
        <v>Late</v>
      </c>
      <c r="AB1454" s="37" t="str">
        <f t="shared" si="366"/>
        <v>1</v>
      </c>
      <c r="AC1454" s="37">
        <f t="shared" si="367"/>
        <v>1</v>
      </c>
      <c r="AD1454" s="45">
        <f t="shared" si="365"/>
        <v>0.591836734693878</v>
      </c>
      <c r="AE1454" s="46">
        <v>3</v>
      </c>
      <c r="AF1454" s="46" t="s">
        <v>191</v>
      </c>
      <c r="AG1454" s="37" t="str">
        <f t="shared" si="364"/>
        <v>no</v>
      </c>
      <c r="AH1454" s="37" t="str">
        <f t="array" ref="AH1454">_xlfn.IFS(LOWER(AG1454)="n","no",LOWER(AG1454)="y","yes",TRUE,LOWER(AG1454))</f>
        <v>no</v>
      </c>
      <c r="AI1454" s="46" t="s">
        <v>4692</v>
      </c>
    </row>
    <row r="1455" spans="1:35">
      <c r="A1455" s="37" t="s">
        <v>4364</v>
      </c>
      <c r="B1455" s="38">
        <v>45352</v>
      </c>
      <c r="C1455" s="39">
        <f t="shared" si="352"/>
        <v>45352</v>
      </c>
      <c r="D1455" s="40" t="s">
        <v>424</v>
      </c>
      <c r="E1455" s="37" t="str" cm="1">
        <f t="array" ref="E1455">_xlfn.IFS(D1455="delhi","north",D1455="mumbai","west",D1455="bengaluru","south",D1455="chennai","south",D1455="kolkata","east",TRUE,"west")</f>
        <v>south</v>
      </c>
      <c r="F1455" s="37" t="s">
        <v>204</v>
      </c>
      <c r="G1455" s="37" t="str">
        <f t="shared" si="353"/>
        <v>delhivery</v>
      </c>
      <c r="H1455" s="37" t="s">
        <v>99</v>
      </c>
      <c r="I1455" s="37" t="str">
        <f t="shared" si="354"/>
        <v>air</v>
      </c>
      <c r="J1455" s="37" t="s">
        <v>167</v>
      </c>
      <c r="K1455" s="37" t="str">
        <f t="shared" si="355"/>
        <v>pharma</v>
      </c>
      <c r="L1455" s="37" t="s">
        <v>302</v>
      </c>
      <c r="M1455" s="37" t="str">
        <f t="shared" si="356"/>
        <v>east</v>
      </c>
      <c r="N1455" s="37" t="s">
        <v>91</v>
      </c>
      <c r="O1455" s="41" t="str">
        <f t="shared" si="357"/>
        <v>Yes</v>
      </c>
      <c r="P1455" s="41">
        <v>3.4</v>
      </c>
      <c r="Q1455" s="41">
        <v>310</v>
      </c>
      <c r="R1455" s="42">
        <f t="shared" si="358"/>
        <v>91.1764705882353</v>
      </c>
      <c r="S1455" s="37">
        <v>4</v>
      </c>
      <c r="T1455" s="37" t="s">
        <v>1001</v>
      </c>
      <c r="U1455" s="43" t="str">
        <f t="shared" si="359"/>
        <v>06/03/2024</v>
      </c>
      <c r="V1455" s="43">
        <f t="shared" si="360"/>
        <v>45357</v>
      </c>
      <c r="W1455" s="44">
        <f t="array" ref="W1455">_xlfn.IFS(TRIM(C1455)="","",TRIM(V1455)="","",TRUE,V1455-C1455)</f>
        <v>5</v>
      </c>
      <c r="X1455" s="37">
        <f t="shared" si="361"/>
        <v>1</v>
      </c>
      <c r="Y1455" s="37" t="s">
        <v>200</v>
      </c>
      <c r="Z1455" s="37" t="str">
        <f t="shared" si="362"/>
        <v>delayed</v>
      </c>
      <c r="AA1455" s="37" t="str">
        <f t="shared" si="363"/>
        <v>Late</v>
      </c>
      <c r="AB1455" s="37" t="str">
        <f t="shared" si="366"/>
        <v>1</v>
      </c>
      <c r="AC1455" s="37">
        <f t="shared" si="367"/>
        <v>1</v>
      </c>
      <c r="AD1455" s="45">
        <f t="shared" si="365"/>
        <v>0.589041095890411</v>
      </c>
      <c r="AE1455" s="37">
        <v>2</v>
      </c>
      <c r="AF1455" s="37" t="s">
        <v>118</v>
      </c>
      <c r="AG1455" s="37" t="str">
        <f t="shared" si="364"/>
        <v>no</v>
      </c>
      <c r="AH1455" s="37" t="str">
        <f t="array" ref="AH1455">_xlfn.IFS(LOWER(AG1455)="n","no",LOWER(AG1455)="y","yes",TRUE,LOWER(AG1455))</f>
        <v>no</v>
      </c>
      <c r="AI1455" s="37" t="s">
        <v>4692</v>
      </c>
    </row>
    <row r="1456" spans="1:35">
      <c r="A1456" s="46" t="s">
        <v>4366</v>
      </c>
      <c r="B1456" s="47">
        <v>45297</v>
      </c>
      <c r="C1456" s="39">
        <f t="shared" si="352"/>
        <v>45297</v>
      </c>
      <c r="D1456" s="48" t="s">
        <v>633</v>
      </c>
      <c r="E1456" s="37" t="str" cm="1">
        <f t="array" ref="E1456">_xlfn.IFS(D1456="delhi","north",D1456="mumbai","west",D1456="bengaluru","south",D1456="chennai","south",D1456="kolkata","east",TRUE,"west")</f>
        <v>south</v>
      </c>
      <c r="F1456" s="46" t="s">
        <v>175</v>
      </c>
      <c r="G1456" s="37" t="str">
        <f t="shared" si="353"/>
        <v>ecomexpress</v>
      </c>
      <c r="H1456" s="46" t="s">
        <v>123</v>
      </c>
      <c r="I1456" s="37" t="str">
        <f t="shared" si="354"/>
        <v>air</v>
      </c>
      <c r="J1456" s="46" t="s">
        <v>148</v>
      </c>
      <c r="K1456" s="37" t="str">
        <f t="shared" si="355"/>
        <v>electronics</v>
      </c>
      <c r="L1456" s="46" t="s">
        <v>112</v>
      </c>
      <c r="M1456" s="37" t="str">
        <f t="shared" si="356"/>
        <v>north</v>
      </c>
      <c r="N1456" s="46" t="s">
        <v>215</v>
      </c>
      <c r="O1456" s="41" t="str">
        <f t="shared" si="357"/>
        <v>Yes</v>
      </c>
      <c r="P1456" s="49">
        <v>8.9</v>
      </c>
      <c r="Q1456" s="49" t="s">
        <v>4368</v>
      </c>
      <c r="R1456" s="42">
        <f t="shared" si="358"/>
        <v>58.7640449438202</v>
      </c>
      <c r="S1456" s="46">
        <v>4</v>
      </c>
      <c r="T1456" s="46" t="s">
        <v>2715</v>
      </c>
      <c r="U1456" s="43" t="str">
        <f t="shared" si="359"/>
        <v>14/01/2024</v>
      </c>
      <c r="V1456" s="43">
        <f t="shared" si="360"/>
        <v>45305</v>
      </c>
      <c r="W1456" s="44">
        <f t="array" ref="W1456">_xlfn.IFS(TRIM(C1456)="","",TRIM(V1456)="","",TRUE,V1456-C1456)</f>
        <v>8</v>
      </c>
      <c r="X1456" s="37">
        <f t="shared" si="361"/>
        <v>4</v>
      </c>
      <c r="Y1456" s="46" t="s">
        <v>143</v>
      </c>
      <c r="Z1456" s="37" t="str">
        <f t="shared" si="362"/>
        <v>delayed</v>
      </c>
      <c r="AA1456" s="37" t="str">
        <f t="shared" si="363"/>
        <v>Late</v>
      </c>
      <c r="AB1456" s="37" t="str">
        <f t="shared" si="366"/>
        <v>1</v>
      </c>
      <c r="AC1456" s="37">
        <f t="shared" si="367"/>
        <v>1</v>
      </c>
      <c r="AD1456" s="45">
        <f t="shared" si="365"/>
        <v>0.586206896551724</v>
      </c>
      <c r="AE1456" s="46">
        <v>4</v>
      </c>
      <c r="AF1456" s="46" t="s">
        <v>152</v>
      </c>
      <c r="AG1456" s="37" t="str">
        <f t="shared" si="364"/>
        <v>no</v>
      </c>
      <c r="AH1456" s="37" t="str">
        <f t="array" ref="AH1456">_xlfn.IFS(LOWER(AG1456)="n","no",LOWER(AG1456)="y","yes",TRUE,LOWER(AG1456))</f>
        <v>no</v>
      </c>
      <c r="AI1456" s="46" t="s">
        <v>4692</v>
      </c>
    </row>
    <row r="1457" spans="1:35">
      <c r="A1457" s="37" t="s">
        <v>4369</v>
      </c>
      <c r="B1457" s="38">
        <v>45391</v>
      </c>
      <c r="C1457" s="39">
        <f t="shared" si="352"/>
        <v>45391</v>
      </c>
      <c r="D1457" s="40" t="s">
        <v>300</v>
      </c>
      <c r="E1457" s="37" t="str" cm="1">
        <f t="array" ref="E1457">_xlfn.IFS(D1457="delhi","north",D1457="mumbai","west",D1457="bengaluru","south",D1457="chennai","south",D1457="kolkata","east",TRUE,"west")</f>
        <v>west</v>
      </c>
      <c r="F1457" s="37" t="s">
        <v>230</v>
      </c>
      <c r="G1457" s="37" t="str">
        <f t="shared" si="353"/>
        <v>dtdc</v>
      </c>
      <c r="H1457" s="37" t="s">
        <v>110</v>
      </c>
      <c r="I1457" s="37" t="str">
        <f t="shared" si="354"/>
        <v>surface</v>
      </c>
      <c r="J1457" s="37" t="s">
        <v>167</v>
      </c>
      <c r="K1457" s="37" t="str">
        <f t="shared" si="355"/>
        <v>pharma</v>
      </c>
      <c r="L1457" s="37" t="s">
        <v>401</v>
      </c>
      <c r="M1457" s="37" t="str">
        <f t="shared" si="356"/>
        <v>south</v>
      </c>
      <c r="N1457" s="37" t="s">
        <v>90</v>
      </c>
      <c r="O1457" s="41" t="str">
        <f t="shared" si="357"/>
        <v>Yes</v>
      </c>
      <c r="P1457" s="41" t="s">
        <v>3534</v>
      </c>
      <c r="Q1457" s="41">
        <v>80</v>
      </c>
      <c r="R1457" s="42">
        <f t="shared" si="358"/>
        <v>133.333333333333</v>
      </c>
      <c r="S1457" s="37">
        <v>4</v>
      </c>
      <c r="T1457" s="37" t="s">
        <v>466</v>
      </c>
      <c r="U1457" s="43" t="str">
        <f t="shared" si="359"/>
        <v>2024-04-16</v>
      </c>
      <c r="V1457" s="43">
        <f t="shared" si="360"/>
        <v>45398</v>
      </c>
      <c r="W1457" s="44">
        <f t="array" ref="W1457">_xlfn.IFS(TRIM(C1457)="","",TRIM(V1457)="","",TRUE,V1457-C1457)</f>
        <v>7</v>
      </c>
      <c r="X1457" s="37">
        <f t="shared" si="361"/>
        <v>3</v>
      </c>
      <c r="Y1457" s="37" t="s">
        <v>172</v>
      </c>
      <c r="Z1457" s="37" t="str">
        <f t="shared" si="362"/>
        <v>delayed</v>
      </c>
      <c r="AA1457" s="37" t="str">
        <f t="shared" si="363"/>
        <v>Late</v>
      </c>
      <c r="AB1457" s="37" t="str">
        <f t="shared" si="366"/>
        <v>1</v>
      </c>
      <c r="AC1457" s="37">
        <f t="shared" si="367"/>
        <v>1</v>
      </c>
      <c r="AD1457" s="45">
        <f t="shared" si="365"/>
        <v>0.583333333333333</v>
      </c>
      <c r="AE1457" s="37">
        <v>4</v>
      </c>
      <c r="AF1457" s="37" t="s">
        <v>191</v>
      </c>
      <c r="AG1457" s="37" t="str">
        <f t="shared" si="364"/>
        <v>no</v>
      </c>
      <c r="AH1457" s="37" t="str">
        <f t="array" ref="AH1457">_xlfn.IFS(LOWER(AG1457)="n","no",LOWER(AG1457)="y","yes",TRUE,LOWER(AG1457))</f>
        <v>no</v>
      </c>
      <c r="AI1457" s="37" t="s">
        <v>4692</v>
      </c>
    </row>
    <row r="1458" spans="1:35">
      <c r="A1458" s="46" t="s">
        <v>4370</v>
      </c>
      <c r="B1458" s="47">
        <v>45307</v>
      </c>
      <c r="C1458" s="39">
        <f t="shared" si="352"/>
        <v>45307</v>
      </c>
      <c r="D1458" s="48" t="s">
        <v>4694</v>
      </c>
      <c r="E1458" s="37" t="str" cm="1">
        <f t="array" ref="E1458">_xlfn.IFS(D1458="delhi","north",D1458="mumbai","west",D1458="bengaluru","south",D1458="chennai","south",D1458="kolkata","east",TRUE,"west")</f>
        <v>west</v>
      </c>
      <c r="F1458" s="46" t="s">
        <v>367</v>
      </c>
      <c r="G1458" s="37" t="str">
        <f t="shared" si="353"/>
        <v>dtdc</v>
      </c>
      <c r="H1458" s="46" t="s">
        <v>99</v>
      </c>
      <c r="I1458" s="37" t="str">
        <f t="shared" si="354"/>
        <v>air</v>
      </c>
      <c r="J1458" s="46" t="s">
        <v>177</v>
      </c>
      <c r="K1458" s="37" t="str">
        <f t="shared" si="355"/>
        <v>pharma</v>
      </c>
      <c r="L1458" s="46" t="s">
        <v>89</v>
      </c>
      <c r="M1458" s="37" t="str">
        <f t="shared" si="356"/>
        <v>west</v>
      </c>
      <c r="N1458" s="46" t="s">
        <v>187</v>
      </c>
      <c r="O1458" s="41" t="str">
        <f t="shared" si="357"/>
        <v>Yes</v>
      </c>
      <c r="P1458" s="49">
        <v>1.2</v>
      </c>
      <c r="Q1458" s="49">
        <v>229</v>
      </c>
      <c r="R1458" s="42">
        <f t="shared" si="358"/>
        <v>190.833333333333</v>
      </c>
      <c r="S1458" s="46">
        <v>4</v>
      </c>
      <c r="T1458" s="46" t="s">
        <v>1292</v>
      </c>
      <c r="U1458" s="43" t="str">
        <f t="shared" si="359"/>
        <v>2024-01-28</v>
      </c>
      <c r="V1458" s="43">
        <f t="shared" si="360"/>
        <v>45319</v>
      </c>
      <c r="W1458" s="44">
        <f t="array" ref="W1458">_xlfn.IFS(TRIM(C1458)="","",TRIM(V1458)="","",TRUE,V1458-C1458)</f>
        <v>12</v>
      </c>
      <c r="X1458" s="37">
        <f t="shared" si="361"/>
        <v>8</v>
      </c>
      <c r="Y1458" s="46" t="s">
        <v>143</v>
      </c>
      <c r="Z1458" s="37" t="str">
        <f t="shared" si="362"/>
        <v>delayed</v>
      </c>
      <c r="AA1458" s="37" t="str">
        <f t="shared" si="363"/>
        <v>Late</v>
      </c>
      <c r="AB1458" s="37" t="str">
        <f t="shared" si="366"/>
        <v>1</v>
      </c>
      <c r="AC1458" s="37">
        <f t="shared" si="367"/>
        <v>1</v>
      </c>
      <c r="AD1458" s="45">
        <f t="shared" si="365"/>
        <v>0.58041958041958</v>
      </c>
      <c r="AE1458" s="46">
        <v>2</v>
      </c>
      <c r="AF1458" s="46" t="s">
        <v>191</v>
      </c>
      <c r="AG1458" s="37" t="str">
        <f t="shared" si="364"/>
        <v>no</v>
      </c>
      <c r="AH1458" s="37" t="str">
        <f t="array" ref="AH1458">_xlfn.IFS(LOWER(AG1458)="n","no",LOWER(AG1458)="y","yes",TRUE,LOWER(AG1458))</f>
        <v>no</v>
      </c>
      <c r="AI1458" s="46" t="s">
        <v>4692</v>
      </c>
    </row>
    <row r="1459" spans="1:35">
      <c r="A1459" s="37" t="s">
        <v>4372</v>
      </c>
      <c r="B1459" s="38">
        <v>45391</v>
      </c>
      <c r="C1459" s="39">
        <f t="shared" si="352"/>
        <v>45391</v>
      </c>
      <c r="D1459" s="40" t="s">
        <v>212</v>
      </c>
      <c r="E1459" s="37" t="str" cm="1">
        <f t="array" ref="E1459">_xlfn.IFS(D1459="delhi","north",D1459="mumbai","west",D1459="bengaluru","south",D1459="chennai","south",D1459="kolkata","east",TRUE,"west")</f>
        <v>west</v>
      </c>
      <c r="F1459" s="37" t="s">
        <v>175</v>
      </c>
      <c r="G1459" s="37" t="str">
        <f t="shared" si="353"/>
        <v>ecomexpress</v>
      </c>
      <c r="H1459" s="37" t="s">
        <v>157</v>
      </c>
      <c r="I1459" s="37" t="str">
        <f t="shared" si="354"/>
        <v>surface</v>
      </c>
      <c r="J1459" s="37" t="s">
        <v>111</v>
      </c>
      <c r="K1459" s="37" t="str">
        <f t="shared" si="355"/>
        <v>grocery&amp;fmcg</v>
      </c>
      <c r="L1459" s="37" t="s">
        <v>334</v>
      </c>
      <c r="M1459" s="37" t="str">
        <f t="shared" si="356"/>
        <v>north</v>
      </c>
      <c r="N1459" s="37" t="s">
        <v>32</v>
      </c>
      <c r="O1459" s="41" t="str">
        <f t="shared" si="357"/>
        <v>Yes</v>
      </c>
      <c r="P1459" s="41" t="s">
        <v>1357</v>
      </c>
      <c r="Q1459" s="41">
        <v>461</v>
      </c>
      <c r="R1459" s="42">
        <f t="shared" si="358"/>
        <v>33.6496350364963</v>
      </c>
      <c r="S1459" s="37">
        <v>6</v>
      </c>
      <c r="T1459" s="37" t="s">
        <v>145</v>
      </c>
      <c r="U1459" s="43" t="str">
        <f t="shared" si="359"/>
        <v>16-apr-2024</v>
      </c>
      <c r="V1459" s="43">
        <f t="shared" si="360"/>
        <v>45398</v>
      </c>
      <c r="W1459" s="44">
        <f t="array" ref="W1459">_xlfn.IFS(TRIM(C1459)="","",TRIM(V1459)="","",TRUE,V1459-C1459)</f>
        <v>7</v>
      </c>
      <c r="X1459" s="37">
        <f t="shared" si="361"/>
        <v>1</v>
      </c>
      <c r="Y1459" s="37" t="s">
        <v>172</v>
      </c>
      <c r="Z1459" s="37" t="str">
        <f t="shared" si="362"/>
        <v>delayed</v>
      </c>
      <c r="AA1459" s="37" t="str">
        <f t="shared" si="363"/>
        <v>Late</v>
      </c>
      <c r="AB1459" s="37" t="str">
        <f t="shared" si="366"/>
        <v>1</v>
      </c>
      <c r="AC1459" s="37">
        <f t="shared" si="367"/>
        <v>1</v>
      </c>
      <c r="AD1459" s="45">
        <f t="shared" si="365"/>
        <v>0.577464788732394</v>
      </c>
      <c r="AE1459" s="37">
        <v>3</v>
      </c>
      <c r="AF1459" s="37" t="s">
        <v>152</v>
      </c>
      <c r="AG1459" s="37" t="str">
        <f t="shared" si="364"/>
        <v>no</v>
      </c>
      <c r="AH1459" s="37" t="str">
        <f t="array" ref="AH1459">_xlfn.IFS(LOWER(AG1459)="n","no",LOWER(AG1459)="y","yes",TRUE,LOWER(AG1459))</f>
        <v>no</v>
      </c>
      <c r="AI1459" s="37" t="s">
        <v>4692</v>
      </c>
    </row>
    <row r="1460" spans="1:35">
      <c r="A1460" s="46" t="s">
        <v>4374</v>
      </c>
      <c r="B1460" s="47">
        <v>45302</v>
      </c>
      <c r="C1460" s="39">
        <f t="shared" si="352"/>
        <v>45302</v>
      </c>
      <c r="D1460" s="48" t="s">
        <v>633</v>
      </c>
      <c r="E1460" s="37" t="str" cm="1">
        <f t="array" ref="E1460">_xlfn.IFS(D1460="delhi","north",D1460="mumbai","west",D1460="bengaluru","south",D1460="chennai","south",D1460="kolkata","east",TRUE,"west")</f>
        <v>south</v>
      </c>
      <c r="F1460" s="46" t="s">
        <v>98</v>
      </c>
      <c r="G1460" s="37" t="str">
        <f t="shared" si="353"/>
        <v>dtdc</v>
      </c>
      <c r="H1460" s="46" t="s">
        <v>110</v>
      </c>
      <c r="I1460" s="37" t="str">
        <f t="shared" si="354"/>
        <v>surface</v>
      </c>
      <c r="J1460" s="46" t="s">
        <v>425</v>
      </c>
      <c r="K1460" s="37" t="str">
        <f t="shared" si="355"/>
        <v>automotiveparts</v>
      </c>
      <c r="L1460" s="46" t="s">
        <v>112</v>
      </c>
      <c r="M1460" s="37" t="str">
        <f t="shared" si="356"/>
        <v>north</v>
      </c>
      <c r="N1460" s="46" t="s">
        <v>354</v>
      </c>
      <c r="O1460" s="41" t="str">
        <f t="shared" si="357"/>
        <v>Yes</v>
      </c>
      <c r="P1460" s="49">
        <v>22.3</v>
      </c>
      <c r="Q1460" s="49">
        <v>620</v>
      </c>
      <c r="R1460" s="42">
        <f t="shared" si="358"/>
        <v>27.8026905829596</v>
      </c>
      <c r="S1460" s="46">
        <v>6</v>
      </c>
      <c r="T1460" s="46" t="s">
        <v>1158</v>
      </c>
      <c r="U1460" s="43" t="str">
        <f t="shared" si="359"/>
        <v>26/01/2024</v>
      </c>
      <c r="V1460" s="43">
        <f t="shared" si="360"/>
        <v>45317</v>
      </c>
      <c r="W1460" s="44">
        <f t="array" ref="W1460">_xlfn.IFS(TRIM(C1460)="","",TRIM(V1460)="","",TRUE,V1460-C1460)</f>
        <v>15</v>
      </c>
      <c r="X1460" s="37">
        <f t="shared" si="361"/>
        <v>9</v>
      </c>
      <c r="Y1460" s="46" t="s">
        <v>143</v>
      </c>
      <c r="Z1460" s="37" t="str">
        <f t="shared" si="362"/>
        <v>delayed</v>
      </c>
      <c r="AA1460" s="37" t="str">
        <f t="shared" si="363"/>
        <v>Late</v>
      </c>
      <c r="AB1460" s="37" t="str">
        <f t="shared" si="366"/>
        <v>1</v>
      </c>
      <c r="AC1460" s="37">
        <f t="shared" si="367"/>
        <v>1</v>
      </c>
      <c r="AD1460" s="45">
        <f t="shared" si="365"/>
        <v>0.574468085106383</v>
      </c>
      <c r="AE1460" s="46">
        <v>2</v>
      </c>
      <c r="AF1460" s="46" t="s">
        <v>191</v>
      </c>
      <c r="AG1460" s="37" t="str">
        <f t="shared" si="364"/>
        <v>no</v>
      </c>
      <c r="AH1460" s="37" t="str">
        <f t="array" ref="AH1460">_xlfn.IFS(LOWER(AG1460)="n","no",LOWER(AG1460)="y","yes",TRUE,LOWER(AG1460))</f>
        <v>no</v>
      </c>
      <c r="AI1460" s="46" t="s">
        <v>4692</v>
      </c>
    </row>
    <row r="1461" spans="1:35">
      <c r="A1461" s="37" t="s">
        <v>4377</v>
      </c>
      <c r="B1461" s="38">
        <v>45398</v>
      </c>
      <c r="C1461" s="39">
        <f t="shared" si="352"/>
        <v>45398</v>
      </c>
      <c r="D1461" s="40" t="s">
        <v>243</v>
      </c>
      <c r="E1461" s="37" t="str" cm="1">
        <f t="array" ref="E1461">_xlfn.IFS(D1461="delhi","north",D1461="mumbai","west",D1461="bengaluru","south",D1461="chennai","south",D1461="kolkata","east",TRUE,"west")</f>
        <v>west</v>
      </c>
      <c r="F1461" s="37" t="s">
        <v>204</v>
      </c>
      <c r="G1461" s="37" t="str">
        <f t="shared" si="353"/>
        <v>delhivery</v>
      </c>
      <c r="H1461" s="37" t="s">
        <v>345</v>
      </c>
      <c r="I1461" s="37" t="str">
        <f t="shared" si="354"/>
        <v>surface</v>
      </c>
      <c r="J1461" s="37" t="s">
        <v>425</v>
      </c>
      <c r="K1461" s="37" t="str">
        <f t="shared" si="355"/>
        <v>automotiveparts</v>
      </c>
      <c r="L1461" s="37" t="s">
        <v>264</v>
      </c>
      <c r="M1461" s="37" t="str">
        <f t="shared" si="356"/>
        <v>west</v>
      </c>
      <c r="N1461" s="37" t="s">
        <v>187</v>
      </c>
      <c r="O1461" s="41" t="str">
        <f t="shared" si="357"/>
        <v>Yes</v>
      </c>
      <c r="P1461" s="41" t="s">
        <v>2592</v>
      </c>
      <c r="Q1461" s="41" t="s">
        <v>1177</v>
      </c>
      <c r="R1461" s="42">
        <f t="shared" si="358"/>
        <v>31.3793103448276</v>
      </c>
      <c r="S1461" s="37">
        <v>6</v>
      </c>
      <c r="T1461" s="37" t="s">
        <v>2154</v>
      </c>
      <c r="U1461" s="43" t="str">
        <f t="shared" si="359"/>
        <v>2024-04-27</v>
      </c>
      <c r="V1461" s="43">
        <f t="shared" si="360"/>
        <v>45409</v>
      </c>
      <c r="W1461" s="44">
        <f t="array" ref="W1461">_xlfn.IFS(TRIM(C1461)="","",TRIM(V1461)="","",TRUE,V1461-C1461)</f>
        <v>11</v>
      </c>
      <c r="X1461" s="37">
        <f t="shared" si="361"/>
        <v>5</v>
      </c>
      <c r="Y1461" s="37" t="s">
        <v>200</v>
      </c>
      <c r="Z1461" s="37" t="str">
        <f t="shared" si="362"/>
        <v>delayed</v>
      </c>
      <c r="AA1461" s="37" t="str">
        <f t="shared" si="363"/>
        <v>Late</v>
      </c>
      <c r="AB1461" s="37" t="str">
        <f t="shared" si="366"/>
        <v>1</v>
      </c>
      <c r="AC1461" s="37">
        <f t="shared" si="367"/>
        <v>1</v>
      </c>
      <c r="AD1461" s="45">
        <f t="shared" si="365"/>
        <v>0.571428571428571</v>
      </c>
      <c r="AE1461" s="37">
        <v>1</v>
      </c>
      <c r="AF1461" s="37" t="s">
        <v>286</v>
      </c>
      <c r="AG1461" s="37" t="str">
        <f t="shared" si="364"/>
        <v>yes</v>
      </c>
      <c r="AH1461" s="37" t="str">
        <f t="array" ref="AH1461">_xlfn.IFS(LOWER(AG1461)="n","no",LOWER(AG1461)="y","yes",TRUE,LOWER(AG1461))</f>
        <v>yes</v>
      </c>
      <c r="AI1461" s="37" t="s">
        <v>4692</v>
      </c>
    </row>
    <row r="1462" spans="1:35">
      <c r="A1462" s="46" t="s">
        <v>4378</v>
      </c>
      <c r="B1462" s="47" t="s">
        <v>4781</v>
      </c>
      <c r="C1462" s="39">
        <f t="shared" si="352"/>
        <v>45335</v>
      </c>
      <c r="D1462" s="48" t="s">
        <v>424</v>
      </c>
      <c r="E1462" s="37" t="str" cm="1">
        <f t="array" ref="E1462">_xlfn.IFS(D1462="delhi","north",D1462="mumbai","west",D1462="bengaluru","south",D1462="chennai","south",D1462="kolkata","east",TRUE,"west")</f>
        <v>south</v>
      </c>
      <c r="F1462" s="46" t="s">
        <v>333</v>
      </c>
      <c r="G1462" s="37" t="str">
        <f t="shared" si="353"/>
        <v>delhivery</v>
      </c>
      <c r="H1462" s="46" t="s">
        <v>195</v>
      </c>
      <c r="I1462" s="37" t="str">
        <f t="shared" si="354"/>
        <v>road</v>
      </c>
      <c r="J1462" s="46" t="s">
        <v>498</v>
      </c>
      <c r="K1462" s="37" t="str">
        <f t="shared" si="355"/>
        <v>apparel</v>
      </c>
      <c r="L1462" s="46" t="s">
        <v>51</v>
      </c>
      <c r="M1462" s="37" t="str">
        <f t="shared" si="356"/>
        <v>south</v>
      </c>
      <c r="N1462" s="46" t="s">
        <v>54</v>
      </c>
      <c r="O1462" s="41" t="str">
        <f t="shared" si="357"/>
        <v>Yes</v>
      </c>
      <c r="P1462" s="49">
        <v>7.5</v>
      </c>
      <c r="Q1462" s="49">
        <v>80</v>
      </c>
      <c r="R1462" s="42">
        <f t="shared" si="358"/>
        <v>10.6666666666667</v>
      </c>
      <c r="S1462" s="46">
        <v>6</v>
      </c>
      <c r="T1462" s="46" t="s">
        <v>3602</v>
      </c>
      <c r="U1462" s="43" t="str">
        <f t="shared" si="359"/>
        <v>20-feb-2024</v>
      </c>
      <c r="V1462" s="43">
        <f t="shared" si="360"/>
        <v>45342</v>
      </c>
      <c r="W1462" s="44">
        <f t="array" ref="W1462">_xlfn.IFS(TRIM(C1462)="","",TRIM(V1462)="","",TRUE,V1462-C1462)</f>
        <v>7</v>
      </c>
      <c r="X1462" s="37">
        <f t="shared" si="361"/>
        <v>1</v>
      </c>
      <c r="Y1462" s="46" t="s">
        <v>200</v>
      </c>
      <c r="Z1462" s="37" t="str">
        <f t="shared" si="362"/>
        <v>delayed</v>
      </c>
      <c r="AA1462" s="37" t="str">
        <f t="shared" si="363"/>
        <v>Late</v>
      </c>
      <c r="AB1462" s="37" t="str">
        <f t="shared" si="366"/>
        <v>1</v>
      </c>
      <c r="AC1462" s="37">
        <f t="shared" si="367"/>
        <v>1</v>
      </c>
      <c r="AD1462" s="45">
        <f t="shared" si="365"/>
        <v>0.568345323741007</v>
      </c>
      <c r="AE1462" s="46">
        <v>2</v>
      </c>
      <c r="AF1462" s="46" t="s">
        <v>118</v>
      </c>
      <c r="AG1462" s="37" t="str">
        <f t="shared" si="364"/>
        <v>no</v>
      </c>
      <c r="AH1462" s="37" t="str">
        <f t="array" ref="AH1462">_xlfn.IFS(LOWER(AG1462)="n","no",LOWER(AG1462)="y","yes",TRUE,LOWER(AG1462))</f>
        <v>no</v>
      </c>
      <c r="AI1462" s="46" t="s">
        <v>4692</v>
      </c>
    </row>
    <row r="1463" spans="1:35">
      <c r="A1463" s="37" t="s">
        <v>4379</v>
      </c>
      <c r="B1463" s="38">
        <v>45349</v>
      </c>
      <c r="C1463" s="39">
        <f t="shared" si="352"/>
        <v>45349</v>
      </c>
      <c r="D1463" s="40" t="s">
        <v>366</v>
      </c>
      <c r="E1463" s="37" t="str" cm="1">
        <f t="array" ref="E1463">_xlfn.IFS(D1463="delhi","north",D1463="mumbai","west",D1463="bengaluru","south",D1463="chennai","south",D1463="kolkata","east",TRUE,"west")</f>
        <v>east</v>
      </c>
      <c r="F1463" s="37" t="s">
        <v>204</v>
      </c>
      <c r="G1463" s="37" t="str">
        <f t="shared" si="353"/>
        <v>delhivery</v>
      </c>
      <c r="H1463" s="37" t="s">
        <v>244</v>
      </c>
      <c r="I1463" s="37" t="str">
        <f t="shared" si="354"/>
        <v>air</v>
      </c>
      <c r="J1463" s="37" t="s">
        <v>186</v>
      </c>
      <c r="K1463" s="37" t="str">
        <f t="shared" si="355"/>
        <v>automotiveparts</v>
      </c>
      <c r="L1463" s="37" t="s">
        <v>346</v>
      </c>
      <c r="M1463" s="37" t="str">
        <f t="shared" si="356"/>
        <v>north</v>
      </c>
      <c r="N1463" s="37" t="s">
        <v>32</v>
      </c>
      <c r="O1463" s="41" t="str">
        <f t="shared" si="357"/>
        <v>Yes</v>
      </c>
      <c r="P1463" s="41" t="s">
        <v>4380</v>
      </c>
      <c r="Q1463" s="50">
        <v>1369</v>
      </c>
      <c r="R1463" s="42">
        <f t="shared" si="358"/>
        <v>50.3308823529412</v>
      </c>
      <c r="S1463" s="37">
        <v>4</v>
      </c>
      <c r="T1463" s="37" t="s">
        <v>560</v>
      </c>
      <c r="U1463" s="43" t="str">
        <f t="shared" si="359"/>
        <v>05/03/2024</v>
      </c>
      <c r="V1463" s="43">
        <f t="shared" si="360"/>
        <v>45356</v>
      </c>
      <c r="W1463" s="44">
        <f t="array" ref="W1463">_xlfn.IFS(TRIM(C1463)="","",TRIM(V1463)="","",TRUE,V1463-C1463)</f>
        <v>7</v>
      </c>
      <c r="X1463" s="37">
        <f t="shared" si="361"/>
        <v>3</v>
      </c>
      <c r="Y1463" s="37" t="s">
        <v>200</v>
      </c>
      <c r="Z1463" s="37" t="str">
        <f t="shared" si="362"/>
        <v>delayed</v>
      </c>
      <c r="AA1463" s="37" t="str">
        <f t="shared" si="363"/>
        <v>Late</v>
      </c>
      <c r="AB1463" s="37" t="str">
        <f t="shared" si="366"/>
        <v>1</v>
      </c>
      <c r="AC1463" s="37">
        <f t="shared" si="367"/>
        <v>1</v>
      </c>
      <c r="AD1463" s="45">
        <f t="shared" si="365"/>
        <v>0.565217391304348</v>
      </c>
      <c r="AE1463" s="37">
        <v>3</v>
      </c>
      <c r="AF1463" s="37" t="s">
        <v>106</v>
      </c>
      <c r="AG1463" s="37" t="str">
        <f t="shared" si="364"/>
        <v>yes</v>
      </c>
      <c r="AH1463" s="37" t="str">
        <f t="array" ref="AH1463">_xlfn.IFS(LOWER(AG1463)="n","no",LOWER(AG1463)="y","yes",TRUE,LOWER(AG1463))</f>
        <v>yes</v>
      </c>
      <c r="AI1463" s="37" t="s">
        <v>4692</v>
      </c>
    </row>
    <row r="1464" spans="1:35">
      <c r="A1464" s="46" t="s">
        <v>4381</v>
      </c>
      <c r="B1464" s="47">
        <v>45319</v>
      </c>
      <c r="C1464" s="39">
        <f t="shared" si="352"/>
        <v>45319</v>
      </c>
      <c r="D1464" s="48" t="s">
        <v>4704</v>
      </c>
      <c r="E1464" s="37" t="str" cm="1">
        <f t="array" ref="E1464">_xlfn.IFS(D1464="delhi","north",D1464="mumbai","west",D1464="bengaluru","south",D1464="chennai","south",D1464="kolkata","east",TRUE,"west")</f>
        <v>west</v>
      </c>
      <c r="F1464" s="46" t="s">
        <v>544</v>
      </c>
      <c r="G1464" s="37" t="str">
        <f t="shared" si="353"/>
        <v>bluedart</v>
      </c>
      <c r="H1464" s="46" t="s">
        <v>185</v>
      </c>
      <c r="I1464" s="37" t="str">
        <f t="shared" si="354"/>
        <v>surface</v>
      </c>
      <c r="J1464" s="46" t="s">
        <v>582</v>
      </c>
      <c r="K1464" s="37" t="str">
        <f t="shared" si="355"/>
        <v>grocery&amp;fmcg</v>
      </c>
      <c r="L1464" s="46" t="s">
        <v>418</v>
      </c>
      <c r="M1464" s="37" t="str">
        <f t="shared" si="356"/>
        <v>south</v>
      </c>
      <c r="N1464" s="46" t="s">
        <v>54</v>
      </c>
      <c r="O1464" s="41" t="str">
        <f t="shared" si="357"/>
        <v>Yes</v>
      </c>
      <c r="P1464" s="49">
        <v>15.3</v>
      </c>
      <c r="Q1464" s="49">
        <v>537</v>
      </c>
      <c r="R1464" s="42">
        <f t="shared" si="358"/>
        <v>35.0980392156863</v>
      </c>
      <c r="S1464" s="46">
        <v>6</v>
      </c>
      <c r="T1464" s="46" t="s">
        <v>180</v>
      </c>
      <c r="U1464" s="43" t="str">
        <f t="shared" si="359"/>
        <v>02/02/2024</v>
      </c>
      <c r="V1464" s="43">
        <f t="shared" si="360"/>
        <v>45324</v>
      </c>
      <c r="W1464" s="44">
        <f t="array" ref="W1464">_xlfn.IFS(TRIM(C1464)="","",TRIM(V1464)="","",TRUE,V1464-C1464)</f>
        <v>5</v>
      </c>
      <c r="X1464" s="37">
        <f t="shared" si="361"/>
        <v>-1</v>
      </c>
      <c r="Y1464" s="46" t="s">
        <v>163</v>
      </c>
      <c r="Z1464" s="37" t="str">
        <f t="shared" si="362"/>
        <v>delivered</v>
      </c>
      <c r="AA1464" s="37" t="str">
        <f t="shared" si="363"/>
        <v>On Time</v>
      </c>
      <c r="AB1464" s="37" t="str">
        <f t="shared" si="366"/>
        <v>0</v>
      </c>
      <c r="AC1464" s="37">
        <f t="shared" si="367"/>
        <v>0</v>
      </c>
      <c r="AD1464" s="45">
        <f t="shared" si="365"/>
        <v>0.562043795620438</v>
      </c>
      <c r="AE1464" s="46">
        <v>5</v>
      </c>
      <c r="AF1464" s="46" t="s">
        <v>191</v>
      </c>
      <c r="AG1464" s="37" t="str">
        <f t="shared" si="364"/>
        <v>no</v>
      </c>
      <c r="AH1464" s="37" t="str">
        <f t="array" ref="AH1464">_xlfn.IFS(LOWER(AG1464)="n","no",LOWER(AG1464)="y","yes",TRUE,LOWER(AG1464))</f>
        <v>no</v>
      </c>
      <c r="AI1464" s="46" t="s">
        <v>4692</v>
      </c>
    </row>
    <row r="1465" spans="1:35">
      <c r="A1465" s="37" t="s">
        <v>4383</v>
      </c>
      <c r="B1465" s="38">
        <v>45346</v>
      </c>
      <c r="C1465" s="39">
        <f t="shared" si="352"/>
        <v>45346</v>
      </c>
      <c r="D1465" s="40" t="s">
        <v>424</v>
      </c>
      <c r="E1465" s="37" t="str" cm="1">
        <f t="array" ref="E1465">_xlfn.IFS(D1465="delhi","north",D1465="mumbai","west",D1465="bengaluru","south",D1465="chennai","south",D1465="kolkata","east",TRUE,"west")</f>
        <v>south</v>
      </c>
      <c r="F1465" s="37" t="s">
        <v>184</v>
      </c>
      <c r="G1465" s="37" t="str">
        <f t="shared" si="353"/>
        <v>ecomexpress</v>
      </c>
      <c r="H1465" s="37" t="s">
        <v>195</v>
      </c>
      <c r="I1465" s="37" t="str">
        <f t="shared" si="354"/>
        <v>road</v>
      </c>
      <c r="J1465" s="37" t="s">
        <v>326</v>
      </c>
      <c r="K1465" s="37" t="str">
        <f t="shared" si="355"/>
        <v>apparel</v>
      </c>
      <c r="L1465" s="37" t="s">
        <v>159</v>
      </c>
      <c r="M1465" s="37" t="str">
        <f t="shared" si="356"/>
        <v>south</v>
      </c>
      <c r="N1465" s="37" t="s">
        <v>54</v>
      </c>
      <c r="O1465" s="41" t="str">
        <f t="shared" si="357"/>
        <v>Yes</v>
      </c>
      <c r="P1465" s="41">
        <v>6.6</v>
      </c>
      <c r="Q1465" s="41">
        <v>111</v>
      </c>
      <c r="R1465" s="42">
        <f t="shared" si="358"/>
        <v>16.8181818181818</v>
      </c>
      <c r="S1465" s="37">
        <v>6</v>
      </c>
      <c r="T1465" s="37" t="s">
        <v>2020</v>
      </c>
      <c r="U1465" s="43" t="str">
        <f t="shared" si="359"/>
        <v>2024-03-07</v>
      </c>
      <c r="V1465" s="43">
        <f t="shared" si="360"/>
        <v>45358</v>
      </c>
      <c r="W1465" s="44">
        <f t="array" ref="W1465">_xlfn.IFS(TRIM(C1465)="","",TRIM(V1465)="","",TRUE,V1465-C1465)</f>
        <v>12</v>
      </c>
      <c r="X1465" s="37">
        <f t="shared" si="361"/>
        <v>6</v>
      </c>
      <c r="Y1465" s="37" t="s">
        <v>72</v>
      </c>
      <c r="Z1465" s="37" t="str">
        <f t="shared" si="362"/>
        <v>delayed</v>
      </c>
      <c r="AA1465" s="37" t="str">
        <f t="shared" si="363"/>
        <v>Late</v>
      </c>
      <c r="AB1465" s="37" t="str">
        <f t="shared" si="366"/>
        <v>1</v>
      </c>
      <c r="AC1465" s="37">
        <f t="shared" si="367"/>
        <v>1</v>
      </c>
      <c r="AD1465" s="45">
        <f t="shared" si="365"/>
        <v>0.566176470588235</v>
      </c>
      <c r="AE1465" s="37">
        <v>2</v>
      </c>
      <c r="AF1465" s="37" t="s">
        <v>79</v>
      </c>
      <c r="AG1465" s="37" t="str">
        <f t="shared" si="364"/>
        <v>yes</v>
      </c>
      <c r="AH1465" s="37" t="str">
        <f t="array" ref="AH1465">_xlfn.IFS(LOWER(AG1465)="n","no",LOWER(AG1465)="y","yes",TRUE,LOWER(AG1465))</f>
        <v>yes</v>
      </c>
      <c r="AI1465" s="37" t="s">
        <v>4692</v>
      </c>
    </row>
    <row r="1466" spans="1:35">
      <c r="A1466" s="46" t="s">
        <v>4385</v>
      </c>
      <c r="B1466" s="47">
        <v>45447</v>
      </c>
      <c r="C1466" s="39">
        <f t="shared" si="352"/>
        <v>45447</v>
      </c>
      <c r="D1466" s="48" t="s">
        <v>366</v>
      </c>
      <c r="E1466" s="37" t="str" cm="1">
        <f t="array" ref="E1466">_xlfn.IFS(D1466="delhi","north",D1466="mumbai","west",D1466="bengaluru","south",D1466="chennai","south",D1466="kolkata","east",TRUE,"west")</f>
        <v>east</v>
      </c>
      <c r="F1466" s="46" t="s">
        <v>312</v>
      </c>
      <c r="G1466" s="37" t="str">
        <f t="shared" si="353"/>
        <v>bluedart</v>
      </c>
      <c r="H1466" s="46" t="s">
        <v>42</v>
      </c>
      <c r="I1466" s="37" t="str">
        <f t="shared" si="354"/>
        <v>surface</v>
      </c>
      <c r="J1466" s="46" t="s">
        <v>498</v>
      </c>
      <c r="K1466" s="37" t="str">
        <f t="shared" si="355"/>
        <v>apparel</v>
      </c>
      <c r="L1466" s="46" t="s">
        <v>257</v>
      </c>
      <c r="M1466" s="37" t="str">
        <f t="shared" si="356"/>
        <v>west</v>
      </c>
      <c r="N1466" s="46" t="s">
        <v>88</v>
      </c>
      <c r="O1466" s="41" t="str">
        <f t="shared" si="357"/>
        <v>Yes</v>
      </c>
      <c r="P1466" s="49">
        <v>1.4</v>
      </c>
      <c r="Q1466" s="49" t="s">
        <v>4386</v>
      </c>
      <c r="R1466" s="42">
        <f t="shared" si="358"/>
        <v>120</v>
      </c>
      <c r="S1466" s="46">
        <v>6</v>
      </c>
      <c r="T1466" s="46" t="s">
        <v>853</v>
      </c>
      <c r="U1466" s="43" t="str">
        <f t="shared" si="359"/>
        <v>2024-06-11</v>
      </c>
      <c r="V1466" s="43">
        <f t="shared" si="360"/>
        <v>45454</v>
      </c>
      <c r="W1466" s="44">
        <f t="array" ref="W1466">_xlfn.IFS(TRIM(C1466)="","",TRIM(V1466)="","",TRUE,V1466-C1466)</f>
        <v>7</v>
      </c>
      <c r="X1466" s="37">
        <f t="shared" si="361"/>
        <v>1</v>
      </c>
      <c r="Y1466" s="46" t="s">
        <v>200</v>
      </c>
      <c r="Z1466" s="37" t="str">
        <f t="shared" si="362"/>
        <v>delayed</v>
      </c>
      <c r="AA1466" s="37" t="str">
        <f t="shared" si="363"/>
        <v>Late</v>
      </c>
      <c r="AB1466" s="37" t="str">
        <f t="shared" si="366"/>
        <v>1</v>
      </c>
      <c r="AC1466" s="37">
        <f t="shared" si="367"/>
        <v>1</v>
      </c>
      <c r="AD1466" s="45">
        <f t="shared" si="365"/>
        <v>0.562962962962963</v>
      </c>
      <c r="AE1466" s="46">
        <v>2</v>
      </c>
      <c r="AF1466" s="46" t="s">
        <v>79</v>
      </c>
      <c r="AG1466" s="37" t="str">
        <f t="shared" si="364"/>
        <v>yes</v>
      </c>
      <c r="AH1466" s="37" t="str">
        <f t="array" ref="AH1466">_xlfn.IFS(LOWER(AG1466)="n","no",LOWER(AG1466)="y","yes",TRUE,LOWER(AG1466))</f>
        <v>yes</v>
      </c>
      <c r="AI1466" s="46" t="s">
        <v>4692</v>
      </c>
    </row>
    <row r="1467" spans="1:35">
      <c r="A1467" s="37" t="s">
        <v>4387</v>
      </c>
      <c r="B1467" s="38">
        <v>45461</v>
      </c>
      <c r="C1467" s="39">
        <f t="shared" si="352"/>
        <v>45461</v>
      </c>
      <c r="D1467" s="40" t="s">
        <v>366</v>
      </c>
      <c r="E1467" s="37" t="str" cm="1">
        <f t="array" ref="E1467">_xlfn.IFS(D1467="delhi","north",D1467="mumbai","west",D1467="bengaluru","south",D1467="chennai","south",D1467="kolkata","east",TRUE,"west")</f>
        <v>east</v>
      </c>
      <c r="F1467" s="37" t="s">
        <v>98</v>
      </c>
      <c r="G1467" s="37" t="str">
        <f t="shared" si="353"/>
        <v>dtdc</v>
      </c>
      <c r="H1467" s="37" t="s">
        <v>42</v>
      </c>
      <c r="I1467" s="37" t="str">
        <f t="shared" si="354"/>
        <v>surface</v>
      </c>
      <c r="J1467" s="37" t="s">
        <v>1014</v>
      </c>
      <c r="K1467" s="37" t="str">
        <f t="shared" si="355"/>
        <v>pharma</v>
      </c>
      <c r="L1467" s="37" t="s">
        <v>101</v>
      </c>
      <c r="M1467" s="37" t="str">
        <f t="shared" si="356"/>
        <v>west</v>
      </c>
      <c r="N1467" s="37" t="s">
        <v>187</v>
      </c>
      <c r="O1467" s="41" t="str">
        <f t="shared" si="357"/>
        <v>Yes</v>
      </c>
      <c r="P1467" s="41">
        <v>0.7</v>
      </c>
      <c r="Q1467" s="41" t="s">
        <v>3731</v>
      </c>
      <c r="R1467" s="42">
        <f t="shared" si="358"/>
        <v>217.142857142857</v>
      </c>
      <c r="S1467" s="37">
        <v>6</v>
      </c>
      <c r="T1467" s="37" t="s">
        <v>1626</v>
      </c>
      <c r="U1467" s="43" t="str">
        <f t="shared" si="359"/>
        <v>2024-06-23</v>
      </c>
      <c r="V1467" s="43">
        <f t="shared" si="360"/>
        <v>45466</v>
      </c>
      <c r="W1467" s="44">
        <f t="array" ref="W1467">_xlfn.IFS(TRIM(C1467)="","",TRIM(V1467)="","",TRUE,V1467-C1467)</f>
        <v>5</v>
      </c>
      <c r="X1467" s="37">
        <f t="shared" si="361"/>
        <v>-1</v>
      </c>
      <c r="Y1467" s="37" t="s">
        <v>105</v>
      </c>
      <c r="Z1467" s="37" t="str">
        <f t="shared" si="362"/>
        <v>delivered</v>
      </c>
      <c r="AA1467" s="37" t="str">
        <f t="shared" si="363"/>
        <v>On Time</v>
      </c>
      <c r="AB1467" s="37" t="str">
        <f t="shared" si="366"/>
        <v>0</v>
      </c>
      <c r="AC1467" s="37">
        <f t="shared" si="367"/>
        <v>0</v>
      </c>
      <c r="AD1467" s="45">
        <f t="shared" si="365"/>
        <v>0.559701492537313</v>
      </c>
      <c r="AE1467" s="37">
        <v>4</v>
      </c>
      <c r="AF1467" s="37" t="s">
        <v>118</v>
      </c>
      <c r="AG1467" s="37" t="str">
        <f t="shared" si="364"/>
        <v>no</v>
      </c>
      <c r="AH1467" s="37" t="str">
        <f t="array" ref="AH1467">_xlfn.IFS(LOWER(AG1467)="n","no",LOWER(AG1467)="y","yes",TRUE,LOWER(AG1467))</f>
        <v>no</v>
      </c>
      <c r="AI1467" s="37" t="s">
        <v>4692</v>
      </c>
    </row>
    <row r="1468" spans="1:35">
      <c r="A1468" s="46" t="s">
        <v>4388</v>
      </c>
      <c r="B1468" s="47" t="s">
        <v>4779</v>
      </c>
      <c r="C1468" s="39">
        <f t="shared" si="352"/>
        <v>45336</v>
      </c>
      <c r="D1468" s="48" t="s">
        <v>4704</v>
      </c>
      <c r="E1468" s="37" t="str" cm="1">
        <f t="array" ref="E1468">_xlfn.IFS(D1468="delhi","north",D1468="mumbai","west",D1468="bengaluru","south",D1468="chennai","south",D1468="kolkata","east",TRUE,"west")</f>
        <v>west</v>
      </c>
      <c r="F1468" s="46" t="s">
        <v>544</v>
      </c>
      <c r="G1468" s="37" t="str">
        <f t="shared" si="353"/>
        <v>bluedart</v>
      </c>
      <c r="H1468" s="46" t="s">
        <v>440</v>
      </c>
      <c r="I1468" s="37" t="str">
        <f t="shared" si="354"/>
        <v>road</v>
      </c>
      <c r="J1468" s="46" t="s">
        <v>186</v>
      </c>
      <c r="K1468" s="37" t="str">
        <f t="shared" si="355"/>
        <v>automotiveparts</v>
      </c>
      <c r="L1468" s="46" t="s">
        <v>112</v>
      </c>
      <c r="M1468" s="37" t="str">
        <f t="shared" si="356"/>
        <v>north</v>
      </c>
      <c r="N1468" s="46" t="s">
        <v>32</v>
      </c>
      <c r="O1468" s="41" t="str">
        <f t="shared" si="357"/>
        <v>Yes</v>
      </c>
      <c r="P1468" s="49">
        <v>26.5</v>
      </c>
      <c r="Q1468" s="49" t="s">
        <v>3214</v>
      </c>
      <c r="R1468" s="42">
        <f t="shared" si="358"/>
        <v>19.3584905660377</v>
      </c>
      <c r="S1468" s="46">
        <v>8</v>
      </c>
      <c r="T1468" s="46" t="s">
        <v>1224</v>
      </c>
      <c r="U1468" s="43" t="str">
        <f t="shared" si="359"/>
        <v>21-feb-2024</v>
      </c>
      <c r="V1468" s="43">
        <f t="shared" si="360"/>
        <v>45343</v>
      </c>
      <c r="W1468" s="44">
        <f t="array" ref="W1468">_xlfn.IFS(TRIM(C1468)="","",TRIM(V1468)="","",TRUE,V1468-C1468)</f>
        <v>7</v>
      </c>
      <c r="X1468" s="37">
        <f t="shared" si="361"/>
        <v>-1</v>
      </c>
      <c r="Y1468" s="46" t="s">
        <v>105</v>
      </c>
      <c r="Z1468" s="37" t="str">
        <f t="shared" si="362"/>
        <v>delivered</v>
      </c>
      <c r="AA1468" s="37" t="str">
        <f t="shared" si="363"/>
        <v>On Time</v>
      </c>
      <c r="AB1468" s="37" t="str">
        <f t="shared" si="366"/>
        <v>0</v>
      </c>
      <c r="AC1468" s="37">
        <f t="shared" si="367"/>
        <v>0</v>
      </c>
      <c r="AD1468" s="45">
        <f t="shared" si="365"/>
        <v>0.56390977443609</v>
      </c>
      <c r="AE1468" s="46">
        <v>4</v>
      </c>
      <c r="AF1468" s="46" t="s">
        <v>191</v>
      </c>
      <c r="AG1468" s="37" t="str">
        <f t="shared" si="364"/>
        <v>no</v>
      </c>
      <c r="AH1468" s="37" t="str">
        <f t="array" ref="AH1468">_xlfn.IFS(LOWER(AG1468)="n","no",LOWER(AG1468)="y","yes",TRUE,LOWER(AG1468))</f>
        <v>no</v>
      </c>
      <c r="AI1468" s="46" t="s">
        <v>4692</v>
      </c>
    </row>
    <row r="1469" spans="1:35">
      <c r="A1469" s="37" t="s">
        <v>4389</v>
      </c>
      <c r="B1469" s="38">
        <v>45338</v>
      </c>
      <c r="C1469" s="39">
        <f t="shared" si="352"/>
        <v>45338</v>
      </c>
      <c r="D1469" s="40" t="s">
        <v>212</v>
      </c>
      <c r="E1469" s="37" t="str" cm="1">
        <f t="array" ref="E1469">_xlfn.IFS(D1469="delhi","north",D1469="mumbai","west",D1469="bengaluru","south",D1469="chennai","south",D1469="kolkata","east",TRUE,"west")</f>
        <v>west</v>
      </c>
      <c r="F1469" s="37" t="s">
        <v>223</v>
      </c>
      <c r="G1469" s="37" t="str">
        <f t="shared" si="353"/>
        <v>xpressbees</v>
      </c>
      <c r="H1469" s="37" t="s">
        <v>325</v>
      </c>
      <c r="I1469" s="37" t="str">
        <f t="shared" si="354"/>
        <v>air</v>
      </c>
      <c r="J1469" s="37" t="s">
        <v>425</v>
      </c>
      <c r="K1469" s="37" t="str">
        <f t="shared" si="355"/>
        <v>automotiveparts</v>
      </c>
      <c r="L1469" s="37" t="s">
        <v>125</v>
      </c>
      <c r="M1469" s="37" t="str">
        <f t="shared" si="356"/>
        <v>east</v>
      </c>
      <c r="N1469" s="37" t="s">
        <v>294</v>
      </c>
      <c r="O1469" s="41" t="str">
        <f t="shared" si="357"/>
        <v>Yes</v>
      </c>
      <c r="P1469" s="41" t="s">
        <v>4390</v>
      </c>
      <c r="Q1469" s="50">
        <v>1726</v>
      </c>
      <c r="R1469" s="42">
        <f t="shared" si="358"/>
        <v>50.1744186046512</v>
      </c>
      <c r="S1469" s="37">
        <v>4</v>
      </c>
      <c r="T1469" s="37" t="s">
        <v>495</v>
      </c>
      <c r="U1469" s="43" t="str">
        <f t="shared" si="359"/>
        <v>2024-02-20</v>
      </c>
      <c r="V1469" s="43">
        <f t="shared" si="360"/>
        <v>45342</v>
      </c>
      <c r="W1469" s="44">
        <f t="array" ref="W1469">_xlfn.IFS(TRIM(C1469)="","",TRIM(V1469)="","",TRUE,V1469-C1469)</f>
        <v>4</v>
      </c>
      <c r="X1469" s="37">
        <f t="shared" si="361"/>
        <v>0</v>
      </c>
      <c r="Y1469" s="37" t="s">
        <v>163</v>
      </c>
      <c r="Z1469" s="37" t="str">
        <f t="shared" si="362"/>
        <v>delivered</v>
      </c>
      <c r="AA1469" s="37" t="str">
        <f t="shared" si="363"/>
        <v>On Time</v>
      </c>
      <c r="AB1469" s="37" t="str">
        <f t="shared" si="366"/>
        <v>0</v>
      </c>
      <c r="AC1469" s="37">
        <f t="shared" si="367"/>
        <v>0</v>
      </c>
      <c r="AD1469" s="45">
        <f t="shared" si="365"/>
        <v>0.568181818181818</v>
      </c>
      <c r="AE1469" s="37">
        <v>3</v>
      </c>
      <c r="AF1469" s="37" t="s">
        <v>181</v>
      </c>
      <c r="AG1469" s="37" t="str">
        <f t="shared" si="364"/>
        <v>y</v>
      </c>
      <c r="AH1469" s="37" t="str">
        <f t="array" ref="AH1469">_xlfn.IFS(LOWER(AG1469)="n","no",LOWER(AG1469)="y","yes",TRUE,LOWER(AG1469))</f>
        <v>yes</v>
      </c>
      <c r="AI1469" s="37" t="s">
        <v>4692</v>
      </c>
    </row>
    <row r="1470" spans="1:35">
      <c r="A1470" s="46" t="s">
        <v>4392</v>
      </c>
      <c r="B1470" s="47">
        <v>45432</v>
      </c>
      <c r="C1470" s="39">
        <f t="shared" si="352"/>
        <v>45432</v>
      </c>
      <c r="D1470" s="48" t="s">
        <v>300</v>
      </c>
      <c r="E1470" s="37" t="str" cm="1">
        <f t="array" ref="E1470">_xlfn.IFS(D1470="delhi","north",D1470="mumbai","west",D1470="bengaluru","south",D1470="chennai","south",D1470="kolkata","east",TRUE,"west")</f>
        <v>west</v>
      </c>
      <c r="F1470" s="46" t="s">
        <v>122</v>
      </c>
      <c r="G1470" s="37" t="str">
        <f t="shared" si="353"/>
        <v>delhivery</v>
      </c>
      <c r="H1470" s="46" t="s">
        <v>123</v>
      </c>
      <c r="I1470" s="37" t="str">
        <f t="shared" si="354"/>
        <v>air</v>
      </c>
      <c r="J1470" s="46" t="s">
        <v>263</v>
      </c>
      <c r="K1470" s="37" t="str">
        <f t="shared" si="355"/>
        <v>apparel</v>
      </c>
      <c r="L1470" s="46" t="s">
        <v>125</v>
      </c>
      <c r="M1470" s="37" t="str">
        <f t="shared" si="356"/>
        <v>east</v>
      </c>
      <c r="N1470" s="46" t="s">
        <v>126</v>
      </c>
      <c r="O1470" s="41" t="str">
        <f t="shared" si="357"/>
        <v>Yes</v>
      </c>
      <c r="P1470" s="49">
        <v>2.7</v>
      </c>
      <c r="Q1470" s="49">
        <v>260</v>
      </c>
      <c r="R1470" s="42">
        <f t="shared" si="358"/>
        <v>96.2962962962963</v>
      </c>
      <c r="S1470" s="46">
        <v>4</v>
      </c>
      <c r="T1470" s="46" t="s">
        <v>1105</v>
      </c>
      <c r="U1470" s="43" t="str">
        <f t="shared" si="359"/>
        <v>25-may-2024</v>
      </c>
      <c r="V1470" s="43">
        <f t="shared" si="360"/>
        <v>45437</v>
      </c>
      <c r="W1470" s="44">
        <f t="array" ref="W1470">_xlfn.IFS(TRIM(C1470)="","",TRIM(V1470)="","",TRUE,V1470-C1470)</f>
        <v>5</v>
      </c>
      <c r="X1470" s="37">
        <f t="shared" si="361"/>
        <v>1</v>
      </c>
      <c r="Y1470" s="46" t="s">
        <v>624</v>
      </c>
      <c r="Z1470" s="37" t="str">
        <f t="shared" si="362"/>
        <v>returned</v>
      </c>
      <c r="AA1470" s="37" t="str">
        <f t="shared" si="363"/>
        <v>Late</v>
      </c>
      <c r="AB1470" s="37" t="str">
        <f t="shared" si="366"/>
        <v>1</v>
      </c>
      <c r="AC1470" s="37">
        <f t="shared" si="367"/>
        <v>1</v>
      </c>
      <c r="AD1470" s="45">
        <f t="shared" si="365"/>
        <v>0.572519083969466</v>
      </c>
      <c r="AE1470" s="46"/>
      <c r="AF1470" s="46" t="s">
        <v>118</v>
      </c>
      <c r="AG1470" s="37" t="str">
        <f t="shared" si="364"/>
        <v>no</v>
      </c>
      <c r="AH1470" s="37" t="str">
        <f t="array" ref="AH1470">_xlfn.IFS(LOWER(AG1470)="n","no",LOWER(AG1470)="y","yes",TRUE,LOWER(AG1470))</f>
        <v>no</v>
      </c>
      <c r="AI1470" s="46" t="s">
        <v>818</v>
      </c>
    </row>
    <row r="1471" spans="1:35">
      <c r="A1471" s="37" t="s">
        <v>4394</v>
      </c>
      <c r="B1471" s="38" t="s">
        <v>4841</v>
      </c>
      <c r="C1471" s="39">
        <f t="shared" si="352"/>
        <v>45407</v>
      </c>
      <c r="D1471" s="40" t="s">
        <v>121</v>
      </c>
      <c r="E1471" s="37" t="str" cm="1">
        <f t="array" ref="E1471">_xlfn.IFS(D1471="delhi","north",D1471="mumbai","west",D1471="bengaluru","south",D1471="chennai","south",D1471="kolkata","east",TRUE,"west")</f>
        <v>west</v>
      </c>
      <c r="F1471" s="37" t="s">
        <v>98</v>
      </c>
      <c r="G1471" s="37" t="str">
        <f t="shared" si="353"/>
        <v>dtdc</v>
      </c>
      <c r="H1471" s="37" t="s">
        <v>110</v>
      </c>
      <c r="I1471" s="37" t="str">
        <f t="shared" si="354"/>
        <v>surface</v>
      </c>
      <c r="J1471" s="37" t="s">
        <v>498</v>
      </c>
      <c r="K1471" s="37" t="str">
        <f t="shared" si="355"/>
        <v>apparel</v>
      </c>
      <c r="L1471" s="37" t="s">
        <v>92</v>
      </c>
      <c r="M1471" s="37" t="str">
        <f t="shared" si="356"/>
        <v>east</v>
      </c>
      <c r="N1471" s="37" t="s">
        <v>126</v>
      </c>
      <c r="O1471" s="41" t="str">
        <f t="shared" si="357"/>
        <v>Yes</v>
      </c>
      <c r="P1471" s="41">
        <v>7.9</v>
      </c>
      <c r="Q1471" s="41">
        <v>305</v>
      </c>
      <c r="R1471" s="42">
        <f t="shared" si="358"/>
        <v>38.6075949367089</v>
      </c>
      <c r="S1471" s="37">
        <v>6</v>
      </c>
      <c r="T1471" s="37" t="s">
        <v>1054</v>
      </c>
      <c r="U1471" s="43" t="str">
        <f t="shared" si="359"/>
        <v>06/05/2024</v>
      </c>
      <c r="V1471" s="43">
        <f t="shared" si="360"/>
        <v>45418</v>
      </c>
      <c r="W1471" s="44">
        <f t="array" ref="W1471">_xlfn.IFS(TRIM(C1471)="","",TRIM(V1471)="","",TRUE,V1471-C1471)</f>
        <v>11</v>
      </c>
      <c r="X1471" s="37">
        <f t="shared" si="361"/>
        <v>5</v>
      </c>
      <c r="Y1471" s="37" t="s">
        <v>200</v>
      </c>
      <c r="Z1471" s="37" t="str">
        <f t="shared" si="362"/>
        <v>delayed</v>
      </c>
      <c r="AA1471" s="37" t="str">
        <f t="shared" si="363"/>
        <v>Late</v>
      </c>
      <c r="AB1471" s="37" t="str">
        <f t="shared" si="366"/>
        <v>1</v>
      </c>
      <c r="AC1471" s="37">
        <f t="shared" si="367"/>
        <v>1</v>
      </c>
      <c r="AD1471" s="45">
        <f t="shared" si="365"/>
        <v>0.569230769230769</v>
      </c>
      <c r="AE1471" s="37">
        <v>2</v>
      </c>
      <c r="AF1471" s="37" t="s">
        <v>152</v>
      </c>
      <c r="AG1471" s="37" t="str">
        <f t="shared" si="364"/>
        <v>no</v>
      </c>
      <c r="AH1471" s="37" t="str">
        <f t="array" ref="AH1471">_xlfn.IFS(LOWER(AG1471)="n","no",LOWER(AG1471)="y","yes",TRUE,LOWER(AG1471))</f>
        <v>no</v>
      </c>
      <c r="AI1471" s="37" t="s">
        <v>4692</v>
      </c>
    </row>
    <row r="1472" spans="1:35">
      <c r="A1472" s="46" t="s">
        <v>4396</v>
      </c>
      <c r="B1472" s="47">
        <v>45398</v>
      </c>
      <c r="C1472" s="39">
        <f t="shared" si="352"/>
        <v>45398</v>
      </c>
      <c r="D1472" s="48" t="s">
        <v>4705</v>
      </c>
      <c r="E1472" s="37" t="str" cm="1">
        <f t="array" ref="E1472">_xlfn.IFS(D1472="delhi","north",D1472="mumbai","west",D1472="bengaluru","south",D1472="chennai","south",D1472="kolkata","east",TRUE,"west")</f>
        <v>west</v>
      </c>
      <c r="F1472" s="46" t="s">
        <v>37</v>
      </c>
      <c r="G1472" s="37" t="str">
        <f t="shared" si="353"/>
        <v>bluedart</v>
      </c>
      <c r="H1472" s="46" t="s">
        <v>137</v>
      </c>
      <c r="I1472" s="37" t="str">
        <f t="shared" si="354"/>
        <v>road</v>
      </c>
      <c r="J1472" s="46" t="s">
        <v>326</v>
      </c>
      <c r="K1472" s="37" t="str">
        <f t="shared" si="355"/>
        <v>apparel</v>
      </c>
      <c r="L1472" s="46" t="s">
        <v>112</v>
      </c>
      <c r="M1472" s="37" t="str">
        <f t="shared" si="356"/>
        <v>north</v>
      </c>
      <c r="N1472" s="46" t="s">
        <v>215</v>
      </c>
      <c r="O1472" s="41" t="str">
        <f t="shared" si="357"/>
        <v>Yes</v>
      </c>
      <c r="P1472" s="49">
        <v>3.4</v>
      </c>
      <c r="Q1472" s="49" t="s">
        <v>432</v>
      </c>
      <c r="R1472" s="42">
        <f t="shared" si="358"/>
        <v>23.5294117647059</v>
      </c>
      <c r="S1472" s="46">
        <v>6</v>
      </c>
      <c r="T1472" s="46" t="s">
        <v>4199</v>
      </c>
      <c r="U1472" s="43" t="str">
        <f t="shared" si="359"/>
        <v>2024-04-23</v>
      </c>
      <c r="V1472" s="43">
        <f t="shared" si="360"/>
        <v>45405</v>
      </c>
      <c r="W1472" s="44">
        <f t="array" ref="W1472">_xlfn.IFS(TRIM(C1472)="","",TRIM(V1472)="","",TRUE,V1472-C1472)</f>
        <v>7</v>
      </c>
      <c r="X1472" s="37">
        <f t="shared" si="361"/>
        <v>1</v>
      </c>
      <c r="Y1472" s="46" t="s">
        <v>143</v>
      </c>
      <c r="Z1472" s="37" t="str">
        <f t="shared" si="362"/>
        <v>delayed</v>
      </c>
      <c r="AA1472" s="37" t="str">
        <f t="shared" si="363"/>
        <v>Late</v>
      </c>
      <c r="AB1472" s="37" t="str">
        <f t="shared" si="366"/>
        <v>1</v>
      </c>
      <c r="AC1472" s="37">
        <f t="shared" si="367"/>
        <v>1</v>
      </c>
      <c r="AD1472" s="45">
        <f t="shared" si="365"/>
        <v>0.565891472868217</v>
      </c>
      <c r="AE1472" s="46">
        <v>2</v>
      </c>
      <c r="AF1472" s="46" t="s">
        <v>191</v>
      </c>
      <c r="AG1472" s="37" t="str">
        <f t="shared" si="364"/>
        <v>no</v>
      </c>
      <c r="AH1472" s="37" t="str">
        <f t="array" ref="AH1472">_xlfn.IFS(LOWER(AG1472)="n","no",LOWER(AG1472)="y","yes",TRUE,LOWER(AG1472))</f>
        <v>no</v>
      </c>
      <c r="AI1472" s="46" t="s">
        <v>4692</v>
      </c>
    </row>
    <row r="1473" spans="1:35">
      <c r="A1473" s="37" t="s">
        <v>4397</v>
      </c>
      <c r="B1473" s="38">
        <v>45362</v>
      </c>
      <c r="C1473" s="39">
        <f t="shared" si="352"/>
        <v>45362</v>
      </c>
      <c r="D1473" s="40" t="s">
        <v>366</v>
      </c>
      <c r="E1473" s="37" t="str" cm="1">
        <f t="array" ref="E1473">_xlfn.IFS(D1473="delhi","north",D1473="mumbai","west",D1473="bengaluru","south",D1473="chennai","south",D1473="kolkata","east",TRUE,"west")</f>
        <v>east</v>
      </c>
      <c r="F1473" s="37" t="s">
        <v>194</v>
      </c>
      <c r="G1473" s="37" t="str">
        <f t="shared" si="353"/>
        <v>xpressbees</v>
      </c>
      <c r="H1473" s="37" t="s">
        <v>345</v>
      </c>
      <c r="I1473" s="37" t="str">
        <f t="shared" si="354"/>
        <v>surface</v>
      </c>
      <c r="J1473" s="37" t="s">
        <v>612</v>
      </c>
      <c r="K1473" s="37" t="str">
        <f t="shared" si="355"/>
        <v>grocery&amp;fmcg</v>
      </c>
      <c r="L1473" s="37" t="s">
        <v>168</v>
      </c>
      <c r="M1473" s="37" t="str">
        <f t="shared" si="356"/>
        <v>west</v>
      </c>
      <c r="N1473" s="37" t="s">
        <v>187</v>
      </c>
      <c r="O1473" s="41" t="str">
        <f t="shared" si="357"/>
        <v>Yes</v>
      </c>
      <c r="P1473" s="41" t="s">
        <v>1762</v>
      </c>
      <c r="Q1473" s="41">
        <v>284</v>
      </c>
      <c r="R1473" s="42">
        <f t="shared" si="358"/>
        <v>67.6190476190476</v>
      </c>
      <c r="S1473" s="37">
        <v>6</v>
      </c>
      <c r="T1473" s="37" t="s">
        <v>681</v>
      </c>
      <c r="U1473" s="43" t="str">
        <f t="shared" si="359"/>
        <v>25-mar-2024</v>
      </c>
      <c r="V1473" s="43">
        <f t="shared" si="360"/>
        <v>45376</v>
      </c>
      <c r="W1473" s="44">
        <f t="array" ref="W1473">_xlfn.IFS(TRIM(C1473)="","",TRIM(V1473)="","",TRUE,V1473-C1473)</f>
        <v>14</v>
      </c>
      <c r="X1473" s="37">
        <f t="shared" si="361"/>
        <v>8</v>
      </c>
      <c r="Y1473" s="37" t="s">
        <v>172</v>
      </c>
      <c r="Z1473" s="37" t="str">
        <f t="shared" si="362"/>
        <v>delayed</v>
      </c>
      <c r="AA1473" s="37" t="str">
        <f t="shared" si="363"/>
        <v>Late</v>
      </c>
      <c r="AB1473" s="37" t="str">
        <f t="shared" si="366"/>
        <v>1</v>
      </c>
      <c r="AC1473" s="37">
        <f t="shared" si="367"/>
        <v>1</v>
      </c>
      <c r="AD1473" s="45">
        <f t="shared" si="365"/>
        <v>0.5625</v>
      </c>
      <c r="AE1473" s="37">
        <v>1</v>
      </c>
      <c r="AF1473" s="37" t="s">
        <v>286</v>
      </c>
      <c r="AG1473" s="37" t="str">
        <f t="shared" si="364"/>
        <v>yes</v>
      </c>
      <c r="AH1473" s="37" t="str">
        <f t="array" ref="AH1473">_xlfn.IFS(LOWER(AG1473)="n","no",LOWER(AG1473)="y","yes",TRUE,LOWER(AG1473))</f>
        <v>yes</v>
      </c>
      <c r="AI1473" s="37" t="s">
        <v>4692</v>
      </c>
    </row>
    <row r="1474" spans="1:35">
      <c r="A1474" s="46" t="s">
        <v>4399</v>
      </c>
      <c r="B1474" s="47" t="s">
        <v>4716</v>
      </c>
      <c r="C1474" s="39">
        <f t="shared" ref="C1474:C1537" si="368">IF(ISNUMBER(B1474),B1474,DATE(RIGHT(TRIM(B1474),4),MID(TRIM(B1474),4,2),LEFT(TRIM(B1474),2)))</f>
        <v>45467</v>
      </c>
      <c r="D1474" s="48" t="s">
        <v>633</v>
      </c>
      <c r="E1474" s="37" t="str" cm="1">
        <f t="array" ref="E1474">_xlfn.IFS(D1474="delhi","north",D1474="mumbai","west",D1474="bengaluru","south",D1474="chennai","south",D1474="kolkata","east",TRUE,"west")</f>
        <v>south</v>
      </c>
      <c r="F1474" s="46" t="s">
        <v>367</v>
      </c>
      <c r="G1474" s="37" t="str">
        <f t="shared" ref="G1474:G1537" si="369">SUBSTITUTE(LOWER(F1474)," ","")</f>
        <v>dtdc</v>
      </c>
      <c r="H1474" s="46" t="s">
        <v>42</v>
      </c>
      <c r="I1474" s="37" t="str">
        <f t="shared" ref="I1474:I1537" si="370">SUBSTITUTE(LOWER(H1474)," ","")</f>
        <v>surface</v>
      </c>
      <c r="J1474" s="46" t="s">
        <v>177</v>
      </c>
      <c r="K1474" s="37" t="str">
        <f t="shared" ref="K1474:K1537" si="371">SUBSTITUTE(LOWER(J1474)," ","")</f>
        <v>pharma</v>
      </c>
      <c r="L1474" s="46" t="s">
        <v>89</v>
      </c>
      <c r="M1474" s="37" t="str">
        <f t="shared" ref="M1474:M1537" si="372">SUBSTITUTE(LOWER(L1474)," ","")</f>
        <v>west</v>
      </c>
      <c r="N1474" s="46" t="s">
        <v>278</v>
      </c>
      <c r="O1474" s="41" t="str">
        <f t="shared" ref="O1474:O1537" si="373">IF(OR(D1474="",M1474=""),"",IF(D1474=M1474,"No","Yes"))</f>
        <v>Yes</v>
      </c>
      <c r="P1474" s="49">
        <v>1.2</v>
      </c>
      <c r="Q1474" s="49">
        <v>191</v>
      </c>
      <c r="R1474" s="42">
        <f t="shared" ref="R1474:R1537" si="374">IF(OR(Q1474="",P1474="",P1474=0),"",Q1474/P1474)</f>
        <v>159.166666666667</v>
      </c>
      <c r="S1474" s="46">
        <v>6</v>
      </c>
      <c r="T1474" s="46" t="s">
        <v>1509</v>
      </c>
      <c r="U1474" s="43" t="str">
        <f t="shared" ref="U1474:U1537" si="375">SUBSTITUTE(LOWER(T1474)," ","")</f>
        <v>2024-06-30</v>
      </c>
      <c r="V1474" s="43">
        <f t="shared" ref="V1474:V1537" si="376">DATEVALUE(TEXT(U1474,"yyyy-mm-dd"))</f>
        <v>45473</v>
      </c>
      <c r="W1474" s="44">
        <f t="array" ref="W1474">_xlfn.IFS(TRIM(C1474)="","",TRIM(V1474)="","",TRUE,V1474-C1474)</f>
        <v>6</v>
      </c>
      <c r="X1474" s="37">
        <f t="shared" ref="X1474:X1537" si="377">IF(OR(W1474="",S1474=""),"",W1474-S1474)</f>
        <v>0</v>
      </c>
      <c r="Y1474" s="46" t="s">
        <v>219</v>
      </c>
      <c r="Z1474" s="37" t="str">
        <f t="shared" ref="Z1474:Z1537" si="378">SUBSTITUTE(LOWER(Y1474)," ","")</f>
        <v>delivered</v>
      </c>
      <c r="AA1474" s="37" t="str">
        <f t="shared" ref="AA1474:AA1537" si="379">IF(Z1474="In-Transit","N/A",IF(X1474="","",IF(X1474&gt;0,"Late","On Time")))</f>
        <v>On Time</v>
      </c>
      <c r="AB1474" s="37" t="str">
        <f t="shared" si="366"/>
        <v>0</v>
      </c>
      <c r="AC1474" s="37">
        <f t="shared" si="367"/>
        <v>0</v>
      </c>
      <c r="AD1474" s="45">
        <f t="shared" si="365"/>
        <v>0.559055118110236</v>
      </c>
      <c r="AE1474" s="46">
        <v>1</v>
      </c>
      <c r="AF1474" s="46" t="s">
        <v>181</v>
      </c>
      <c r="AG1474" s="37" t="str">
        <f t="shared" ref="AG1474:AG1537" si="380">SUBSTITUTE(LOWER(AF1474)," ","")</f>
        <v>y</v>
      </c>
      <c r="AH1474" s="37" t="str">
        <f t="array" ref="AH1474">_xlfn.IFS(LOWER(AG1474)="n","no",LOWER(AG1474)="y","yes",TRUE,LOWER(AG1474))</f>
        <v>yes</v>
      </c>
      <c r="AI1474" s="46" t="s">
        <v>4692</v>
      </c>
    </row>
    <row r="1475" spans="1:35">
      <c r="A1475" s="37" t="s">
        <v>4400</v>
      </c>
      <c r="B1475" s="38">
        <v>45371</v>
      </c>
      <c r="C1475" s="39">
        <f t="shared" si="368"/>
        <v>45371</v>
      </c>
      <c r="D1475" s="40" t="s">
        <v>366</v>
      </c>
      <c r="E1475" s="37" t="str" cm="1">
        <f t="array" ref="E1475">_xlfn.IFS(D1475="delhi","north",D1475="mumbai","west",D1475="bengaluru","south",D1475="chennai","south",D1475="kolkata","east",TRUE,"west")</f>
        <v>east</v>
      </c>
      <c r="F1475" s="37" t="s">
        <v>333</v>
      </c>
      <c r="G1475" s="37" t="str">
        <f t="shared" si="369"/>
        <v>delhivery</v>
      </c>
      <c r="H1475" s="37" t="s">
        <v>123</v>
      </c>
      <c r="I1475" s="37" t="str">
        <f t="shared" si="370"/>
        <v>air</v>
      </c>
      <c r="J1475" s="37" t="s">
        <v>271</v>
      </c>
      <c r="K1475" s="37" t="str">
        <f t="shared" si="371"/>
        <v>electronics</v>
      </c>
      <c r="L1475" s="37" t="s">
        <v>139</v>
      </c>
      <c r="M1475" s="37" t="str">
        <f t="shared" si="372"/>
        <v>north</v>
      </c>
      <c r="N1475" s="37" t="s">
        <v>32</v>
      </c>
      <c r="O1475" s="41" t="str">
        <f t="shared" si="373"/>
        <v>Yes</v>
      </c>
      <c r="P1475" s="41">
        <v>2.1</v>
      </c>
      <c r="Q1475" s="41">
        <v>271</v>
      </c>
      <c r="R1475" s="42">
        <f t="shared" si="374"/>
        <v>129.047619047619</v>
      </c>
      <c r="S1475" s="37">
        <v>4</v>
      </c>
      <c r="T1475" s="37" t="s">
        <v>681</v>
      </c>
      <c r="U1475" s="43" t="str">
        <f t="shared" si="375"/>
        <v>25-mar-2024</v>
      </c>
      <c r="V1475" s="43">
        <f t="shared" si="376"/>
        <v>45376</v>
      </c>
      <c r="W1475" s="44">
        <f t="array" ref="W1475">_xlfn.IFS(TRIM(C1475)="","",TRIM(V1475)="","",TRUE,V1475-C1475)</f>
        <v>5</v>
      </c>
      <c r="X1475" s="37">
        <f t="shared" si="377"/>
        <v>1</v>
      </c>
      <c r="Y1475" s="37" t="s">
        <v>143</v>
      </c>
      <c r="Z1475" s="37" t="str">
        <f t="shared" si="378"/>
        <v>delayed</v>
      </c>
      <c r="AA1475" s="37" t="str">
        <f t="shared" si="379"/>
        <v>Late</v>
      </c>
      <c r="AB1475" s="37" t="str">
        <f t="shared" si="366"/>
        <v>1</v>
      </c>
      <c r="AC1475" s="37">
        <f t="shared" si="367"/>
        <v>1</v>
      </c>
      <c r="AD1475" s="45">
        <f t="shared" ref="AD1475:AD1538" si="381">COUNTIF(AC1475:AC3074,1)/COUNT(AC1475:AC3074)</f>
        <v>0.563492063492063</v>
      </c>
      <c r="AE1475" s="37">
        <v>1</v>
      </c>
      <c r="AF1475" s="37" t="s">
        <v>118</v>
      </c>
      <c r="AG1475" s="37" t="str">
        <f t="shared" si="380"/>
        <v>no</v>
      </c>
      <c r="AH1475" s="37" t="str">
        <f t="array" ref="AH1475">_xlfn.IFS(LOWER(AG1475)="n","no",LOWER(AG1475)="y","yes",TRUE,LOWER(AG1475))</f>
        <v>no</v>
      </c>
      <c r="AI1475" s="37" t="s">
        <v>4692</v>
      </c>
    </row>
    <row r="1476" spans="1:35">
      <c r="A1476" s="46" t="s">
        <v>4402</v>
      </c>
      <c r="B1476" s="47">
        <v>45400</v>
      </c>
      <c r="C1476" s="39">
        <f t="shared" si="368"/>
        <v>45400</v>
      </c>
      <c r="D1476" s="48" t="s">
        <v>340</v>
      </c>
      <c r="E1476" s="37" t="str" cm="1">
        <f t="array" ref="E1476">_xlfn.IFS(D1476="delhi","north",D1476="mumbai","west",D1476="bengaluru","south",D1476="chennai","south",D1476="kolkata","east",TRUE,"west")</f>
        <v>north</v>
      </c>
      <c r="F1476" s="46" t="s">
        <v>544</v>
      </c>
      <c r="G1476" s="37" t="str">
        <f t="shared" si="369"/>
        <v>bluedart</v>
      </c>
      <c r="H1476" s="46" t="s">
        <v>244</v>
      </c>
      <c r="I1476" s="37" t="str">
        <f t="shared" si="370"/>
        <v>air</v>
      </c>
      <c r="J1476" s="46" t="s">
        <v>138</v>
      </c>
      <c r="K1476" s="37" t="str">
        <f t="shared" si="371"/>
        <v>apparel</v>
      </c>
      <c r="L1476" s="46" t="s">
        <v>380</v>
      </c>
      <c r="M1476" s="37" t="str">
        <f t="shared" si="372"/>
        <v>east</v>
      </c>
      <c r="N1476" s="46" t="s">
        <v>91</v>
      </c>
      <c r="O1476" s="41" t="str">
        <f t="shared" si="373"/>
        <v>Yes</v>
      </c>
      <c r="P1476" s="49">
        <v>1.4</v>
      </c>
      <c r="Q1476" s="49" t="s">
        <v>3024</v>
      </c>
      <c r="R1476" s="42">
        <f t="shared" si="374"/>
        <v>186.428571428571</v>
      </c>
      <c r="S1476" s="46">
        <v>4</v>
      </c>
      <c r="T1476" s="46" t="s">
        <v>979</v>
      </c>
      <c r="U1476" s="43" t="str">
        <f t="shared" si="375"/>
        <v>23-apr-2024</v>
      </c>
      <c r="V1476" s="43">
        <f t="shared" si="376"/>
        <v>45405</v>
      </c>
      <c r="W1476" s="44">
        <f t="array" ref="W1476">_xlfn.IFS(TRIM(C1476)="","",TRIM(V1476)="","",TRUE,V1476-C1476)</f>
        <v>5</v>
      </c>
      <c r="X1476" s="37">
        <f t="shared" si="377"/>
        <v>1</v>
      </c>
      <c r="Y1476" s="46" t="s">
        <v>143</v>
      </c>
      <c r="Z1476" s="37" t="str">
        <f t="shared" si="378"/>
        <v>delayed</v>
      </c>
      <c r="AA1476" s="37" t="str">
        <f t="shared" si="379"/>
        <v>Late</v>
      </c>
      <c r="AB1476" s="37" t="str">
        <f t="shared" si="366"/>
        <v>1</v>
      </c>
      <c r="AC1476" s="37">
        <f t="shared" si="367"/>
        <v>1</v>
      </c>
      <c r="AD1476" s="45">
        <f t="shared" si="381"/>
        <v>0.56</v>
      </c>
      <c r="AE1476" s="46">
        <v>3</v>
      </c>
      <c r="AF1476" s="46" t="s">
        <v>181</v>
      </c>
      <c r="AG1476" s="37" t="str">
        <f t="shared" si="380"/>
        <v>y</v>
      </c>
      <c r="AH1476" s="37" t="str">
        <f t="array" ref="AH1476">_xlfn.IFS(LOWER(AG1476)="n","no",LOWER(AG1476)="y","yes",TRUE,LOWER(AG1476))</f>
        <v>yes</v>
      </c>
      <c r="AI1476" s="46" t="s">
        <v>4692</v>
      </c>
    </row>
    <row r="1477" spans="1:35">
      <c r="A1477" s="37" t="s">
        <v>4403</v>
      </c>
      <c r="B1477" s="38">
        <v>45295</v>
      </c>
      <c r="C1477" s="39">
        <f t="shared" si="368"/>
        <v>45295</v>
      </c>
      <c r="D1477" s="40" t="s">
        <v>424</v>
      </c>
      <c r="E1477" s="37" t="str" cm="1">
        <f t="array" ref="E1477">_xlfn.IFS(D1477="delhi","north",D1477="mumbai","west",D1477="bengaluru","south",D1477="chennai","south",D1477="kolkata","east",TRUE,"west")</f>
        <v>south</v>
      </c>
      <c r="F1477" s="37" t="s">
        <v>312</v>
      </c>
      <c r="G1477" s="37" t="str">
        <f t="shared" si="369"/>
        <v>bluedart</v>
      </c>
      <c r="H1477" s="37" t="s">
        <v>157</v>
      </c>
      <c r="I1477" s="37" t="str">
        <f t="shared" si="370"/>
        <v>surface</v>
      </c>
      <c r="J1477" s="37" t="s">
        <v>158</v>
      </c>
      <c r="K1477" s="37" t="str">
        <f t="shared" si="371"/>
        <v>pharma</v>
      </c>
      <c r="L1477" s="37" t="s">
        <v>125</v>
      </c>
      <c r="M1477" s="37" t="str">
        <f t="shared" si="372"/>
        <v>east</v>
      </c>
      <c r="N1477" s="37" t="s">
        <v>126</v>
      </c>
      <c r="O1477" s="41" t="str">
        <f t="shared" si="373"/>
        <v>Yes</v>
      </c>
      <c r="P1477" s="41">
        <v>4.9</v>
      </c>
      <c r="Q1477" s="41">
        <v>310</v>
      </c>
      <c r="R1477" s="42">
        <f t="shared" si="374"/>
        <v>63.265306122449</v>
      </c>
      <c r="S1477" s="37">
        <v>6</v>
      </c>
      <c r="T1477" s="37" t="s">
        <v>269</v>
      </c>
      <c r="U1477" s="43" t="str">
        <f t="shared" si="375"/>
        <v>11/01/2024</v>
      </c>
      <c r="V1477" s="43">
        <f t="shared" si="376"/>
        <v>45302</v>
      </c>
      <c r="W1477" s="44">
        <f t="array" ref="W1477">_xlfn.IFS(TRIM(C1477)="","",TRIM(V1477)="","",TRUE,V1477-C1477)</f>
        <v>7</v>
      </c>
      <c r="X1477" s="37">
        <f t="shared" si="377"/>
        <v>1</v>
      </c>
      <c r="Y1477" s="37" t="s">
        <v>200</v>
      </c>
      <c r="Z1477" s="37" t="str">
        <f t="shared" si="378"/>
        <v>delayed</v>
      </c>
      <c r="AA1477" s="37" t="str">
        <f t="shared" si="379"/>
        <v>Late</v>
      </c>
      <c r="AB1477" s="37" t="str">
        <f t="shared" si="366"/>
        <v>1</v>
      </c>
      <c r="AC1477" s="37">
        <f t="shared" si="367"/>
        <v>1</v>
      </c>
      <c r="AD1477" s="45">
        <f t="shared" si="381"/>
        <v>0.556451612903226</v>
      </c>
      <c r="AE1477" s="37">
        <v>1</v>
      </c>
      <c r="AF1477" s="37" t="s">
        <v>286</v>
      </c>
      <c r="AG1477" s="37" t="str">
        <f t="shared" si="380"/>
        <v>yes</v>
      </c>
      <c r="AH1477" s="37" t="str">
        <f t="array" ref="AH1477">_xlfn.IFS(LOWER(AG1477)="n","no",LOWER(AG1477)="y","yes",TRUE,LOWER(AG1477))</f>
        <v>yes</v>
      </c>
      <c r="AI1477" s="37" t="s">
        <v>4692</v>
      </c>
    </row>
    <row r="1478" spans="1:35">
      <c r="A1478" s="46" t="s">
        <v>4404</v>
      </c>
      <c r="B1478" s="47">
        <v>45418</v>
      </c>
      <c r="C1478" s="39">
        <f t="shared" si="368"/>
        <v>45418</v>
      </c>
      <c r="D1478" s="48" t="s">
        <v>135</v>
      </c>
      <c r="E1478" s="37" t="str" cm="1">
        <f t="array" ref="E1478">_xlfn.IFS(D1478="delhi","north",D1478="mumbai","west",D1478="bengaluru","south",D1478="chennai","south",D1478="kolkata","east",TRUE,"west")</f>
        <v>west</v>
      </c>
      <c r="F1478" s="46" t="s">
        <v>223</v>
      </c>
      <c r="G1478" s="37" t="str">
        <f t="shared" si="369"/>
        <v>xpressbees</v>
      </c>
      <c r="H1478" s="46" t="s">
        <v>147</v>
      </c>
      <c r="I1478" s="37" t="str">
        <f t="shared" si="370"/>
        <v>road</v>
      </c>
      <c r="J1478" s="46" t="s">
        <v>158</v>
      </c>
      <c r="K1478" s="37" t="str">
        <f t="shared" si="371"/>
        <v>pharma</v>
      </c>
      <c r="L1478" s="46" t="s">
        <v>92</v>
      </c>
      <c r="M1478" s="37" t="str">
        <f t="shared" si="372"/>
        <v>east</v>
      </c>
      <c r="N1478" s="46" t="s">
        <v>126</v>
      </c>
      <c r="O1478" s="41" t="str">
        <f t="shared" si="373"/>
        <v>Yes</v>
      </c>
      <c r="P1478" s="49">
        <v>3.3</v>
      </c>
      <c r="Q1478" s="49" t="s">
        <v>4405</v>
      </c>
      <c r="R1478" s="42">
        <f t="shared" si="374"/>
        <v>56.0606060606061</v>
      </c>
      <c r="S1478" s="46">
        <v>8</v>
      </c>
      <c r="T1478" s="46" t="s">
        <v>2526</v>
      </c>
      <c r="U1478" s="43" t="str">
        <f t="shared" si="375"/>
        <v>2024-05-14</v>
      </c>
      <c r="V1478" s="43">
        <f t="shared" si="376"/>
        <v>45426</v>
      </c>
      <c r="W1478" s="44">
        <f t="array" ref="W1478">_xlfn.IFS(TRIM(C1478)="","",TRIM(V1478)="","",TRUE,V1478-C1478)</f>
        <v>8</v>
      </c>
      <c r="X1478" s="37">
        <f t="shared" si="377"/>
        <v>0</v>
      </c>
      <c r="Y1478" s="46" t="s">
        <v>117</v>
      </c>
      <c r="Z1478" s="37" t="str">
        <f t="shared" si="378"/>
        <v>delivered</v>
      </c>
      <c r="AA1478" s="37" t="str">
        <f t="shared" si="379"/>
        <v>On Time</v>
      </c>
      <c r="AB1478" s="37" t="str">
        <f t="shared" ref="AB1478:AB1541" si="382">IF(Z1478="In-Transit","N/A",IF(X1478="","",IF(X1478&gt;0,"1","0")))</f>
        <v>0</v>
      </c>
      <c r="AC1478" s="37">
        <f t="shared" si="367"/>
        <v>0</v>
      </c>
      <c r="AD1478" s="45">
        <f t="shared" si="381"/>
        <v>0.552845528455285</v>
      </c>
      <c r="AE1478" s="46">
        <v>4</v>
      </c>
      <c r="AF1478" s="46" t="s">
        <v>152</v>
      </c>
      <c r="AG1478" s="37" t="str">
        <f t="shared" si="380"/>
        <v>no</v>
      </c>
      <c r="AH1478" s="37" t="str">
        <f t="array" ref="AH1478">_xlfn.IFS(LOWER(AG1478)="n","no",LOWER(AG1478)="y","yes",TRUE,LOWER(AG1478))</f>
        <v>no</v>
      </c>
      <c r="AI1478" s="46" t="s">
        <v>4692</v>
      </c>
    </row>
    <row r="1479" spans="1:35">
      <c r="A1479" s="37" t="s">
        <v>4406</v>
      </c>
      <c r="B1479" s="38">
        <v>45377</v>
      </c>
      <c r="C1479" s="39">
        <f t="shared" si="368"/>
        <v>45377</v>
      </c>
      <c r="D1479" s="40" t="s">
        <v>109</v>
      </c>
      <c r="E1479" s="37" t="str" cm="1">
        <f t="array" ref="E1479">_xlfn.IFS(D1479="delhi","north",D1479="mumbai","west",D1479="bengaluru","south",D1479="chennai","south",D1479="kolkata","east",TRUE,"west")</f>
        <v>west</v>
      </c>
      <c r="F1479" s="37" t="s">
        <v>230</v>
      </c>
      <c r="G1479" s="37" t="str">
        <f t="shared" si="369"/>
        <v>dtdc</v>
      </c>
      <c r="H1479" s="37" t="s">
        <v>147</v>
      </c>
      <c r="I1479" s="37" t="str">
        <f t="shared" si="370"/>
        <v>road</v>
      </c>
      <c r="J1479" s="37"/>
      <c r="K1479" s="37" t="str">
        <f t="shared" si="371"/>
        <v/>
      </c>
      <c r="L1479" s="37" t="s">
        <v>302</v>
      </c>
      <c r="M1479" s="37" t="str">
        <f t="shared" si="372"/>
        <v>east</v>
      </c>
      <c r="N1479" s="37" t="s">
        <v>396</v>
      </c>
      <c r="O1479" s="41" t="str">
        <f t="shared" si="373"/>
        <v>Yes</v>
      </c>
      <c r="P1479" s="41">
        <v>68</v>
      </c>
      <c r="Q1479" s="50">
        <v>1105</v>
      </c>
      <c r="R1479" s="42">
        <f t="shared" si="374"/>
        <v>16.25</v>
      </c>
      <c r="S1479" s="37">
        <v>8</v>
      </c>
      <c r="T1479" s="37" t="s">
        <v>2419</v>
      </c>
      <c r="U1479" s="43" t="str">
        <f t="shared" si="375"/>
        <v>04-apr-2024</v>
      </c>
      <c r="V1479" s="43">
        <f t="shared" si="376"/>
        <v>45386</v>
      </c>
      <c r="W1479" s="44">
        <f t="array" ref="W1479">_xlfn.IFS(TRIM(C1479)="","",TRIM(V1479)="","",TRUE,V1479-C1479)</f>
        <v>9</v>
      </c>
      <c r="X1479" s="37">
        <f t="shared" si="377"/>
        <v>1</v>
      </c>
      <c r="Y1479" s="37" t="s">
        <v>337</v>
      </c>
      <c r="Z1479" s="37" t="str">
        <f t="shared" si="378"/>
        <v>damaged</v>
      </c>
      <c r="AA1479" s="37" t="str">
        <f t="shared" si="379"/>
        <v>Late</v>
      </c>
      <c r="AB1479" s="37" t="str">
        <f t="shared" si="382"/>
        <v>1</v>
      </c>
      <c r="AC1479" s="37">
        <f t="shared" ref="AC1479:AC1542" si="383">IF(TRIM(AB1479&amp;"")="","",VALUE(TRIM(AB1479&amp;"")))</f>
        <v>1</v>
      </c>
      <c r="AD1479" s="45">
        <f t="shared" si="381"/>
        <v>0.557377049180328</v>
      </c>
      <c r="AE1479" s="37"/>
      <c r="AF1479" s="37" t="s">
        <v>152</v>
      </c>
      <c r="AG1479" s="37" t="str">
        <f t="shared" si="380"/>
        <v>no</v>
      </c>
      <c r="AH1479" s="37" t="str">
        <f t="array" ref="AH1479">_xlfn.IFS(LOWER(AG1479)="n","no",LOWER(AG1479)="y","yes",TRUE,LOWER(AG1479))</f>
        <v>no</v>
      </c>
      <c r="AI1479" s="37" t="s">
        <v>759</v>
      </c>
    </row>
    <row r="1480" spans="1:35">
      <c r="A1480" s="37" t="s">
        <v>4409</v>
      </c>
      <c r="B1480" s="38">
        <v>45428</v>
      </c>
      <c r="C1480" s="39">
        <f t="shared" si="368"/>
        <v>45428</v>
      </c>
      <c r="D1480" s="40" t="s">
        <v>633</v>
      </c>
      <c r="E1480" s="37" t="str" cm="1">
        <f t="array" ref="E1480">_xlfn.IFS(D1480="delhi","north",D1480="mumbai","west",D1480="bengaluru","south",D1480="chennai","south",D1480="kolkata","east",TRUE,"west")</f>
        <v>south</v>
      </c>
      <c r="F1480" s="37" t="s">
        <v>223</v>
      </c>
      <c r="G1480" s="37" t="str">
        <f t="shared" si="369"/>
        <v>xpressbees</v>
      </c>
      <c r="H1480" s="37" t="s">
        <v>110</v>
      </c>
      <c r="I1480" s="37" t="str">
        <f t="shared" si="370"/>
        <v>surface</v>
      </c>
      <c r="J1480" s="37" t="s">
        <v>111</v>
      </c>
      <c r="K1480" s="37" t="str">
        <f t="shared" si="371"/>
        <v>grocery&amp;fmcg</v>
      </c>
      <c r="L1480" s="37" t="s">
        <v>380</v>
      </c>
      <c r="M1480" s="37" t="str">
        <f t="shared" si="372"/>
        <v>east</v>
      </c>
      <c r="N1480" s="37" t="s">
        <v>126</v>
      </c>
      <c r="O1480" s="41" t="str">
        <f t="shared" si="373"/>
        <v>Yes</v>
      </c>
      <c r="P1480" s="41">
        <v>8.1</v>
      </c>
      <c r="Q1480" s="41" t="s">
        <v>2935</v>
      </c>
      <c r="R1480" s="42">
        <f t="shared" si="374"/>
        <v>42.962962962963</v>
      </c>
      <c r="S1480" s="37">
        <v>6</v>
      </c>
      <c r="T1480" s="37" t="s">
        <v>1102</v>
      </c>
      <c r="U1480" s="43" t="str">
        <f t="shared" si="375"/>
        <v>22/05/2024</v>
      </c>
      <c r="V1480" s="43">
        <f t="shared" si="376"/>
        <v>45434</v>
      </c>
      <c r="W1480" s="44">
        <f t="array" ref="W1480">_xlfn.IFS(TRIM(C1480)="","",TRIM(V1480)="","",TRUE,V1480-C1480)</f>
        <v>6</v>
      </c>
      <c r="X1480" s="37">
        <f t="shared" si="377"/>
        <v>0</v>
      </c>
      <c r="Y1480" s="37" t="s">
        <v>117</v>
      </c>
      <c r="Z1480" s="37" t="str">
        <f t="shared" si="378"/>
        <v>delivered</v>
      </c>
      <c r="AA1480" s="37" t="str">
        <f t="shared" si="379"/>
        <v>On Time</v>
      </c>
      <c r="AB1480" s="37" t="str">
        <f t="shared" si="382"/>
        <v>0</v>
      </c>
      <c r="AC1480" s="37">
        <f t="shared" si="383"/>
        <v>0</v>
      </c>
      <c r="AD1480" s="45">
        <f t="shared" si="381"/>
        <v>0.553719008264463</v>
      </c>
      <c r="AE1480" s="37">
        <v>3</v>
      </c>
      <c r="AF1480" s="37" t="s">
        <v>286</v>
      </c>
      <c r="AG1480" s="37" t="str">
        <f t="shared" si="380"/>
        <v>yes</v>
      </c>
      <c r="AH1480" s="37" t="str">
        <f t="array" ref="AH1480">_xlfn.IFS(LOWER(AG1480)="n","no",LOWER(AG1480)="y","yes",TRUE,LOWER(AG1480))</f>
        <v>yes</v>
      </c>
      <c r="AI1480" s="37" t="s">
        <v>4692</v>
      </c>
    </row>
    <row r="1481" spans="1:35">
      <c r="A1481" s="46" t="s">
        <v>4410</v>
      </c>
      <c r="B1481" s="47">
        <v>45345</v>
      </c>
      <c r="C1481" s="39">
        <f t="shared" si="368"/>
        <v>45345</v>
      </c>
      <c r="D1481" s="48" t="s">
        <v>243</v>
      </c>
      <c r="E1481" s="37" t="str" cm="1">
        <f t="array" ref="E1481">_xlfn.IFS(D1481="delhi","north",D1481="mumbai","west",D1481="bengaluru","south",D1481="chennai","south",D1481="kolkata","east",TRUE,"west")</f>
        <v>west</v>
      </c>
      <c r="F1481" s="46" t="s">
        <v>136</v>
      </c>
      <c r="G1481" s="37" t="str">
        <f t="shared" si="369"/>
        <v>bluedart</v>
      </c>
      <c r="H1481" s="46" t="s">
        <v>440</v>
      </c>
      <c r="I1481" s="37" t="str">
        <f t="shared" si="370"/>
        <v>road</v>
      </c>
      <c r="J1481" s="46" t="s">
        <v>277</v>
      </c>
      <c r="K1481" s="37" t="str">
        <f t="shared" si="371"/>
        <v>apparel</v>
      </c>
      <c r="L1481" s="46" t="s">
        <v>197</v>
      </c>
      <c r="M1481" s="37" t="str">
        <f t="shared" si="372"/>
        <v>south</v>
      </c>
      <c r="N1481" s="46" t="s">
        <v>327</v>
      </c>
      <c r="O1481" s="41" t="str">
        <f t="shared" si="373"/>
        <v>Yes</v>
      </c>
      <c r="P1481" s="49">
        <v>2.9</v>
      </c>
      <c r="Q1481" s="49">
        <v>90</v>
      </c>
      <c r="R1481" s="42">
        <f t="shared" si="374"/>
        <v>31.0344827586207</v>
      </c>
      <c r="S1481" s="46">
        <v>6</v>
      </c>
      <c r="T1481" s="46" t="s">
        <v>2822</v>
      </c>
      <c r="U1481" s="43" t="str">
        <f t="shared" si="375"/>
        <v>2024-02-28</v>
      </c>
      <c r="V1481" s="43">
        <f t="shared" si="376"/>
        <v>45350</v>
      </c>
      <c r="W1481" s="44">
        <f t="array" ref="W1481">_xlfn.IFS(TRIM(C1481)="","",TRIM(V1481)="","",TRUE,V1481-C1481)</f>
        <v>5</v>
      </c>
      <c r="X1481" s="37">
        <f t="shared" si="377"/>
        <v>-1</v>
      </c>
      <c r="Y1481" s="46" t="s">
        <v>117</v>
      </c>
      <c r="Z1481" s="37" t="str">
        <f t="shared" si="378"/>
        <v>delivered</v>
      </c>
      <c r="AA1481" s="37" t="str">
        <f t="shared" si="379"/>
        <v>On Time</v>
      </c>
      <c r="AB1481" s="37" t="str">
        <f t="shared" si="382"/>
        <v>0</v>
      </c>
      <c r="AC1481" s="37">
        <f t="shared" si="383"/>
        <v>0</v>
      </c>
      <c r="AD1481" s="45">
        <f t="shared" si="381"/>
        <v>0.558333333333333</v>
      </c>
      <c r="AE1481" s="46">
        <v>5</v>
      </c>
      <c r="AF1481" s="46" t="s">
        <v>118</v>
      </c>
      <c r="AG1481" s="37" t="str">
        <f t="shared" si="380"/>
        <v>no</v>
      </c>
      <c r="AH1481" s="37" t="str">
        <f t="array" ref="AH1481">_xlfn.IFS(LOWER(AG1481)="n","no",LOWER(AG1481)="y","yes",TRUE,LOWER(AG1481))</f>
        <v>no</v>
      </c>
      <c r="AI1481" s="46" t="s">
        <v>4692</v>
      </c>
    </row>
    <row r="1482" spans="1:35">
      <c r="A1482" s="37" t="s">
        <v>4412</v>
      </c>
      <c r="B1482" s="38">
        <v>45429</v>
      </c>
      <c r="C1482" s="39">
        <f t="shared" si="368"/>
        <v>45429</v>
      </c>
      <c r="D1482" s="40" t="s">
        <v>109</v>
      </c>
      <c r="E1482" s="37" t="str" cm="1">
        <f t="array" ref="E1482">_xlfn.IFS(D1482="delhi","north",D1482="mumbai","west",D1482="bengaluru","south",D1482="chennai","south",D1482="kolkata","east",TRUE,"west")</f>
        <v>west</v>
      </c>
      <c r="F1482" s="37" t="s">
        <v>98</v>
      </c>
      <c r="G1482" s="37" t="str">
        <f t="shared" si="369"/>
        <v>dtdc</v>
      </c>
      <c r="H1482" s="37" t="s">
        <v>123</v>
      </c>
      <c r="I1482" s="37" t="str">
        <f t="shared" si="370"/>
        <v>air</v>
      </c>
      <c r="J1482" s="37" t="s">
        <v>158</v>
      </c>
      <c r="K1482" s="37" t="str">
        <f t="shared" si="371"/>
        <v>pharma</v>
      </c>
      <c r="L1482" s="37" t="s">
        <v>401</v>
      </c>
      <c r="M1482" s="37" t="str">
        <f t="shared" si="372"/>
        <v>south</v>
      </c>
      <c r="N1482" s="37" t="s">
        <v>90</v>
      </c>
      <c r="O1482" s="41" t="str">
        <f t="shared" si="373"/>
        <v>Yes</v>
      </c>
      <c r="P1482" s="41">
        <v>4</v>
      </c>
      <c r="Q1482" s="41">
        <v>368</v>
      </c>
      <c r="R1482" s="42">
        <f t="shared" si="374"/>
        <v>92</v>
      </c>
      <c r="S1482" s="37">
        <v>4</v>
      </c>
      <c r="T1482" s="37" t="s">
        <v>2179</v>
      </c>
      <c r="U1482" s="43" t="str">
        <f t="shared" si="375"/>
        <v>22-may-2024</v>
      </c>
      <c r="V1482" s="43">
        <f t="shared" si="376"/>
        <v>45434</v>
      </c>
      <c r="W1482" s="44">
        <f t="array" ref="W1482">_xlfn.IFS(TRIM(C1482)="","",TRIM(V1482)="","",TRUE,V1482-C1482)</f>
        <v>5</v>
      </c>
      <c r="X1482" s="37">
        <f t="shared" si="377"/>
        <v>1</v>
      </c>
      <c r="Y1482" s="37" t="s">
        <v>72</v>
      </c>
      <c r="Z1482" s="37" t="str">
        <f t="shared" si="378"/>
        <v>delayed</v>
      </c>
      <c r="AA1482" s="37" t="str">
        <f t="shared" si="379"/>
        <v>Late</v>
      </c>
      <c r="AB1482" s="37" t="str">
        <f t="shared" si="382"/>
        <v>1</v>
      </c>
      <c r="AC1482" s="37">
        <f t="shared" si="383"/>
        <v>1</v>
      </c>
      <c r="AD1482" s="45">
        <f t="shared" si="381"/>
        <v>0.563025210084034</v>
      </c>
      <c r="AE1482" s="37">
        <v>5</v>
      </c>
      <c r="AF1482" s="37" t="s">
        <v>181</v>
      </c>
      <c r="AG1482" s="37" t="str">
        <f t="shared" si="380"/>
        <v>y</v>
      </c>
      <c r="AH1482" s="37" t="str">
        <f t="array" ref="AH1482">_xlfn.IFS(LOWER(AG1482)="n","no",LOWER(AG1482)="y","yes",TRUE,LOWER(AG1482))</f>
        <v>yes</v>
      </c>
      <c r="AI1482" s="37" t="s">
        <v>4692</v>
      </c>
    </row>
    <row r="1483" spans="1:35">
      <c r="A1483" s="46" t="s">
        <v>4415</v>
      </c>
      <c r="B1483" s="47">
        <v>45292</v>
      </c>
      <c r="C1483" s="39">
        <f t="shared" si="368"/>
        <v>45292</v>
      </c>
      <c r="D1483" s="48" t="s">
        <v>135</v>
      </c>
      <c r="E1483" s="37" t="str" cm="1">
        <f t="array" ref="E1483">_xlfn.IFS(D1483="delhi","north",D1483="mumbai","west",D1483="bengaluru","south",D1483="chennai","south",D1483="kolkata","east",TRUE,"west")</f>
        <v>west</v>
      </c>
      <c r="F1483" s="46" t="s">
        <v>98</v>
      </c>
      <c r="G1483" s="37" t="str">
        <f t="shared" si="369"/>
        <v>dtdc</v>
      </c>
      <c r="H1483" s="46" t="s">
        <v>42</v>
      </c>
      <c r="I1483" s="37" t="str">
        <f t="shared" si="370"/>
        <v>surface</v>
      </c>
      <c r="J1483" s="46" t="s">
        <v>313</v>
      </c>
      <c r="K1483" s="37" t="str">
        <f t="shared" si="371"/>
        <v>automotiveparts</v>
      </c>
      <c r="L1483" s="46" t="s">
        <v>401</v>
      </c>
      <c r="M1483" s="37" t="str">
        <f t="shared" si="372"/>
        <v>south</v>
      </c>
      <c r="N1483" s="46" t="s">
        <v>327</v>
      </c>
      <c r="O1483" s="41" t="str">
        <f t="shared" si="373"/>
        <v>Yes</v>
      </c>
      <c r="P1483" s="49">
        <v>34.1</v>
      </c>
      <c r="Q1483" s="49">
        <v>960</v>
      </c>
      <c r="R1483" s="42">
        <f t="shared" si="374"/>
        <v>28.1524926686217</v>
      </c>
      <c r="S1483" s="46">
        <v>6</v>
      </c>
      <c r="T1483" s="46" t="s">
        <v>240</v>
      </c>
      <c r="U1483" s="43" t="str">
        <f t="shared" si="375"/>
        <v>07/01/2024</v>
      </c>
      <c r="V1483" s="43">
        <f t="shared" si="376"/>
        <v>45298</v>
      </c>
      <c r="W1483" s="44">
        <f t="array" ref="W1483">_xlfn.IFS(TRIM(C1483)="","",TRIM(V1483)="","",TRUE,V1483-C1483)</f>
        <v>6</v>
      </c>
      <c r="X1483" s="37">
        <f t="shared" si="377"/>
        <v>0</v>
      </c>
      <c r="Y1483" s="46" t="s">
        <v>219</v>
      </c>
      <c r="Z1483" s="37" t="str">
        <f t="shared" si="378"/>
        <v>delivered</v>
      </c>
      <c r="AA1483" s="37" t="str">
        <f t="shared" si="379"/>
        <v>On Time</v>
      </c>
      <c r="AB1483" s="37" t="str">
        <f t="shared" si="382"/>
        <v>0</v>
      </c>
      <c r="AC1483" s="37">
        <f t="shared" si="383"/>
        <v>0</v>
      </c>
      <c r="AD1483" s="45">
        <f t="shared" si="381"/>
        <v>0.559322033898305</v>
      </c>
      <c r="AE1483" s="46">
        <v>3</v>
      </c>
      <c r="AF1483" s="46" t="s">
        <v>131</v>
      </c>
      <c r="AG1483" s="37" t="str">
        <f t="shared" si="380"/>
        <v>n</v>
      </c>
      <c r="AH1483" s="37" t="str">
        <f t="array" ref="AH1483">_xlfn.IFS(LOWER(AG1483)="n","no",LOWER(AG1483)="y","yes",TRUE,LOWER(AG1483))</f>
        <v>no</v>
      </c>
      <c r="AI1483" s="46" t="s">
        <v>4692</v>
      </c>
    </row>
    <row r="1484" spans="1:35">
      <c r="A1484" s="37" t="s">
        <v>4419</v>
      </c>
      <c r="B1484" s="38">
        <v>45452</v>
      </c>
      <c r="C1484" s="39">
        <f t="shared" si="368"/>
        <v>45452</v>
      </c>
      <c r="D1484" s="40" t="s">
        <v>109</v>
      </c>
      <c r="E1484" s="37" t="str" cm="1">
        <f t="array" ref="E1484">_xlfn.IFS(D1484="delhi","north",D1484="mumbai","west",D1484="bengaluru","south",D1484="chennai","south",D1484="kolkata","east",TRUE,"west")</f>
        <v>west</v>
      </c>
      <c r="F1484" s="37" t="s">
        <v>146</v>
      </c>
      <c r="G1484" s="37" t="str">
        <f t="shared" si="369"/>
        <v>ecomexpress</v>
      </c>
      <c r="H1484" s="37" t="s">
        <v>176</v>
      </c>
      <c r="I1484" s="37" t="str">
        <f t="shared" si="370"/>
        <v>road</v>
      </c>
      <c r="J1484" s="37" t="s">
        <v>47</v>
      </c>
      <c r="K1484" s="37" t="str">
        <f t="shared" si="371"/>
        <v>electronics</v>
      </c>
      <c r="L1484" s="37" t="s">
        <v>346</v>
      </c>
      <c r="M1484" s="37" t="str">
        <f t="shared" si="372"/>
        <v>north</v>
      </c>
      <c r="N1484" s="37" t="s">
        <v>215</v>
      </c>
      <c r="O1484" s="41" t="str">
        <f t="shared" si="373"/>
        <v>Yes</v>
      </c>
      <c r="P1484" s="41">
        <v>13.5</v>
      </c>
      <c r="Q1484" s="41">
        <v>373</v>
      </c>
      <c r="R1484" s="42">
        <f t="shared" si="374"/>
        <v>27.6296296296296</v>
      </c>
      <c r="S1484" s="37">
        <v>8</v>
      </c>
      <c r="T1484" s="37" t="s">
        <v>936</v>
      </c>
      <c r="U1484" s="43" t="str">
        <f t="shared" si="375"/>
        <v>25-jun-2024</v>
      </c>
      <c r="V1484" s="43">
        <f t="shared" si="376"/>
        <v>45468</v>
      </c>
      <c r="W1484" s="44">
        <f t="array" ref="W1484">_xlfn.IFS(TRIM(C1484)="","",TRIM(V1484)="","",TRUE,V1484-C1484)</f>
        <v>16</v>
      </c>
      <c r="X1484" s="37">
        <f t="shared" si="377"/>
        <v>8</v>
      </c>
      <c r="Y1484" s="37" t="s">
        <v>172</v>
      </c>
      <c r="Z1484" s="37" t="str">
        <f t="shared" si="378"/>
        <v>delayed</v>
      </c>
      <c r="AA1484" s="37" t="str">
        <f t="shared" si="379"/>
        <v>Late</v>
      </c>
      <c r="AB1484" s="37" t="str">
        <f t="shared" si="382"/>
        <v>1</v>
      </c>
      <c r="AC1484" s="37">
        <f t="shared" si="383"/>
        <v>1</v>
      </c>
      <c r="AD1484" s="45">
        <f t="shared" si="381"/>
        <v>0.564102564102564</v>
      </c>
      <c r="AE1484" s="37">
        <v>2</v>
      </c>
      <c r="AF1484" s="37" t="s">
        <v>181</v>
      </c>
      <c r="AG1484" s="37" t="str">
        <f t="shared" si="380"/>
        <v>y</v>
      </c>
      <c r="AH1484" s="37" t="str">
        <f t="array" ref="AH1484">_xlfn.IFS(LOWER(AG1484)="n","no",LOWER(AG1484)="y","yes",TRUE,LOWER(AG1484))</f>
        <v>yes</v>
      </c>
      <c r="AI1484" s="37" t="s">
        <v>4692</v>
      </c>
    </row>
    <row r="1485" spans="1:35">
      <c r="A1485" s="46" t="s">
        <v>4421</v>
      </c>
      <c r="B1485" s="47" t="s">
        <v>4706</v>
      </c>
      <c r="C1485" s="39">
        <f t="shared" si="368"/>
        <v>45408</v>
      </c>
      <c r="D1485" s="48" t="s">
        <v>243</v>
      </c>
      <c r="E1485" s="37" t="str" cm="1">
        <f t="array" ref="E1485">_xlfn.IFS(D1485="delhi","north",D1485="mumbai","west",D1485="bengaluru","south",D1485="chennai","south",D1485="kolkata","east",TRUE,"west")</f>
        <v>west</v>
      </c>
      <c r="F1485" s="46" t="s">
        <v>156</v>
      </c>
      <c r="G1485" s="37" t="str">
        <f t="shared" si="369"/>
        <v>xpressbees</v>
      </c>
      <c r="H1485" s="46" t="s">
        <v>244</v>
      </c>
      <c r="I1485" s="37" t="str">
        <f t="shared" si="370"/>
        <v>air</v>
      </c>
      <c r="J1485" s="46" t="s">
        <v>277</v>
      </c>
      <c r="K1485" s="37" t="str">
        <f t="shared" si="371"/>
        <v>apparel</v>
      </c>
      <c r="L1485" s="46" t="s">
        <v>197</v>
      </c>
      <c r="M1485" s="37" t="str">
        <f t="shared" si="372"/>
        <v>south</v>
      </c>
      <c r="N1485" s="46" t="s">
        <v>54</v>
      </c>
      <c r="O1485" s="41" t="str">
        <f t="shared" si="373"/>
        <v>Yes</v>
      </c>
      <c r="P1485" s="49">
        <v>0.9</v>
      </c>
      <c r="Q1485" s="49">
        <v>80</v>
      </c>
      <c r="R1485" s="42">
        <f t="shared" si="374"/>
        <v>88.8888888888889</v>
      </c>
      <c r="S1485" s="46">
        <v>2</v>
      </c>
      <c r="T1485" s="46" t="s">
        <v>874</v>
      </c>
      <c r="U1485" s="43" t="str">
        <f t="shared" si="375"/>
        <v>03/05/2024</v>
      </c>
      <c r="V1485" s="43">
        <f t="shared" si="376"/>
        <v>45415</v>
      </c>
      <c r="W1485" s="44">
        <f t="array" ref="W1485">_xlfn.IFS(TRIM(C1485)="","",TRIM(V1485)="","",TRUE,V1485-C1485)</f>
        <v>7</v>
      </c>
      <c r="X1485" s="37">
        <f t="shared" si="377"/>
        <v>5</v>
      </c>
      <c r="Y1485" s="46" t="s">
        <v>200</v>
      </c>
      <c r="Z1485" s="37" t="str">
        <f t="shared" si="378"/>
        <v>delayed</v>
      </c>
      <c r="AA1485" s="37" t="str">
        <f t="shared" si="379"/>
        <v>Late</v>
      </c>
      <c r="AB1485" s="37" t="str">
        <f t="shared" si="382"/>
        <v>1</v>
      </c>
      <c r="AC1485" s="37">
        <f t="shared" si="383"/>
        <v>1</v>
      </c>
      <c r="AD1485" s="45">
        <f t="shared" si="381"/>
        <v>0.560344827586207</v>
      </c>
      <c r="AE1485" s="46">
        <v>3</v>
      </c>
      <c r="AF1485" s="46" t="s">
        <v>191</v>
      </c>
      <c r="AG1485" s="37" t="str">
        <f t="shared" si="380"/>
        <v>no</v>
      </c>
      <c r="AH1485" s="37" t="str">
        <f t="array" ref="AH1485">_xlfn.IFS(LOWER(AG1485)="n","no",LOWER(AG1485)="y","yes",TRUE,LOWER(AG1485))</f>
        <v>no</v>
      </c>
      <c r="AI1485" s="46" t="s">
        <v>4692</v>
      </c>
    </row>
    <row r="1486" spans="1:35">
      <c r="A1486" s="37" t="s">
        <v>4422</v>
      </c>
      <c r="B1486" s="38">
        <v>45460</v>
      </c>
      <c r="C1486" s="39">
        <f t="shared" si="368"/>
        <v>45460</v>
      </c>
      <c r="D1486" s="40" t="s">
        <v>4704</v>
      </c>
      <c r="E1486" s="37" t="str" cm="1">
        <f t="array" ref="E1486">_xlfn.IFS(D1486="delhi","north",D1486="mumbai","west",D1486="bengaluru","south",D1486="chennai","south",D1486="kolkata","east",TRUE,"west")</f>
        <v>west</v>
      </c>
      <c r="F1486" s="37" t="s">
        <v>136</v>
      </c>
      <c r="G1486" s="37" t="str">
        <f t="shared" si="369"/>
        <v>bluedart</v>
      </c>
      <c r="H1486" s="37" t="s">
        <v>224</v>
      </c>
      <c r="I1486" s="37" t="str">
        <f t="shared" si="370"/>
        <v>air</v>
      </c>
      <c r="J1486" s="37" t="s">
        <v>271</v>
      </c>
      <c r="K1486" s="37" t="str">
        <f t="shared" si="371"/>
        <v>electronics</v>
      </c>
      <c r="L1486" s="37" t="s">
        <v>92</v>
      </c>
      <c r="M1486" s="37" t="str">
        <f t="shared" si="372"/>
        <v>east</v>
      </c>
      <c r="N1486" s="37" t="s">
        <v>126</v>
      </c>
      <c r="O1486" s="41" t="str">
        <f t="shared" si="373"/>
        <v>Yes</v>
      </c>
      <c r="P1486" s="41">
        <v>2.6</v>
      </c>
      <c r="Q1486" s="41">
        <v>131</v>
      </c>
      <c r="R1486" s="42">
        <f t="shared" si="374"/>
        <v>50.3846153846154</v>
      </c>
      <c r="S1486" s="37">
        <v>2</v>
      </c>
      <c r="T1486" s="37" t="s">
        <v>2169</v>
      </c>
      <c r="U1486" s="43" t="str">
        <f t="shared" si="375"/>
        <v>2024-06-20</v>
      </c>
      <c r="V1486" s="43">
        <f t="shared" si="376"/>
        <v>45463</v>
      </c>
      <c r="W1486" s="44">
        <f t="array" ref="W1486">_xlfn.IFS(TRIM(C1486)="","",TRIM(V1486)="","",TRUE,V1486-C1486)</f>
        <v>3</v>
      </c>
      <c r="X1486" s="37">
        <f t="shared" si="377"/>
        <v>1</v>
      </c>
      <c r="Y1486" s="37" t="s">
        <v>72</v>
      </c>
      <c r="Z1486" s="37" t="str">
        <f t="shared" si="378"/>
        <v>delayed</v>
      </c>
      <c r="AA1486" s="37" t="str">
        <f t="shared" si="379"/>
        <v>Late</v>
      </c>
      <c r="AB1486" s="37" t="str">
        <f t="shared" si="382"/>
        <v>1</v>
      </c>
      <c r="AC1486" s="37">
        <f t="shared" si="383"/>
        <v>1</v>
      </c>
      <c r="AD1486" s="45">
        <f t="shared" si="381"/>
        <v>0.556521739130435</v>
      </c>
      <c r="AE1486" s="37">
        <v>3</v>
      </c>
      <c r="AF1486" s="37" t="s">
        <v>131</v>
      </c>
      <c r="AG1486" s="37" t="str">
        <f t="shared" si="380"/>
        <v>n</v>
      </c>
      <c r="AH1486" s="37" t="str">
        <f t="array" ref="AH1486">_xlfn.IFS(LOWER(AG1486)="n","no",LOWER(AG1486)="y","yes",TRUE,LOWER(AG1486))</f>
        <v>no</v>
      </c>
      <c r="AI1486" s="37" t="s">
        <v>4692</v>
      </c>
    </row>
    <row r="1487" spans="1:35">
      <c r="A1487" s="46" t="s">
        <v>4425</v>
      </c>
      <c r="B1487" s="47" t="s">
        <v>4856</v>
      </c>
      <c r="C1487" s="39">
        <f t="shared" si="368"/>
        <v>45447</v>
      </c>
      <c r="D1487" s="48" t="s">
        <v>366</v>
      </c>
      <c r="E1487" s="37" t="str" cm="1">
        <f t="array" ref="E1487">_xlfn.IFS(D1487="delhi","north",D1487="mumbai","west",D1487="bengaluru","south",D1487="chennai","south",D1487="kolkata","east",TRUE,"west")</f>
        <v>east</v>
      </c>
      <c r="F1487" s="46" t="s">
        <v>194</v>
      </c>
      <c r="G1487" s="37" t="str">
        <f t="shared" si="369"/>
        <v>xpressbees</v>
      </c>
      <c r="H1487" s="46" t="s">
        <v>99</v>
      </c>
      <c r="I1487" s="37" t="str">
        <f t="shared" si="370"/>
        <v>air</v>
      </c>
      <c r="J1487" s="46" t="s">
        <v>319</v>
      </c>
      <c r="K1487" s="37" t="str">
        <f t="shared" si="371"/>
        <v>electronics</v>
      </c>
      <c r="L1487" s="46" t="s">
        <v>380</v>
      </c>
      <c r="M1487" s="37" t="str">
        <f t="shared" si="372"/>
        <v>east</v>
      </c>
      <c r="N1487" s="46" t="s">
        <v>91</v>
      </c>
      <c r="O1487" s="41" t="str">
        <f t="shared" si="373"/>
        <v>Yes</v>
      </c>
      <c r="P1487" s="49">
        <v>5.7</v>
      </c>
      <c r="Q1487" s="49" t="s">
        <v>3967</v>
      </c>
      <c r="R1487" s="42">
        <f t="shared" si="374"/>
        <v>43.3333333333333</v>
      </c>
      <c r="S1487" s="46">
        <v>2</v>
      </c>
      <c r="T1487" s="46" t="s">
        <v>1072</v>
      </c>
      <c r="U1487" s="43" t="str">
        <f t="shared" si="375"/>
        <v>08/06/2024</v>
      </c>
      <c r="V1487" s="43">
        <f t="shared" si="376"/>
        <v>45451</v>
      </c>
      <c r="W1487" s="44">
        <f t="array" ref="W1487">_xlfn.IFS(TRIM(C1487)="","",TRIM(V1487)="","",TRUE,V1487-C1487)</f>
        <v>4</v>
      </c>
      <c r="X1487" s="37">
        <f t="shared" si="377"/>
        <v>2</v>
      </c>
      <c r="Y1487" s="46" t="s">
        <v>200</v>
      </c>
      <c r="Z1487" s="37" t="str">
        <f t="shared" si="378"/>
        <v>delayed</v>
      </c>
      <c r="AA1487" s="37" t="str">
        <f t="shared" si="379"/>
        <v>Late</v>
      </c>
      <c r="AB1487" s="37" t="str">
        <f t="shared" si="382"/>
        <v>1</v>
      </c>
      <c r="AC1487" s="37">
        <f t="shared" si="383"/>
        <v>1</v>
      </c>
      <c r="AD1487" s="45">
        <f t="shared" si="381"/>
        <v>0.552631578947368</v>
      </c>
      <c r="AE1487" s="46">
        <v>4</v>
      </c>
      <c r="AF1487" s="46" t="s">
        <v>106</v>
      </c>
      <c r="AG1487" s="37" t="str">
        <f t="shared" si="380"/>
        <v>yes</v>
      </c>
      <c r="AH1487" s="37" t="str">
        <f t="array" ref="AH1487">_xlfn.IFS(LOWER(AG1487)="n","no",LOWER(AG1487)="y","yes",TRUE,LOWER(AG1487))</f>
        <v>yes</v>
      </c>
      <c r="AI1487" s="46" t="s">
        <v>4692</v>
      </c>
    </row>
    <row r="1488" spans="1:35">
      <c r="A1488" s="37" t="s">
        <v>4426</v>
      </c>
      <c r="B1488" s="38">
        <v>45401</v>
      </c>
      <c r="C1488" s="39">
        <f t="shared" si="368"/>
        <v>45401</v>
      </c>
      <c r="D1488" s="40" t="s">
        <v>212</v>
      </c>
      <c r="E1488" s="37" t="str" cm="1">
        <f t="array" ref="E1488">_xlfn.IFS(D1488="delhi","north",D1488="mumbai","west",D1488="bengaluru","south",D1488="chennai","south",D1488="kolkata","east",TRUE,"west")</f>
        <v>west</v>
      </c>
      <c r="F1488" s="37" t="s">
        <v>333</v>
      </c>
      <c r="G1488" s="37" t="str">
        <f t="shared" si="369"/>
        <v>delhivery</v>
      </c>
      <c r="H1488" s="37" t="s">
        <v>185</v>
      </c>
      <c r="I1488" s="37" t="str">
        <f t="shared" si="370"/>
        <v>surface</v>
      </c>
      <c r="J1488" s="37" t="s">
        <v>319</v>
      </c>
      <c r="K1488" s="37" t="str">
        <f t="shared" si="371"/>
        <v>electronics</v>
      </c>
      <c r="L1488" s="37" t="s">
        <v>87</v>
      </c>
      <c r="M1488" s="37" t="str">
        <f t="shared" si="372"/>
        <v>north</v>
      </c>
      <c r="N1488" s="37" t="s">
        <v>215</v>
      </c>
      <c r="O1488" s="41" t="str">
        <f t="shared" si="373"/>
        <v>Yes</v>
      </c>
      <c r="P1488" s="41">
        <v>2.5</v>
      </c>
      <c r="Q1488" s="41">
        <v>197</v>
      </c>
      <c r="R1488" s="42">
        <f t="shared" si="374"/>
        <v>78.8</v>
      </c>
      <c r="S1488" s="37">
        <v>6</v>
      </c>
      <c r="T1488" s="37" t="s">
        <v>2429</v>
      </c>
      <c r="U1488" s="43" t="str">
        <f t="shared" si="375"/>
        <v>25-apr-2024</v>
      </c>
      <c r="V1488" s="43">
        <f t="shared" si="376"/>
        <v>45407</v>
      </c>
      <c r="W1488" s="44">
        <f t="array" ref="W1488">_xlfn.IFS(TRIM(C1488)="","",TRIM(V1488)="","",TRUE,V1488-C1488)</f>
        <v>6</v>
      </c>
      <c r="X1488" s="37">
        <f t="shared" si="377"/>
        <v>0</v>
      </c>
      <c r="Y1488" s="37" t="s">
        <v>219</v>
      </c>
      <c r="Z1488" s="37" t="str">
        <f t="shared" si="378"/>
        <v>delivered</v>
      </c>
      <c r="AA1488" s="37" t="str">
        <f t="shared" si="379"/>
        <v>On Time</v>
      </c>
      <c r="AB1488" s="37" t="str">
        <f t="shared" si="382"/>
        <v>0</v>
      </c>
      <c r="AC1488" s="37">
        <f t="shared" si="383"/>
        <v>0</v>
      </c>
      <c r="AD1488" s="45">
        <f t="shared" si="381"/>
        <v>0.548672566371681</v>
      </c>
      <c r="AE1488" s="37">
        <v>5</v>
      </c>
      <c r="AF1488" s="37" t="s">
        <v>118</v>
      </c>
      <c r="AG1488" s="37" t="str">
        <f t="shared" si="380"/>
        <v>no</v>
      </c>
      <c r="AH1488" s="37" t="str">
        <f t="array" ref="AH1488">_xlfn.IFS(LOWER(AG1488)="n","no",LOWER(AG1488)="y","yes",TRUE,LOWER(AG1488))</f>
        <v>no</v>
      </c>
      <c r="AI1488" s="37" t="s">
        <v>4692</v>
      </c>
    </row>
    <row r="1489" spans="1:35">
      <c r="A1489" s="46" t="s">
        <v>4427</v>
      </c>
      <c r="B1489" s="47" t="s">
        <v>4768</v>
      </c>
      <c r="C1489" s="39">
        <f t="shared" si="368"/>
        <v>45294</v>
      </c>
      <c r="D1489" s="48" t="s">
        <v>4695</v>
      </c>
      <c r="E1489" s="37" t="str" cm="1">
        <f t="array" ref="E1489">_xlfn.IFS(D1489="delhi","north",D1489="mumbai","west",D1489="bengaluru","south",D1489="chennai","south",D1489="kolkata","east",TRUE,"west")</f>
        <v>west</v>
      </c>
      <c r="F1489" s="46" t="s">
        <v>213</v>
      </c>
      <c r="G1489" s="37" t="str">
        <f t="shared" si="369"/>
        <v>dtdc</v>
      </c>
      <c r="H1489" s="46" t="s">
        <v>137</v>
      </c>
      <c r="I1489" s="37" t="str">
        <f t="shared" si="370"/>
        <v>road</v>
      </c>
      <c r="J1489" s="46" t="s">
        <v>582</v>
      </c>
      <c r="K1489" s="37" t="str">
        <f t="shared" si="371"/>
        <v>grocery&amp;fmcg</v>
      </c>
      <c r="L1489" s="46" t="s">
        <v>125</v>
      </c>
      <c r="M1489" s="37" t="str">
        <f t="shared" si="372"/>
        <v>east</v>
      </c>
      <c r="N1489" s="46" t="s">
        <v>294</v>
      </c>
      <c r="O1489" s="41" t="str">
        <f t="shared" si="373"/>
        <v>Yes</v>
      </c>
      <c r="P1489" s="49">
        <v>10.7</v>
      </c>
      <c r="Q1489" s="49" t="s">
        <v>4428</v>
      </c>
      <c r="R1489" s="42">
        <f t="shared" si="374"/>
        <v>27.2897196261682</v>
      </c>
      <c r="S1489" s="46">
        <v>8</v>
      </c>
      <c r="T1489" s="46" t="s">
        <v>2840</v>
      </c>
      <c r="U1489" s="43" t="str">
        <f t="shared" si="375"/>
        <v>12-jan-2024</v>
      </c>
      <c r="V1489" s="43">
        <f t="shared" si="376"/>
        <v>45303</v>
      </c>
      <c r="W1489" s="44">
        <f t="array" ref="W1489">_xlfn.IFS(TRIM(C1489)="","",TRIM(V1489)="","",TRUE,V1489-C1489)</f>
        <v>9</v>
      </c>
      <c r="X1489" s="37">
        <f t="shared" si="377"/>
        <v>1</v>
      </c>
      <c r="Y1489" s="46" t="s">
        <v>200</v>
      </c>
      <c r="Z1489" s="37" t="str">
        <f t="shared" si="378"/>
        <v>delayed</v>
      </c>
      <c r="AA1489" s="37" t="str">
        <f t="shared" si="379"/>
        <v>Late</v>
      </c>
      <c r="AB1489" s="37" t="str">
        <f t="shared" si="382"/>
        <v>1</v>
      </c>
      <c r="AC1489" s="37">
        <f t="shared" si="383"/>
        <v>1</v>
      </c>
      <c r="AD1489" s="45">
        <f t="shared" si="381"/>
        <v>0.553571428571429</v>
      </c>
      <c r="AE1489" s="46">
        <v>4</v>
      </c>
      <c r="AF1489" s="46" t="s">
        <v>152</v>
      </c>
      <c r="AG1489" s="37" t="str">
        <f t="shared" si="380"/>
        <v>no</v>
      </c>
      <c r="AH1489" s="37" t="str">
        <f t="array" ref="AH1489">_xlfn.IFS(LOWER(AG1489)="n","no",LOWER(AG1489)="y","yes",TRUE,LOWER(AG1489))</f>
        <v>no</v>
      </c>
      <c r="AI1489" s="46" t="s">
        <v>4692</v>
      </c>
    </row>
    <row r="1490" spans="1:35">
      <c r="A1490" s="37" t="s">
        <v>4429</v>
      </c>
      <c r="B1490" s="38" t="s">
        <v>4724</v>
      </c>
      <c r="C1490" s="39">
        <f t="shared" si="368"/>
        <v>45405</v>
      </c>
      <c r="D1490" s="40" t="s">
        <v>243</v>
      </c>
      <c r="E1490" s="37" t="str" cm="1">
        <f t="array" ref="E1490">_xlfn.IFS(D1490="delhi","north",D1490="mumbai","west",D1490="bengaluru","south",D1490="chennai","south",D1490="kolkata","east",TRUE,"west")</f>
        <v>west</v>
      </c>
      <c r="F1490" s="37" t="s">
        <v>136</v>
      </c>
      <c r="G1490" s="37" t="str">
        <f t="shared" si="369"/>
        <v>bluedart</v>
      </c>
      <c r="H1490" s="37" t="s">
        <v>440</v>
      </c>
      <c r="I1490" s="37" t="str">
        <f t="shared" si="370"/>
        <v>road</v>
      </c>
      <c r="J1490" s="37" t="s">
        <v>734</v>
      </c>
      <c r="K1490" s="37" t="str">
        <f t="shared" si="371"/>
        <v>grocery&amp;fmcg</v>
      </c>
      <c r="L1490" s="37" t="s">
        <v>89</v>
      </c>
      <c r="M1490" s="37" t="str">
        <f t="shared" si="372"/>
        <v>west</v>
      </c>
      <c r="N1490" s="37" t="s">
        <v>206</v>
      </c>
      <c r="O1490" s="41" t="str">
        <f t="shared" si="373"/>
        <v>Yes</v>
      </c>
      <c r="P1490" s="41" t="s">
        <v>3728</v>
      </c>
      <c r="Q1490" s="41">
        <v>427</v>
      </c>
      <c r="R1490" s="42">
        <f t="shared" si="374"/>
        <v>26.5217391304348</v>
      </c>
      <c r="S1490" s="37">
        <v>8</v>
      </c>
      <c r="T1490" s="37" t="s">
        <v>478</v>
      </c>
      <c r="U1490" s="43" t="str">
        <f t="shared" si="375"/>
        <v>01/05/2024</v>
      </c>
      <c r="V1490" s="43">
        <f t="shared" si="376"/>
        <v>45413</v>
      </c>
      <c r="W1490" s="44">
        <f t="array" ref="W1490">_xlfn.IFS(TRIM(C1490)="","",TRIM(V1490)="","",TRUE,V1490-C1490)</f>
        <v>8</v>
      </c>
      <c r="X1490" s="37">
        <f t="shared" si="377"/>
        <v>0</v>
      </c>
      <c r="Y1490" s="37" t="s">
        <v>117</v>
      </c>
      <c r="Z1490" s="37" t="str">
        <f t="shared" si="378"/>
        <v>delivered</v>
      </c>
      <c r="AA1490" s="37" t="str">
        <f t="shared" si="379"/>
        <v>On Time</v>
      </c>
      <c r="AB1490" s="37" t="str">
        <f t="shared" si="382"/>
        <v>0</v>
      </c>
      <c r="AC1490" s="37">
        <f t="shared" si="383"/>
        <v>0</v>
      </c>
      <c r="AD1490" s="45">
        <f t="shared" si="381"/>
        <v>0.54954954954955</v>
      </c>
      <c r="AE1490" s="37">
        <v>4</v>
      </c>
      <c r="AF1490" s="37" t="s">
        <v>181</v>
      </c>
      <c r="AG1490" s="37" t="str">
        <f t="shared" si="380"/>
        <v>y</v>
      </c>
      <c r="AH1490" s="37" t="str">
        <f t="array" ref="AH1490">_xlfn.IFS(LOWER(AG1490)="n","no",LOWER(AG1490)="y","yes",TRUE,LOWER(AG1490))</f>
        <v>yes</v>
      </c>
      <c r="AI1490" s="37" t="s">
        <v>4692</v>
      </c>
    </row>
    <row r="1491" spans="1:35">
      <c r="A1491" s="46" t="s">
        <v>4431</v>
      </c>
      <c r="B1491" s="47">
        <v>45394</v>
      </c>
      <c r="C1491" s="39">
        <f t="shared" si="368"/>
        <v>45394</v>
      </c>
      <c r="D1491" s="48" t="s">
        <v>366</v>
      </c>
      <c r="E1491" s="37" t="str" cm="1">
        <f t="array" ref="E1491">_xlfn.IFS(D1491="delhi","north",D1491="mumbai","west",D1491="bengaluru","south",D1491="chennai","south",D1491="kolkata","east",TRUE,"west")</f>
        <v>east</v>
      </c>
      <c r="F1491" s="46" t="s">
        <v>204</v>
      </c>
      <c r="G1491" s="37" t="str">
        <f t="shared" si="369"/>
        <v>delhivery</v>
      </c>
      <c r="H1491" s="46" t="s">
        <v>244</v>
      </c>
      <c r="I1491" s="37" t="str">
        <f t="shared" si="370"/>
        <v>air</v>
      </c>
      <c r="J1491" s="46" t="s">
        <v>148</v>
      </c>
      <c r="K1491" s="37" t="str">
        <f t="shared" si="371"/>
        <v>electronics</v>
      </c>
      <c r="L1491" s="46" t="s">
        <v>168</v>
      </c>
      <c r="M1491" s="37" t="str">
        <f t="shared" si="372"/>
        <v>west</v>
      </c>
      <c r="N1491" s="46" t="s">
        <v>187</v>
      </c>
      <c r="O1491" s="41" t="str">
        <f t="shared" si="373"/>
        <v>Yes</v>
      </c>
      <c r="P1491" s="49">
        <v>4.4</v>
      </c>
      <c r="Q1491" s="49">
        <v>377</v>
      </c>
      <c r="R1491" s="42">
        <f t="shared" si="374"/>
        <v>85.6818181818182</v>
      </c>
      <c r="S1491" s="46">
        <v>4</v>
      </c>
      <c r="T1491" s="46" t="s">
        <v>1525</v>
      </c>
      <c r="U1491" s="43" t="str">
        <f t="shared" si="375"/>
        <v>15-apr-2024</v>
      </c>
      <c r="V1491" s="43">
        <f t="shared" si="376"/>
        <v>45397</v>
      </c>
      <c r="W1491" s="44">
        <f t="array" ref="W1491">_xlfn.IFS(TRIM(C1491)="","",TRIM(V1491)="","",TRUE,V1491-C1491)</f>
        <v>3</v>
      </c>
      <c r="X1491" s="37">
        <f t="shared" si="377"/>
        <v>-1</v>
      </c>
      <c r="Y1491" s="46" t="s">
        <v>219</v>
      </c>
      <c r="Z1491" s="37" t="str">
        <f t="shared" si="378"/>
        <v>delivered</v>
      </c>
      <c r="AA1491" s="37" t="str">
        <f t="shared" si="379"/>
        <v>On Time</v>
      </c>
      <c r="AB1491" s="37" t="str">
        <f t="shared" si="382"/>
        <v>0</v>
      </c>
      <c r="AC1491" s="37">
        <f t="shared" si="383"/>
        <v>0</v>
      </c>
      <c r="AD1491" s="45">
        <f t="shared" si="381"/>
        <v>0.554545454545455</v>
      </c>
      <c r="AE1491" s="46">
        <v>4</v>
      </c>
      <c r="AF1491" s="46" t="s">
        <v>131</v>
      </c>
      <c r="AG1491" s="37" t="str">
        <f t="shared" si="380"/>
        <v>n</v>
      </c>
      <c r="AH1491" s="37" t="str">
        <f t="array" ref="AH1491">_xlfn.IFS(LOWER(AG1491)="n","no",LOWER(AG1491)="y","yes",TRUE,LOWER(AG1491))</f>
        <v>no</v>
      </c>
      <c r="AI1491" s="46" t="s">
        <v>4692</v>
      </c>
    </row>
    <row r="1492" spans="1:35">
      <c r="A1492" s="37" t="s">
        <v>4434</v>
      </c>
      <c r="B1492" s="38">
        <v>45300</v>
      </c>
      <c r="C1492" s="39">
        <f t="shared" si="368"/>
        <v>45300</v>
      </c>
      <c r="D1492" s="40" t="s">
        <v>366</v>
      </c>
      <c r="E1492" s="37" t="str" cm="1">
        <f t="array" ref="E1492">_xlfn.IFS(D1492="delhi","north",D1492="mumbai","west",D1492="bengaluru","south",D1492="chennai","south",D1492="kolkata","east",TRUE,"west")</f>
        <v>east</v>
      </c>
      <c r="F1492" s="37" t="s">
        <v>98</v>
      </c>
      <c r="G1492" s="37" t="str">
        <f t="shared" si="369"/>
        <v>dtdc</v>
      </c>
      <c r="H1492" s="37" t="s">
        <v>195</v>
      </c>
      <c r="I1492" s="37" t="str">
        <f t="shared" si="370"/>
        <v>road</v>
      </c>
      <c r="J1492" s="37" t="s">
        <v>301</v>
      </c>
      <c r="K1492" s="37" t="str">
        <f t="shared" si="371"/>
        <v>furniture</v>
      </c>
      <c r="L1492" s="37" t="s">
        <v>346</v>
      </c>
      <c r="M1492" s="37" t="str">
        <f t="shared" si="372"/>
        <v>north</v>
      </c>
      <c r="N1492" s="37" t="s">
        <v>32</v>
      </c>
      <c r="O1492" s="41" t="str">
        <f t="shared" si="373"/>
        <v>Yes</v>
      </c>
      <c r="P1492" s="41">
        <v>60.1</v>
      </c>
      <c r="Q1492" s="41">
        <v>995</v>
      </c>
      <c r="R1492" s="42">
        <f t="shared" si="374"/>
        <v>16.5557404326123</v>
      </c>
      <c r="S1492" s="37">
        <v>8</v>
      </c>
      <c r="T1492" s="37" t="s">
        <v>1152</v>
      </c>
      <c r="U1492" s="43" t="str">
        <f t="shared" si="375"/>
        <v>2024-01-17</v>
      </c>
      <c r="V1492" s="43">
        <f t="shared" si="376"/>
        <v>45308</v>
      </c>
      <c r="W1492" s="44">
        <f t="array" ref="W1492">_xlfn.IFS(TRIM(C1492)="","",TRIM(V1492)="","",TRUE,V1492-C1492)</f>
        <v>8</v>
      </c>
      <c r="X1492" s="37">
        <f t="shared" si="377"/>
        <v>0</v>
      </c>
      <c r="Y1492" s="37" t="s">
        <v>219</v>
      </c>
      <c r="Z1492" s="37" t="str">
        <f t="shared" si="378"/>
        <v>delivered</v>
      </c>
      <c r="AA1492" s="37" t="str">
        <f t="shared" si="379"/>
        <v>On Time</v>
      </c>
      <c r="AB1492" s="37" t="str">
        <f t="shared" si="382"/>
        <v>0</v>
      </c>
      <c r="AC1492" s="37">
        <f t="shared" si="383"/>
        <v>0</v>
      </c>
      <c r="AD1492" s="45">
        <f t="shared" si="381"/>
        <v>0.559633027522936</v>
      </c>
      <c r="AE1492" s="37">
        <v>5</v>
      </c>
      <c r="AF1492" s="37" t="s">
        <v>118</v>
      </c>
      <c r="AG1492" s="37" t="str">
        <f t="shared" si="380"/>
        <v>no</v>
      </c>
      <c r="AH1492" s="37" t="str">
        <f t="array" ref="AH1492">_xlfn.IFS(LOWER(AG1492)="n","no",LOWER(AG1492)="y","yes",TRUE,LOWER(AG1492))</f>
        <v>no</v>
      </c>
      <c r="AI1492" s="37" t="s">
        <v>4692</v>
      </c>
    </row>
    <row r="1493" spans="1:35">
      <c r="A1493" s="46" t="s">
        <v>4437</v>
      </c>
      <c r="B1493" s="47">
        <v>45401</v>
      </c>
      <c r="C1493" s="39">
        <f t="shared" si="368"/>
        <v>45401</v>
      </c>
      <c r="D1493" s="48" t="s">
        <v>340</v>
      </c>
      <c r="E1493" s="37" t="str" cm="1">
        <f t="array" ref="E1493">_xlfn.IFS(D1493="delhi","north",D1493="mumbai","west",D1493="bengaluru","south",D1493="chennai","south",D1493="kolkata","east",TRUE,"west")</f>
        <v>north</v>
      </c>
      <c r="F1493" s="46" t="s">
        <v>919</v>
      </c>
      <c r="G1493" s="37" t="str">
        <f t="shared" si="369"/>
        <v>xpressbees</v>
      </c>
      <c r="H1493" s="46" t="s">
        <v>123</v>
      </c>
      <c r="I1493" s="37" t="str">
        <f t="shared" si="370"/>
        <v>air</v>
      </c>
      <c r="J1493" s="46" t="s">
        <v>167</v>
      </c>
      <c r="K1493" s="37" t="str">
        <f t="shared" si="371"/>
        <v>pharma</v>
      </c>
      <c r="L1493" s="46" t="s">
        <v>401</v>
      </c>
      <c r="M1493" s="37" t="str">
        <f t="shared" si="372"/>
        <v>south</v>
      </c>
      <c r="N1493" s="46" t="s">
        <v>327</v>
      </c>
      <c r="O1493" s="41" t="str">
        <f t="shared" si="373"/>
        <v>Yes</v>
      </c>
      <c r="P1493" s="49">
        <v>2.9</v>
      </c>
      <c r="Q1493" s="49">
        <v>266</v>
      </c>
      <c r="R1493" s="42">
        <f t="shared" si="374"/>
        <v>91.7241379310345</v>
      </c>
      <c r="S1493" s="46">
        <v>4</v>
      </c>
      <c r="T1493" s="46" t="s">
        <v>2852</v>
      </c>
      <c r="U1493" s="43" t="str">
        <f t="shared" si="375"/>
        <v>2024-05-02</v>
      </c>
      <c r="V1493" s="43">
        <f t="shared" si="376"/>
        <v>45414</v>
      </c>
      <c r="W1493" s="44">
        <f t="array" ref="W1493">_xlfn.IFS(TRIM(C1493)="","",TRIM(V1493)="","",TRUE,V1493-C1493)</f>
        <v>13</v>
      </c>
      <c r="X1493" s="37">
        <f t="shared" si="377"/>
        <v>9</v>
      </c>
      <c r="Y1493" s="46" t="s">
        <v>143</v>
      </c>
      <c r="Z1493" s="37" t="str">
        <f t="shared" si="378"/>
        <v>delayed</v>
      </c>
      <c r="AA1493" s="37" t="str">
        <f t="shared" si="379"/>
        <v>Late</v>
      </c>
      <c r="AB1493" s="37" t="str">
        <f t="shared" si="382"/>
        <v>1</v>
      </c>
      <c r="AC1493" s="37">
        <f t="shared" si="383"/>
        <v>1</v>
      </c>
      <c r="AD1493" s="45">
        <f t="shared" si="381"/>
        <v>0.564814814814815</v>
      </c>
      <c r="AE1493" s="46">
        <v>2</v>
      </c>
      <c r="AF1493" s="46" t="s">
        <v>131</v>
      </c>
      <c r="AG1493" s="37" t="str">
        <f t="shared" si="380"/>
        <v>n</v>
      </c>
      <c r="AH1493" s="37" t="str">
        <f t="array" ref="AH1493">_xlfn.IFS(LOWER(AG1493)="n","no",LOWER(AG1493)="y","yes",TRUE,LOWER(AG1493))</f>
        <v>no</v>
      </c>
      <c r="AI1493" s="46" t="s">
        <v>4692</v>
      </c>
    </row>
    <row r="1494" spans="1:35">
      <c r="A1494" s="37" t="s">
        <v>4439</v>
      </c>
      <c r="B1494" s="38">
        <v>45462</v>
      </c>
      <c r="C1494" s="39">
        <f t="shared" si="368"/>
        <v>45462</v>
      </c>
      <c r="D1494" s="40" t="s">
        <v>4695</v>
      </c>
      <c r="E1494" s="37" t="str" cm="1">
        <f t="array" ref="E1494">_xlfn.IFS(D1494="delhi","north",D1494="mumbai","west",D1494="bengaluru","south",D1494="chennai","south",D1494="kolkata","east",TRUE,"west")</f>
        <v>west</v>
      </c>
      <c r="F1494" s="37" t="s">
        <v>544</v>
      </c>
      <c r="G1494" s="37" t="str">
        <f t="shared" si="369"/>
        <v>bluedart</v>
      </c>
      <c r="H1494" s="37" t="s">
        <v>147</v>
      </c>
      <c r="I1494" s="37" t="str">
        <f t="shared" si="370"/>
        <v>road</v>
      </c>
      <c r="J1494" s="37" t="s">
        <v>158</v>
      </c>
      <c r="K1494" s="37" t="str">
        <f t="shared" si="371"/>
        <v>pharma</v>
      </c>
      <c r="L1494" s="37" t="s">
        <v>159</v>
      </c>
      <c r="M1494" s="37" t="str">
        <f t="shared" si="372"/>
        <v>south</v>
      </c>
      <c r="N1494" s="37" t="s">
        <v>93</v>
      </c>
      <c r="O1494" s="41" t="str">
        <f t="shared" si="373"/>
        <v>Yes</v>
      </c>
      <c r="P1494" s="41">
        <v>2.6</v>
      </c>
      <c r="Q1494" s="41" t="s">
        <v>4440</v>
      </c>
      <c r="R1494" s="42">
        <f t="shared" si="374"/>
        <v>84.6153846153846</v>
      </c>
      <c r="S1494" s="37">
        <v>8</v>
      </c>
      <c r="T1494" s="37" t="s">
        <v>1552</v>
      </c>
      <c r="U1494" s="43" t="str">
        <f t="shared" si="375"/>
        <v>28/06/2024</v>
      </c>
      <c r="V1494" s="43">
        <f t="shared" si="376"/>
        <v>45471</v>
      </c>
      <c r="W1494" s="44">
        <f t="array" ref="W1494">_xlfn.IFS(TRIM(C1494)="","",TRIM(V1494)="","",TRUE,V1494-C1494)</f>
        <v>9</v>
      </c>
      <c r="X1494" s="37">
        <f t="shared" si="377"/>
        <v>1</v>
      </c>
      <c r="Y1494" s="37" t="s">
        <v>172</v>
      </c>
      <c r="Z1494" s="37" t="str">
        <f t="shared" si="378"/>
        <v>delayed</v>
      </c>
      <c r="AA1494" s="37" t="str">
        <f t="shared" si="379"/>
        <v>Late</v>
      </c>
      <c r="AB1494" s="37" t="str">
        <f t="shared" si="382"/>
        <v>1</v>
      </c>
      <c r="AC1494" s="37">
        <f t="shared" si="383"/>
        <v>1</v>
      </c>
      <c r="AD1494" s="45">
        <f t="shared" si="381"/>
        <v>0.560747663551402</v>
      </c>
      <c r="AE1494" s="37">
        <v>4</v>
      </c>
      <c r="AF1494" s="37" t="s">
        <v>191</v>
      </c>
      <c r="AG1494" s="37" t="str">
        <f t="shared" si="380"/>
        <v>no</v>
      </c>
      <c r="AH1494" s="37" t="str">
        <f t="array" ref="AH1494">_xlfn.IFS(LOWER(AG1494)="n","no",LOWER(AG1494)="y","yes",TRUE,LOWER(AG1494))</f>
        <v>no</v>
      </c>
      <c r="AI1494" s="37" t="s">
        <v>4692</v>
      </c>
    </row>
    <row r="1495" spans="1:35">
      <c r="A1495" s="46" t="s">
        <v>4441</v>
      </c>
      <c r="B1495" s="47">
        <v>45460</v>
      </c>
      <c r="C1495" s="39">
        <f t="shared" si="368"/>
        <v>45460</v>
      </c>
      <c r="D1495" s="48" t="s">
        <v>4705</v>
      </c>
      <c r="E1495" s="37" t="str" cm="1">
        <f t="array" ref="E1495">_xlfn.IFS(D1495="delhi","north",D1495="mumbai","west",D1495="bengaluru","south",D1495="chennai","south",D1495="kolkata","east",TRUE,"west")</f>
        <v>west</v>
      </c>
      <c r="F1495" s="46" t="s">
        <v>184</v>
      </c>
      <c r="G1495" s="37" t="str">
        <f t="shared" si="369"/>
        <v>ecomexpress</v>
      </c>
      <c r="H1495" s="46" t="s">
        <v>224</v>
      </c>
      <c r="I1495" s="37" t="str">
        <f t="shared" si="370"/>
        <v>air</v>
      </c>
      <c r="J1495" s="46" t="s">
        <v>167</v>
      </c>
      <c r="K1495" s="37" t="str">
        <f t="shared" si="371"/>
        <v>pharma</v>
      </c>
      <c r="L1495" s="46" t="s">
        <v>264</v>
      </c>
      <c r="M1495" s="37" t="str">
        <f t="shared" si="372"/>
        <v>west</v>
      </c>
      <c r="N1495" s="46" t="s">
        <v>278</v>
      </c>
      <c r="O1495" s="41" t="str">
        <f t="shared" si="373"/>
        <v>Yes</v>
      </c>
      <c r="P1495" s="49">
        <v>2.3</v>
      </c>
      <c r="Q1495" s="49">
        <v>225</v>
      </c>
      <c r="R1495" s="42">
        <f t="shared" si="374"/>
        <v>97.8260869565217</v>
      </c>
      <c r="S1495" s="46">
        <v>4</v>
      </c>
      <c r="T1495" s="46" t="s">
        <v>202</v>
      </c>
      <c r="U1495" s="43" t="str">
        <f t="shared" si="375"/>
        <v>20/06/2024</v>
      </c>
      <c r="V1495" s="43">
        <f t="shared" si="376"/>
        <v>45463</v>
      </c>
      <c r="W1495" s="44">
        <f t="array" ref="W1495">_xlfn.IFS(TRIM(C1495)="","",TRIM(V1495)="","",TRUE,V1495-C1495)</f>
        <v>3</v>
      </c>
      <c r="X1495" s="37">
        <f t="shared" si="377"/>
        <v>-1</v>
      </c>
      <c r="Y1495" s="46" t="s">
        <v>163</v>
      </c>
      <c r="Z1495" s="37" t="str">
        <f t="shared" si="378"/>
        <v>delivered</v>
      </c>
      <c r="AA1495" s="37" t="str">
        <f t="shared" si="379"/>
        <v>On Time</v>
      </c>
      <c r="AB1495" s="37" t="str">
        <f t="shared" si="382"/>
        <v>0</v>
      </c>
      <c r="AC1495" s="37">
        <f t="shared" si="383"/>
        <v>0</v>
      </c>
      <c r="AD1495" s="45">
        <f t="shared" si="381"/>
        <v>0.556603773584906</v>
      </c>
      <c r="AE1495" s="46">
        <v>4</v>
      </c>
      <c r="AF1495" s="46" t="s">
        <v>191</v>
      </c>
      <c r="AG1495" s="37" t="str">
        <f t="shared" si="380"/>
        <v>no</v>
      </c>
      <c r="AH1495" s="37" t="str">
        <f t="array" ref="AH1495">_xlfn.IFS(LOWER(AG1495)="n","no",LOWER(AG1495)="y","yes",TRUE,LOWER(AG1495))</f>
        <v>no</v>
      </c>
      <c r="AI1495" s="46" t="s">
        <v>4692</v>
      </c>
    </row>
    <row r="1496" spans="1:35">
      <c r="A1496" s="37" t="s">
        <v>4442</v>
      </c>
      <c r="B1496" s="38">
        <v>45420</v>
      </c>
      <c r="C1496" s="39">
        <f t="shared" si="368"/>
        <v>45420</v>
      </c>
      <c r="D1496" s="40" t="s">
        <v>366</v>
      </c>
      <c r="E1496" s="37" t="str" cm="1">
        <f t="array" ref="E1496">_xlfn.IFS(D1496="delhi","north",D1496="mumbai","west",D1496="bengaluru","south",D1496="chennai","south",D1496="kolkata","east",TRUE,"west")</f>
        <v>east</v>
      </c>
      <c r="F1496" s="37" t="s">
        <v>136</v>
      </c>
      <c r="G1496" s="37" t="str">
        <f t="shared" si="369"/>
        <v>bluedart</v>
      </c>
      <c r="H1496" s="37" t="s">
        <v>345</v>
      </c>
      <c r="I1496" s="37" t="str">
        <f t="shared" si="370"/>
        <v>surface</v>
      </c>
      <c r="J1496" s="37" t="s">
        <v>245</v>
      </c>
      <c r="K1496" s="37" t="str">
        <f t="shared" si="371"/>
        <v>electronics</v>
      </c>
      <c r="L1496" s="37" t="s">
        <v>418</v>
      </c>
      <c r="M1496" s="37" t="str">
        <f t="shared" si="372"/>
        <v>south</v>
      </c>
      <c r="N1496" s="37" t="s">
        <v>93</v>
      </c>
      <c r="O1496" s="41" t="str">
        <f t="shared" si="373"/>
        <v>Yes</v>
      </c>
      <c r="P1496" s="41" t="s">
        <v>284</v>
      </c>
      <c r="Q1496" s="41">
        <v>190</v>
      </c>
      <c r="R1496" s="42">
        <f t="shared" si="374"/>
        <v>172.727272727273</v>
      </c>
      <c r="S1496" s="37">
        <v>6</v>
      </c>
      <c r="T1496" s="37" t="s">
        <v>1588</v>
      </c>
      <c r="U1496" s="43" t="str">
        <f t="shared" si="375"/>
        <v>14-may-2024</v>
      </c>
      <c r="V1496" s="43">
        <f t="shared" si="376"/>
        <v>45426</v>
      </c>
      <c r="W1496" s="44">
        <f t="array" ref="W1496">_xlfn.IFS(TRIM(C1496)="","",TRIM(V1496)="","",TRUE,V1496-C1496)</f>
        <v>6</v>
      </c>
      <c r="X1496" s="37">
        <f t="shared" si="377"/>
        <v>0</v>
      </c>
      <c r="Y1496" s="37" t="s">
        <v>817</v>
      </c>
      <c r="Z1496" s="37" t="str">
        <f t="shared" si="378"/>
        <v>returned</v>
      </c>
      <c r="AA1496" s="37" t="str">
        <f t="shared" si="379"/>
        <v>On Time</v>
      </c>
      <c r="AB1496" s="37" t="str">
        <f t="shared" si="382"/>
        <v>0</v>
      </c>
      <c r="AC1496" s="37">
        <f t="shared" si="383"/>
        <v>0</v>
      </c>
      <c r="AD1496" s="45">
        <f t="shared" si="381"/>
        <v>0.561904761904762</v>
      </c>
      <c r="AE1496" s="37"/>
      <c r="AF1496" s="37" t="s">
        <v>181</v>
      </c>
      <c r="AG1496" s="37" t="str">
        <f t="shared" si="380"/>
        <v>y</v>
      </c>
      <c r="AH1496" s="37" t="str">
        <f t="array" ref="AH1496">_xlfn.IFS(LOWER(AG1496)="n","no",LOWER(AG1496)="y","yes",TRUE,LOWER(AG1496))</f>
        <v>yes</v>
      </c>
      <c r="AI1496" s="37" t="s">
        <v>625</v>
      </c>
    </row>
    <row r="1497" spans="1:35">
      <c r="A1497" s="46" t="s">
        <v>4443</v>
      </c>
      <c r="B1497" s="47">
        <v>45372</v>
      </c>
      <c r="C1497" s="39">
        <f t="shared" si="368"/>
        <v>45372</v>
      </c>
      <c r="D1497" s="48" t="s">
        <v>633</v>
      </c>
      <c r="E1497" s="37" t="str" cm="1">
        <f t="array" ref="E1497">_xlfn.IFS(D1497="delhi","north",D1497="mumbai","west",D1497="bengaluru","south",D1497="chennai","south",D1497="kolkata","east",TRUE,"west")</f>
        <v>south</v>
      </c>
      <c r="F1497" s="46" t="s">
        <v>367</v>
      </c>
      <c r="G1497" s="37" t="str">
        <f t="shared" si="369"/>
        <v>dtdc</v>
      </c>
      <c r="H1497" s="46" t="s">
        <v>325</v>
      </c>
      <c r="I1497" s="37" t="str">
        <f t="shared" si="370"/>
        <v>air</v>
      </c>
      <c r="J1497" s="46" t="s">
        <v>263</v>
      </c>
      <c r="K1497" s="37" t="str">
        <f t="shared" si="371"/>
        <v>apparel</v>
      </c>
      <c r="L1497" s="46" t="s">
        <v>125</v>
      </c>
      <c r="M1497" s="37" t="str">
        <f t="shared" si="372"/>
        <v>east</v>
      </c>
      <c r="N1497" s="46" t="s">
        <v>126</v>
      </c>
      <c r="O1497" s="41" t="str">
        <f t="shared" si="373"/>
        <v>Yes</v>
      </c>
      <c r="P1497" s="49">
        <v>3.9</v>
      </c>
      <c r="Q1497" s="49">
        <v>384</v>
      </c>
      <c r="R1497" s="42">
        <f t="shared" si="374"/>
        <v>98.4615384615385</v>
      </c>
      <c r="S1497" s="46">
        <v>4</v>
      </c>
      <c r="T1497" s="46" t="s">
        <v>468</v>
      </c>
      <c r="U1497" s="43" t="str">
        <f t="shared" si="375"/>
        <v>01/04/2024</v>
      </c>
      <c r="V1497" s="43">
        <f t="shared" si="376"/>
        <v>45383</v>
      </c>
      <c r="W1497" s="44">
        <f t="array" ref="W1497">_xlfn.IFS(TRIM(C1497)="","",TRIM(V1497)="","",TRUE,V1497-C1497)</f>
        <v>11</v>
      </c>
      <c r="X1497" s="37">
        <f t="shared" si="377"/>
        <v>7</v>
      </c>
      <c r="Y1497" s="46" t="s">
        <v>72</v>
      </c>
      <c r="Z1497" s="37" t="str">
        <f t="shared" si="378"/>
        <v>delayed</v>
      </c>
      <c r="AA1497" s="37" t="str">
        <f t="shared" si="379"/>
        <v>Late</v>
      </c>
      <c r="AB1497" s="37" t="str">
        <f t="shared" si="382"/>
        <v>1</v>
      </c>
      <c r="AC1497" s="37">
        <f t="shared" si="383"/>
        <v>1</v>
      </c>
      <c r="AD1497" s="45">
        <f t="shared" si="381"/>
        <v>0.567307692307692</v>
      </c>
      <c r="AE1497" s="46">
        <v>1</v>
      </c>
      <c r="AF1497" s="46" t="s">
        <v>286</v>
      </c>
      <c r="AG1497" s="37" t="str">
        <f t="shared" si="380"/>
        <v>yes</v>
      </c>
      <c r="AH1497" s="37" t="str">
        <f t="array" ref="AH1497">_xlfn.IFS(LOWER(AG1497)="n","no",LOWER(AG1497)="y","yes",TRUE,LOWER(AG1497))</f>
        <v>yes</v>
      </c>
      <c r="AI1497" s="46" t="s">
        <v>4692</v>
      </c>
    </row>
    <row r="1498" spans="1:35">
      <c r="A1498" s="37" t="s">
        <v>4445</v>
      </c>
      <c r="B1498" s="38" t="s">
        <v>4707</v>
      </c>
      <c r="C1498" s="39">
        <f t="shared" si="368"/>
        <v>45383</v>
      </c>
      <c r="D1498" s="40" t="s">
        <v>4694</v>
      </c>
      <c r="E1498" s="37" t="str" cm="1">
        <f t="array" ref="E1498">_xlfn.IFS(D1498="delhi","north",D1498="mumbai","west",D1498="bengaluru","south",D1498="chennai","south",D1498="kolkata","east",TRUE,"west")</f>
        <v>west</v>
      </c>
      <c r="F1498" s="37" t="s">
        <v>544</v>
      </c>
      <c r="G1498" s="37" t="str">
        <f t="shared" si="369"/>
        <v>bluedart</v>
      </c>
      <c r="H1498" s="37" t="s">
        <v>42</v>
      </c>
      <c r="I1498" s="37" t="str">
        <f t="shared" si="370"/>
        <v>surface</v>
      </c>
      <c r="J1498" s="37" t="s">
        <v>124</v>
      </c>
      <c r="K1498" s="37" t="str">
        <f t="shared" si="371"/>
        <v>automotiveparts</v>
      </c>
      <c r="L1498" s="37" t="s">
        <v>168</v>
      </c>
      <c r="M1498" s="37" t="str">
        <f t="shared" si="372"/>
        <v>west</v>
      </c>
      <c r="N1498" s="37" t="s">
        <v>206</v>
      </c>
      <c r="O1498" s="41" t="str">
        <f t="shared" si="373"/>
        <v>Yes</v>
      </c>
      <c r="P1498" s="41">
        <v>17</v>
      </c>
      <c r="Q1498" s="41">
        <v>561</v>
      </c>
      <c r="R1498" s="42">
        <f t="shared" si="374"/>
        <v>33</v>
      </c>
      <c r="S1498" s="37">
        <v>6</v>
      </c>
      <c r="T1498" s="37" t="s">
        <v>1335</v>
      </c>
      <c r="U1498" s="43" t="str">
        <f t="shared" si="375"/>
        <v>07/04/2024</v>
      </c>
      <c r="V1498" s="43">
        <f t="shared" si="376"/>
        <v>45389</v>
      </c>
      <c r="W1498" s="44">
        <f t="array" ref="W1498">_xlfn.IFS(TRIM(C1498)="","",TRIM(V1498)="","",TRUE,V1498-C1498)</f>
        <v>6</v>
      </c>
      <c r="X1498" s="37">
        <f t="shared" si="377"/>
        <v>0</v>
      </c>
      <c r="Y1498" s="37" t="s">
        <v>105</v>
      </c>
      <c r="Z1498" s="37" t="str">
        <f t="shared" si="378"/>
        <v>delivered</v>
      </c>
      <c r="AA1498" s="37" t="str">
        <f t="shared" si="379"/>
        <v>On Time</v>
      </c>
      <c r="AB1498" s="37" t="str">
        <f t="shared" si="382"/>
        <v>0</v>
      </c>
      <c r="AC1498" s="37">
        <f t="shared" si="383"/>
        <v>0</v>
      </c>
      <c r="AD1498" s="45">
        <f t="shared" si="381"/>
        <v>0.563106796116505</v>
      </c>
      <c r="AE1498" s="37">
        <v>4</v>
      </c>
      <c r="AF1498" s="37" t="s">
        <v>152</v>
      </c>
      <c r="AG1498" s="37" t="str">
        <f t="shared" si="380"/>
        <v>no</v>
      </c>
      <c r="AH1498" s="37" t="str">
        <f t="array" ref="AH1498">_xlfn.IFS(LOWER(AG1498)="n","no",LOWER(AG1498)="y","yes",TRUE,LOWER(AG1498))</f>
        <v>no</v>
      </c>
      <c r="AI1498" s="37" t="s">
        <v>4692</v>
      </c>
    </row>
    <row r="1499" spans="1:35">
      <c r="A1499" s="46" t="s">
        <v>4448</v>
      </c>
      <c r="B1499" s="47">
        <v>45445</v>
      </c>
      <c r="C1499" s="39">
        <f t="shared" si="368"/>
        <v>45445</v>
      </c>
      <c r="D1499" s="48" t="s">
        <v>366</v>
      </c>
      <c r="E1499" s="37" t="str" cm="1">
        <f t="array" ref="E1499">_xlfn.IFS(D1499="delhi","north",D1499="mumbai","west",D1499="bengaluru","south",D1499="chennai","south",D1499="kolkata","east",TRUE,"west")</f>
        <v>east</v>
      </c>
      <c r="F1499" s="46" t="s">
        <v>122</v>
      </c>
      <c r="G1499" s="37" t="str">
        <f t="shared" si="369"/>
        <v>delhivery</v>
      </c>
      <c r="H1499" s="46" t="s">
        <v>325</v>
      </c>
      <c r="I1499" s="37" t="str">
        <f t="shared" si="370"/>
        <v>air</v>
      </c>
      <c r="J1499" s="46" t="s">
        <v>326</v>
      </c>
      <c r="K1499" s="37" t="str">
        <f t="shared" si="371"/>
        <v>apparel</v>
      </c>
      <c r="L1499" s="46" t="s">
        <v>159</v>
      </c>
      <c r="M1499" s="37" t="str">
        <f t="shared" si="372"/>
        <v>south</v>
      </c>
      <c r="N1499" s="46" t="s">
        <v>327</v>
      </c>
      <c r="O1499" s="41" t="str">
        <f t="shared" si="373"/>
        <v>Yes</v>
      </c>
      <c r="P1499" s="49">
        <v>5.5</v>
      </c>
      <c r="Q1499" s="49">
        <v>409</v>
      </c>
      <c r="R1499" s="42">
        <f t="shared" si="374"/>
        <v>74.3636363636364</v>
      </c>
      <c r="S1499" s="46">
        <v>4</v>
      </c>
      <c r="T1499" s="46" t="s">
        <v>2324</v>
      </c>
      <c r="U1499" s="43" t="str">
        <f t="shared" si="375"/>
        <v>08-jun-2024</v>
      </c>
      <c r="V1499" s="43">
        <f t="shared" si="376"/>
        <v>45451</v>
      </c>
      <c r="W1499" s="44">
        <f t="array" ref="W1499">_xlfn.IFS(TRIM(C1499)="","",TRIM(V1499)="","",TRUE,V1499-C1499)</f>
        <v>6</v>
      </c>
      <c r="X1499" s="37">
        <f t="shared" si="377"/>
        <v>2</v>
      </c>
      <c r="Y1499" s="46" t="s">
        <v>172</v>
      </c>
      <c r="Z1499" s="37" t="str">
        <f t="shared" si="378"/>
        <v>delayed</v>
      </c>
      <c r="AA1499" s="37" t="str">
        <f t="shared" si="379"/>
        <v>Late</v>
      </c>
      <c r="AB1499" s="37" t="str">
        <f t="shared" si="382"/>
        <v>1</v>
      </c>
      <c r="AC1499" s="37">
        <f t="shared" si="383"/>
        <v>1</v>
      </c>
      <c r="AD1499" s="45">
        <f t="shared" si="381"/>
        <v>0.568627450980392</v>
      </c>
      <c r="AE1499" s="46">
        <v>4</v>
      </c>
      <c r="AF1499" s="46" t="s">
        <v>106</v>
      </c>
      <c r="AG1499" s="37" t="str">
        <f t="shared" si="380"/>
        <v>yes</v>
      </c>
      <c r="AH1499" s="37" t="str">
        <f t="array" ref="AH1499">_xlfn.IFS(LOWER(AG1499)="n","no",LOWER(AG1499)="y","yes",TRUE,LOWER(AG1499))</f>
        <v>yes</v>
      </c>
      <c r="AI1499" s="46" t="s">
        <v>4692</v>
      </c>
    </row>
    <row r="1500" spans="1:35">
      <c r="A1500" s="37" t="s">
        <v>4450</v>
      </c>
      <c r="B1500" s="38">
        <v>45336</v>
      </c>
      <c r="C1500" s="39">
        <f t="shared" si="368"/>
        <v>45336</v>
      </c>
      <c r="D1500" s="40" t="s">
        <v>340</v>
      </c>
      <c r="E1500" s="37" t="str" cm="1">
        <f t="array" ref="E1500">_xlfn.IFS(D1500="delhi","north",D1500="mumbai","west",D1500="bengaluru","south",D1500="chennai","south",D1500="kolkata","east",TRUE,"west")</f>
        <v>north</v>
      </c>
      <c r="F1500" s="37" t="s">
        <v>367</v>
      </c>
      <c r="G1500" s="37" t="str">
        <f t="shared" si="369"/>
        <v>dtdc</v>
      </c>
      <c r="H1500" s="37" t="s">
        <v>147</v>
      </c>
      <c r="I1500" s="37" t="str">
        <f t="shared" si="370"/>
        <v>road</v>
      </c>
      <c r="J1500" s="37" t="s">
        <v>158</v>
      </c>
      <c r="K1500" s="37" t="str">
        <f t="shared" si="371"/>
        <v>pharma</v>
      </c>
      <c r="L1500" s="37" t="s">
        <v>418</v>
      </c>
      <c r="M1500" s="37" t="str">
        <f t="shared" si="372"/>
        <v>south</v>
      </c>
      <c r="N1500" s="37" t="s">
        <v>327</v>
      </c>
      <c r="O1500" s="41" t="str">
        <f t="shared" si="373"/>
        <v>Yes</v>
      </c>
      <c r="P1500" s="41">
        <v>4.9</v>
      </c>
      <c r="Q1500" s="41" t="s">
        <v>3032</v>
      </c>
      <c r="R1500" s="42">
        <f t="shared" si="374"/>
        <v>54.8979591836735</v>
      </c>
      <c r="S1500" s="37">
        <v>8</v>
      </c>
      <c r="T1500" s="37" t="s">
        <v>828</v>
      </c>
      <c r="U1500" s="43" t="str">
        <f t="shared" si="375"/>
        <v>22/02/2024</v>
      </c>
      <c r="V1500" s="43">
        <f t="shared" si="376"/>
        <v>45344</v>
      </c>
      <c r="W1500" s="44">
        <f t="array" ref="W1500">_xlfn.IFS(TRIM(C1500)="","",TRIM(V1500)="","",TRUE,V1500-C1500)</f>
        <v>8</v>
      </c>
      <c r="X1500" s="37">
        <f t="shared" si="377"/>
        <v>0</v>
      </c>
      <c r="Y1500" s="37" t="s">
        <v>105</v>
      </c>
      <c r="Z1500" s="37" t="str">
        <f t="shared" si="378"/>
        <v>delivered</v>
      </c>
      <c r="AA1500" s="37" t="str">
        <f t="shared" si="379"/>
        <v>On Time</v>
      </c>
      <c r="AB1500" s="37" t="str">
        <f t="shared" si="382"/>
        <v>0</v>
      </c>
      <c r="AC1500" s="37">
        <f t="shared" si="383"/>
        <v>0</v>
      </c>
      <c r="AD1500" s="45">
        <f t="shared" si="381"/>
        <v>0.564356435643564</v>
      </c>
      <c r="AE1500" s="37">
        <v>3</v>
      </c>
      <c r="AF1500" s="37" t="s">
        <v>106</v>
      </c>
      <c r="AG1500" s="37" t="str">
        <f t="shared" si="380"/>
        <v>yes</v>
      </c>
      <c r="AH1500" s="37" t="str">
        <f t="array" ref="AH1500">_xlfn.IFS(LOWER(AG1500)="n","no",LOWER(AG1500)="y","yes",TRUE,LOWER(AG1500))</f>
        <v>yes</v>
      </c>
      <c r="AI1500" s="37" t="s">
        <v>4692</v>
      </c>
    </row>
    <row r="1501" spans="1:35">
      <c r="A1501" s="46" t="s">
        <v>4451</v>
      </c>
      <c r="B1501" s="47">
        <v>45410</v>
      </c>
      <c r="C1501" s="39">
        <f t="shared" si="368"/>
        <v>45410</v>
      </c>
      <c r="D1501" s="48" t="s">
        <v>4705</v>
      </c>
      <c r="E1501" s="37" t="str" cm="1">
        <f t="array" ref="E1501">_xlfn.IFS(D1501="delhi","north",D1501="mumbai","west",D1501="bengaluru","south",D1501="chennai","south",D1501="kolkata","east",TRUE,"west")</f>
        <v>west</v>
      </c>
      <c r="F1501" s="46" t="s">
        <v>184</v>
      </c>
      <c r="G1501" s="37" t="str">
        <f t="shared" si="369"/>
        <v>ecomexpress</v>
      </c>
      <c r="H1501" s="46" t="s">
        <v>185</v>
      </c>
      <c r="I1501" s="37" t="str">
        <f t="shared" si="370"/>
        <v>surface</v>
      </c>
      <c r="J1501" s="46" t="s">
        <v>47</v>
      </c>
      <c r="K1501" s="37" t="str">
        <f t="shared" si="371"/>
        <v>electronics</v>
      </c>
      <c r="L1501" s="46" t="s">
        <v>51</v>
      </c>
      <c r="M1501" s="37" t="str">
        <f t="shared" si="372"/>
        <v>south</v>
      </c>
      <c r="N1501" s="46" t="s">
        <v>327</v>
      </c>
      <c r="O1501" s="41" t="str">
        <f t="shared" si="373"/>
        <v>Yes</v>
      </c>
      <c r="P1501" s="49">
        <v>12.9</v>
      </c>
      <c r="Q1501" s="49">
        <v>471</v>
      </c>
      <c r="R1501" s="42">
        <f t="shared" si="374"/>
        <v>36.5116279069767</v>
      </c>
      <c r="S1501" s="46">
        <v>6</v>
      </c>
      <c r="T1501" s="46" t="s">
        <v>1758</v>
      </c>
      <c r="U1501" s="43" t="str">
        <f t="shared" si="375"/>
        <v>05/05/2024</v>
      </c>
      <c r="V1501" s="43">
        <f t="shared" si="376"/>
        <v>45417</v>
      </c>
      <c r="W1501" s="44">
        <f t="array" ref="W1501">_xlfn.IFS(TRIM(C1501)="","",TRIM(V1501)="","",TRUE,V1501-C1501)</f>
        <v>7</v>
      </c>
      <c r="X1501" s="37">
        <f t="shared" si="377"/>
        <v>1</v>
      </c>
      <c r="Y1501" s="46" t="s">
        <v>172</v>
      </c>
      <c r="Z1501" s="37" t="str">
        <f t="shared" si="378"/>
        <v>delayed</v>
      </c>
      <c r="AA1501" s="37" t="str">
        <f t="shared" si="379"/>
        <v>Late</v>
      </c>
      <c r="AB1501" s="37" t="str">
        <f t="shared" si="382"/>
        <v>1</v>
      </c>
      <c r="AC1501" s="37">
        <f t="shared" si="383"/>
        <v>1</v>
      </c>
      <c r="AD1501" s="45">
        <f t="shared" si="381"/>
        <v>0.57</v>
      </c>
      <c r="AE1501" s="46">
        <v>4</v>
      </c>
      <c r="AF1501" s="46" t="s">
        <v>152</v>
      </c>
      <c r="AG1501" s="37" t="str">
        <f t="shared" si="380"/>
        <v>no</v>
      </c>
      <c r="AH1501" s="37" t="str">
        <f t="array" ref="AH1501">_xlfn.IFS(LOWER(AG1501)="n","no",LOWER(AG1501)="y","yes",TRUE,LOWER(AG1501))</f>
        <v>no</v>
      </c>
      <c r="AI1501" s="46" t="s">
        <v>4692</v>
      </c>
    </row>
    <row r="1502" spans="1:35">
      <c r="A1502" s="37" t="s">
        <v>4453</v>
      </c>
      <c r="B1502" s="38">
        <v>45367</v>
      </c>
      <c r="C1502" s="39">
        <f t="shared" si="368"/>
        <v>45367</v>
      </c>
      <c r="D1502" s="40" t="s">
        <v>424</v>
      </c>
      <c r="E1502" s="37" t="str" cm="1">
        <f t="array" ref="E1502">_xlfn.IFS(D1502="delhi","north",D1502="mumbai","west",D1502="bengaluru","south",D1502="chennai","south",D1502="kolkata","east",TRUE,"west")</f>
        <v>south</v>
      </c>
      <c r="F1502" s="37" t="s">
        <v>919</v>
      </c>
      <c r="G1502" s="37" t="str">
        <f t="shared" si="369"/>
        <v>xpressbees</v>
      </c>
      <c r="H1502" s="37" t="s">
        <v>99</v>
      </c>
      <c r="I1502" s="37" t="str">
        <f t="shared" si="370"/>
        <v>air</v>
      </c>
      <c r="J1502" s="37" t="s">
        <v>360</v>
      </c>
      <c r="K1502" s="37" t="str">
        <f t="shared" si="371"/>
        <v>furniture</v>
      </c>
      <c r="L1502" s="37" t="s">
        <v>470</v>
      </c>
      <c r="M1502" s="37" t="str">
        <f t="shared" si="372"/>
        <v>east</v>
      </c>
      <c r="N1502" s="37" t="s">
        <v>91</v>
      </c>
      <c r="O1502" s="41" t="str">
        <f t="shared" si="373"/>
        <v>Yes</v>
      </c>
      <c r="P1502" s="41">
        <v>16.8</v>
      </c>
      <c r="Q1502" s="41" t="s">
        <v>2717</v>
      </c>
      <c r="R1502" s="42">
        <f t="shared" si="374"/>
        <v>55.5357142857143</v>
      </c>
      <c r="S1502" s="37">
        <v>4</v>
      </c>
      <c r="T1502" s="37" t="s">
        <v>597</v>
      </c>
      <c r="U1502" s="43" t="str">
        <f t="shared" si="375"/>
        <v>2024-03-20</v>
      </c>
      <c r="V1502" s="43">
        <f t="shared" si="376"/>
        <v>45371</v>
      </c>
      <c r="W1502" s="44">
        <f t="array" ref="W1502">_xlfn.IFS(TRIM(C1502)="","",TRIM(V1502)="","",TRUE,V1502-C1502)</f>
        <v>4</v>
      </c>
      <c r="X1502" s="37">
        <f t="shared" si="377"/>
        <v>0</v>
      </c>
      <c r="Y1502" s="37" t="s">
        <v>105</v>
      </c>
      <c r="Z1502" s="37" t="str">
        <f t="shared" si="378"/>
        <v>delivered</v>
      </c>
      <c r="AA1502" s="37" t="str">
        <f t="shared" si="379"/>
        <v>On Time</v>
      </c>
      <c r="AB1502" s="37" t="str">
        <f t="shared" si="382"/>
        <v>0</v>
      </c>
      <c r="AC1502" s="37">
        <f t="shared" si="383"/>
        <v>0</v>
      </c>
      <c r="AD1502" s="45">
        <f t="shared" si="381"/>
        <v>0.565656565656566</v>
      </c>
      <c r="AE1502" s="37">
        <v>3</v>
      </c>
      <c r="AF1502" s="37" t="s">
        <v>191</v>
      </c>
      <c r="AG1502" s="37" t="str">
        <f t="shared" si="380"/>
        <v>no</v>
      </c>
      <c r="AH1502" s="37" t="str">
        <f t="array" ref="AH1502">_xlfn.IFS(LOWER(AG1502)="n","no",LOWER(AG1502)="y","yes",TRUE,LOWER(AG1502))</f>
        <v>no</v>
      </c>
      <c r="AI1502" s="37" t="s">
        <v>4692</v>
      </c>
    </row>
    <row r="1503" spans="1:35">
      <c r="A1503" s="46" t="s">
        <v>4455</v>
      </c>
      <c r="B1503" s="47" t="s">
        <v>4691</v>
      </c>
      <c r="C1503" s="39">
        <f t="shared" si="368"/>
        <v>45313</v>
      </c>
      <c r="D1503" s="48" t="s">
        <v>212</v>
      </c>
      <c r="E1503" s="37" t="str" cm="1">
        <f t="array" ref="E1503">_xlfn.IFS(D1503="delhi","north",D1503="mumbai","west",D1503="bengaluru","south",D1503="chennai","south",D1503="kolkata","east",TRUE,"west")</f>
        <v>west</v>
      </c>
      <c r="F1503" s="46" t="s">
        <v>544</v>
      </c>
      <c r="G1503" s="37" t="str">
        <f t="shared" si="369"/>
        <v>bluedart</v>
      </c>
      <c r="H1503" s="46" t="s">
        <v>440</v>
      </c>
      <c r="I1503" s="37" t="str">
        <f t="shared" si="370"/>
        <v>road</v>
      </c>
      <c r="J1503" s="46" t="s">
        <v>237</v>
      </c>
      <c r="K1503" s="37" t="str">
        <f t="shared" si="371"/>
        <v>automotiveparts</v>
      </c>
      <c r="L1503" s="46" t="s">
        <v>302</v>
      </c>
      <c r="M1503" s="37" t="str">
        <f t="shared" si="372"/>
        <v>east</v>
      </c>
      <c r="N1503" s="46" t="s">
        <v>91</v>
      </c>
      <c r="O1503" s="41" t="str">
        <f t="shared" si="373"/>
        <v>Yes</v>
      </c>
      <c r="P1503" s="49">
        <v>14.8</v>
      </c>
      <c r="Q1503" s="49">
        <v>359</v>
      </c>
      <c r="R1503" s="42">
        <f t="shared" si="374"/>
        <v>24.2567567567568</v>
      </c>
      <c r="S1503" s="46">
        <v>8</v>
      </c>
      <c r="T1503" s="46" t="s">
        <v>1559</v>
      </c>
      <c r="U1503" s="43" t="str">
        <f t="shared" si="375"/>
        <v>31/01/2024</v>
      </c>
      <c r="V1503" s="43">
        <f t="shared" si="376"/>
        <v>45322</v>
      </c>
      <c r="W1503" s="44">
        <f t="array" ref="W1503">_xlfn.IFS(TRIM(C1503)="","",TRIM(V1503)="","",TRUE,V1503-C1503)</f>
        <v>9</v>
      </c>
      <c r="X1503" s="37">
        <f t="shared" si="377"/>
        <v>1</v>
      </c>
      <c r="Y1503" s="46" t="s">
        <v>143</v>
      </c>
      <c r="Z1503" s="37" t="str">
        <f t="shared" si="378"/>
        <v>delayed</v>
      </c>
      <c r="AA1503" s="37" t="str">
        <f t="shared" si="379"/>
        <v>Late</v>
      </c>
      <c r="AB1503" s="37" t="str">
        <f t="shared" si="382"/>
        <v>1</v>
      </c>
      <c r="AC1503" s="37">
        <f t="shared" si="383"/>
        <v>1</v>
      </c>
      <c r="AD1503" s="45">
        <f t="shared" si="381"/>
        <v>0.571428571428571</v>
      </c>
      <c r="AE1503" s="46">
        <v>5</v>
      </c>
      <c r="AF1503" s="46" t="s">
        <v>152</v>
      </c>
      <c r="AG1503" s="37" t="str">
        <f t="shared" si="380"/>
        <v>no</v>
      </c>
      <c r="AH1503" s="37" t="str">
        <f t="array" ref="AH1503">_xlfn.IFS(LOWER(AG1503)="n","no",LOWER(AG1503)="y","yes",TRUE,LOWER(AG1503))</f>
        <v>no</v>
      </c>
      <c r="AI1503" s="46" t="s">
        <v>4692</v>
      </c>
    </row>
    <row r="1504" spans="1:35">
      <c r="A1504" s="37" t="s">
        <v>4456</v>
      </c>
      <c r="B1504" s="38">
        <v>45388</v>
      </c>
      <c r="C1504" s="39">
        <f t="shared" si="368"/>
        <v>45388</v>
      </c>
      <c r="D1504" s="40" t="s">
        <v>424</v>
      </c>
      <c r="E1504" s="37" t="str" cm="1">
        <f t="array" ref="E1504">_xlfn.IFS(D1504="delhi","north",D1504="mumbai","west",D1504="bengaluru","south",D1504="chennai","south",D1504="kolkata","east",TRUE,"west")</f>
        <v>south</v>
      </c>
      <c r="F1504" s="37" t="s">
        <v>919</v>
      </c>
      <c r="G1504" s="37" t="str">
        <f t="shared" si="369"/>
        <v>xpressbees</v>
      </c>
      <c r="H1504" s="37" t="s">
        <v>176</v>
      </c>
      <c r="I1504" s="37" t="str">
        <f t="shared" si="370"/>
        <v>road</v>
      </c>
      <c r="J1504" s="37" t="s">
        <v>111</v>
      </c>
      <c r="K1504" s="37" t="str">
        <f t="shared" si="371"/>
        <v>grocery&amp;fmcg</v>
      </c>
      <c r="L1504" s="37" t="s">
        <v>334</v>
      </c>
      <c r="M1504" s="37" t="str">
        <f t="shared" si="372"/>
        <v>north</v>
      </c>
      <c r="N1504" s="37" t="s">
        <v>215</v>
      </c>
      <c r="O1504" s="41" t="str">
        <f t="shared" si="373"/>
        <v>Yes</v>
      </c>
      <c r="P1504" s="41" t="s">
        <v>4457</v>
      </c>
      <c r="Q1504" s="41">
        <v>259</v>
      </c>
      <c r="R1504" s="42">
        <f t="shared" si="374"/>
        <v>30.1162790697674</v>
      </c>
      <c r="S1504" s="37">
        <v>8</v>
      </c>
      <c r="T1504" s="37" t="s">
        <v>2830</v>
      </c>
      <c r="U1504" s="43" t="str">
        <f t="shared" si="375"/>
        <v>14/04/2024</v>
      </c>
      <c r="V1504" s="43">
        <f t="shared" si="376"/>
        <v>45396</v>
      </c>
      <c r="W1504" s="44">
        <f t="array" ref="W1504">_xlfn.IFS(TRIM(C1504)="","",TRIM(V1504)="","",TRUE,V1504-C1504)</f>
        <v>8</v>
      </c>
      <c r="X1504" s="37">
        <f t="shared" si="377"/>
        <v>0</v>
      </c>
      <c r="Y1504" s="37" t="s">
        <v>105</v>
      </c>
      <c r="Z1504" s="37" t="str">
        <f t="shared" si="378"/>
        <v>delivered</v>
      </c>
      <c r="AA1504" s="37" t="str">
        <f t="shared" si="379"/>
        <v>On Time</v>
      </c>
      <c r="AB1504" s="37" t="str">
        <f t="shared" si="382"/>
        <v>0</v>
      </c>
      <c r="AC1504" s="37">
        <f t="shared" si="383"/>
        <v>0</v>
      </c>
      <c r="AD1504" s="45">
        <f t="shared" si="381"/>
        <v>0.56701030927835</v>
      </c>
      <c r="AE1504" s="37">
        <v>4</v>
      </c>
      <c r="AF1504" s="37" t="s">
        <v>79</v>
      </c>
      <c r="AG1504" s="37" t="str">
        <f t="shared" si="380"/>
        <v>yes</v>
      </c>
      <c r="AH1504" s="37" t="str">
        <f t="array" ref="AH1504">_xlfn.IFS(LOWER(AG1504)="n","no",LOWER(AG1504)="y","yes",TRUE,LOWER(AG1504))</f>
        <v>yes</v>
      </c>
      <c r="AI1504" s="37" t="s">
        <v>4692</v>
      </c>
    </row>
    <row r="1505" spans="1:35">
      <c r="A1505" s="46" t="s">
        <v>4458</v>
      </c>
      <c r="B1505" s="47">
        <v>45425</v>
      </c>
      <c r="C1505" s="39">
        <f t="shared" si="368"/>
        <v>45425</v>
      </c>
      <c r="D1505" s="48" t="s">
        <v>300</v>
      </c>
      <c r="E1505" s="37" t="str" cm="1">
        <f t="array" ref="E1505">_xlfn.IFS(D1505="delhi","north",D1505="mumbai","west",D1505="bengaluru","south",D1505="chennai","south",D1505="kolkata","east",TRUE,"west")</f>
        <v>west</v>
      </c>
      <c r="F1505" s="46" t="s">
        <v>204</v>
      </c>
      <c r="G1505" s="37" t="str">
        <f t="shared" si="369"/>
        <v>delhivery</v>
      </c>
      <c r="H1505" s="46" t="s">
        <v>157</v>
      </c>
      <c r="I1505" s="37" t="str">
        <f t="shared" si="370"/>
        <v>surface</v>
      </c>
      <c r="J1505" s="46" t="s">
        <v>313</v>
      </c>
      <c r="K1505" s="37" t="str">
        <f t="shared" si="371"/>
        <v>automotiveparts</v>
      </c>
      <c r="L1505" s="46" t="s">
        <v>51</v>
      </c>
      <c r="M1505" s="37" t="str">
        <f t="shared" si="372"/>
        <v>south</v>
      </c>
      <c r="N1505" s="46" t="s">
        <v>327</v>
      </c>
      <c r="O1505" s="41" t="str">
        <f t="shared" si="373"/>
        <v>Yes</v>
      </c>
      <c r="P1505" s="49">
        <v>21.5</v>
      </c>
      <c r="Q1505" s="49" t="s">
        <v>4460</v>
      </c>
      <c r="R1505" s="42">
        <f t="shared" si="374"/>
        <v>20.8837209302326</v>
      </c>
      <c r="S1505" s="46">
        <v>4</v>
      </c>
      <c r="T1505" s="46" t="s">
        <v>1798</v>
      </c>
      <c r="U1505" s="43" t="str">
        <f t="shared" si="375"/>
        <v>17-may-2024</v>
      </c>
      <c r="V1505" s="43">
        <f t="shared" si="376"/>
        <v>45429</v>
      </c>
      <c r="W1505" s="44">
        <f t="array" ref="W1505">_xlfn.IFS(TRIM(C1505)="","",TRIM(V1505)="","",TRUE,V1505-C1505)</f>
        <v>4</v>
      </c>
      <c r="X1505" s="37">
        <f t="shared" si="377"/>
        <v>0</v>
      </c>
      <c r="Y1505" s="46" t="s">
        <v>163</v>
      </c>
      <c r="Z1505" s="37" t="str">
        <f t="shared" si="378"/>
        <v>delivered</v>
      </c>
      <c r="AA1505" s="37" t="str">
        <f t="shared" si="379"/>
        <v>On Time</v>
      </c>
      <c r="AB1505" s="37" t="str">
        <f t="shared" si="382"/>
        <v>0</v>
      </c>
      <c r="AC1505" s="37">
        <f t="shared" si="383"/>
        <v>0</v>
      </c>
      <c r="AD1505" s="45">
        <f t="shared" si="381"/>
        <v>0.572916666666667</v>
      </c>
      <c r="AE1505" s="46">
        <v>3</v>
      </c>
      <c r="AF1505" s="46" t="s">
        <v>118</v>
      </c>
      <c r="AG1505" s="37" t="str">
        <f t="shared" si="380"/>
        <v>no</v>
      </c>
      <c r="AH1505" s="37" t="str">
        <f t="array" ref="AH1505">_xlfn.IFS(LOWER(AG1505)="n","no",LOWER(AG1505)="y","yes",TRUE,LOWER(AG1505))</f>
        <v>no</v>
      </c>
      <c r="AI1505" s="46" t="s">
        <v>4692</v>
      </c>
    </row>
    <row r="1506" spans="1:35">
      <c r="A1506" s="37" t="s">
        <v>4461</v>
      </c>
      <c r="B1506" s="38">
        <v>45311</v>
      </c>
      <c r="C1506" s="39">
        <f t="shared" si="368"/>
        <v>45311</v>
      </c>
      <c r="D1506" s="40" t="s">
        <v>135</v>
      </c>
      <c r="E1506" s="37" t="str" cm="1">
        <f t="array" ref="E1506">_xlfn.IFS(D1506="delhi","north",D1506="mumbai","west",D1506="bengaluru","south",D1506="chennai","south",D1506="kolkata","east",TRUE,"west")</f>
        <v>west</v>
      </c>
      <c r="F1506" s="37" t="s">
        <v>367</v>
      </c>
      <c r="G1506" s="37" t="str">
        <f t="shared" si="369"/>
        <v>dtdc</v>
      </c>
      <c r="H1506" s="37" t="s">
        <v>42</v>
      </c>
      <c r="I1506" s="37" t="str">
        <f t="shared" si="370"/>
        <v>surface</v>
      </c>
      <c r="J1506" s="37" t="s">
        <v>47</v>
      </c>
      <c r="K1506" s="37" t="str">
        <f t="shared" si="371"/>
        <v>electronics</v>
      </c>
      <c r="L1506" s="37" t="s">
        <v>125</v>
      </c>
      <c r="M1506" s="37" t="str">
        <f t="shared" si="372"/>
        <v>east</v>
      </c>
      <c r="N1506" s="37" t="s">
        <v>91</v>
      </c>
      <c r="O1506" s="41" t="str">
        <f t="shared" si="373"/>
        <v>Yes</v>
      </c>
      <c r="P1506" s="41">
        <v>13</v>
      </c>
      <c r="Q1506" s="41" t="s">
        <v>4462</v>
      </c>
      <c r="R1506" s="42">
        <f t="shared" si="374"/>
        <v>33.1538461538462</v>
      </c>
      <c r="S1506" s="37">
        <v>6</v>
      </c>
      <c r="T1506" s="37" t="s">
        <v>221</v>
      </c>
      <c r="U1506" s="43" t="str">
        <f t="shared" si="375"/>
        <v>03-feb-2024</v>
      </c>
      <c r="V1506" s="43">
        <f t="shared" si="376"/>
        <v>45325</v>
      </c>
      <c r="W1506" s="44">
        <f t="array" ref="W1506">_xlfn.IFS(TRIM(C1506)="","",TRIM(V1506)="","",TRUE,V1506-C1506)</f>
        <v>14</v>
      </c>
      <c r="X1506" s="37">
        <f t="shared" si="377"/>
        <v>8</v>
      </c>
      <c r="Y1506" s="37" t="s">
        <v>200</v>
      </c>
      <c r="Z1506" s="37" t="str">
        <f t="shared" si="378"/>
        <v>delayed</v>
      </c>
      <c r="AA1506" s="37" t="str">
        <f t="shared" si="379"/>
        <v>Late</v>
      </c>
      <c r="AB1506" s="37" t="str">
        <f t="shared" si="382"/>
        <v>1</v>
      </c>
      <c r="AC1506" s="37">
        <f t="shared" si="383"/>
        <v>1</v>
      </c>
      <c r="AD1506" s="45">
        <f t="shared" si="381"/>
        <v>0.578947368421053</v>
      </c>
      <c r="AE1506" s="37">
        <v>1</v>
      </c>
      <c r="AF1506" s="37" t="s">
        <v>152</v>
      </c>
      <c r="AG1506" s="37" t="str">
        <f t="shared" si="380"/>
        <v>no</v>
      </c>
      <c r="AH1506" s="37" t="str">
        <f t="array" ref="AH1506">_xlfn.IFS(LOWER(AG1506)="n","no",LOWER(AG1506)="y","yes",TRUE,LOWER(AG1506))</f>
        <v>no</v>
      </c>
      <c r="AI1506" s="37" t="s">
        <v>4692</v>
      </c>
    </row>
    <row r="1507" spans="1:35">
      <c r="A1507" s="46" t="s">
        <v>4463</v>
      </c>
      <c r="B1507" s="47">
        <v>45375</v>
      </c>
      <c r="C1507" s="39">
        <f t="shared" si="368"/>
        <v>45375</v>
      </c>
      <c r="D1507" s="48" t="s">
        <v>166</v>
      </c>
      <c r="E1507" s="37" t="str" cm="1">
        <f t="array" ref="E1507">_xlfn.IFS(D1507="delhi","north",D1507="mumbai","west",D1507="bengaluru","south",D1507="chennai","south",D1507="kolkata","east",TRUE,"west")</f>
        <v>west</v>
      </c>
      <c r="F1507" s="46" t="s">
        <v>204</v>
      </c>
      <c r="G1507" s="37" t="str">
        <f t="shared" si="369"/>
        <v>delhivery</v>
      </c>
      <c r="H1507" s="46" t="s">
        <v>99</v>
      </c>
      <c r="I1507" s="37" t="str">
        <f t="shared" si="370"/>
        <v>air</v>
      </c>
      <c r="J1507" s="46" t="s">
        <v>301</v>
      </c>
      <c r="K1507" s="37" t="str">
        <f t="shared" si="371"/>
        <v>furniture</v>
      </c>
      <c r="L1507" s="46" t="s">
        <v>264</v>
      </c>
      <c r="M1507" s="37" t="str">
        <f t="shared" si="372"/>
        <v>west</v>
      </c>
      <c r="N1507" s="46" t="s">
        <v>206</v>
      </c>
      <c r="O1507" s="41" t="str">
        <f t="shared" si="373"/>
        <v>Yes</v>
      </c>
      <c r="P1507" s="49" t="s">
        <v>4464</v>
      </c>
      <c r="Q1507" s="49" t="s">
        <v>4465</v>
      </c>
      <c r="R1507" s="42">
        <f t="shared" si="374"/>
        <v>47.277397260274</v>
      </c>
      <c r="S1507" s="46">
        <v>4</v>
      </c>
      <c r="T1507" s="46" t="s">
        <v>1100</v>
      </c>
      <c r="U1507" s="43" t="str">
        <f t="shared" si="375"/>
        <v>29-mar-2024</v>
      </c>
      <c r="V1507" s="43">
        <f t="shared" si="376"/>
        <v>45380</v>
      </c>
      <c r="W1507" s="44">
        <f t="array" ref="W1507">_xlfn.IFS(TRIM(C1507)="","",TRIM(V1507)="","",TRUE,V1507-C1507)</f>
        <v>5</v>
      </c>
      <c r="X1507" s="37">
        <f t="shared" si="377"/>
        <v>1</v>
      </c>
      <c r="Y1507" s="46" t="s">
        <v>143</v>
      </c>
      <c r="Z1507" s="37" t="str">
        <f t="shared" si="378"/>
        <v>delayed</v>
      </c>
      <c r="AA1507" s="37" t="str">
        <f t="shared" si="379"/>
        <v>Late</v>
      </c>
      <c r="AB1507" s="37" t="str">
        <f t="shared" si="382"/>
        <v>1</v>
      </c>
      <c r="AC1507" s="37">
        <f t="shared" si="383"/>
        <v>1</v>
      </c>
      <c r="AD1507" s="45">
        <f t="shared" si="381"/>
        <v>0.574468085106383</v>
      </c>
      <c r="AE1507" s="46">
        <v>3</v>
      </c>
      <c r="AF1507" s="46" t="s">
        <v>131</v>
      </c>
      <c r="AG1507" s="37" t="str">
        <f t="shared" si="380"/>
        <v>n</v>
      </c>
      <c r="AH1507" s="37" t="str">
        <f t="array" ref="AH1507">_xlfn.IFS(LOWER(AG1507)="n","no",LOWER(AG1507)="y","yes",TRUE,LOWER(AG1507))</f>
        <v>no</v>
      </c>
      <c r="AI1507" s="46" t="s">
        <v>4692</v>
      </c>
    </row>
    <row r="1508" spans="1:35">
      <c r="A1508" s="46" t="s">
        <v>4466</v>
      </c>
      <c r="B1508" s="47">
        <v>45349</v>
      </c>
      <c r="C1508" s="39">
        <f t="shared" si="368"/>
        <v>45349</v>
      </c>
      <c r="D1508" s="48" t="s">
        <v>109</v>
      </c>
      <c r="E1508" s="37" t="str" cm="1">
        <f t="array" ref="E1508">_xlfn.IFS(D1508="delhi","north",D1508="mumbai","west",D1508="bengaluru","south",D1508="chennai","south",D1508="kolkata","east",TRUE,"west")</f>
        <v>west</v>
      </c>
      <c r="F1508" s="46" t="s">
        <v>146</v>
      </c>
      <c r="G1508" s="37" t="str">
        <f t="shared" si="369"/>
        <v>ecomexpress</v>
      </c>
      <c r="H1508" s="46" t="s">
        <v>157</v>
      </c>
      <c r="I1508" s="37" t="str">
        <f t="shared" si="370"/>
        <v>surface</v>
      </c>
      <c r="J1508" s="46" t="s">
        <v>612</v>
      </c>
      <c r="K1508" s="37" t="str">
        <f t="shared" si="371"/>
        <v>grocery&amp;fmcg</v>
      </c>
      <c r="L1508" s="46" t="s">
        <v>92</v>
      </c>
      <c r="M1508" s="37" t="str">
        <f t="shared" si="372"/>
        <v>east</v>
      </c>
      <c r="N1508" s="46" t="s">
        <v>294</v>
      </c>
      <c r="O1508" s="41" t="str">
        <f t="shared" si="373"/>
        <v>Yes</v>
      </c>
      <c r="P1508" s="49">
        <v>14.8</v>
      </c>
      <c r="Q1508" s="49" t="s">
        <v>1904</v>
      </c>
      <c r="R1508" s="42">
        <f t="shared" si="374"/>
        <v>34.527027027027</v>
      </c>
      <c r="S1508" s="46">
        <v>6</v>
      </c>
      <c r="T1508" s="46" t="s">
        <v>560</v>
      </c>
      <c r="U1508" s="43" t="str">
        <f t="shared" si="375"/>
        <v>05/03/2024</v>
      </c>
      <c r="V1508" s="43">
        <f t="shared" si="376"/>
        <v>45356</v>
      </c>
      <c r="W1508" s="44">
        <f t="array" ref="W1508">_xlfn.IFS(TRIM(C1508)="","",TRIM(V1508)="","",TRUE,V1508-C1508)</f>
        <v>7</v>
      </c>
      <c r="X1508" s="37">
        <f t="shared" si="377"/>
        <v>1</v>
      </c>
      <c r="Y1508" s="46" t="s">
        <v>200</v>
      </c>
      <c r="Z1508" s="37" t="str">
        <f t="shared" si="378"/>
        <v>delayed</v>
      </c>
      <c r="AA1508" s="37" t="str">
        <f t="shared" si="379"/>
        <v>Late</v>
      </c>
      <c r="AB1508" s="37" t="str">
        <f t="shared" si="382"/>
        <v>1</v>
      </c>
      <c r="AC1508" s="37">
        <f t="shared" si="383"/>
        <v>1</v>
      </c>
      <c r="AD1508" s="45">
        <f t="shared" si="381"/>
        <v>0.56989247311828</v>
      </c>
      <c r="AE1508" s="46">
        <v>2</v>
      </c>
      <c r="AF1508" s="46" t="s">
        <v>131</v>
      </c>
      <c r="AG1508" s="37" t="str">
        <f t="shared" si="380"/>
        <v>n</v>
      </c>
      <c r="AH1508" s="37" t="str">
        <f t="array" ref="AH1508">_xlfn.IFS(LOWER(AG1508)="n","no",LOWER(AG1508)="y","yes",TRUE,LOWER(AG1508))</f>
        <v>no</v>
      </c>
      <c r="AI1508" s="46" t="s">
        <v>4692</v>
      </c>
    </row>
    <row r="1509" spans="1:35">
      <c r="A1509" s="37" t="s">
        <v>4467</v>
      </c>
      <c r="B1509" s="38">
        <v>45437</v>
      </c>
      <c r="C1509" s="39">
        <f t="shared" si="368"/>
        <v>45437</v>
      </c>
      <c r="D1509" s="40" t="s">
        <v>212</v>
      </c>
      <c r="E1509" s="37" t="str" cm="1">
        <f t="array" ref="E1509">_xlfn.IFS(D1509="delhi","north",D1509="mumbai","west",D1509="bengaluru","south",D1509="chennai","south",D1509="kolkata","east",TRUE,"west")</f>
        <v>west</v>
      </c>
      <c r="F1509" s="37" t="s">
        <v>270</v>
      </c>
      <c r="G1509" s="37" t="str">
        <f t="shared" si="369"/>
        <v>ecomexpress</v>
      </c>
      <c r="H1509" s="37" t="s">
        <v>244</v>
      </c>
      <c r="I1509" s="37" t="str">
        <f t="shared" si="370"/>
        <v>air</v>
      </c>
      <c r="J1509" s="37" t="s">
        <v>177</v>
      </c>
      <c r="K1509" s="37" t="str">
        <f t="shared" si="371"/>
        <v>pharma</v>
      </c>
      <c r="L1509" s="37" t="s">
        <v>470</v>
      </c>
      <c r="M1509" s="37" t="str">
        <f t="shared" si="372"/>
        <v>east</v>
      </c>
      <c r="N1509" s="37" t="s">
        <v>91</v>
      </c>
      <c r="O1509" s="41" t="str">
        <f t="shared" si="373"/>
        <v>Yes</v>
      </c>
      <c r="P1509" s="41" t="s">
        <v>1518</v>
      </c>
      <c r="Q1509" s="41">
        <v>321</v>
      </c>
      <c r="R1509" s="42">
        <f t="shared" si="374"/>
        <v>114.642857142857</v>
      </c>
      <c r="S1509" s="37">
        <v>4</v>
      </c>
      <c r="T1509" s="37" t="s">
        <v>1828</v>
      </c>
      <c r="U1509" s="43" t="str">
        <f t="shared" si="375"/>
        <v>28-may-2024</v>
      </c>
      <c r="V1509" s="43">
        <f t="shared" si="376"/>
        <v>45440</v>
      </c>
      <c r="W1509" s="44">
        <f t="array" ref="W1509">_xlfn.IFS(TRIM(C1509)="","",TRIM(V1509)="","",TRUE,V1509-C1509)</f>
        <v>3</v>
      </c>
      <c r="X1509" s="37">
        <f t="shared" si="377"/>
        <v>-1</v>
      </c>
      <c r="Y1509" s="37" t="s">
        <v>219</v>
      </c>
      <c r="Z1509" s="37" t="str">
        <f t="shared" si="378"/>
        <v>delivered</v>
      </c>
      <c r="AA1509" s="37" t="str">
        <f t="shared" si="379"/>
        <v>On Time</v>
      </c>
      <c r="AB1509" s="37" t="str">
        <f t="shared" si="382"/>
        <v>0</v>
      </c>
      <c r="AC1509" s="37">
        <f t="shared" si="383"/>
        <v>0</v>
      </c>
      <c r="AD1509" s="45">
        <f t="shared" si="381"/>
        <v>0.565217391304348</v>
      </c>
      <c r="AE1509" s="37">
        <v>4</v>
      </c>
      <c r="AF1509" s="37" t="s">
        <v>152</v>
      </c>
      <c r="AG1509" s="37" t="str">
        <f t="shared" si="380"/>
        <v>no</v>
      </c>
      <c r="AH1509" s="37" t="str">
        <f t="array" ref="AH1509">_xlfn.IFS(LOWER(AG1509)="n","no",LOWER(AG1509)="y","yes",TRUE,LOWER(AG1509))</f>
        <v>no</v>
      </c>
      <c r="AI1509" s="37" t="s">
        <v>4692</v>
      </c>
    </row>
    <row r="1510" spans="1:35">
      <c r="A1510" s="46" t="s">
        <v>4468</v>
      </c>
      <c r="B1510" s="47">
        <v>45426</v>
      </c>
      <c r="C1510" s="39">
        <f t="shared" si="368"/>
        <v>45426</v>
      </c>
      <c r="D1510" s="48" t="s">
        <v>109</v>
      </c>
      <c r="E1510" s="37" t="str" cm="1">
        <f t="array" ref="E1510">_xlfn.IFS(D1510="delhi","north",D1510="mumbai","west",D1510="bengaluru","south",D1510="chennai","south",D1510="kolkata","east",TRUE,"west")</f>
        <v>west</v>
      </c>
      <c r="F1510" s="46" t="s">
        <v>184</v>
      </c>
      <c r="G1510" s="37" t="str">
        <f t="shared" si="369"/>
        <v>ecomexpress</v>
      </c>
      <c r="H1510" s="46" t="s">
        <v>99</v>
      </c>
      <c r="I1510" s="37" t="str">
        <f t="shared" si="370"/>
        <v>air</v>
      </c>
      <c r="J1510" s="46" t="s">
        <v>612</v>
      </c>
      <c r="K1510" s="37" t="str">
        <f t="shared" si="371"/>
        <v>grocery&amp;fmcg</v>
      </c>
      <c r="L1510" s="46" t="s">
        <v>418</v>
      </c>
      <c r="M1510" s="37" t="str">
        <f t="shared" si="372"/>
        <v>south</v>
      </c>
      <c r="N1510" s="46" t="s">
        <v>327</v>
      </c>
      <c r="O1510" s="41" t="str">
        <f t="shared" si="373"/>
        <v>Yes</v>
      </c>
      <c r="P1510" s="49">
        <v>14.6</v>
      </c>
      <c r="Q1510" s="49" t="s">
        <v>4469</v>
      </c>
      <c r="R1510" s="42">
        <f t="shared" si="374"/>
        <v>59.1095890410959</v>
      </c>
      <c r="S1510" s="46">
        <v>4</v>
      </c>
      <c r="T1510" s="46" t="s">
        <v>3228</v>
      </c>
      <c r="U1510" s="43" t="str">
        <f t="shared" si="375"/>
        <v>18/05/2024</v>
      </c>
      <c r="V1510" s="43">
        <f t="shared" si="376"/>
        <v>45430</v>
      </c>
      <c r="W1510" s="44">
        <f t="array" ref="W1510">_xlfn.IFS(TRIM(C1510)="","",TRIM(V1510)="","",TRUE,V1510-C1510)</f>
        <v>4</v>
      </c>
      <c r="X1510" s="37">
        <f t="shared" si="377"/>
        <v>0</v>
      </c>
      <c r="Y1510" s="46" t="s">
        <v>117</v>
      </c>
      <c r="Z1510" s="37" t="str">
        <f t="shared" si="378"/>
        <v>delivered</v>
      </c>
      <c r="AA1510" s="37" t="str">
        <f t="shared" si="379"/>
        <v>On Time</v>
      </c>
      <c r="AB1510" s="37" t="str">
        <f t="shared" si="382"/>
        <v>0</v>
      </c>
      <c r="AC1510" s="37">
        <f t="shared" si="383"/>
        <v>0</v>
      </c>
      <c r="AD1510" s="45">
        <f t="shared" si="381"/>
        <v>0.571428571428571</v>
      </c>
      <c r="AE1510" s="46">
        <v>4</v>
      </c>
      <c r="AF1510" s="46" t="s">
        <v>131</v>
      </c>
      <c r="AG1510" s="37" t="str">
        <f t="shared" si="380"/>
        <v>n</v>
      </c>
      <c r="AH1510" s="37" t="str">
        <f t="array" ref="AH1510">_xlfn.IFS(LOWER(AG1510)="n","no",LOWER(AG1510)="y","yes",TRUE,LOWER(AG1510))</f>
        <v>no</v>
      </c>
      <c r="AI1510" s="46" t="s">
        <v>4692</v>
      </c>
    </row>
    <row r="1511" spans="1:35">
      <c r="A1511" s="37" t="s">
        <v>4470</v>
      </c>
      <c r="B1511" s="38">
        <v>45356</v>
      </c>
      <c r="C1511" s="39">
        <f t="shared" si="368"/>
        <v>45356</v>
      </c>
      <c r="D1511" s="40" t="s">
        <v>109</v>
      </c>
      <c r="E1511" s="37" t="str" cm="1">
        <f t="array" ref="E1511">_xlfn.IFS(D1511="delhi","north",D1511="mumbai","west",D1511="bengaluru","south",D1511="chennai","south",D1511="kolkata","east",TRUE,"west")</f>
        <v>west</v>
      </c>
      <c r="F1511" s="37" t="s">
        <v>544</v>
      </c>
      <c r="G1511" s="37" t="str">
        <f t="shared" si="369"/>
        <v>bluedart</v>
      </c>
      <c r="H1511" s="37" t="s">
        <v>224</v>
      </c>
      <c r="I1511" s="37" t="str">
        <f t="shared" si="370"/>
        <v>air</v>
      </c>
      <c r="J1511" s="37" t="s">
        <v>1145</v>
      </c>
      <c r="K1511" s="37" t="str">
        <f t="shared" si="371"/>
        <v>grocery&amp;fmcg</v>
      </c>
      <c r="L1511" s="37" t="s">
        <v>418</v>
      </c>
      <c r="M1511" s="37" t="str">
        <f t="shared" si="372"/>
        <v>south</v>
      </c>
      <c r="N1511" s="37" t="s">
        <v>90</v>
      </c>
      <c r="O1511" s="41" t="str">
        <f t="shared" si="373"/>
        <v>Yes</v>
      </c>
      <c r="P1511" s="41">
        <v>17.6</v>
      </c>
      <c r="Q1511" s="41" t="s">
        <v>4472</v>
      </c>
      <c r="R1511" s="42">
        <f t="shared" si="374"/>
        <v>55.1136363636364</v>
      </c>
      <c r="S1511" s="37">
        <v>4</v>
      </c>
      <c r="T1511" s="37" t="s">
        <v>658</v>
      </c>
      <c r="U1511" s="43" t="str">
        <f t="shared" si="375"/>
        <v>13/03/2024</v>
      </c>
      <c r="V1511" s="43">
        <f t="shared" si="376"/>
        <v>45364</v>
      </c>
      <c r="W1511" s="44">
        <f t="array" ref="W1511">_xlfn.IFS(TRIM(C1511)="","",TRIM(V1511)="","",TRUE,V1511-C1511)</f>
        <v>8</v>
      </c>
      <c r="X1511" s="37">
        <f t="shared" si="377"/>
        <v>4</v>
      </c>
      <c r="Y1511" s="37" t="s">
        <v>72</v>
      </c>
      <c r="Z1511" s="37" t="str">
        <f t="shared" si="378"/>
        <v>delayed</v>
      </c>
      <c r="AA1511" s="37" t="str">
        <f t="shared" si="379"/>
        <v>Late</v>
      </c>
      <c r="AB1511" s="37" t="str">
        <f t="shared" si="382"/>
        <v>1</v>
      </c>
      <c r="AC1511" s="37">
        <f t="shared" si="383"/>
        <v>1</v>
      </c>
      <c r="AD1511" s="45">
        <f t="shared" si="381"/>
        <v>0.577777777777778</v>
      </c>
      <c r="AE1511" s="37">
        <v>3</v>
      </c>
      <c r="AF1511" s="37" t="s">
        <v>79</v>
      </c>
      <c r="AG1511" s="37" t="str">
        <f t="shared" si="380"/>
        <v>yes</v>
      </c>
      <c r="AH1511" s="37" t="str">
        <f t="array" ref="AH1511">_xlfn.IFS(LOWER(AG1511)="n","no",LOWER(AG1511)="y","yes",TRUE,LOWER(AG1511))</f>
        <v>yes</v>
      </c>
      <c r="AI1511" s="37" t="s">
        <v>4692</v>
      </c>
    </row>
    <row r="1512" spans="1:35">
      <c r="A1512" s="46" t="s">
        <v>4473</v>
      </c>
      <c r="B1512" s="47">
        <v>45444</v>
      </c>
      <c r="C1512" s="39">
        <f t="shared" si="368"/>
        <v>45444</v>
      </c>
      <c r="D1512" s="48" t="s">
        <v>243</v>
      </c>
      <c r="E1512" s="37" t="str" cm="1">
        <f t="array" ref="E1512">_xlfn.IFS(D1512="delhi","north",D1512="mumbai","west",D1512="bengaluru","south",D1512="chennai","south",D1512="kolkata","east",TRUE,"west")</f>
        <v>west</v>
      </c>
      <c r="F1512" s="46" t="s">
        <v>184</v>
      </c>
      <c r="G1512" s="37" t="str">
        <f t="shared" si="369"/>
        <v>ecomexpress</v>
      </c>
      <c r="H1512" s="46" t="s">
        <v>99</v>
      </c>
      <c r="I1512" s="37" t="str">
        <f t="shared" si="370"/>
        <v>air</v>
      </c>
      <c r="J1512" s="46" t="s">
        <v>138</v>
      </c>
      <c r="K1512" s="37" t="str">
        <f t="shared" si="371"/>
        <v>apparel</v>
      </c>
      <c r="L1512" s="46" t="s">
        <v>89</v>
      </c>
      <c r="M1512" s="37" t="str">
        <f t="shared" si="372"/>
        <v>west</v>
      </c>
      <c r="N1512" s="46" t="s">
        <v>278</v>
      </c>
      <c r="O1512" s="41" t="str">
        <f t="shared" si="373"/>
        <v>Yes</v>
      </c>
      <c r="P1512" s="49">
        <v>1.2</v>
      </c>
      <c r="Q1512" s="49">
        <v>229</v>
      </c>
      <c r="R1512" s="42">
        <f t="shared" si="374"/>
        <v>190.833333333333</v>
      </c>
      <c r="S1512" s="46">
        <v>4</v>
      </c>
      <c r="T1512" s="46" t="s">
        <v>3470</v>
      </c>
      <c r="U1512" s="43" t="str">
        <f t="shared" si="375"/>
        <v>06/06/2024</v>
      </c>
      <c r="V1512" s="43">
        <f t="shared" si="376"/>
        <v>45449</v>
      </c>
      <c r="W1512" s="44">
        <f t="array" ref="W1512">_xlfn.IFS(TRIM(C1512)="","",TRIM(V1512)="","",TRUE,V1512-C1512)</f>
        <v>5</v>
      </c>
      <c r="X1512" s="37">
        <f t="shared" si="377"/>
        <v>1</v>
      </c>
      <c r="Y1512" s="46" t="s">
        <v>143</v>
      </c>
      <c r="Z1512" s="37" t="str">
        <f t="shared" si="378"/>
        <v>delayed</v>
      </c>
      <c r="AA1512" s="37" t="str">
        <f t="shared" si="379"/>
        <v>Late</v>
      </c>
      <c r="AB1512" s="37" t="str">
        <f t="shared" si="382"/>
        <v>1</v>
      </c>
      <c r="AC1512" s="37">
        <f t="shared" si="383"/>
        <v>1</v>
      </c>
      <c r="AD1512" s="45">
        <f t="shared" si="381"/>
        <v>0.573033707865168</v>
      </c>
      <c r="AE1512" s="46">
        <v>4</v>
      </c>
      <c r="AF1512" s="46" t="s">
        <v>106</v>
      </c>
      <c r="AG1512" s="37" t="str">
        <f t="shared" si="380"/>
        <v>yes</v>
      </c>
      <c r="AH1512" s="37" t="str">
        <f t="array" ref="AH1512">_xlfn.IFS(LOWER(AG1512)="n","no",LOWER(AG1512)="y","yes",TRUE,LOWER(AG1512))</f>
        <v>yes</v>
      </c>
      <c r="AI1512" s="46" t="s">
        <v>4692</v>
      </c>
    </row>
    <row r="1513" spans="1:35">
      <c r="A1513" s="37" t="s">
        <v>4475</v>
      </c>
      <c r="B1513" s="38" t="s">
        <v>4857</v>
      </c>
      <c r="C1513" s="39">
        <f t="shared" si="368"/>
        <v>45437</v>
      </c>
      <c r="D1513" s="40" t="s">
        <v>135</v>
      </c>
      <c r="E1513" s="37" t="str" cm="1">
        <f t="array" ref="E1513">_xlfn.IFS(D1513="delhi","north",D1513="mumbai","west",D1513="bengaluru","south",D1513="chennai","south",D1513="kolkata","east",TRUE,"west")</f>
        <v>west</v>
      </c>
      <c r="F1513" s="37" t="s">
        <v>333</v>
      </c>
      <c r="G1513" s="37" t="str">
        <f t="shared" si="369"/>
        <v>delhivery</v>
      </c>
      <c r="H1513" s="37" t="s">
        <v>157</v>
      </c>
      <c r="I1513" s="37" t="str">
        <f t="shared" si="370"/>
        <v>surface</v>
      </c>
      <c r="J1513" s="37" t="s">
        <v>177</v>
      </c>
      <c r="K1513" s="37" t="str">
        <f t="shared" si="371"/>
        <v>pharma</v>
      </c>
      <c r="L1513" s="37" t="s">
        <v>264</v>
      </c>
      <c r="M1513" s="37" t="str">
        <f t="shared" si="372"/>
        <v>west</v>
      </c>
      <c r="N1513" s="37" t="s">
        <v>206</v>
      </c>
      <c r="O1513" s="41" t="str">
        <f t="shared" si="373"/>
        <v>Yes</v>
      </c>
      <c r="P1513" s="41">
        <v>1.4</v>
      </c>
      <c r="Q1513" s="41" t="s">
        <v>432</v>
      </c>
      <c r="R1513" s="42">
        <f t="shared" si="374"/>
        <v>57.1428571428571</v>
      </c>
      <c r="S1513" s="37">
        <v>4</v>
      </c>
      <c r="T1513" s="37" t="s">
        <v>2322</v>
      </c>
      <c r="U1513" s="43" t="str">
        <f t="shared" si="375"/>
        <v>30/05/2024</v>
      </c>
      <c r="V1513" s="43">
        <f t="shared" si="376"/>
        <v>45442</v>
      </c>
      <c r="W1513" s="44">
        <f t="array" ref="W1513">_xlfn.IFS(TRIM(C1513)="","",TRIM(V1513)="","",TRUE,V1513-C1513)</f>
        <v>5</v>
      </c>
      <c r="X1513" s="37">
        <f t="shared" si="377"/>
        <v>1</v>
      </c>
      <c r="Y1513" s="37" t="s">
        <v>72</v>
      </c>
      <c r="Z1513" s="37" t="str">
        <f t="shared" si="378"/>
        <v>delayed</v>
      </c>
      <c r="AA1513" s="37" t="str">
        <f t="shared" si="379"/>
        <v>Late</v>
      </c>
      <c r="AB1513" s="37" t="str">
        <f t="shared" si="382"/>
        <v>1</v>
      </c>
      <c r="AC1513" s="37">
        <f t="shared" si="383"/>
        <v>1</v>
      </c>
      <c r="AD1513" s="45">
        <f t="shared" si="381"/>
        <v>0.568181818181818</v>
      </c>
      <c r="AE1513" s="37">
        <v>1</v>
      </c>
      <c r="AF1513" s="37" t="s">
        <v>131</v>
      </c>
      <c r="AG1513" s="37" t="str">
        <f t="shared" si="380"/>
        <v>n</v>
      </c>
      <c r="AH1513" s="37" t="str">
        <f t="array" ref="AH1513">_xlfn.IFS(LOWER(AG1513)="n","no",LOWER(AG1513)="y","yes",TRUE,LOWER(AG1513))</f>
        <v>no</v>
      </c>
      <c r="AI1513" s="37" t="s">
        <v>4692</v>
      </c>
    </row>
    <row r="1514" spans="1:35">
      <c r="A1514" s="46" t="s">
        <v>4476</v>
      </c>
      <c r="B1514" s="47" t="s">
        <v>4857</v>
      </c>
      <c r="C1514" s="39">
        <f t="shared" si="368"/>
        <v>45437</v>
      </c>
      <c r="D1514" s="48" t="s">
        <v>424</v>
      </c>
      <c r="E1514" s="37" t="str" cm="1">
        <f t="array" ref="E1514">_xlfn.IFS(D1514="delhi","north",D1514="mumbai","west",D1514="bengaluru","south",D1514="chennai","south",D1514="kolkata","east",TRUE,"west")</f>
        <v>south</v>
      </c>
      <c r="F1514" s="46" t="s">
        <v>367</v>
      </c>
      <c r="G1514" s="37" t="str">
        <f t="shared" si="369"/>
        <v>dtdc</v>
      </c>
      <c r="H1514" s="46" t="s">
        <v>325</v>
      </c>
      <c r="I1514" s="37" t="str">
        <f t="shared" si="370"/>
        <v>air</v>
      </c>
      <c r="J1514" s="46" t="s">
        <v>368</v>
      </c>
      <c r="K1514" s="37" t="str">
        <f t="shared" si="371"/>
        <v>furniture</v>
      </c>
      <c r="L1514" s="46" t="s">
        <v>92</v>
      </c>
      <c r="M1514" s="37" t="str">
        <f t="shared" si="372"/>
        <v>east</v>
      </c>
      <c r="N1514" s="46" t="s">
        <v>294</v>
      </c>
      <c r="O1514" s="41" t="str">
        <f t="shared" si="373"/>
        <v>Yes</v>
      </c>
      <c r="P1514" s="49">
        <v>69.6</v>
      </c>
      <c r="Q1514" s="49" t="s">
        <v>4478</v>
      </c>
      <c r="R1514" s="42">
        <f t="shared" si="374"/>
        <v>47.1695402298851</v>
      </c>
      <c r="S1514" s="46">
        <v>4</v>
      </c>
      <c r="T1514" s="46" t="s">
        <v>1952</v>
      </c>
      <c r="U1514" s="43" t="str">
        <f t="shared" si="375"/>
        <v>30/05/2024</v>
      </c>
      <c r="V1514" s="43">
        <f t="shared" si="376"/>
        <v>45442</v>
      </c>
      <c r="W1514" s="44">
        <f t="array" ref="W1514">_xlfn.IFS(TRIM(C1514)="","",TRIM(V1514)="","",TRUE,V1514-C1514)</f>
        <v>5</v>
      </c>
      <c r="X1514" s="37">
        <f t="shared" si="377"/>
        <v>1</v>
      </c>
      <c r="Y1514" s="46" t="s">
        <v>200</v>
      </c>
      <c r="Z1514" s="37" t="str">
        <f t="shared" si="378"/>
        <v>delayed</v>
      </c>
      <c r="AA1514" s="37" t="str">
        <f t="shared" si="379"/>
        <v>Late</v>
      </c>
      <c r="AB1514" s="37" t="str">
        <f t="shared" si="382"/>
        <v>1</v>
      </c>
      <c r="AC1514" s="37">
        <f t="shared" si="383"/>
        <v>1</v>
      </c>
      <c r="AD1514" s="45">
        <f t="shared" si="381"/>
        <v>0.563218390804598</v>
      </c>
      <c r="AE1514" s="46">
        <v>3</v>
      </c>
      <c r="AF1514" s="46" t="s">
        <v>152</v>
      </c>
      <c r="AG1514" s="37" t="str">
        <f t="shared" si="380"/>
        <v>no</v>
      </c>
      <c r="AH1514" s="37" t="str">
        <f t="array" ref="AH1514">_xlfn.IFS(LOWER(AG1514)="n","no",LOWER(AG1514)="y","yes",TRUE,LOWER(AG1514))</f>
        <v>no</v>
      </c>
      <c r="AI1514" s="46" t="s">
        <v>4692</v>
      </c>
    </row>
    <row r="1515" spans="1:35">
      <c r="A1515" s="37" t="s">
        <v>4479</v>
      </c>
      <c r="B1515" s="38">
        <v>45355</v>
      </c>
      <c r="C1515" s="39">
        <f t="shared" si="368"/>
        <v>45355</v>
      </c>
      <c r="D1515" s="40" t="s">
        <v>4712</v>
      </c>
      <c r="E1515" s="37" t="str" cm="1">
        <f t="array" ref="E1515">_xlfn.IFS(D1515="delhi","north",D1515="mumbai","west",D1515="bengaluru","south",D1515="chennai","south",D1515="kolkata","east",TRUE,"west")</f>
        <v>west</v>
      </c>
      <c r="F1515" s="37" t="s">
        <v>312</v>
      </c>
      <c r="G1515" s="37" t="str">
        <f t="shared" si="369"/>
        <v>bluedart</v>
      </c>
      <c r="H1515" s="37" t="s">
        <v>185</v>
      </c>
      <c r="I1515" s="37" t="str">
        <f t="shared" si="370"/>
        <v>surface</v>
      </c>
      <c r="J1515" s="37" t="s">
        <v>205</v>
      </c>
      <c r="K1515" s="37" t="str">
        <f t="shared" si="371"/>
        <v>furniture</v>
      </c>
      <c r="L1515" s="37" t="s">
        <v>346</v>
      </c>
      <c r="M1515" s="37" t="str">
        <f t="shared" si="372"/>
        <v>north</v>
      </c>
      <c r="N1515" s="37" t="s">
        <v>354</v>
      </c>
      <c r="O1515" s="41" t="str">
        <f t="shared" si="373"/>
        <v>Yes</v>
      </c>
      <c r="P1515" s="41">
        <v>47.3</v>
      </c>
      <c r="Q1515" s="41" t="s">
        <v>4481</v>
      </c>
      <c r="R1515" s="42">
        <f t="shared" si="374"/>
        <v>25.2431289640592</v>
      </c>
      <c r="S1515" s="37">
        <v>6</v>
      </c>
      <c r="T1515" s="37" t="s">
        <v>3105</v>
      </c>
      <c r="U1515" s="43" t="str">
        <f t="shared" si="375"/>
        <v>2024-03-11</v>
      </c>
      <c r="V1515" s="43">
        <f t="shared" si="376"/>
        <v>45362</v>
      </c>
      <c r="W1515" s="44">
        <f t="array" ref="W1515">_xlfn.IFS(TRIM(C1515)="","",TRIM(V1515)="","",TRUE,V1515-C1515)</f>
        <v>7</v>
      </c>
      <c r="X1515" s="37">
        <f t="shared" si="377"/>
        <v>1</v>
      </c>
      <c r="Y1515" s="37" t="s">
        <v>200</v>
      </c>
      <c r="Z1515" s="37" t="str">
        <f t="shared" si="378"/>
        <v>delayed</v>
      </c>
      <c r="AA1515" s="37" t="str">
        <f t="shared" si="379"/>
        <v>Late</v>
      </c>
      <c r="AB1515" s="37" t="str">
        <f t="shared" si="382"/>
        <v>1</v>
      </c>
      <c r="AC1515" s="37">
        <f t="shared" si="383"/>
        <v>1</v>
      </c>
      <c r="AD1515" s="45">
        <f t="shared" si="381"/>
        <v>0.558139534883721</v>
      </c>
      <c r="AE1515" s="37">
        <v>1</v>
      </c>
      <c r="AF1515" s="37" t="s">
        <v>152</v>
      </c>
      <c r="AG1515" s="37" t="str">
        <f t="shared" si="380"/>
        <v>no</v>
      </c>
      <c r="AH1515" s="37" t="str">
        <f t="array" ref="AH1515">_xlfn.IFS(LOWER(AG1515)="n","no",LOWER(AG1515)="y","yes",TRUE,LOWER(AG1515))</f>
        <v>no</v>
      </c>
      <c r="AI1515" s="37" t="s">
        <v>4692</v>
      </c>
    </row>
    <row r="1516" spans="1:35">
      <c r="A1516" s="46" t="s">
        <v>4482</v>
      </c>
      <c r="B1516" s="47">
        <v>45421</v>
      </c>
      <c r="C1516" s="39">
        <f t="shared" si="368"/>
        <v>45421</v>
      </c>
      <c r="D1516" s="48" t="s">
        <v>366</v>
      </c>
      <c r="E1516" s="37" t="str" cm="1">
        <f t="array" ref="E1516">_xlfn.IFS(D1516="delhi","north",D1516="mumbai","west",D1516="bengaluru","south",D1516="chennai","south",D1516="kolkata","east",TRUE,"west")</f>
        <v>east</v>
      </c>
      <c r="F1516" s="46" t="s">
        <v>146</v>
      </c>
      <c r="G1516" s="37" t="str">
        <f t="shared" si="369"/>
        <v>ecomexpress</v>
      </c>
      <c r="H1516" s="46" t="s">
        <v>440</v>
      </c>
      <c r="I1516" s="37" t="str">
        <f t="shared" si="370"/>
        <v>road</v>
      </c>
      <c r="J1516" s="46" t="s">
        <v>452</v>
      </c>
      <c r="K1516" s="37" t="str">
        <f t="shared" si="371"/>
        <v>apparel</v>
      </c>
      <c r="L1516" s="46" t="s">
        <v>92</v>
      </c>
      <c r="M1516" s="37" t="str">
        <f t="shared" si="372"/>
        <v>east</v>
      </c>
      <c r="N1516" s="46" t="s">
        <v>126</v>
      </c>
      <c r="O1516" s="41" t="str">
        <f t="shared" si="373"/>
        <v>Yes</v>
      </c>
      <c r="P1516" s="49" t="s">
        <v>598</v>
      </c>
      <c r="Q1516" s="49">
        <v>155</v>
      </c>
      <c r="R1516" s="42">
        <f t="shared" si="374"/>
        <v>19.8717948717949</v>
      </c>
      <c r="S1516" s="46">
        <v>6</v>
      </c>
      <c r="T1516" s="46" t="s">
        <v>3141</v>
      </c>
      <c r="U1516" s="43" t="str">
        <f t="shared" si="375"/>
        <v>16-may-2024</v>
      </c>
      <c r="V1516" s="43">
        <f t="shared" si="376"/>
        <v>45428</v>
      </c>
      <c r="W1516" s="44">
        <f t="array" ref="W1516">_xlfn.IFS(TRIM(C1516)="","",TRIM(V1516)="","",TRUE,V1516-C1516)</f>
        <v>7</v>
      </c>
      <c r="X1516" s="37">
        <f t="shared" si="377"/>
        <v>1</v>
      </c>
      <c r="Y1516" s="46" t="s">
        <v>143</v>
      </c>
      <c r="Z1516" s="37" t="str">
        <f t="shared" si="378"/>
        <v>delayed</v>
      </c>
      <c r="AA1516" s="37" t="str">
        <f t="shared" si="379"/>
        <v>Late</v>
      </c>
      <c r="AB1516" s="37" t="str">
        <f t="shared" si="382"/>
        <v>1</v>
      </c>
      <c r="AC1516" s="37">
        <f t="shared" si="383"/>
        <v>1</v>
      </c>
      <c r="AD1516" s="45">
        <f t="shared" si="381"/>
        <v>0.552941176470588</v>
      </c>
      <c r="AE1516" s="46">
        <v>4</v>
      </c>
      <c r="AF1516" s="46" t="s">
        <v>131</v>
      </c>
      <c r="AG1516" s="37" t="str">
        <f t="shared" si="380"/>
        <v>n</v>
      </c>
      <c r="AH1516" s="37" t="str">
        <f t="array" ref="AH1516">_xlfn.IFS(LOWER(AG1516)="n","no",LOWER(AG1516)="y","yes",TRUE,LOWER(AG1516))</f>
        <v>no</v>
      </c>
      <c r="AI1516" s="46" t="s">
        <v>4692</v>
      </c>
    </row>
    <row r="1517" spans="1:35">
      <c r="A1517" s="37" t="s">
        <v>4483</v>
      </c>
      <c r="B1517" s="38">
        <v>45325</v>
      </c>
      <c r="C1517" s="39">
        <f t="shared" si="368"/>
        <v>45325</v>
      </c>
      <c r="D1517" s="40" t="s">
        <v>340</v>
      </c>
      <c r="E1517" s="37" t="str" cm="1">
        <f t="array" ref="E1517">_xlfn.IFS(D1517="delhi","north",D1517="mumbai","west",D1517="bengaluru","south",D1517="chennai","south",D1517="kolkata","east",TRUE,"west")</f>
        <v>north</v>
      </c>
      <c r="F1517" s="37" t="s">
        <v>194</v>
      </c>
      <c r="G1517" s="37" t="str">
        <f t="shared" si="369"/>
        <v>xpressbees</v>
      </c>
      <c r="H1517" s="37" t="s">
        <v>42</v>
      </c>
      <c r="I1517" s="37" t="str">
        <f t="shared" si="370"/>
        <v>surface</v>
      </c>
      <c r="J1517" s="37" t="s">
        <v>111</v>
      </c>
      <c r="K1517" s="37" t="str">
        <f t="shared" si="371"/>
        <v>grocery&amp;fmcg</v>
      </c>
      <c r="L1517" s="37" t="s">
        <v>264</v>
      </c>
      <c r="M1517" s="37" t="str">
        <f t="shared" si="372"/>
        <v>west</v>
      </c>
      <c r="N1517" s="37" t="s">
        <v>88</v>
      </c>
      <c r="O1517" s="41" t="str">
        <f t="shared" si="373"/>
        <v>Yes</v>
      </c>
      <c r="P1517" s="41" t="s">
        <v>4484</v>
      </c>
      <c r="Q1517" s="41">
        <v>405</v>
      </c>
      <c r="R1517" s="42">
        <f t="shared" si="374"/>
        <v>38.9423076923077</v>
      </c>
      <c r="S1517" s="37">
        <v>6</v>
      </c>
      <c r="T1517" s="37" t="s">
        <v>2670</v>
      </c>
      <c r="U1517" s="43" t="str">
        <f t="shared" si="375"/>
        <v>08/02/2024</v>
      </c>
      <c r="V1517" s="43">
        <f t="shared" si="376"/>
        <v>45330</v>
      </c>
      <c r="W1517" s="44">
        <f t="array" ref="W1517">_xlfn.IFS(TRIM(C1517)="","",TRIM(V1517)="","",TRUE,V1517-C1517)</f>
        <v>5</v>
      </c>
      <c r="X1517" s="37">
        <f t="shared" si="377"/>
        <v>-1</v>
      </c>
      <c r="Y1517" s="37" t="s">
        <v>105</v>
      </c>
      <c r="Z1517" s="37" t="str">
        <f t="shared" si="378"/>
        <v>delivered</v>
      </c>
      <c r="AA1517" s="37" t="str">
        <f t="shared" si="379"/>
        <v>On Time</v>
      </c>
      <c r="AB1517" s="37" t="str">
        <f t="shared" si="382"/>
        <v>0</v>
      </c>
      <c r="AC1517" s="37">
        <f t="shared" si="383"/>
        <v>0</v>
      </c>
      <c r="AD1517" s="45">
        <f t="shared" si="381"/>
        <v>0.547619047619048</v>
      </c>
      <c r="AE1517" s="37">
        <v>4</v>
      </c>
      <c r="AF1517" s="37" t="s">
        <v>286</v>
      </c>
      <c r="AG1517" s="37" t="str">
        <f t="shared" si="380"/>
        <v>yes</v>
      </c>
      <c r="AH1517" s="37" t="str">
        <f t="array" ref="AH1517">_xlfn.IFS(LOWER(AG1517)="n","no",LOWER(AG1517)="y","yes",TRUE,LOWER(AG1517))</f>
        <v>yes</v>
      </c>
      <c r="AI1517" s="37" t="s">
        <v>4692</v>
      </c>
    </row>
    <row r="1518" spans="1:35">
      <c r="A1518" s="46" t="s">
        <v>4485</v>
      </c>
      <c r="B1518" s="47" t="s">
        <v>4776</v>
      </c>
      <c r="C1518" s="39">
        <f t="shared" si="368"/>
        <v>45384</v>
      </c>
      <c r="D1518" s="48" t="s">
        <v>109</v>
      </c>
      <c r="E1518" s="37" t="str" cm="1">
        <f t="array" ref="E1518">_xlfn.IFS(D1518="delhi","north",D1518="mumbai","west",D1518="bengaluru","south",D1518="chennai","south",D1518="kolkata","east",TRUE,"west")</f>
        <v>west</v>
      </c>
      <c r="F1518" s="46" t="s">
        <v>122</v>
      </c>
      <c r="G1518" s="37" t="str">
        <f t="shared" si="369"/>
        <v>delhivery</v>
      </c>
      <c r="H1518" s="46" t="s">
        <v>325</v>
      </c>
      <c r="I1518" s="37" t="str">
        <f t="shared" si="370"/>
        <v>air</v>
      </c>
      <c r="J1518" s="46" t="s">
        <v>158</v>
      </c>
      <c r="K1518" s="37" t="str">
        <f t="shared" si="371"/>
        <v>pharma</v>
      </c>
      <c r="L1518" s="46" t="s">
        <v>302</v>
      </c>
      <c r="M1518" s="37" t="str">
        <f t="shared" si="372"/>
        <v>east</v>
      </c>
      <c r="N1518" s="46" t="s">
        <v>294</v>
      </c>
      <c r="O1518" s="41" t="str">
        <f t="shared" si="373"/>
        <v>Yes</v>
      </c>
      <c r="P1518" s="49" t="s">
        <v>3929</v>
      </c>
      <c r="Q1518" s="49">
        <v>330</v>
      </c>
      <c r="R1518" s="42">
        <f t="shared" si="374"/>
        <v>89.1891891891892</v>
      </c>
      <c r="S1518" s="46">
        <v>4</v>
      </c>
      <c r="T1518" s="46" t="s">
        <v>1171</v>
      </c>
      <c r="U1518" s="43" t="str">
        <f t="shared" si="375"/>
        <v>06-apr-2024</v>
      </c>
      <c r="V1518" s="43">
        <f t="shared" si="376"/>
        <v>45388</v>
      </c>
      <c r="W1518" s="44">
        <f t="array" ref="W1518">_xlfn.IFS(TRIM(C1518)="","",TRIM(V1518)="","",TRUE,V1518-C1518)</f>
        <v>4</v>
      </c>
      <c r="X1518" s="37">
        <f t="shared" si="377"/>
        <v>0</v>
      </c>
      <c r="Y1518" s="46" t="s">
        <v>117</v>
      </c>
      <c r="Z1518" s="37" t="str">
        <f t="shared" si="378"/>
        <v>delivered</v>
      </c>
      <c r="AA1518" s="37" t="str">
        <f t="shared" si="379"/>
        <v>On Time</v>
      </c>
      <c r="AB1518" s="37" t="str">
        <f t="shared" si="382"/>
        <v>0</v>
      </c>
      <c r="AC1518" s="37">
        <f t="shared" si="383"/>
        <v>0</v>
      </c>
      <c r="AD1518" s="45">
        <f t="shared" si="381"/>
        <v>0.55421686746988</v>
      </c>
      <c r="AE1518" s="46">
        <v>4</v>
      </c>
      <c r="AF1518" s="46" t="s">
        <v>106</v>
      </c>
      <c r="AG1518" s="37" t="str">
        <f t="shared" si="380"/>
        <v>yes</v>
      </c>
      <c r="AH1518" s="37" t="str">
        <f t="array" ref="AH1518">_xlfn.IFS(LOWER(AG1518)="n","no",LOWER(AG1518)="y","yes",TRUE,LOWER(AG1518))</f>
        <v>yes</v>
      </c>
      <c r="AI1518" s="46" t="s">
        <v>4692</v>
      </c>
    </row>
    <row r="1519" spans="1:35">
      <c r="A1519" s="37" t="s">
        <v>4487</v>
      </c>
      <c r="B1519" s="38">
        <v>45377</v>
      </c>
      <c r="C1519" s="39">
        <f t="shared" si="368"/>
        <v>45377</v>
      </c>
      <c r="D1519" s="40" t="s">
        <v>212</v>
      </c>
      <c r="E1519" s="37" t="str" cm="1">
        <f t="array" ref="E1519">_xlfn.IFS(D1519="delhi","north",D1519="mumbai","west",D1519="bengaluru","south",D1519="chennai","south",D1519="kolkata","east",TRUE,"west")</f>
        <v>west</v>
      </c>
      <c r="F1519" s="37" t="s">
        <v>919</v>
      </c>
      <c r="G1519" s="37" t="str">
        <f t="shared" si="369"/>
        <v>xpressbees</v>
      </c>
      <c r="H1519" s="37" t="s">
        <v>440</v>
      </c>
      <c r="I1519" s="37" t="str">
        <f t="shared" si="370"/>
        <v>road</v>
      </c>
      <c r="J1519" s="37" t="s">
        <v>385</v>
      </c>
      <c r="K1519" s="37" t="str">
        <f t="shared" si="371"/>
        <v>furniture</v>
      </c>
      <c r="L1519" s="37" t="s">
        <v>168</v>
      </c>
      <c r="M1519" s="37" t="str">
        <f t="shared" si="372"/>
        <v>west</v>
      </c>
      <c r="N1519" s="37" t="s">
        <v>187</v>
      </c>
      <c r="O1519" s="41" t="str">
        <f t="shared" si="373"/>
        <v>Yes</v>
      </c>
      <c r="P1519" s="41">
        <v>33.6</v>
      </c>
      <c r="Q1519" s="41">
        <v>477</v>
      </c>
      <c r="R1519" s="42">
        <f t="shared" si="374"/>
        <v>14.1964285714286</v>
      </c>
      <c r="S1519" s="37">
        <v>6</v>
      </c>
      <c r="T1519" s="37" t="s">
        <v>2804</v>
      </c>
      <c r="U1519" s="43" t="str">
        <f t="shared" si="375"/>
        <v>31-mar-2024</v>
      </c>
      <c r="V1519" s="43">
        <f t="shared" si="376"/>
        <v>45382</v>
      </c>
      <c r="W1519" s="44">
        <f t="array" ref="W1519">_xlfn.IFS(TRIM(C1519)="","",TRIM(V1519)="","",TRUE,V1519-C1519)</f>
        <v>5</v>
      </c>
      <c r="X1519" s="37">
        <f t="shared" si="377"/>
        <v>-1</v>
      </c>
      <c r="Y1519" s="37" t="s">
        <v>163</v>
      </c>
      <c r="Z1519" s="37" t="str">
        <f t="shared" si="378"/>
        <v>delivered</v>
      </c>
      <c r="AA1519" s="37" t="str">
        <f t="shared" si="379"/>
        <v>On Time</v>
      </c>
      <c r="AB1519" s="37" t="str">
        <f t="shared" si="382"/>
        <v>0</v>
      </c>
      <c r="AC1519" s="37">
        <f t="shared" si="383"/>
        <v>0</v>
      </c>
      <c r="AD1519" s="45">
        <f t="shared" si="381"/>
        <v>0.560975609756098</v>
      </c>
      <c r="AE1519" s="37">
        <v>4</v>
      </c>
      <c r="AF1519" s="37" t="s">
        <v>181</v>
      </c>
      <c r="AG1519" s="37" t="str">
        <f t="shared" si="380"/>
        <v>y</v>
      </c>
      <c r="AH1519" s="37" t="str">
        <f t="array" ref="AH1519">_xlfn.IFS(LOWER(AG1519)="n","no",LOWER(AG1519)="y","yes",TRUE,LOWER(AG1519))</f>
        <v>yes</v>
      </c>
      <c r="AI1519" s="37" t="s">
        <v>4692</v>
      </c>
    </row>
    <row r="1520" spans="1:35">
      <c r="A1520" s="46" t="s">
        <v>4489</v>
      </c>
      <c r="B1520" s="47">
        <v>45436</v>
      </c>
      <c r="C1520" s="39">
        <f t="shared" si="368"/>
        <v>45436</v>
      </c>
      <c r="D1520" s="48" t="s">
        <v>4699</v>
      </c>
      <c r="E1520" s="37" t="str" cm="1">
        <f t="array" ref="E1520">_xlfn.IFS(D1520="delhi","north",D1520="mumbai","west",D1520="bengaluru","south",D1520="chennai","south",D1520="kolkata","east",TRUE,"west")</f>
        <v>west</v>
      </c>
      <c r="F1520" s="46" t="s">
        <v>270</v>
      </c>
      <c r="G1520" s="37" t="str">
        <f t="shared" si="369"/>
        <v>ecomexpress</v>
      </c>
      <c r="H1520" s="46" t="s">
        <v>325</v>
      </c>
      <c r="I1520" s="37" t="str">
        <f t="shared" si="370"/>
        <v>air</v>
      </c>
      <c r="J1520" s="46" t="s">
        <v>100</v>
      </c>
      <c r="K1520" s="37" t="str">
        <f t="shared" si="371"/>
        <v>electronics</v>
      </c>
      <c r="L1520" s="46" t="s">
        <v>168</v>
      </c>
      <c r="M1520" s="37" t="str">
        <f t="shared" si="372"/>
        <v>west</v>
      </c>
      <c r="N1520" s="46" t="s">
        <v>187</v>
      </c>
      <c r="O1520" s="41" t="str">
        <f t="shared" si="373"/>
        <v>Yes</v>
      </c>
      <c r="P1520" s="49">
        <v>15</v>
      </c>
      <c r="Q1520" s="49">
        <v>708</v>
      </c>
      <c r="R1520" s="42">
        <f t="shared" si="374"/>
        <v>47.2</v>
      </c>
      <c r="S1520" s="46">
        <v>2</v>
      </c>
      <c r="T1520" s="46" t="s">
        <v>826</v>
      </c>
      <c r="U1520" s="43" t="str">
        <f t="shared" si="375"/>
        <v>26-may-2024</v>
      </c>
      <c r="V1520" s="43">
        <f t="shared" si="376"/>
        <v>45438</v>
      </c>
      <c r="W1520" s="44">
        <f t="array" ref="W1520">_xlfn.IFS(TRIM(C1520)="","",TRIM(V1520)="","",TRUE,V1520-C1520)</f>
        <v>2</v>
      </c>
      <c r="X1520" s="37">
        <f t="shared" si="377"/>
        <v>0</v>
      </c>
      <c r="Y1520" s="46" t="s">
        <v>105</v>
      </c>
      <c r="Z1520" s="37" t="str">
        <f t="shared" si="378"/>
        <v>delivered</v>
      </c>
      <c r="AA1520" s="37" t="str">
        <f t="shared" si="379"/>
        <v>On Time</v>
      </c>
      <c r="AB1520" s="37" t="str">
        <f t="shared" si="382"/>
        <v>0</v>
      </c>
      <c r="AC1520" s="37">
        <f t="shared" si="383"/>
        <v>0</v>
      </c>
      <c r="AD1520" s="45">
        <f t="shared" si="381"/>
        <v>0.567901234567901</v>
      </c>
      <c r="AE1520" s="46">
        <v>5</v>
      </c>
      <c r="AF1520" s="46" t="s">
        <v>118</v>
      </c>
      <c r="AG1520" s="37" t="str">
        <f t="shared" si="380"/>
        <v>no</v>
      </c>
      <c r="AH1520" s="37" t="str">
        <f t="array" ref="AH1520">_xlfn.IFS(LOWER(AG1520)="n","no",LOWER(AG1520)="y","yes",TRUE,LOWER(AG1520))</f>
        <v>no</v>
      </c>
      <c r="AI1520" s="46" t="s">
        <v>4692</v>
      </c>
    </row>
    <row r="1521" spans="1:35">
      <c r="A1521" s="37" t="s">
        <v>4492</v>
      </c>
      <c r="B1521" s="38" t="s">
        <v>4766</v>
      </c>
      <c r="C1521" s="39">
        <f t="shared" si="368"/>
        <v>45315</v>
      </c>
      <c r="D1521" s="40" t="s">
        <v>212</v>
      </c>
      <c r="E1521" s="37" t="str" cm="1">
        <f t="array" ref="E1521">_xlfn.IFS(D1521="delhi","north",D1521="mumbai","west",D1521="bengaluru","south",D1521="chennai","south",D1521="kolkata","east",TRUE,"west")</f>
        <v>west</v>
      </c>
      <c r="F1521" s="37" t="s">
        <v>146</v>
      </c>
      <c r="G1521" s="37" t="str">
        <f t="shared" si="369"/>
        <v>ecomexpress</v>
      </c>
      <c r="H1521" s="37" t="s">
        <v>137</v>
      </c>
      <c r="I1521" s="37" t="str">
        <f t="shared" si="370"/>
        <v>road</v>
      </c>
      <c r="J1521" s="37" t="s">
        <v>301</v>
      </c>
      <c r="K1521" s="37" t="str">
        <f t="shared" si="371"/>
        <v>furniture</v>
      </c>
      <c r="L1521" s="37" t="s">
        <v>418</v>
      </c>
      <c r="M1521" s="37" t="str">
        <f t="shared" si="372"/>
        <v>south</v>
      </c>
      <c r="N1521" s="37" t="s">
        <v>93</v>
      </c>
      <c r="O1521" s="41" t="str">
        <f t="shared" si="373"/>
        <v>Yes</v>
      </c>
      <c r="P1521" s="41">
        <v>42.2</v>
      </c>
      <c r="Q1521" s="41" t="s">
        <v>4494</v>
      </c>
      <c r="R1521" s="42">
        <f t="shared" si="374"/>
        <v>17.1090047393365</v>
      </c>
      <c r="S1521" s="37">
        <v>8</v>
      </c>
      <c r="T1521" s="37" t="s">
        <v>3048</v>
      </c>
      <c r="U1521" s="43" t="str">
        <f t="shared" si="375"/>
        <v>02-feb-2024</v>
      </c>
      <c r="V1521" s="43">
        <f t="shared" si="376"/>
        <v>45324</v>
      </c>
      <c r="W1521" s="44">
        <f t="array" ref="W1521">_xlfn.IFS(TRIM(C1521)="","",TRIM(V1521)="","",TRUE,V1521-C1521)</f>
        <v>9</v>
      </c>
      <c r="X1521" s="37">
        <f t="shared" si="377"/>
        <v>1</v>
      </c>
      <c r="Y1521" s="37" t="s">
        <v>143</v>
      </c>
      <c r="Z1521" s="37" t="str">
        <f t="shared" si="378"/>
        <v>delayed</v>
      </c>
      <c r="AA1521" s="37" t="str">
        <f t="shared" si="379"/>
        <v>Late</v>
      </c>
      <c r="AB1521" s="37" t="str">
        <f t="shared" si="382"/>
        <v>1</v>
      </c>
      <c r="AC1521" s="37">
        <f t="shared" si="383"/>
        <v>1</v>
      </c>
      <c r="AD1521" s="45">
        <f t="shared" si="381"/>
        <v>0.575</v>
      </c>
      <c r="AE1521" s="37">
        <v>2</v>
      </c>
      <c r="AF1521" s="37" t="s">
        <v>152</v>
      </c>
      <c r="AG1521" s="37" t="str">
        <f t="shared" si="380"/>
        <v>no</v>
      </c>
      <c r="AH1521" s="37" t="str">
        <f t="array" ref="AH1521">_xlfn.IFS(LOWER(AG1521)="n","no",LOWER(AG1521)="y","yes",TRUE,LOWER(AG1521))</f>
        <v>no</v>
      </c>
      <c r="AI1521" s="37" t="s">
        <v>4692</v>
      </c>
    </row>
    <row r="1522" spans="1:35">
      <c r="A1522" s="46" t="s">
        <v>4495</v>
      </c>
      <c r="B1522" s="47">
        <v>45298</v>
      </c>
      <c r="C1522" s="39">
        <f t="shared" si="368"/>
        <v>45298</v>
      </c>
      <c r="D1522" s="48" t="s">
        <v>424</v>
      </c>
      <c r="E1522" s="37" t="str" cm="1">
        <f t="array" ref="E1522">_xlfn.IFS(D1522="delhi","north",D1522="mumbai","west",D1522="bengaluru","south",D1522="chennai","south",D1522="kolkata","east",TRUE,"west")</f>
        <v>south</v>
      </c>
      <c r="F1522" s="46" t="s">
        <v>223</v>
      </c>
      <c r="G1522" s="37" t="str">
        <f t="shared" si="369"/>
        <v>xpressbees</v>
      </c>
      <c r="H1522" s="46" t="s">
        <v>123</v>
      </c>
      <c r="I1522" s="37" t="str">
        <f t="shared" si="370"/>
        <v>air</v>
      </c>
      <c r="J1522" s="46" t="s">
        <v>1734</v>
      </c>
      <c r="K1522" s="37" t="str">
        <f t="shared" si="371"/>
        <v>automotiveparts</v>
      </c>
      <c r="L1522" s="46" t="s">
        <v>139</v>
      </c>
      <c r="M1522" s="37" t="str">
        <f t="shared" si="372"/>
        <v>north</v>
      </c>
      <c r="N1522" s="46" t="s">
        <v>32</v>
      </c>
      <c r="O1522" s="41" t="str">
        <f t="shared" si="373"/>
        <v>Yes</v>
      </c>
      <c r="P1522" s="49">
        <v>22.3</v>
      </c>
      <c r="Q1522" s="49" t="s">
        <v>4497</v>
      </c>
      <c r="R1522" s="42">
        <f t="shared" si="374"/>
        <v>53.1838565022422</v>
      </c>
      <c r="S1522" s="46">
        <v>4</v>
      </c>
      <c r="T1522" s="46" t="s">
        <v>1685</v>
      </c>
      <c r="U1522" s="43" t="str">
        <f t="shared" si="375"/>
        <v>12/01/2024</v>
      </c>
      <c r="V1522" s="43">
        <f t="shared" si="376"/>
        <v>45303</v>
      </c>
      <c r="W1522" s="44">
        <f t="array" ref="W1522">_xlfn.IFS(TRIM(C1522)="","",TRIM(V1522)="","",TRUE,V1522-C1522)</f>
        <v>5</v>
      </c>
      <c r="X1522" s="37">
        <f t="shared" si="377"/>
        <v>1</v>
      </c>
      <c r="Y1522" s="46" t="s">
        <v>143</v>
      </c>
      <c r="Z1522" s="37" t="str">
        <f t="shared" si="378"/>
        <v>delayed</v>
      </c>
      <c r="AA1522" s="37" t="str">
        <f t="shared" si="379"/>
        <v>Late</v>
      </c>
      <c r="AB1522" s="37" t="str">
        <f t="shared" si="382"/>
        <v>1</v>
      </c>
      <c r="AC1522" s="37">
        <f t="shared" si="383"/>
        <v>1</v>
      </c>
      <c r="AD1522" s="45">
        <f t="shared" si="381"/>
        <v>0.569620253164557</v>
      </c>
      <c r="AE1522" s="46">
        <v>2</v>
      </c>
      <c r="AF1522" s="46" t="s">
        <v>152</v>
      </c>
      <c r="AG1522" s="37" t="str">
        <f t="shared" si="380"/>
        <v>no</v>
      </c>
      <c r="AH1522" s="37" t="str">
        <f t="array" ref="AH1522">_xlfn.IFS(LOWER(AG1522)="n","no",LOWER(AG1522)="y","yes",TRUE,LOWER(AG1522))</f>
        <v>no</v>
      </c>
      <c r="AI1522" s="46" t="s">
        <v>4692</v>
      </c>
    </row>
    <row r="1523" spans="1:35">
      <c r="A1523" s="37" t="s">
        <v>4498</v>
      </c>
      <c r="B1523" s="38">
        <v>45349</v>
      </c>
      <c r="C1523" s="39">
        <f t="shared" si="368"/>
        <v>45349</v>
      </c>
      <c r="D1523" s="40" t="s">
        <v>366</v>
      </c>
      <c r="E1523" s="37" t="str" cm="1">
        <f t="array" ref="E1523">_xlfn.IFS(D1523="delhi","north",D1523="mumbai","west",D1523="bengaluru","south",D1523="chennai","south",D1523="kolkata","east",TRUE,"west")</f>
        <v>east</v>
      </c>
      <c r="F1523" s="37" t="s">
        <v>230</v>
      </c>
      <c r="G1523" s="37" t="str">
        <f t="shared" si="369"/>
        <v>dtdc</v>
      </c>
      <c r="H1523" s="37" t="s">
        <v>244</v>
      </c>
      <c r="I1523" s="37" t="str">
        <f t="shared" si="370"/>
        <v>air</v>
      </c>
      <c r="J1523" s="37" t="s">
        <v>360</v>
      </c>
      <c r="K1523" s="37" t="str">
        <f t="shared" si="371"/>
        <v>furniture</v>
      </c>
      <c r="L1523" s="37" t="s">
        <v>197</v>
      </c>
      <c r="M1523" s="37" t="str">
        <f t="shared" si="372"/>
        <v>south</v>
      </c>
      <c r="N1523" s="37" t="s">
        <v>90</v>
      </c>
      <c r="O1523" s="41" t="str">
        <f t="shared" si="373"/>
        <v>Yes</v>
      </c>
      <c r="P1523" s="41">
        <v>24.3</v>
      </c>
      <c r="Q1523" s="41">
        <v>1281</v>
      </c>
      <c r="R1523" s="42">
        <f t="shared" si="374"/>
        <v>52.7160493827161</v>
      </c>
      <c r="S1523" s="37">
        <v>4</v>
      </c>
      <c r="T1523" s="37" t="s">
        <v>2646</v>
      </c>
      <c r="U1523" s="43" t="str">
        <f t="shared" si="375"/>
        <v>02/03/2024</v>
      </c>
      <c r="V1523" s="43">
        <f t="shared" si="376"/>
        <v>45353</v>
      </c>
      <c r="W1523" s="44">
        <f t="array" ref="W1523">_xlfn.IFS(TRIM(C1523)="","",TRIM(V1523)="","",TRUE,V1523-C1523)</f>
        <v>4</v>
      </c>
      <c r="X1523" s="37">
        <f t="shared" si="377"/>
        <v>0</v>
      </c>
      <c r="Y1523" s="37" t="s">
        <v>219</v>
      </c>
      <c r="Z1523" s="37" t="str">
        <f t="shared" si="378"/>
        <v>delivered</v>
      </c>
      <c r="AA1523" s="37" t="str">
        <f t="shared" si="379"/>
        <v>On Time</v>
      </c>
      <c r="AB1523" s="37" t="str">
        <f t="shared" si="382"/>
        <v>0</v>
      </c>
      <c r="AC1523" s="37">
        <f t="shared" si="383"/>
        <v>0</v>
      </c>
      <c r="AD1523" s="45">
        <f t="shared" si="381"/>
        <v>0.564102564102564</v>
      </c>
      <c r="AE1523" s="37">
        <v>5</v>
      </c>
      <c r="AF1523" s="37" t="s">
        <v>191</v>
      </c>
      <c r="AG1523" s="37" t="str">
        <f t="shared" si="380"/>
        <v>no</v>
      </c>
      <c r="AH1523" s="37" t="str">
        <f t="array" ref="AH1523">_xlfn.IFS(LOWER(AG1523)="n","no",LOWER(AG1523)="y","yes",TRUE,LOWER(AG1523))</f>
        <v>no</v>
      </c>
      <c r="AI1523" s="37" t="s">
        <v>4692</v>
      </c>
    </row>
    <row r="1524" spans="1:35">
      <c r="A1524" s="46" t="s">
        <v>4501</v>
      </c>
      <c r="B1524" s="47">
        <v>45431</v>
      </c>
      <c r="C1524" s="39">
        <f t="shared" si="368"/>
        <v>45431</v>
      </c>
      <c r="D1524" s="48" t="s">
        <v>424</v>
      </c>
      <c r="E1524" s="37" t="str" cm="1">
        <f t="array" ref="E1524">_xlfn.IFS(D1524="delhi","north",D1524="mumbai","west",D1524="bengaluru","south",D1524="chennai","south",D1524="kolkata","east",TRUE,"west")</f>
        <v>south</v>
      </c>
      <c r="F1524" s="46" t="s">
        <v>270</v>
      </c>
      <c r="G1524" s="37" t="str">
        <f t="shared" si="369"/>
        <v>ecomexpress</v>
      </c>
      <c r="H1524" s="46" t="s">
        <v>440</v>
      </c>
      <c r="I1524" s="37" t="str">
        <f t="shared" si="370"/>
        <v>road</v>
      </c>
      <c r="J1524" s="46" t="s">
        <v>1112</v>
      </c>
      <c r="K1524" s="37" t="str">
        <f t="shared" si="371"/>
        <v>automotiveparts</v>
      </c>
      <c r="L1524" s="46" t="s">
        <v>302</v>
      </c>
      <c r="M1524" s="37" t="str">
        <f t="shared" si="372"/>
        <v>east</v>
      </c>
      <c r="N1524" s="46" t="s">
        <v>294</v>
      </c>
      <c r="O1524" s="41" t="str">
        <f t="shared" si="373"/>
        <v>Yes</v>
      </c>
      <c r="P1524" s="49">
        <v>13.6</v>
      </c>
      <c r="Q1524" s="49">
        <v>366</v>
      </c>
      <c r="R1524" s="42">
        <f t="shared" si="374"/>
        <v>26.9117647058824</v>
      </c>
      <c r="S1524" s="46">
        <v>8</v>
      </c>
      <c r="T1524" s="46" t="s">
        <v>450</v>
      </c>
      <c r="U1524" s="43" t="str">
        <f t="shared" si="375"/>
        <v>26/05/2024</v>
      </c>
      <c r="V1524" s="43">
        <f t="shared" si="376"/>
        <v>45438</v>
      </c>
      <c r="W1524" s="44">
        <f t="array" ref="W1524">_xlfn.IFS(TRIM(C1524)="","",TRIM(V1524)="","",TRUE,V1524-C1524)</f>
        <v>7</v>
      </c>
      <c r="X1524" s="37">
        <f t="shared" si="377"/>
        <v>-1</v>
      </c>
      <c r="Y1524" s="46" t="s">
        <v>2041</v>
      </c>
      <c r="Z1524" s="37" t="str">
        <f t="shared" si="378"/>
        <v>returned</v>
      </c>
      <c r="AA1524" s="37" t="str">
        <f t="shared" si="379"/>
        <v>On Time</v>
      </c>
      <c r="AB1524" s="37" t="str">
        <f t="shared" si="382"/>
        <v>0</v>
      </c>
      <c r="AC1524" s="37">
        <f t="shared" si="383"/>
        <v>0</v>
      </c>
      <c r="AD1524" s="45">
        <f t="shared" si="381"/>
        <v>0.571428571428571</v>
      </c>
      <c r="AE1524" s="46"/>
      <c r="AF1524" s="46" t="s">
        <v>106</v>
      </c>
      <c r="AG1524" s="37" t="str">
        <f t="shared" si="380"/>
        <v>yes</v>
      </c>
      <c r="AH1524" s="37" t="str">
        <f t="array" ref="AH1524">_xlfn.IFS(LOWER(AG1524)="n","no",LOWER(AG1524)="y","yes",TRUE,LOWER(AG1524))</f>
        <v>yes</v>
      </c>
      <c r="AI1524" s="46" t="s">
        <v>818</v>
      </c>
    </row>
    <row r="1525" spans="1:35">
      <c r="A1525" s="37" t="s">
        <v>4503</v>
      </c>
      <c r="B1525" s="38">
        <v>45369</v>
      </c>
      <c r="C1525" s="39">
        <f t="shared" si="368"/>
        <v>45369</v>
      </c>
      <c r="D1525" s="40" t="s">
        <v>424</v>
      </c>
      <c r="E1525" s="37" t="str" cm="1">
        <f t="array" ref="E1525">_xlfn.IFS(D1525="delhi","north",D1525="mumbai","west",D1525="bengaluru","south",D1525="chennai","south",D1525="kolkata","east",TRUE,"west")</f>
        <v>south</v>
      </c>
      <c r="F1525" s="37" t="s">
        <v>333</v>
      </c>
      <c r="G1525" s="37" t="str">
        <f t="shared" si="369"/>
        <v>delhivery</v>
      </c>
      <c r="H1525" s="37" t="s">
        <v>42</v>
      </c>
      <c r="I1525" s="37" t="str">
        <f t="shared" si="370"/>
        <v>surface</v>
      </c>
      <c r="J1525" s="37" t="s">
        <v>214</v>
      </c>
      <c r="K1525" s="37" t="str">
        <f t="shared" si="371"/>
        <v>grocery&amp;fmcg</v>
      </c>
      <c r="L1525" s="37" t="s">
        <v>264</v>
      </c>
      <c r="M1525" s="37" t="str">
        <f t="shared" si="372"/>
        <v>west</v>
      </c>
      <c r="N1525" s="37" t="s">
        <v>88</v>
      </c>
      <c r="O1525" s="41" t="str">
        <f t="shared" si="373"/>
        <v>Yes</v>
      </c>
      <c r="P1525" s="41" t="s">
        <v>539</v>
      </c>
      <c r="Q1525" s="41" t="s">
        <v>1023</v>
      </c>
      <c r="R1525" s="42">
        <f t="shared" si="374"/>
        <v>63.7142857142857</v>
      </c>
      <c r="S1525" s="37">
        <v>6</v>
      </c>
      <c r="T1525" s="37" t="s">
        <v>171</v>
      </c>
      <c r="U1525" s="43" t="str">
        <f t="shared" si="375"/>
        <v>23-mar-2024</v>
      </c>
      <c r="V1525" s="43">
        <f t="shared" si="376"/>
        <v>45374</v>
      </c>
      <c r="W1525" s="44">
        <f t="array" ref="W1525">_xlfn.IFS(TRIM(C1525)="","",TRIM(V1525)="","",TRUE,V1525-C1525)</f>
        <v>5</v>
      </c>
      <c r="X1525" s="37">
        <f t="shared" si="377"/>
        <v>-1</v>
      </c>
      <c r="Y1525" s="37" t="s">
        <v>163</v>
      </c>
      <c r="Z1525" s="37" t="str">
        <f t="shared" si="378"/>
        <v>delivered</v>
      </c>
      <c r="AA1525" s="37" t="str">
        <f t="shared" si="379"/>
        <v>On Time</v>
      </c>
      <c r="AB1525" s="37" t="str">
        <f t="shared" si="382"/>
        <v>0</v>
      </c>
      <c r="AC1525" s="37">
        <f t="shared" si="383"/>
        <v>0</v>
      </c>
      <c r="AD1525" s="45">
        <f t="shared" si="381"/>
        <v>0.578947368421053</v>
      </c>
      <c r="AE1525" s="37">
        <v>4</v>
      </c>
      <c r="AF1525" s="37" t="s">
        <v>152</v>
      </c>
      <c r="AG1525" s="37" t="str">
        <f t="shared" si="380"/>
        <v>no</v>
      </c>
      <c r="AH1525" s="37" t="str">
        <f t="array" ref="AH1525">_xlfn.IFS(LOWER(AG1525)="n","no",LOWER(AG1525)="y","yes",TRUE,LOWER(AG1525))</f>
        <v>no</v>
      </c>
      <c r="AI1525" s="37" t="s">
        <v>4692</v>
      </c>
    </row>
    <row r="1526" spans="1:35">
      <c r="A1526" s="46" t="s">
        <v>4504</v>
      </c>
      <c r="B1526" s="47">
        <v>45327</v>
      </c>
      <c r="C1526" s="39">
        <f t="shared" si="368"/>
        <v>45327</v>
      </c>
      <c r="D1526" s="48" t="s">
        <v>4712</v>
      </c>
      <c r="E1526" s="37" t="str" cm="1">
        <f t="array" ref="E1526">_xlfn.IFS(D1526="delhi","north",D1526="mumbai","west",D1526="bengaluru","south",D1526="chennai","south",D1526="kolkata","east",TRUE,"west")</f>
        <v>west</v>
      </c>
      <c r="F1526" s="46" t="s">
        <v>37</v>
      </c>
      <c r="G1526" s="37" t="str">
        <f t="shared" si="369"/>
        <v>bluedart</v>
      </c>
      <c r="H1526" s="46" t="s">
        <v>224</v>
      </c>
      <c r="I1526" s="37" t="str">
        <f t="shared" si="370"/>
        <v>air</v>
      </c>
      <c r="J1526" s="46" t="s">
        <v>326</v>
      </c>
      <c r="K1526" s="37" t="str">
        <f t="shared" si="371"/>
        <v>apparel</v>
      </c>
      <c r="L1526" s="46" t="s">
        <v>92</v>
      </c>
      <c r="M1526" s="37" t="str">
        <f t="shared" si="372"/>
        <v>east</v>
      </c>
      <c r="N1526" s="46" t="s">
        <v>396</v>
      </c>
      <c r="O1526" s="41" t="str">
        <f t="shared" si="373"/>
        <v>Yes</v>
      </c>
      <c r="P1526" s="49">
        <v>5.5</v>
      </c>
      <c r="Q1526" s="49" t="s">
        <v>315</v>
      </c>
      <c r="R1526" s="42">
        <f t="shared" si="374"/>
        <v>67.6363636363636</v>
      </c>
      <c r="S1526" s="46">
        <v>4</v>
      </c>
      <c r="T1526" s="46" t="s">
        <v>2670</v>
      </c>
      <c r="U1526" s="43" t="str">
        <f t="shared" si="375"/>
        <v>08/02/2024</v>
      </c>
      <c r="V1526" s="43">
        <f t="shared" si="376"/>
        <v>45330</v>
      </c>
      <c r="W1526" s="44">
        <f t="array" ref="W1526">_xlfn.IFS(TRIM(C1526)="","",TRIM(V1526)="","",TRUE,V1526-C1526)</f>
        <v>3</v>
      </c>
      <c r="X1526" s="37">
        <f t="shared" si="377"/>
        <v>-1</v>
      </c>
      <c r="Y1526" s="46" t="s">
        <v>117</v>
      </c>
      <c r="Z1526" s="37" t="str">
        <f t="shared" si="378"/>
        <v>delivered</v>
      </c>
      <c r="AA1526" s="37" t="str">
        <f t="shared" si="379"/>
        <v>On Time</v>
      </c>
      <c r="AB1526" s="37" t="str">
        <f t="shared" si="382"/>
        <v>0</v>
      </c>
      <c r="AC1526" s="37">
        <f t="shared" si="383"/>
        <v>0</v>
      </c>
      <c r="AD1526" s="45">
        <f t="shared" si="381"/>
        <v>0.586666666666667</v>
      </c>
      <c r="AE1526" s="46">
        <v>5</v>
      </c>
      <c r="AF1526" s="46" t="s">
        <v>79</v>
      </c>
      <c r="AG1526" s="37" t="str">
        <f t="shared" si="380"/>
        <v>yes</v>
      </c>
      <c r="AH1526" s="37" t="str">
        <f t="array" ref="AH1526">_xlfn.IFS(LOWER(AG1526)="n","no",LOWER(AG1526)="y","yes",TRUE,LOWER(AG1526))</f>
        <v>yes</v>
      </c>
      <c r="AI1526" s="46" t="s">
        <v>4692</v>
      </c>
    </row>
    <row r="1527" spans="1:35">
      <c r="A1527" s="37" t="s">
        <v>4505</v>
      </c>
      <c r="B1527" s="38" t="s">
        <v>4761</v>
      </c>
      <c r="C1527" s="39">
        <f t="shared" si="368"/>
        <v>45368</v>
      </c>
      <c r="D1527" s="40" t="s">
        <v>4704</v>
      </c>
      <c r="E1527" s="37" t="str" cm="1">
        <f t="array" ref="E1527">_xlfn.IFS(D1527="delhi","north",D1527="mumbai","west",D1527="bengaluru","south",D1527="chennai","south",D1527="kolkata","east",TRUE,"west")</f>
        <v>west</v>
      </c>
      <c r="F1527" s="37" t="s">
        <v>333</v>
      </c>
      <c r="G1527" s="37" t="str">
        <f t="shared" si="369"/>
        <v>delhivery</v>
      </c>
      <c r="H1527" s="37" t="s">
        <v>345</v>
      </c>
      <c r="I1527" s="37" t="str">
        <f t="shared" si="370"/>
        <v>surface</v>
      </c>
      <c r="J1527" s="37" t="s">
        <v>167</v>
      </c>
      <c r="K1527" s="37" t="str">
        <f t="shared" si="371"/>
        <v>pharma</v>
      </c>
      <c r="L1527" s="37" t="s">
        <v>302</v>
      </c>
      <c r="M1527" s="37" t="str">
        <f t="shared" si="372"/>
        <v>east</v>
      </c>
      <c r="N1527" s="37" t="s">
        <v>396</v>
      </c>
      <c r="O1527" s="41" t="str">
        <f t="shared" si="373"/>
        <v>Yes</v>
      </c>
      <c r="P1527" s="41">
        <v>1.1</v>
      </c>
      <c r="Q1527" s="41">
        <v>80</v>
      </c>
      <c r="R1527" s="42">
        <f t="shared" si="374"/>
        <v>72.7272727272727</v>
      </c>
      <c r="S1527" s="37">
        <v>4</v>
      </c>
      <c r="T1527" s="37" t="s">
        <v>1908</v>
      </c>
      <c r="U1527" s="43" t="str">
        <f t="shared" si="375"/>
        <v>2024-03-27</v>
      </c>
      <c r="V1527" s="43">
        <f t="shared" si="376"/>
        <v>45378</v>
      </c>
      <c r="W1527" s="44">
        <f t="array" ref="W1527">_xlfn.IFS(TRIM(C1527)="","",TRIM(V1527)="","",TRUE,V1527-C1527)</f>
        <v>10</v>
      </c>
      <c r="X1527" s="37">
        <f t="shared" si="377"/>
        <v>6</v>
      </c>
      <c r="Y1527" s="37" t="s">
        <v>143</v>
      </c>
      <c r="Z1527" s="37" t="str">
        <f t="shared" si="378"/>
        <v>delayed</v>
      </c>
      <c r="AA1527" s="37" t="str">
        <f t="shared" si="379"/>
        <v>Late</v>
      </c>
      <c r="AB1527" s="37" t="str">
        <f t="shared" si="382"/>
        <v>1</v>
      </c>
      <c r="AC1527" s="37">
        <f t="shared" si="383"/>
        <v>1</v>
      </c>
      <c r="AD1527" s="45">
        <f t="shared" si="381"/>
        <v>0.594594594594595</v>
      </c>
      <c r="AE1527" s="37">
        <v>1</v>
      </c>
      <c r="AF1527" s="37" t="s">
        <v>79</v>
      </c>
      <c r="AG1527" s="37" t="str">
        <f t="shared" si="380"/>
        <v>yes</v>
      </c>
      <c r="AH1527" s="37" t="str">
        <f t="array" ref="AH1527">_xlfn.IFS(LOWER(AG1527)="n","no",LOWER(AG1527)="y","yes",TRUE,LOWER(AG1527))</f>
        <v>yes</v>
      </c>
      <c r="AI1527" s="37" t="s">
        <v>4692</v>
      </c>
    </row>
    <row r="1528" spans="1:35">
      <c r="A1528" s="46" t="s">
        <v>4506</v>
      </c>
      <c r="B1528" s="47" t="s">
        <v>4855</v>
      </c>
      <c r="C1528" s="39">
        <f t="shared" si="368"/>
        <v>45296</v>
      </c>
      <c r="D1528" s="48" t="s">
        <v>633</v>
      </c>
      <c r="E1528" s="37" t="str" cm="1">
        <f t="array" ref="E1528">_xlfn.IFS(D1528="delhi","north",D1528="mumbai","west",D1528="bengaluru","south",D1528="chennai","south",D1528="kolkata","east",TRUE,"west")</f>
        <v>south</v>
      </c>
      <c r="F1528" s="46" t="s">
        <v>352</v>
      </c>
      <c r="G1528" s="37" t="str">
        <f t="shared" si="369"/>
        <v>delhivery</v>
      </c>
      <c r="H1528" s="46" t="s">
        <v>185</v>
      </c>
      <c r="I1528" s="37" t="str">
        <f t="shared" si="370"/>
        <v>surface</v>
      </c>
      <c r="J1528" s="46" t="s">
        <v>100</v>
      </c>
      <c r="K1528" s="37" t="str">
        <f t="shared" si="371"/>
        <v>electronics</v>
      </c>
      <c r="L1528" s="46" t="s">
        <v>197</v>
      </c>
      <c r="M1528" s="37" t="str">
        <f t="shared" si="372"/>
        <v>south</v>
      </c>
      <c r="N1528" s="46" t="s">
        <v>54</v>
      </c>
      <c r="O1528" s="41" t="str">
        <f t="shared" si="373"/>
        <v>Yes</v>
      </c>
      <c r="P1528" s="49">
        <v>4.1</v>
      </c>
      <c r="Q1528" s="49">
        <v>112</v>
      </c>
      <c r="R1528" s="42">
        <f t="shared" si="374"/>
        <v>27.3170731707317</v>
      </c>
      <c r="S1528" s="46">
        <v>4</v>
      </c>
      <c r="T1528" s="46" t="s">
        <v>1401</v>
      </c>
      <c r="U1528" s="43" t="str">
        <f t="shared" si="375"/>
        <v>12/01/2024</v>
      </c>
      <c r="V1528" s="43">
        <f t="shared" si="376"/>
        <v>45303</v>
      </c>
      <c r="W1528" s="44">
        <f t="array" ref="W1528">_xlfn.IFS(TRIM(C1528)="","",TRIM(V1528)="","",TRUE,V1528-C1528)</f>
        <v>7</v>
      </c>
      <c r="X1528" s="37">
        <f t="shared" si="377"/>
        <v>3</v>
      </c>
      <c r="Y1528" s="46" t="s">
        <v>200</v>
      </c>
      <c r="Z1528" s="37" t="str">
        <f t="shared" si="378"/>
        <v>delayed</v>
      </c>
      <c r="AA1528" s="37" t="str">
        <f t="shared" si="379"/>
        <v>Late</v>
      </c>
      <c r="AB1528" s="37" t="str">
        <f t="shared" si="382"/>
        <v>1</v>
      </c>
      <c r="AC1528" s="37">
        <f t="shared" si="383"/>
        <v>1</v>
      </c>
      <c r="AD1528" s="45">
        <f t="shared" si="381"/>
        <v>0.589041095890411</v>
      </c>
      <c r="AE1528" s="46">
        <v>2</v>
      </c>
      <c r="AF1528" s="46" t="s">
        <v>79</v>
      </c>
      <c r="AG1528" s="37" t="str">
        <f t="shared" si="380"/>
        <v>yes</v>
      </c>
      <c r="AH1528" s="37" t="str">
        <f t="array" ref="AH1528">_xlfn.IFS(LOWER(AG1528)="n","no",LOWER(AG1528)="y","yes",TRUE,LOWER(AG1528))</f>
        <v>yes</v>
      </c>
      <c r="AI1528" s="46" t="s">
        <v>4692</v>
      </c>
    </row>
    <row r="1529" spans="1:35">
      <c r="A1529" s="37" t="s">
        <v>4508</v>
      </c>
      <c r="B1529" s="38">
        <v>45419</v>
      </c>
      <c r="C1529" s="39">
        <f t="shared" si="368"/>
        <v>45419</v>
      </c>
      <c r="D1529" s="40" t="s">
        <v>4704</v>
      </c>
      <c r="E1529" s="37" t="str" cm="1">
        <f t="array" ref="E1529">_xlfn.IFS(D1529="delhi","north",D1529="mumbai","west",D1529="bengaluru","south",D1529="chennai","south",D1529="kolkata","east",TRUE,"west")</f>
        <v>west</v>
      </c>
      <c r="F1529" s="37" t="s">
        <v>156</v>
      </c>
      <c r="G1529" s="37" t="str">
        <f t="shared" si="369"/>
        <v>xpressbees</v>
      </c>
      <c r="H1529" s="37" t="s">
        <v>440</v>
      </c>
      <c r="I1529" s="37" t="str">
        <f t="shared" si="370"/>
        <v>road</v>
      </c>
      <c r="J1529" s="37" t="s">
        <v>167</v>
      </c>
      <c r="K1529" s="37" t="str">
        <f t="shared" si="371"/>
        <v>pharma</v>
      </c>
      <c r="L1529" s="37" t="s">
        <v>264</v>
      </c>
      <c r="M1529" s="37" t="str">
        <f t="shared" si="372"/>
        <v>west</v>
      </c>
      <c r="N1529" s="37" t="s">
        <v>187</v>
      </c>
      <c r="O1529" s="41" t="str">
        <f t="shared" si="373"/>
        <v>Yes</v>
      </c>
      <c r="P1529" s="41" t="s">
        <v>1326</v>
      </c>
      <c r="Q1529" s="41" t="s">
        <v>666</v>
      </c>
      <c r="R1529" s="42">
        <f t="shared" si="374"/>
        <v>99.0909090909091</v>
      </c>
      <c r="S1529" s="37">
        <v>8</v>
      </c>
      <c r="T1529" s="37" t="s">
        <v>3141</v>
      </c>
      <c r="U1529" s="43" t="str">
        <f t="shared" si="375"/>
        <v>16-may-2024</v>
      </c>
      <c r="V1529" s="43">
        <f t="shared" si="376"/>
        <v>45428</v>
      </c>
      <c r="W1529" s="44">
        <f t="array" ref="W1529">_xlfn.IFS(TRIM(C1529)="","",TRIM(V1529)="","",TRUE,V1529-C1529)</f>
        <v>9</v>
      </c>
      <c r="X1529" s="37">
        <f t="shared" si="377"/>
        <v>1</v>
      </c>
      <c r="Y1529" s="37" t="s">
        <v>1513</v>
      </c>
      <c r="Z1529" s="37" t="str">
        <f t="shared" si="378"/>
        <v>damaged</v>
      </c>
      <c r="AA1529" s="37" t="str">
        <f t="shared" si="379"/>
        <v>Late</v>
      </c>
      <c r="AB1529" s="37" t="str">
        <f t="shared" si="382"/>
        <v>1</v>
      </c>
      <c r="AC1529" s="37">
        <f t="shared" si="383"/>
        <v>1</v>
      </c>
      <c r="AD1529" s="45">
        <f t="shared" si="381"/>
        <v>0.583333333333333</v>
      </c>
      <c r="AE1529" s="37"/>
      <c r="AF1529" s="37" t="s">
        <v>131</v>
      </c>
      <c r="AG1529" s="37" t="str">
        <f t="shared" si="380"/>
        <v>n</v>
      </c>
      <c r="AH1529" s="37" t="str">
        <f t="array" ref="AH1529">_xlfn.IFS(LOWER(AG1529)="n","no",LOWER(AG1529)="y","yes",TRUE,LOWER(AG1529))</f>
        <v>no</v>
      </c>
      <c r="AI1529" s="37" t="s">
        <v>132</v>
      </c>
    </row>
    <row r="1530" spans="1:35">
      <c r="A1530" s="46" t="s">
        <v>4509</v>
      </c>
      <c r="B1530" s="47">
        <v>45388</v>
      </c>
      <c r="C1530" s="39">
        <f t="shared" si="368"/>
        <v>45388</v>
      </c>
      <c r="D1530" s="48" t="s">
        <v>4699</v>
      </c>
      <c r="E1530" s="37" t="str" cm="1">
        <f t="array" ref="E1530">_xlfn.IFS(D1530="delhi","north",D1530="mumbai","west",D1530="bengaluru","south",D1530="chennai","south",D1530="kolkata","east",TRUE,"west")</f>
        <v>west</v>
      </c>
      <c r="F1530" s="46" t="s">
        <v>175</v>
      </c>
      <c r="G1530" s="37" t="str">
        <f t="shared" si="369"/>
        <v>ecomexpress</v>
      </c>
      <c r="H1530" s="46" t="s">
        <v>224</v>
      </c>
      <c r="I1530" s="37" t="str">
        <f t="shared" si="370"/>
        <v>air</v>
      </c>
      <c r="J1530" s="46" t="s">
        <v>1145</v>
      </c>
      <c r="K1530" s="37" t="str">
        <f t="shared" si="371"/>
        <v>grocery&amp;fmcg</v>
      </c>
      <c r="L1530" s="46" t="s">
        <v>89</v>
      </c>
      <c r="M1530" s="37" t="str">
        <f t="shared" si="372"/>
        <v>west</v>
      </c>
      <c r="N1530" s="46" t="s">
        <v>206</v>
      </c>
      <c r="O1530" s="41" t="str">
        <f t="shared" si="373"/>
        <v>Yes</v>
      </c>
      <c r="P1530" s="49">
        <v>4.1</v>
      </c>
      <c r="Q1530" s="49">
        <v>159</v>
      </c>
      <c r="R1530" s="42">
        <f t="shared" si="374"/>
        <v>38.780487804878</v>
      </c>
      <c r="S1530" s="46">
        <v>2</v>
      </c>
      <c r="T1530" s="46" t="s">
        <v>1480</v>
      </c>
      <c r="U1530" s="43" t="str">
        <f t="shared" si="375"/>
        <v>08/04/2024</v>
      </c>
      <c r="V1530" s="43">
        <f t="shared" si="376"/>
        <v>45390</v>
      </c>
      <c r="W1530" s="44">
        <f t="array" ref="W1530">_xlfn.IFS(TRIM(C1530)="","",TRIM(V1530)="","",TRUE,V1530-C1530)</f>
        <v>2</v>
      </c>
      <c r="X1530" s="37">
        <f t="shared" si="377"/>
        <v>0</v>
      </c>
      <c r="Y1530" s="46" t="s">
        <v>117</v>
      </c>
      <c r="Z1530" s="37" t="str">
        <f t="shared" si="378"/>
        <v>delivered</v>
      </c>
      <c r="AA1530" s="37" t="str">
        <f t="shared" si="379"/>
        <v>On Time</v>
      </c>
      <c r="AB1530" s="37" t="str">
        <f t="shared" si="382"/>
        <v>0</v>
      </c>
      <c r="AC1530" s="37">
        <f t="shared" si="383"/>
        <v>0</v>
      </c>
      <c r="AD1530" s="45">
        <f t="shared" si="381"/>
        <v>0.577464788732394</v>
      </c>
      <c r="AE1530" s="46">
        <v>5</v>
      </c>
      <c r="AF1530" s="46" t="s">
        <v>191</v>
      </c>
      <c r="AG1530" s="37" t="str">
        <f t="shared" si="380"/>
        <v>no</v>
      </c>
      <c r="AH1530" s="37" t="str">
        <f t="array" ref="AH1530">_xlfn.IFS(LOWER(AG1530)="n","no",LOWER(AG1530)="y","yes",TRUE,LOWER(AG1530))</f>
        <v>no</v>
      </c>
      <c r="AI1530" s="46" t="s">
        <v>4692</v>
      </c>
    </row>
    <row r="1531" spans="1:35">
      <c r="A1531" s="37" t="s">
        <v>4511</v>
      </c>
      <c r="B1531" s="38">
        <v>45304</v>
      </c>
      <c r="C1531" s="39">
        <f t="shared" si="368"/>
        <v>45304</v>
      </c>
      <c r="D1531" s="40" t="s">
        <v>4712</v>
      </c>
      <c r="E1531" s="37" t="str" cm="1">
        <f t="array" ref="E1531">_xlfn.IFS(D1531="delhi","north",D1531="mumbai","west",D1531="bengaluru","south",D1531="chennai","south",D1531="kolkata","east",TRUE,"west")</f>
        <v>west</v>
      </c>
      <c r="F1531" s="37" t="s">
        <v>544</v>
      </c>
      <c r="G1531" s="37" t="str">
        <f t="shared" si="369"/>
        <v>bluedart</v>
      </c>
      <c r="H1531" s="37" t="s">
        <v>176</v>
      </c>
      <c r="I1531" s="37" t="str">
        <f t="shared" si="370"/>
        <v>road</v>
      </c>
      <c r="J1531" s="37" t="s">
        <v>533</v>
      </c>
      <c r="K1531" s="37" t="str">
        <f t="shared" si="371"/>
        <v>pharma</v>
      </c>
      <c r="L1531" s="37" t="s">
        <v>159</v>
      </c>
      <c r="M1531" s="37" t="str">
        <f t="shared" si="372"/>
        <v>south</v>
      </c>
      <c r="N1531" s="37" t="s">
        <v>54</v>
      </c>
      <c r="O1531" s="41" t="str">
        <f t="shared" si="373"/>
        <v>Yes</v>
      </c>
      <c r="P1531" s="41" t="s">
        <v>3534</v>
      </c>
      <c r="Q1531" s="41" t="s">
        <v>432</v>
      </c>
      <c r="R1531" s="42">
        <f t="shared" si="374"/>
        <v>133.333333333333</v>
      </c>
      <c r="S1531" s="37">
        <v>6</v>
      </c>
      <c r="T1531" s="37" t="s">
        <v>506</v>
      </c>
      <c r="U1531" s="43" t="str">
        <f t="shared" si="375"/>
        <v>19-jan-2024</v>
      </c>
      <c r="V1531" s="43">
        <f t="shared" si="376"/>
        <v>45310</v>
      </c>
      <c r="W1531" s="44">
        <f t="array" ref="W1531">_xlfn.IFS(TRIM(C1531)="","",TRIM(V1531)="","",TRUE,V1531-C1531)</f>
        <v>6</v>
      </c>
      <c r="X1531" s="37">
        <f t="shared" si="377"/>
        <v>0</v>
      </c>
      <c r="Y1531" s="37" t="s">
        <v>117</v>
      </c>
      <c r="Z1531" s="37" t="str">
        <f t="shared" si="378"/>
        <v>delivered</v>
      </c>
      <c r="AA1531" s="37" t="str">
        <f t="shared" si="379"/>
        <v>On Time</v>
      </c>
      <c r="AB1531" s="37" t="str">
        <f t="shared" si="382"/>
        <v>0</v>
      </c>
      <c r="AC1531" s="37">
        <f t="shared" si="383"/>
        <v>0</v>
      </c>
      <c r="AD1531" s="45">
        <f t="shared" si="381"/>
        <v>0.585714285714286</v>
      </c>
      <c r="AE1531" s="37">
        <v>3</v>
      </c>
      <c r="AF1531" s="37" t="s">
        <v>106</v>
      </c>
      <c r="AG1531" s="37" t="str">
        <f t="shared" si="380"/>
        <v>yes</v>
      </c>
      <c r="AH1531" s="37" t="str">
        <f t="array" ref="AH1531">_xlfn.IFS(LOWER(AG1531)="n","no",LOWER(AG1531)="y","yes",TRUE,LOWER(AG1531))</f>
        <v>yes</v>
      </c>
      <c r="AI1531" s="37" t="s">
        <v>4692</v>
      </c>
    </row>
    <row r="1532" spans="1:35">
      <c r="A1532" s="46" t="s">
        <v>4512</v>
      </c>
      <c r="B1532" s="47" t="s">
        <v>4827</v>
      </c>
      <c r="C1532" s="39">
        <f t="shared" si="368"/>
        <v>45435</v>
      </c>
      <c r="D1532" s="48" t="s">
        <v>4694</v>
      </c>
      <c r="E1532" s="37" t="str" cm="1">
        <f t="array" ref="E1532">_xlfn.IFS(D1532="delhi","north",D1532="mumbai","west",D1532="bengaluru","south",D1532="chennai","south",D1532="kolkata","east",TRUE,"west")</f>
        <v>west</v>
      </c>
      <c r="F1532" s="46" t="s">
        <v>136</v>
      </c>
      <c r="G1532" s="37" t="str">
        <f t="shared" si="369"/>
        <v>bluedart</v>
      </c>
      <c r="H1532" s="46" t="s">
        <v>157</v>
      </c>
      <c r="I1532" s="37" t="str">
        <f t="shared" si="370"/>
        <v>surface</v>
      </c>
      <c r="J1532" s="46" t="s">
        <v>205</v>
      </c>
      <c r="K1532" s="37" t="str">
        <f t="shared" si="371"/>
        <v>furniture</v>
      </c>
      <c r="L1532" s="46" t="s">
        <v>89</v>
      </c>
      <c r="M1532" s="37" t="str">
        <f t="shared" si="372"/>
        <v>west</v>
      </c>
      <c r="N1532" s="46" t="s">
        <v>88</v>
      </c>
      <c r="O1532" s="41" t="str">
        <f t="shared" si="373"/>
        <v>Yes</v>
      </c>
      <c r="P1532" s="49">
        <v>64.4</v>
      </c>
      <c r="Q1532" s="49" t="s">
        <v>4514</v>
      </c>
      <c r="R1532" s="42">
        <f t="shared" si="374"/>
        <v>25.2484472049689</v>
      </c>
      <c r="S1532" s="46">
        <v>6</v>
      </c>
      <c r="T1532" s="46" t="s">
        <v>1064</v>
      </c>
      <c r="U1532" s="43" t="str">
        <f t="shared" si="375"/>
        <v>2024-05-29</v>
      </c>
      <c r="V1532" s="43">
        <f t="shared" si="376"/>
        <v>45441</v>
      </c>
      <c r="W1532" s="44">
        <f t="array" ref="W1532">_xlfn.IFS(TRIM(C1532)="","",TRIM(V1532)="","",TRUE,V1532-C1532)</f>
        <v>6</v>
      </c>
      <c r="X1532" s="37">
        <f t="shared" si="377"/>
        <v>0</v>
      </c>
      <c r="Y1532" s="46" t="s">
        <v>163</v>
      </c>
      <c r="Z1532" s="37" t="str">
        <f t="shared" si="378"/>
        <v>delivered</v>
      </c>
      <c r="AA1532" s="37" t="str">
        <f t="shared" si="379"/>
        <v>On Time</v>
      </c>
      <c r="AB1532" s="37" t="str">
        <f t="shared" si="382"/>
        <v>0</v>
      </c>
      <c r="AC1532" s="37">
        <f t="shared" si="383"/>
        <v>0</v>
      </c>
      <c r="AD1532" s="45">
        <f t="shared" si="381"/>
        <v>0.594202898550725</v>
      </c>
      <c r="AE1532" s="46">
        <v>4</v>
      </c>
      <c r="AF1532" s="46" t="s">
        <v>131</v>
      </c>
      <c r="AG1532" s="37" t="str">
        <f t="shared" si="380"/>
        <v>n</v>
      </c>
      <c r="AH1532" s="37" t="str">
        <f t="array" ref="AH1532">_xlfn.IFS(LOWER(AG1532)="n","no",LOWER(AG1532)="y","yes",TRUE,LOWER(AG1532))</f>
        <v>no</v>
      </c>
      <c r="AI1532" s="46" t="s">
        <v>4692</v>
      </c>
    </row>
    <row r="1533" spans="1:35">
      <c r="A1533" s="37" t="s">
        <v>4515</v>
      </c>
      <c r="B1533" s="38">
        <v>45458</v>
      </c>
      <c r="C1533" s="39">
        <f t="shared" si="368"/>
        <v>45458</v>
      </c>
      <c r="D1533" s="40" t="s">
        <v>109</v>
      </c>
      <c r="E1533" s="37" t="str" cm="1">
        <f t="array" ref="E1533">_xlfn.IFS(D1533="delhi","north",D1533="mumbai","west",D1533="bengaluru","south",D1533="chennai","south",D1533="kolkata","east",TRUE,"west")</f>
        <v>west</v>
      </c>
      <c r="F1533" s="37" t="s">
        <v>213</v>
      </c>
      <c r="G1533" s="37" t="str">
        <f t="shared" si="369"/>
        <v>dtdc</v>
      </c>
      <c r="H1533" s="37" t="s">
        <v>147</v>
      </c>
      <c r="I1533" s="37" t="str">
        <f t="shared" si="370"/>
        <v>road</v>
      </c>
      <c r="J1533" s="37" t="s">
        <v>843</v>
      </c>
      <c r="K1533" s="37" t="str">
        <f t="shared" si="371"/>
        <v>automotiveparts</v>
      </c>
      <c r="L1533" s="37" t="s">
        <v>257</v>
      </c>
      <c r="M1533" s="37" t="str">
        <f t="shared" si="372"/>
        <v>west</v>
      </c>
      <c r="N1533" s="37" t="s">
        <v>187</v>
      </c>
      <c r="O1533" s="41" t="str">
        <f t="shared" si="373"/>
        <v>Yes</v>
      </c>
      <c r="P1533" s="41">
        <v>20.3</v>
      </c>
      <c r="Q1533" s="41" t="s">
        <v>4517</v>
      </c>
      <c r="R1533" s="42">
        <f t="shared" si="374"/>
        <v>15.2709359605911</v>
      </c>
      <c r="S1533" s="37">
        <v>6</v>
      </c>
      <c r="T1533" s="37" t="s">
        <v>2169</v>
      </c>
      <c r="U1533" s="43" t="str">
        <f t="shared" si="375"/>
        <v>2024-06-20</v>
      </c>
      <c r="V1533" s="43">
        <f t="shared" si="376"/>
        <v>45463</v>
      </c>
      <c r="W1533" s="44">
        <f t="array" ref="W1533">_xlfn.IFS(TRIM(C1533)="","",TRIM(V1533)="","",TRUE,V1533-C1533)</f>
        <v>5</v>
      </c>
      <c r="X1533" s="37">
        <f t="shared" si="377"/>
        <v>-1</v>
      </c>
      <c r="Y1533" s="37" t="s">
        <v>117</v>
      </c>
      <c r="Z1533" s="37" t="str">
        <f t="shared" si="378"/>
        <v>delivered</v>
      </c>
      <c r="AA1533" s="37" t="str">
        <f t="shared" si="379"/>
        <v>On Time</v>
      </c>
      <c r="AB1533" s="37" t="str">
        <f t="shared" si="382"/>
        <v>0</v>
      </c>
      <c r="AC1533" s="37">
        <f t="shared" si="383"/>
        <v>0</v>
      </c>
      <c r="AD1533" s="45">
        <f t="shared" si="381"/>
        <v>0.602941176470588</v>
      </c>
      <c r="AE1533" s="37">
        <v>5</v>
      </c>
      <c r="AF1533" s="37" t="s">
        <v>118</v>
      </c>
      <c r="AG1533" s="37" t="str">
        <f t="shared" si="380"/>
        <v>no</v>
      </c>
      <c r="AH1533" s="37" t="str">
        <f t="array" ref="AH1533">_xlfn.IFS(LOWER(AG1533)="n","no",LOWER(AG1533)="y","yes",TRUE,LOWER(AG1533))</f>
        <v>no</v>
      </c>
      <c r="AI1533" s="37" t="s">
        <v>4692</v>
      </c>
    </row>
    <row r="1534" spans="1:35">
      <c r="A1534" s="46" t="s">
        <v>4518</v>
      </c>
      <c r="B1534" s="47" t="s">
        <v>4718</v>
      </c>
      <c r="C1534" s="39">
        <f t="shared" si="368"/>
        <v>45333</v>
      </c>
      <c r="D1534" s="48" t="s">
        <v>366</v>
      </c>
      <c r="E1534" s="37" t="str" cm="1">
        <f t="array" ref="E1534">_xlfn.IFS(D1534="delhi","north",D1534="mumbai","west",D1534="bengaluru","south",D1534="chennai","south",D1534="kolkata","east",TRUE,"west")</f>
        <v>east</v>
      </c>
      <c r="F1534" s="46" t="s">
        <v>367</v>
      </c>
      <c r="G1534" s="37" t="str">
        <f t="shared" si="369"/>
        <v>dtdc</v>
      </c>
      <c r="H1534" s="46" t="s">
        <v>123</v>
      </c>
      <c r="I1534" s="37" t="str">
        <f t="shared" si="370"/>
        <v>air</v>
      </c>
      <c r="J1534" s="46" t="s">
        <v>1112</v>
      </c>
      <c r="K1534" s="37" t="str">
        <f t="shared" si="371"/>
        <v>automotiveparts</v>
      </c>
      <c r="L1534" s="46" t="s">
        <v>380</v>
      </c>
      <c r="M1534" s="37" t="str">
        <f t="shared" si="372"/>
        <v>east</v>
      </c>
      <c r="N1534" s="46" t="s">
        <v>91</v>
      </c>
      <c r="O1534" s="41" t="str">
        <f t="shared" si="373"/>
        <v>Yes</v>
      </c>
      <c r="P1534" s="49" t="s">
        <v>4519</v>
      </c>
      <c r="Q1534" s="49">
        <v>1785</v>
      </c>
      <c r="R1534" s="42">
        <f t="shared" si="374"/>
        <v>45.4198473282443</v>
      </c>
      <c r="S1534" s="46">
        <v>2</v>
      </c>
      <c r="T1534" s="46" t="s">
        <v>492</v>
      </c>
      <c r="U1534" s="43" t="str">
        <f t="shared" si="375"/>
        <v>13/02/2024</v>
      </c>
      <c r="V1534" s="43">
        <f t="shared" si="376"/>
        <v>45335</v>
      </c>
      <c r="W1534" s="44">
        <f t="array" ref="W1534">_xlfn.IFS(TRIM(C1534)="","",TRIM(V1534)="","",TRUE,V1534-C1534)</f>
        <v>2</v>
      </c>
      <c r="X1534" s="37">
        <f t="shared" si="377"/>
        <v>0</v>
      </c>
      <c r="Y1534" s="46" t="s">
        <v>163</v>
      </c>
      <c r="Z1534" s="37" t="str">
        <f t="shared" si="378"/>
        <v>delivered</v>
      </c>
      <c r="AA1534" s="37" t="str">
        <f t="shared" si="379"/>
        <v>On Time</v>
      </c>
      <c r="AB1534" s="37" t="str">
        <f t="shared" si="382"/>
        <v>0</v>
      </c>
      <c r="AC1534" s="37">
        <f t="shared" si="383"/>
        <v>0</v>
      </c>
      <c r="AD1534" s="45">
        <f t="shared" si="381"/>
        <v>0.611940298507463</v>
      </c>
      <c r="AE1534" s="46">
        <v>2</v>
      </c>
      <c r="AF1534" s="46" t="s">
        <v>191</v>
      </c>
      <c r="AG1534" s="37" t="str">
        <f t="shared" si="380"/>
        <v>no</v>
      </c>
      <c r="AH1534" s="37" t="str">
        <f t="array" ref="AH1534">_xlfn.IFS(LOWER(AG1534)="n","no",LOWER(AG1534)="y","yes",TRUE,LOWER(AG1534))</f>
        <v>no</v>
      </c>
      <c r="AI1534" s="46" t="s">
        <v>4692</v>
      </c>
    </row>
    <row r="1535" spans="1:35">
      <c r="A1535" s="37" t="s">
        <v>4521</v>
      </c>
      <c r="B1535" s="38" t="s">
        <v>4716</v>
      </c>
      <c r="C1535" s="39">
        <f t="shared" si="368"/>
        <v>45467</v>
      </c>
      <c r="D1535" s="40" t="s">
        <v>366</v>
      </c>
      <c r="E1535" s="37" t="str" cm="1">
        <f t="array" ref="E1535">_xlfn.IFS(D1535="delhi","north",D1535="mumbai","west",D1535="bengaluru","south",D1535="chennai","south",D1535="kolkata","east",TRUE,"west")</f>
        <v>east</v>
      </c>
      <c r="F1535" s="37" t="s">
        <v>37</v>
      </c>
      <c r="G1535" s="37" t="str">
        <f t="shared" si="369"/>
        <v>bluedart</v>
      </c>
      <c r="H1535" s="37" t="s">
        <v>185</v>
      </c>
      <c r="I1535" s="37" t="str">
        <f t="shared" si="370"/>
        <v>surface</v>
      </c>
      <c r="J1535" s="37" t="s">
        <v>319</v>
      </c>
      <c r="K1535" s="37" t="str">
        <f t="shared" si="371"/>
        <v>electronics</v>
      </c>
      <c r="L1535" s="37" t="s">
        <v>302</v>
      </c>
      <c r="M1535" s="37" t="str">
        <f t="shared" si="372"/>
        <v>east</v>
      </c>
      <c r="N1535" s="37" t="s">
        <v>91</v>
      </c>
      <c r="O1535" s="41" t="str">
        <f t="shared" si="373"/>
        <v>Yes</v>
      </c>
      <c r="P1535" s="41">
        <v>8.9</v>
      </c>
      <c r="Q1535" s="41">
        <v>212</v>
      </c>
      <c r="R1535" s="42">
        <f t="shared" si="374"/>
        <v>23.8202247191011</v>
      </c>
      <c r="S1535" s="37">
        <v>4</v>
      </c>
      <c r="T1535" s="37" t="s">
        <v>1552</v>
      </c>
      <c r="U1535" s="43" t="str">
        <f t="shared" si="375"/>
        <v>28/06/2024</v>
      </c>
      <c r="V1535" s="43">
        <f t="shared" si="376"/>
        <v>45471</v>
      </c>
      <c r="W1535" s="44">
        <f t="array" ref="W1535">_xlfn.IFS(TRIM(C1535)="","",TRIM(V1535)="","",TRUE,V1535-C1535)</f>
        <v>4</v>
      </c>
      <c r="X1535" s="37">
        <f t="shared" si="377"/>
        <v>0</v>
      </c>
      <c r="Y1535" s="37" t="s">
        <v>219</v>
      </c>
      <c r="Z1535" s="37" t="str">
        <f t="shared" si="378"/>
        <v>delivered</v>
      </c>
      <c r="AA1535" s="37" t="str">
        <f t="shared" si="379"/>
        <v>On Time</v>
      </c>
      <c r="AB1535" s="37" t="str">
        <f t="shared" si="382"/>
        <v>0</v>
      </c>
      <c r="AC1535" s="37">
        <f t="shared" si="383"/>
        <v>0</v>
      </c>
      <c r="AD1535" s="45">
        <f t="shared" si="381"/>
        <v>0.621212121212121</v>
      </c>
      <c r="AE1535" s="37">
        <v>5</v>
      </c>
      <c r="AF1535" s="37" t="s">
        <v>118</v>
      </c>
      <c r="AG1535" s="37" t="str">
        <f t="shared" si="380"/>
        <v>no</v>
      </c>
      <c r="AH1535" s="37" t="str">
        <f t="array" ref="AH1535">_xlfn.IFS(LOWER(AG1535)="n","no",LOWER(AG1535)="y","yes",TRUE,LOWER(AG1535))</f>
        <v>no</v>
      </c>
      <c r="AI1535" s="37" t="s">
        <v>4692</v>
      </c>
    </row>
    <row r="1536" spans="1:35">
      <c r="A1536" s="46" t="s">
        <v>4522</v>
      </c>
      <c r="B1536" s="47" t="s">
        <v>4822</v>
      </c>
      <c r="C1536" s="39">
        <f t="shared" si="368"/>
        <v>45469</v>
      </c>
      <c r="D1536" s="48" t="s">
        <v>633</v>
      </c>
      <c r="E1536" s="37" t="str" cm="1">
        <f t="array" ref="E1536">_xlfn.IFS(D1536="delhi","north",D1536="mumbai","west",D1536="bengaluru","south",D1536="chennai","south",D1536="kolkata","east",TRUE,"west")</f>
        <v>south</v>
      </c>
      <c r="F1536" s="46" t="s">
        <v>270</v>
      </c>
      <c r="G1536" s="37" t="str">
        <f t="shared" si="369"/>
        <v>ecomexpress</v>
      </c>
      <c r="H1536" s="46" t="s">
        <v>110</v>
      </c>
      <c r="I1536" s="37" t="str">
        <f t="shared" si="370"/>
        <v>surface</v>
      </c>
      <c r="J1536" s="46" t="s">
        <v>425</v>
      </c>
      <c r="K1536" s="37" t="str">
        <f t="shared" si="371"/>
        <v>automotiveparts</v>
      </c>
      <c r="L1536" s="46" t="s">
        <v>302</v>
      </c>
      <c r="M1536" s="37" t="str">
        <f t="shared" si="372"/>
        <v>east</v>
      </c>
      <c r="N1536" s="46" t="s">
        <v>294</v>
      </c>
      <c r="O1536" s="41" t="str">
        <f t="shared" si="373"/>
        <v>Yes</v>
      </c>
      <c r="P1536" s="49">
        <v>5.5</v>
      </c>
      <c r="Q1536" s="49">
        <v>268</v>
      </c>
      <c r="R1536" s="42">
        <f t="shared" si="374"/>
        <v>48.7272727272727</v>
      </c>
      <c r="S1536" s="46">
        <v>6</v>
      </c>
      <c r="T1536" s="46" t="s">
        <v>630</v>
      </c>
      <c r="U1536" s="43" t="str">
        <f t="shared" si="375"/>
        <v>03/07/2024</v>
      </c>
      <c r="V1536" s="43">
        <f t="shared" si="376"/>
        <v>45476</v>
      </c>
      <c r="W1536" s="44">
        <f t="array" ref="W1536">_xlfn.IFS(TRIM(C1536)="","",TRIM(V1536)="","",TRUE,V1536-C1536)</f>
        <v>7</v>
      </c>
      <c r="X1536" s="37">
        <f t="shared" si="377"/>
        <v>1</v>
      </c>
      <c r="Y1536" s="46" t="s">
        <v>200</v>
      </c>
      <c r="Z1536" s="37" t="str">
        <f t="shared" si="378"/>
        <v>delayed</v>
      </c>
      <c r="AA1536" s="37" t="str">
        <f t="shared" si="379"/>
        <v>Late</v>
      </c>
      <c r="AB1536" s="37" t="str">
        <f t="shared" si="382"/>
        <v>1</v>
      </c>
      <c r="AC1536" s="37">
        <f t="shared" si="383"/>
        <v>1</v>
      </c>
      <c r="AD1536" s="45">
        <f t="shared" si="381"/>
        <v>0.630769230769231</v>
      </c>
      <c r="AE1536" s="46">
        <v>3</v>
      </c>
      <c r="AF1536" s="46" t="s">
        <v>191</v>
      </c>
      <c r="AG1536" s="37" t="str">
        <f t="shared" si="380"/>
        <v>no</v>
      </c>
      <c r="AH1536" s="37" t="str">
        <f t="array" ref="AH1536">_xlfn.IFS(LOWER(AG1536)="n","no",LOWER(AG1536)="y","yes",TRUE,LOWER(AG1536))</f>
        <v>no</v>
      </c>
      <c r="AI1536" s="46" t="s">
        <v>4692</v>
      </c>
    </row>
    <row r="1537" spans="1:35">
      <c r="A1537" s="37" t="s">
        <v>4523</v>
      </c>
      <c r="B1537" s="38">
        <v>45450</v>
      </c>
      <c r="C1537" s="39">
        <f t="shared" si="368"/>
        <v>45450</v>
      </c>
      <c r="D1537" s="40" t="s">
        <v>633</v>
      </c>
      <c r="E1537" s="37" t="str" cm="1">
        <f t="array" ref="E1537">_xlfn.IFS(D1537="delhi","north",D1537="mumbai","west",D1537="bengaluru","south",D1537="chennai","south",D1537="kolkata","east",TRUE,"west")</f>
        <v>south</v>
      </c>
      <c r="F1537" s="37" t="s">
        <v>37</v>
      </c>
      <c r="G1537" s="37" t="str">
        <f t="shared" si="369"/>
        <v>bluedart</v>
      </c>
      <c r="H1537" s="37" t="s">
        <v>42</v>
      </c>
      <c r="I1537" s="37" t="str">
        <f t="shared" si="370"/>
        <v>surface</v>
      </c>
      <c r="J1537" s="37" t="s">
        <v>498</v>
      </c>
      <c r="K1537" s="37" t="str">
        <f t="shared" si="371"/>
        <v>apparel</v>
      </c>
      <c r="L1537" s="37" t="s">
        <v>401</v>
      </c>
      <c r="M1537" s="37" t="str">
        <f t="shared" si="372"/>
        <v>south</v>
      </c>
      <c r="N1537" s="37" t="s">
        <v>54</v>
      </c>
      <c r="O1537" s="41" t="str">
        <f t="shared" si="373"/>
        <v>Yes</v>
      </c>
      <c r="P1537" s="41">
        <v>2.6</v>
      </c>
      <c r="Q1537" s="41" t="s">
        <v>432</v>
      </c>
      <c r="R1537" s="42">
        <f t="shared" si="374"/>
        <v>30.7692307692308</v>
      </c>
      <c r="S1537" s="37">
        <v>4</v>
      </c>
      <c r="T1537" s="37" t="s">
        <v>433</v>
      </c>
      <c r="U1537" s="43" t="str">
        <f t="shared" si="375"/>
        <v>2024-06-15</v>
      </c>
      <c r="V1537" s="43">
        <f t="shared" si="376"/>
        <v>45458</v>
      </c>
      <c r="W1537" s="44">
        <f t="array" ref="W1537">_xlfn.IFS(TRIM(C1537)="","",TRIM(V1537)="","",TRUE,V1537-C1537)</f>
        <v>8</v>
      </c>
      <c r="X1537" s="37">
        <f t="shared" si="377"/>
        <v>4</v>
      </c>
      <c r="Y1537" s="37" t="s">
        <v>72</v>
      </c>
      <c r="Z1537" s="37" t="str">
        <f t="shared" si="378"/>
        <v>delayed</v>
      </c>
      <c r="AA1537" s="37" t="str">
        <f t="shared" si="379"/>
        <v>Late</v>
      </c>
      <c r="AB1537" s="37" t="str">
        <f t="shared" si="382"/>
        <v>1</v>
      </c>
      <c r="AC1537" s="37">
        <f t="shared" si="383"/>
        <v>1</v>
      </c>
      <c r="AD1537" s="45">
        <f t="shared" si="381"/>
        <v>0.625</v>
      </c>
      <c r="AE1537" s="37">
        <v>3</v>
      </c>
      <c r="AF1537" s="37" t="s">
        <v>131</v>
      </c>
      <c r="AG1537" s="37" t="str">
        <f t="shared" si="380"/>
        <v>n</v>
      </c>
      <c r="AH1537" s="37" t="str">
        <f t="array" ref="AH1537">_xlfn.IFS(LOWER(AG1537)="n","no",LOWER(AG1537)="y","yes",TRUE,LOWER(AG1537))</f>
        <v>no</v>
      </c>
      <c r="AI1537" s="37" t="s">
        <v>4692</v>
      </c>
    </row>
    <row r="1538" spans="1:35">
      <c r="A1538" s="46" t="s">
        <v>4524</v>
      </c>
      <c r="B1538" s="47">
        <v>45465</v>
      </c>
      <c r="C1538" s="39">
        <f t="shared" ref="C1538:C1601" si="384">IF(ISNUMBER(B1538),B1538,DATE(RIGHT(TRIM(B1538),4),MID(TRIM(B1538),4,2),LEFT(TRIM(B1538),2)))</f>
        <v>45465</v>
      </c>
      <c r="D1538" s="48" t="s">
        <v>4712</v>
      </c>
      <c r="E1538" s="37" t="str" cm="1">
        <f t="array" ref="E1538">_xlfn.IFS(D1538="delhi","north",D1538="mumbai","west",D1538="bengaluru","south",D1538="chennai","south",D1538="kolkata","east",TRUE,"west")</f>
        <v>west</v>
      </c>
      <c r="F1538" s="46" t="s">
        <v>136</v>
      </c>
      <c r="G1538" s="37" t="str">
        <f t="shared" ref="G1538:G1601" si="385">SUBSTITUTE(LOWER(F1538)," ","")</f>
        <v>bluedart</v>
      </c>
      <c r="H1538" s="46" t="s">
        <v>147</v>
      </c>
      <c r="I1538" s="37" t="str">
        <f t="shared" ref="I1538:I1601" si="386">SUBSTITUTE(LOWER(H1538)," ","")</f>
        <v>road</v>
      </c>
      <c r="J1538" s="46" t="s">
        <v>196</v>
      </c>
      <c r="K1538" s="37" t="str">
        <f t="shared" ref="K1538:K1601" si="387">SUBSTITUTE(LOWER(J1538)," ","")</f>
        <v>apparel</v>
      </c>
      <c r="L1538" s="46" t="s">
        <v>302</v>
      </c>
      <c r="M1538" s="37" t="str">
        <f t="shared" ref="M1538:M1601" si="388">SUBSTITUTE(LOWER(L1538)," ","")</f>
        <v>east</v>
      </c>
      <c r="N1538" s="46" t="s">
        <v>91</v>
      </c>
      <c r="O1538" s="41" t="str">
        <f t="shared" ref="O1538:O1601" si="389">IF(OR(D1538="",M1538=""),"",IF(D1538=M1538,"No","Yes"))</f>
        <v>Yes</v>
      </c>
      <c r="P1538" s="49">
        <v>2.1</v>
      </c>
      <c r="Q1538" s="49">
        <v>167</v>
      </c>
      <c r="R1538" s="42">
        <f t="shared" ref="R1538:R1601" si="390">IF(OR(Q1538="",P1538="",P1538=0),"",Q1538/P1538)</f>
        <v>79.5238095238095</v>
      </c>
      <c r="S1538" s="46">
        <v>8</v>
      </c>
      <c r="T1538" s="46" t="s">
        <v>490</v>
      </c>
      <c r="U1538" s="43" t="str">
        <f t="shared" ref="U1538:U1601" si="391">SUBSTITUTE(LOWER(T1538)," ","")</f>
        <v>2024-06-29</v>
      </c>
      <c r="V1538" s="43">
        <f t="shared" ref="V1538:V1601" si="392">DATEVALUE(TEXT(U1538,"yyyy-mm-dd"))</f>
        <v>45472</v>
      </c>
      <c r="W1538" s="44">
        <f t="array" ref="W1538">_xlfn.IFS(TRIM(C1538)="","",TRIM(V1538)="","",TRUE,V1538-C1538)</f>
        <v>7</v>
      </c>
      <c r="X1538" s="37">
        <f t="shared" ref="X1538:X1601" si="393">IF(OR(W1538="",S1538=""),"",W1538-S1538)</f>
        <v>-1</v>
      </c>
      <c r="Y1538" s="46" t="s">
        <v>117</v>
      </c>
      <c r="Z1538" s="37" t="str">
        <f t="shared" ref="Z1538:Z1601" si="394">SUBSTITUTE(LOWER(Y1538)," ","")</f>
        <v>delivered</v>
      </c>
      <c r="AA1538" s="37" t="str">
        <f t="shared" ref="AA1538:AA1601" si="395">IF(Z1538="In-Transit","N/A",IF(X1538="","",IF(X1538&gt;0,"Late","On Time")))</f>
        <v>On Time</v>
      </c>
      <c r="AB1538" s="37" t="str">
        <f t="shared" si="382"/>
        <v>0</v>
      </c>
      <c r="AC1538" s="37">
        <f t="shared" si="383"/>
        <v>0</v>
      </c>
      <c r="AD1538" s="45">
        <f t="shared" si="381"/>
        <v>0.619047619047619</v>
      </c>
      <c r="AE1538" s="46">
        <v>4</v>
      </c>
      <c r="AF1538" s="46" t="s">
        <v>106</v>
      </c>
      <c r="AG1538" s="37" t="str">
        <f t="shared" ref="AG1538:AG1601" si="396">SUBSTITUTE(LOWER(AF1538)," ","")</f>
        <v>yes</v>
      </c>
      <c r="AH1538" s="37" t="str">
        <f t="array" ref="AH1538">_xlfn.IFS(LOWER(AG1538)="n","no",LOWER(AG1538)="y","yes",TRUE,LOWER(AG1538))</f>
        <v>yes</v>
      </c>
      <c r="AI1538" s="46" t="s">
        <v>4692</v>
      </c>
    </row>
    <row r="1539" spans="1:35">
      <c r="A1539" s="37" t="s">
        <v>4525</v>
      </c>
      <c r="B1539" s="38" t="s">
        <v>4787</v>
      </c>
      <c r="C1539" s="39">
        <f t="shared" si="384"/>
        <v>45436</v>
      </c>
      <c r="D1539" s="40" t="s">
        <v>4712</v>
      </c>
      <c r="E1539" s="37" t="str" cm="1">
        <f t="array" ref="E1539">_xlfn.IFS(D1539="delhi","north",D1539="mumbai","west",D1539="bengaluru","south",D1539="chennai","south",D1539="kolkata","east",TRUE,"west")</f>
        <v>west</v>
      </c>
      <c r="F1539" s="37" t="s">
        <v>230</v>
      </c>
      <c r="G1539" s="37" t="str">
        <f t="shared" si="385"/>
        <v>dtdc</v>
      </c>
      <c r="H1539" s="37" t="s">
        <v>244</v>
      </c>
      <c r="I1539" s="37" t="str">
        <f t="shared" si="386"/>
        <v>air</v>
      </c>
      <c r="J1539" s="37" t="s">
        <v>205</v>
      </c>
      <c r="K1539" s="37" t="str">
        <f t="shared" si="387"/>
        <v>furniture</v>
      </c>
      <c r="L1539" s="37" t="s">
        <v>470</v>
      </c>
      <c r="M1539" s="37" t="str">
        <f t="shared" si="388"/>
        <v>east</v>
      </c>
      <c r="N1539" s="37" t="s">
        <v>126</v>
      </c>
      <c r="O1539" s="41" t="str">
        <f t="shared" si="389"/>
        <v>Yes</v>
      </c>
      <c r="P1539" s="41">
        <v>75.3</v>
      </c>
      <c r="Q1539" s="41" t="s">
        <v>4527</v>
      </c>
      <c r="R1539" s="42">
        <f t="shared" si="390"/>
        <v>47.4236387782205</v>
      </c>
      <c r="S1539" s="37">
        <v>4</v>
      </c>
      <c r="T1539" s="37" t="s">
        <v>3991</v>
      </c>
      <c r="U1539" s="43" t="str">
        <f t="shared" si="391"/>
        <v>04/06/2024</v>
      </c>
      <c r="V1539" s="43">
        <f t="shared" si="392"/>
        <v>45447</v>
      </c>
      <c r="W1539" s="44">
        <f t="array" ref="W1539">_xlfn.IFS(TRIM(C1539)="","",TRIM(V1539)="","",TRUE,V1539-C1539)</f>
        <v>11</v>
      </c>
      <c r="X1539" s="37">
        <f t="shared" si="393"/>
        <v>7</v>
      </c>
      <c r="Y1539" s="37" t="s">
        <v>143</v>
      </c>
      <c r="Z1539" s="37" t="str">
        <f t="shared" si="394"/>
        <v>delayed</v>
      </c>
      <c r="AA1539" s="37" t="str">
        <f t="shared" si="395"/>
        <v>Late</v>
      </c>
      <c r="AB1539" s="37" t="str">
        <f t="shared" si="382"/>
        <v>1</v>
      </c>
      <c r="AC1539" s="37">
        <f t="shared" si="383"/>
        <v>1</v>
      </c>
      <c r="AD1539" s="45">
        <f t="shared" ref="AD1539:AD1601" si="397">COUNTIF(AC1539:AC3138,1)/COUNT(AC1539:AC3138)</f>
        <v>0.629032258064516</v>
      </c>
      <c r="AE1539" s="37">
        <v>1</v>
      </c>
      <c r="AF1539" s="37" t="s">
        <v>131</v>
      </c>
      <c r="AG1539" s="37" t="str">
        <f t="shared" si="396"/>
        <v>n</v>
      </c>
      <c r="AH1539" s="37" t="str">
        <f t="array" ref="AH1539">_xlfn.IFS(LOWER(AG1539)="n","no",LOWER(AG1539)="y","yes",TRUE,LOWER(AG1539))</f>
        <v>no</v>
      </c>
      <c r="AI1539" s="37" t="s">
        <v>4692</v>
      </c>
    </row>
    <row r="1540" spans="1:35">
      <c r="A1540" s="46" t="s">
        <v>4528</v>
      </c>
      <c r="B1540" s="47" t="s">
        <v>4819</v>
      </c>
      <c r="C1540" s="39">
        <f t="shared" si="384"/>
        <v>45371</v>
      </c>
      <c r="D1540" s="48" t="s">
        <v>424</v>
      </c>
      <c r="E1540" s="37" t="str" cm="1">
        <f t="array" ref="E1540">_xlfn.IFS(D1540="delhi","north",D1540="mumbai","west",D1540="bengaluru","south",D1540="chennai","south",D1540="kolkata","east",TRUE,"west")</f>
        <v>south</v>
      </c>
      <c r="F1540" s="46" t="s">
        <v>544</v>
      </c>
      <c r="G1540" s="37" t="str">
        <f t="shared" si="385"/>
        <v>bluedart</v>
      </c>
      <c r="H1540" s="46" t="s">
        <v>185</v>
      </c>
      <c r="I1540" s="37" t="str">
        <f t="shared" si="386"/>
        <v>surface</v>
      </c>
      <c r="J1540" s="46" t="s">
        <v>430</v>
      </c>
      <c r="K1540" s="37" t="str">
        <f t="shared" si="387"/>
        <v>pharma</v>
      </c>
      <c r="L1540" s="46" t="s">
        <v>346</v>
      </c>
      <c r="M1540" s="37" t="str">
        <f t="shared" si="388"/>
        <v>north</v>
      </c>
      <c r="N1540" s="46" t="s">
        <v>215</v>
      </c>
      <c r="O1540" s="41" t="str">
        <f t="shared" si="389"/>
        <v>Yes</v>
      </c>
      <c r="P1540" s="49" t="s">
        <v>2105</v>
      </c>
      <c r="Q1540" s="49">
        <v>215</v>
      </c>
      <c r="R1540" s="42">
        <f t="shared" si="390"/>
        <v>52.4390243902439</v>
      </c>
      <c r="S1540" s="46">
        <v>6</v>
      </c>
      <c r="T1540" s="46" t="s">
        <v>1259</v>
      </c>
      <c r="U1540" s="43" t="str">
        <f t="shared" si="391"/>
        <v>2024-03-25</v>
      </c>
      <c r="V1540" s="43">
        <f t="shared" si="392"/>
        <v>45376</v>
      </c>
      <c r="W1540" s="44">
        <f t="array" ref="W1540">_xlfn.IFS(TRIM(C1540)="","",TRIM(V1540)="","",TRUE,V1540-C1540)</f>
        <v>5</v>
      </c>
      <c r="X1540" s="37">
        <f t="shared" si="393"/>
        <v>-1</v>
      </c>
      <c r="Y1540" s="46" t="s">
        <v>105</v>
      </c>
      <c r="Z1540" s="37" t="str">
        <f t="shared" si="394"/>
        <v>delivered</v>
      </c>
      <c r="AA1540" s="37" t="str">
        <f t="shared" si="395"/>
        <v>On Time</v>
      </c>
      <c r="AB1540" s="37" t="str">
        <f t="shared" si="382"/>
        <v>0</v>
      </c>
      <c r="AC1540" s="37">
        <f t="shared" si="383"/>
        <v>0</v>
      </c>
      <c r="AD1540" s="45">
        <f t="shared" si="397"/>
        <v>0.622950819672131</v>
      </c>
      <c r="AE1540" s="46">
        <v>4</v>
      </c>
      <c r="AF1540" s="46" t="s">
        <v>286</v>
      </c>
      <c r="AG1540" s="37" t="str">
        <f t="shared" si="396"/>
        <v>yes</v>
      </c>
      <c r="AH1540" s="37" t="str">
        <f t="array" ref="AH1540">_xlfn.IFS(LOWER(AG1540)="n","no",LOWER(AG1540)="y","yes",TRUE,LOWER(AG1540))</f>
        <v>yes</v>
      </c>
      <c r="AI1540" s="46" t="s">
        <v>4692</v>
      </c>
    </row>
    <row r="1541" spans="1:35">
      <c r="A1541" s="37" t="s">
        <v>4529</v>
      </c>
      <c r="B1541" s="38">
        <v>45451</v>
      </c>
      <c r="C1541" s="39">
        <f t="shared" si="384"/>
        <v>45451</v>
      </c>
      <c r="D1541" s="40" t="s">
        <v>4695</v>
      </c>
      <c r="E1541" s="37" t="str" cm="1">
        <f t="array" ref="E1541">_xlfn.IFS(D1541="delhi","north",D1541="mumbai","west",D1541="bengaluru","south",D1541="chennai","south",D1541="kolkata","east",TRUE,"west")</f>
        <v>west</v>
      </c>
      <c r="F1541" s="37" t="s">
        <v>175</v>
      </c>
      <c r="G1541" s="37" t="str">
        <f t="shared" si="385"/>
        <v>ecomexpress</v>
      </c>
      <c r="H1541" s="37" t="s">
        <v>440</v>
      </c>
      <c r="I1541" s="37" t="str">
        <f t="shared" si="386"/>
        <v>road</v>
      </c>
      <c r="J1541" s="37" t="s">
        <v>1701</v>
      </c>
      <c r="K1541" s="37" t="str">
        <f t="shared" si="387"/>
        <v>grocery&amp;fmcg</v>
      </c>
      <c r="L1541" s="37" t="s">
        <v>334</v>
      </c>
      <c r="M1541" s="37" t="str">
        <f t="shared" si="388"/>
        <v>north</v>
      </c>
      <c r="N1541" s="37" t="s">
        <v>354</v>
      </c>
      <c r="O1541" s="41" t="str">
        <f t="shared" si="389"/>
        <v>Yes</v>
      </c>
      <c r="P1541" s="41">
        <v>19.3</v>
      </c>
      <c r="Q1541" s="41" t="s">
        <v>4530</v>
      </c>
      <c r="R1541" s="42">
        <f t="shared" si="390"/>
        <v>22.9015544041451</v>
      </c>
      <c r="S1541" s="37">
        <v>8</v>
      </c>
      <c r="T1541" s="37" t="s">
        <v>571</v>
      </c>
      <c r="U1541" s="43" t="str">
        <f t="shared" si="391"/>
        <v>17-jun-2024</v>
      </c>
      <c r="V1541" s="43">
        <f t="shared" si="392"/>
        <v>45460</v>
      </c>
      <c r="W1541" s="44">
        <f t="array" ref="W1541">_xlfn.IFS(TRIM(C1541)="","",TRIM(V1541)="","",TRUE,V1541-C1541)</f>
        <v>9</v>
      </c>
      <c r="X1541" s="37">
        <f t="shared" si="393"/>
        <v>1</v>
      </c>
      <c r="Y1541" s="37" t="s">
        <v>172</v>
      </c>
      <c r="Z1541" s="37" t="str">
        <f t="shared" si="394"/>
        <v>delayed</v>
      </c>
      <c r="AA1541" s="37" t="str">
        <f t="shared" si="395"/>
        <v>Late</v>
      </c>
      <c r="AB1541" s="37" t="str">
        <f t="shared" si="382"/>
        <v>1</v>
      </c>
      <c r="AC1541" s="37">
        <f t="shared" si="383"/>
        <v>1</v>
      </c>
      <c r="AD1541" s="45">
        <f t="shared" si="397"/>
        <v>0.633333333333333</v>
      </c>
      <c r="AE1541" s="37">
        <v>2</v>
      </c>
      <c r="AF1541" s="37" t="s">
        <v>118</v>
      </c>
      <c r="AG1541" s="37" t="str">
        <f t="shared" si="396"/>
        <v>no</v>
      </c>
      <c r="AH1541" s="37" t="str">
        <f t="array" ref="AH1541">_xlfn.IFS(LOWER(AG1541)="n","no",LOWER(AG1541)="y","yes",TRUE,LOWER(AG1541))</f>
        <v>no</v>
      </c>
      <c r="AI1541" s="37" t="s">
        <v>4692</v>
      </c>
    </row>
    <row r="1542" spans="1:35">
      <c r="A1542" s="46" t="s">
        <v>4531</v>
      </c>
      <c r="B1542" s="47" t="s">
        <v>4748</v>
      </c>
      <c r="C1542" s="39">
        <f t="shared" si="384"/>
        <v>45373</v>
      </c>
      <c r="D1542" s="48" t="s">
        <v>424</v>
      </c>
      <c r="E1542" s="37" t="str" cm="1">
        <f t="array" ref="E1542">_xlfn.IFS(D1542="delhi","north",D1542="mumbai","west",D1542="bengaluru","south",D1542="chennai","south",D1542="kolkata","east",TRUE,"west")</f>
        <v>south</v>
      </c>
      <c r="F1542" s="46" t="s">
        <v>136</v>
      </c>
      <c r="G1542" s="37" t="str">
        <f t="shared" si="385"/>
        <v>bluedart</v>
      </c>
      <c r="H1542" s="46" t="s">
        <v>345</v>
      </c>
      <c r="I1542" s="37" t="str">
        <f t="shared" si="386"/>
        <v>surface</v>
      </c>
      <c r="J1542" s="46" t="s">
        <v>263</v>
      </c>
      <c r="K1542" s="37" t="str">
        <f t="shared" si="387"/>
        <v>apparel</v>
      </c>
      <c r="L1542" s="46" t="s">
        <v>346</v>
      </c>
      <c r="M1542" s="37" t="str">
        <f t="shared" si="388"/>
        <v>north</v>
      </c>
      <c r="N1542" s="46" t="s">
        <v>32</v>
      </c>
      <c r="O1542" s="41" t="str">
        <f t="shared" si="389"/>
        <v>Yes</v>
      </c>
      <c r="P1542" s="49">
        <v>4</v>
      </c>
      <c r="Q1542" s="49">
        <v>228</v>
      </c>
      <c r="R1542" s="42">
        <f t="shared" si="390"/>
        <v>57</v>
      </c>
      <c r="S1542" s="46">
        <v>6</v>
      </c>
      <c r="T1542" s="46" t="s">
        <v>1100</v>
      </c>
      <c r="U1542" s="43" t="str">
        <f t="shared" si="391"/>
        <v>29-mar-2024</v>
      </c>
      <c r="V1542" s="43">
        <f t="shared" si="392"/>
        <v>45380</v>
      </c>
      <c r="W1542" s="44">
        <f t="array" ref="W1542">_xlfn.IFS(TRIM(C1542)="","",TRIM(V1542)="","",TRUE,V1542-C1542)</f>
        <v>7</v>
      </c>
      <c r="X1542" s="37">
        <f t="shared" si="393"/>
        <v>1</v>
      </c>
      <c r="Y1542" s="46" t="s">
        <v>143</v>
      </c>
      <c r="Z1542" s="37" t="str">
        <f t="shared" si="394"/>
        <v>delayed</v>
      </c>
      <c r="AA1542" s="37" t="str">
        <f t="shared" si="395"/>
        <v>Late</v>
      </c>
      <c r="AB1542" s="37" t="str">
        <f t="shared" ref="AB1542:AB1601" si="398">IF(Z1542="In-Transit","N/A",IF(X1542="","",IF(X1542&gt;0,"1","0")))</f>
        <v>1</v>
      </c>
      <c r="AC1542" s="37">
        <f t="shared" si="383"/>
        <v>1</v>
      </c>
      <c r="AD1542" s="45">
        <f t="shared" si="397"/>
        <v>0.627118644067797</v>
      </c>
      <c r="AE1542" s="46">
        <v>3</v>
      </c>
      <c r="AF1542" s="46" t="s">
        <v>79</v>
      </c>
      <c r="AG1542" s="37" t="str">
        <f t="shared" si="396"/>
        <v>yes</v>
      </c>
      <c r="AH1542" s="37" t="str">
        <f t="array" ref="AH1542">_xlfn.IFS(LOWER(AG1542)="n","no",LOWER(AG1542)="y","yes",TRUE,LOWER(AG1542))</f>
        <v>yes</v>
      </c>
      <c r="AI1542" s="46" t="s">
        <v>4692</v>
      </c>
    </row>
    <row r="1543" spans="1:35">
      <c r="A1543" s="37" t="s">
        <v>4533</v>
      </c>
      <c r="B1543" s="38" t="s">
        <v>4857</v>
      </c>
      <c r="C1543" s="39">
        <f t="shared" si="384"/>
        <v>45437</v>
      </c>
      <c r="D1543" s="40" t="s">
        <v>222</v>
      </c>
      <c r="E1543" s="37" t="str" cm="1">
        <f t="array" ref="E1543">_xlfn.IFS(D1543="delhi","north",D1543="mumbai","west",D1543="bengaluru","south",D1543="chennai","south",D1543="kolkata","east",TRUE,"west")</f>
        <v>west</v>
      </c>
      <c r="F1543" s="37" t="s">
        <v>544</v>
      </c>
      <c r="G1543" s="37" t="str">
        <f t="shared" si="385"/>
        <v>bluedart</v>
      </c>
      <c r="H1543" s="37" t="s">
        <v>185</v>
      </c>
      <c r="I1543" s="37" t="str">
        <f t="shared" si="386"/>
        <v>surface</v>
      </c>
      <c r="J1543" s="37" t="s">
        <v>138</v>
      </c>
      <c r="K1543" s="37" t="str">
        <f t="shared" si="387"/>
        <v>apparel</v>
      </c>
      <c r="L1543" s="37" t="s">
        <v>87</v>
      </c>
      <c r="M1543" s="37" t="str">
        <f t="shared" si="388"/>
        <v>north</v>
      </c>
      <c r="N1543" s="37" t="s">
        <v>113</v>
      </c>
      <c r="O1543" s="41" t="str">
        <f t="shared" si="389"/>
        <v>Yes</v>
      </c>
      <c r="P1543" s="41" t="s">
        <v>1762</v>
      </c>
      <c r="Q1543" s="41" t="s">
        <v>1812</v>
      </c>
      <c r="R1543" s="42">
        <f t="shared" si="390"/>
        <v>64.5238095238095</v>
      </c>
      <c r="S1543" s="37">
        <v>6</v>
      </c>
      <c r="T1543" s="37" t="s">
        <v>1582</v>
      </c>
      <c r="U1543" s="43" t="str">
        <f t="shared" si="391"/>
        <v>2024-06-09</v>
      </c>
      <c r="V1543" s="43">
        <f t="shared" si="392"/>
        <v>45452</v>
      </c>
      <c r="W1543" s="44">
        <f t="array" ref="W1543">_xlfn.IFS(TRIM(C1543)="","",TRIM(V1543)="","",TRUE,V1543-C1543)</f>
        <v>15</v>
      </c>
      <c r="X1543" s="37">
        <f t="shared" si="393"/>
        <v>9</v>
      </c>
      <c r="Y1543" s="37" t="s">
        <v>172</v>
      </c>
      <c r="Z1543" s="37" t="str">
        <f t="shared" si="394"/>
        <v>delayed</v>
      </c>
      <c r="AA1543" s="37" t="str">
        <f t="shared" si="395"/>
        <v>Late</v>
      </c>
      <c r="AB1543" s="37" t="str">
        <f t="shared" si="398"/>
        <v>1</v>
      </c>
      <c r="AC1543" s="37">
        <f t="shared" ref="AC1543:AC1601" si="399">IF(TRIM(AB1543&amp;"")="","",VALUE(TRIM(AB1543&amp;"")))</f>
        <v>1</v>
      </c>
      <c r="AD1543" s="45">
        <f t="shared" si="397"/>
        <v>0.620689655172414</v>
      </c>
      <c r="AE1543" s="37">
        <v>2</v>
      </c>
      <c r="AF1543" s="37" t="s">
        <v>152</v>
      </c>
      <c r="AG1543" s="37" t="str">
        <f t="shared" si="396"/>
        <v>no</v>
      </c>
      <c r="AH1543" s="37" t="str">
        <f t="array" ref="AH1543">_xlfn.IFS(LOWER(AG1543)="n","no",LOWER(AG1543)="y","yes",TRUE,LOWER(AG1543))</f>
        <v>no</v>
      </c>
      <c r="AI1543" s="37" t="s">
        <v>4692</v>
      </c>
    </row>
    <row r="1544" spans="1:35">
      <c r="A1544" s="46" t="s">
        <v>4534</v>
      </c>
      <c r="B1544" s="47">
        <v>45428</v>
      </c>
      <c r="C1544" s="39">
        <f t="shared" si="384"/>
        <v>45428</v>
      </c>
      <c r="D1544" s="48" t="s">
        <v>109</v>
      </c>
      <c r="E1544" s="37" t="str" cm="1">
        <f t="array" ref="E1544">_xlfn.IFS(D1544="delhi","north",D1544="mumbai","west",D1544="bengaluru","south",D1544="chennai","south",D1544="kolkata","east",TRUE,"west")</f>
        <v>west</v>
      </c>
      <c r="F1544" s="46" t="s">
        <v>544</v>
      </c>
      <c r="G1544" s="37" t="str">
        <f t="shared" si="385"/>
        <v>bluedart</v>
      </c>
      <c r="H1544" s="46" t="s">
        <v>137</v>
      </c>
      <c r="I1544" s="37" t="str">
        <f t="shared" si="386"/>
        <v>road</v>
      </c>
      <c r="J1544" s="46" t="s">
        <v>612</v>
      </c>
      <c r="K1544" s="37" t="str">
        <f t="shared" si="387"/>
        <v>grocery&amp;fmcg</v>
      </c>
      <c r="L1544" s="46" t="s">
        <v>125</v>
      </c>
      <c r="M1544" s="37" t="str">
        <f t="shared" si="388"/>
        <v>east</v>
      </c>
      <c r="N1544" s="46" t="s">
        <v>91</v>
      </c>
      <c r="O1544" s="41" t="str">
        <f t="shared" si="389"/>
        <v>Yes</v>
      </c>
      <c r="P1544" s="49">
        <v>18.3</v>
      </c>
      <c r="Q1544" s="49" t="s">
        <v>1177</v>
      </c>
      <c r="R1544" s="42">
        <f t="shared" si="390"/>
        <v>24.8633879781421</v>
      </c>
      <c r="S1544" s="46">
        <v>8</v>
      </c>
      <c r="T1544" s="46" t="s">
        <v>2879</v>
      </c>
      <c r="U1544" s="43" t="str">
        <f t="shared" si="391"/>
        <v>23/05/2024</v>
      </c>
      <c r="V1544" s="43">
        <f t="shared" si="392"/>
        <v>45435</v>
      </c>
      <c r="W1544" s="44">
        <f t="array" ref="W1544">_xlfn.IFS(TRIM(C1544)="","",TRIM(V1544)="","",TRUE,V1544-C1544)</f>
        <v>7</v>
      </c>
      <c r="X1544" s="37">
        <f t="shared" si="393"/>
        <v>-1</v>
      </c>
      <c r="Y1544" s="46" t="s">
        <v>219</v>
      </c>
      <c r="Z1544" s="37" t="str">
        <f t="shared" si="394"/>
        <v>delivered</v>
      </c>
      <c r="AA1544" s="37" t="str">
        <f t="shared" si="395"/>
        <v>On Time</v>
      </c>
      <c r="AB1544" s="37" t="str">
        <f t="shared" si="398"/>
        <v>0</v>
      </c>
      <c r="AC1544" s="37">
        <f t="shared" si="399"/>
        <v>0</v>
      </c>
      <c r="AD1544" s="45">
        <f t="shared" si="397"/>
        <v>0.614035087719298</v>
      </c>
      <c r="AE1544" s="46">
        <v>4</v>
      </c>
      <c r="AF1544" s="46" t="s">
        <v>118</v>
      </c>
      <c r="AG1544" s="37" t="str">
        <f t="shared" si="396"/>
        <v>no</v>
      </c>
      <c r="AH1544" s="37" t="str">
        <f t="array" ref="AH1544">_xlfn.IFS(LOWER(AG1544)="n","no",LOWER(AG1544)="y","yes",TRUE,LOWER(AG1544))</f>
        <v>no</v>
      </c>
      <c r="AI1544" s="46" t="s">
        <v>4692</v>
      </c>
    </row>
    <row r="1545" spans="1:35">
      <c r="A1545" s="37" t="s">
        <v>4536</v>
      </c>
      <c r="B1545" s="38">
        <v>45470</v>
      </c>
      <c r="C1545" s="39">
        <f t="shared" si="384"/>
        <v>45470</v>
      </c>
      <c r="D1545" s="40" t="s">
        <v>222</v>
      </c>
      <c r="E1545" s="37" t="str" cm="1">
        <f t="array" ref="E1545">_xlfn.IFS(D1545="delhi","north",D1545="mumbai","west",D1545="bengaluru","south",D1545="chennai","south",D1545="kolkata","east",TRUE,"west")</f>
        <v>west</v>
      </c>
      <c r="F1545" s="37" t="s">
        <v>919</v>
      </c>
      <c r="G1545" s="37" t="str">
        <f t="shared" si="385"/>
        <v>xpressbees</v>
      </c>
      <c r="H1545" s="37" t="s">
        <v>440</v>
      </c>
      <c r="I1545" s="37" t="str">
        <f t="shared" si="386"/>
        <v>road</v>
      </c>
      <c r="J1545" s="37" t="s">
        <v>498</v>
      </c>
      <c r="K1545" s="37" t="str">
        <f t="shared" si="387"/>
        <v>apparel</v>
      </c>
      <c r="L1545" s="37" t="s">
        <v>89</v>
      </c>
      <c r="M1545" s="37" t="str">
        <f t="shared" si="388"/>
        <v>west</v>
      </c>
      <c r="N1545" s="37" t="s">
        <v>278</v>
      </c>
      <c r="O1545" s="41" t="str">
        <f t="shared" si="389"/>
        <v>Yes</v>
      </c>
      <c r="P1545" s="41">
        <v>0.7</v>
      </c>
      <c r="Q1545" s="41">
        <v>80</v>
      </c>
      <c r="R1545" s="42">
        <f t="shared" si="390"/>
        <v>114.285714285714</v>
      </c>
      <c r="S1545" s="37">
        <v>6</v>
      </c>
      <c r="T1545" s="37" t="s">
        <v>2576</v>
      </c>
      <c r="U1545" s="43" t="str">
        <f t="shared" si="391"/>
        <v>2024-07-02</v>
      </c>
      <c r="V1545" s="43">
        <f t="shared" si="392"/>
        <v>45475</v>
      </c>
      <c r="W1545" s="44">
        <f t="array" ref="W1545">_xlfn.IFS(TRIM(C1545)="","",TRIM(V1545)="","",TRUE,V1545-C1545)</f>
        <v>5</v>
      </c>
      <c r="X1545" s="37">
        <f t="shared" si="393"/>
        <v>-1</v>
      </c>
      <c r="Y1545" s="37" t="s">
        <v>219</v>
      </c>
      <c r="Z1545" s="37" t="str">
        <f t="shared" si="394"/>
        <v>delivered</v>
      </c>
      <c r="AA1545" s="37" t="str">
        <f t="shared" si="395"/>
        <v>On Time</v>
      </c>
      <c r="AB1545" s="37" t="str">
        <f t="shared" si="398"/>
        <v>0</v>
      </c>
      <c r="AC1545" s="37">
        <f t="shared" si="399"/>
        <v>0</v>
      </c>
      <c r="AD1545" s="45">
        <f t="shared" si="397"/>
        <v>0.625</v>
      </c>
      <c r="AE1545" s="37">
        <v>4</v>
      </c>
      <c r="AF1545" s="37" t="s">
        <v>106</v>
      </c>
      <c r="AG1545" s="37" t="str">
        <f t="shared" si="396"/>
        <v>yes</v>
      </c>
      <c r="AH1545" s="37" t="str">
        <f t="array" ref="AH1545">_xlfn.IFS(LOWER(AG1545)="n","no",LOWER(AG1545)="y","yes",TRUE,LOWER(AG1545))</f>
        <v>yes</v>
      </c>
      <c r="AI1545" s="37" t="s">
        <v>4692</v>
      </c>
    </row>
    <row r="1546" spans="1:35">
      <c r="A1546" s="46" t="s">
        <v>4537</v>
      </c>
      <c r="B1546" s="47">
        <v>45435</v>
      </c>
      <c r="C1546" s="39">
        <f t="shared" si="384"/>
        <v>45435</v>
      </c>
      <c r="D1546" s="48" t="s">
        <v>222</v>
      </c>
      <c r="E1546" s="37" t="str" cm="1">
        <f t="array" ref="E1546">_xlfn.IFS(D1546="delhi","north",D1546="mumbai","west",D1546="bengaluru","south",D1546="chennai","south",D1546="kolkata","east",TRUE,"west")</f>
        <v>west</v>
      </c>
      <c r="F1546" s="46" t="s">
        <v>919</v>
      </c>
      <c r="G1546" s="37" t="str">
        <f t="shared" si="385"/>
        <v>xpressbees</v>
      </c>
      <c r="H1546" s="46" t="s">
        <v>147</v>
      </c>
      <c r="I1546" s="37" t="str">
        <f t="shared" si="386"/>
        <v>road</v>
      </c>
      <c r="J1546" s="46" t="s">
        <v>138</v>
      </c>
      <c r="K1546" s="37" t="str">
        <f t="shared" si="387"/>
        <v>apparel</v>
      </c>
      <c r="L1546" s="46" t="s">
        <v>264</v>
      </c>
      <c r="M1546" s="37" t="str">
        <f t="shared" si="388"/>
        <v>west</v>
      </c>
      <c r="N1546" s="46" t="s">
        <v>187</v>
      </c>
      <c r="O1546" s="41" t="str">
        <f t="shared" si="389"/>
        <v>Yes</v>
      </c>
      <c r="P1546" s="49" t="s">
        <v>1875</v>
      </c>
      <c r="Q1546" s="49">
        <v>98</v>
      </c>
      <c r="R1546" s="42">
        <f t="shared" si="390"/>
        <v>14.6268656716418</v>
      </c>
      <c r="S1546" s="46">
        <v>6</v>
      </c>
      <c r="T1546" s="46" t="s">
        <v>1325</v>
      </c>
      <c r="U1546" s="43" t="str">
        <f t="shared" si="391"/>
        <v>28/05/2024</v>
      </c>
      <c r="V1546" s="43">
        <f t="shared" si="392"/>
        <v>45440</v>
      </c>
      <c r="W1546" s="44">
        <f t="array" ref="W1546">_xlfn.IFS(TRIM(C1546)="","",TRIM(V1546)="","",TRUE,V1546-C1546)</f>
        <v>5</v>
      </c>
      <c r="X1546" s="37">
        <f t="shared" si="393"/>
        <v>-1</v>
      </c>
      <c r="Y1546" s="46" t="s">
        <v>219</v>
      </c>
      <c r="Z1546" s="37" t="str">
        <f t="shared" si="394"/>
        <v>delivered</v>
      </c>
      <c r="AA1546" s="37" t="str">
        <f t="shared" si="395"/>
        <v>On Time</v>
      </c>
      <c r="AB1546" s="37" t="str">
        <f t="shared" si="398"/>
        <v>0</v>
      </c>
      <c r="AC1546" s="37">
        <f t="shared" si="399"/>
        <v>0</v>
      </c>
      <c r="AD1546" s="45">
        <f t="shared" si="397"/>
        <v>0.636363636363636</v>
      </c>
      <c r="AE1546" s="46">
        <v>5</v>
      </c>
      <c r="AF1546" s="46" t="s">
        <v>131</v>
      </c>
      <c r="AG1546" s="37" t="str">
        <f t="shared" si="396"/>
        <v>n</v>
      </c>
      <c r="AH1546" s="37" t="str">
        <f t="array" ref="AH1546">_xlfn.IFS(LOWER(AG1546)="n","no",LOWER(AG1546)="y","yes",TRUE,LOWER(AG1546))</f>
        <v>no</v>
      </c>
      <c r="AI1546" s="46" t="s">
        <v>4692</v>
      </c>
    </row>
    <row r="1547" spans="1:35">
      <c r="A1547" s="37" t="s">
        <v>4539</v>
      </c>
      <c r="B1547" s="38">
        <v>45366</v>
      </c>
      <c r="C1547" s="39">
        <f t="shared" si="384"/>
        <v>45366</v>
      </c>
      <c r="D1547" s="40" t="s">
        <v>166</v>
      </c>
      <c r="E1547" s="37" t="str" cm="1">
        <f t="array" ref="E1547">_xlfn.IFS(D1547="delhi","north",D1547="mumbai","west",D1547="bengaluru","south",D1547="chennai","south",D1547="kolkata","east",TRUE,"west")</f>
        <v>west</v>
      </c>
      <c r="F1547" s="37" t="s">
        <v>544</v>
      </c>
      <c r="G1547" s="37" t="str">
        <f t="shared" si="385"/>
        <v>bluedart</v>
      </c>
      <c r="H1547" s="37" t="s">
        <v>147</v>
      </c>
      <c r="I1547" s="37" t="str">
        <f t="shared" si="386"/>
        <v>road</v>
      </c>
      <c r="J1547" s="37" t="s">
        <v>319</v>
      </c>
      <c r="K1547" s="37" t="str">
        <f t="shared" si="387"/>
        <v>electronics</v>
      </c>
      <c r="L1547" s="37" t="s">
        <v>380</v>
      </c>
      <c r="M1547" s="37" t="str">
        <f t="shared" si="388"/>
        <v>east</v>
      </c>
      <c r="N1547" s="37" t="s">
        <v>126</v>
      </c>
      <c r="O1547" s="41" t="str">
        <f t="shared" si="389"/>
        <v>Yes</v>
      </c>
      <c r="P1547" s="41" t="s">
        <v>883</v>
      </c>
      <c r="Q1547" s="41">
        <v>159</v>
      </c>
      <c r="R1547" s="42">
        <f t="shared" si="390"/>
        <v>13.1404958677686</v>
      </c>
      <c r="S1547" s="37">
        <v>6</v>
      </c>
      <c r="T1547" s="37" t="s">
        <v>2127</v>
      </c>
      <c r="U1547" s="43" t="str">
        <f t="shared" si="391"/>
        <v>20/03/2024</v>
      </c>
      <c r="V1547" s="43">
        <f t="shared" si="392"/>
        <v>45371</v>
      </c>
      <c r="W1547" s="44">
        <f t="array" ref="W1547">_xlfn.IFS(TRIM(C1547)="","",TRIM(V1547)="","",TRUE,V1547-C1547)</f>
        <v>5</v>
      </c>
      <c r="X1547" s="37">
        <f t="shared" si="393"/>
        <v>-1</v>
      </c>
      <c r="Y1547" s="37" t="s">
        <v>219</v>
      </c>
      <c r="Z1547" s="37" t="str">
        <f t="shared" si="394"/>
        <v>delivered</v>
      </c>
      <c r="AA1547" s="37" t="str">
        <f t="shared" si="395"/>
        <v>On Time</v>
      </c>
      <c r="AB1547" s="37" t="str">
        <f t="shared" si="398"/>
        <v>0</v>
      </c>
      <c r="AC1547" s="37">
        <f t="shared" si="399"/>
        <v>0</v>
      </c>
      <c r="AD1547" s="45">
        <f t="shared" si="397"/>
        <v>0.648148148148148</v>
      </c>
      <c r="AE1547" s="37">
        <v>5</v>
      </c>
      <c r="AF1547" s="37" t="s">
        <v>191</v>
      </c>
      <c r="AG1547" s="37" t="str">
        <f t="shared" si="396"/>
        <v>no</v>
      </c>
      <c r="AH1547" s="37" t="str">
        <f t="array" ref="AH1547">_xlfn.IFS(LOWER(AG1547)="n","no",LOWER(AG1547)="y","yes",TRUE,LOWER(AG1547))</f>
        <v>no</v>
      </c>
      <c r="AI1547" s="37" t="s">
        <v>4692</v>
      </c>
    </row>
    <row r="1548" spans="1:35">
      <c r="A1548" s="46" t="s">
        <v>4541</v>
      </c>
      <c r="B1548" s="47" t="s">
        <v>4706</v>
      </c>
      <c r="C1548" s="39">
        <f t="shared" si="384"/>
        <v>45408</v>
      </c>
      <c r="D1548" s="48" t="s">
        <v>4712</v>
      </c>
      <c r="E1548" s="37" t="str" cm="1">
        <f t="array" ref="E1548">_xlfn.IFS(D1548="delhi","north",D1548="mumbai","west",D1548="bengaluru","south",D1548="chennai","south",D1548="kolkata","east",TRUE,"west")</f>
        <v>west</v>
      </c>
      <c r="F1548" s="46" t="s">
        <v>194</v>
      </c>
      <c r="G1548" s="37" t="str">
        <f t="shared" si="385"/>
        <v>xpressbees</v>
      </c>
      <c r="H1548" s="46" t="s">
        <v>345</v>
      </c>
      <c r="I1548" s="37" t="str">
        <f t="shared" si="386"/>
        <v>surface</v>
      </c>
      <c r="J1548" s="46" t="s">
        <v>158</v>
      </c>
      <c r="K1548" s="37" t="str">
        <f t="shared" si="387"/>
        <v>pharma</v>
      </c>
      <c r="L1548" s="46" t="s">
        <v>197</v>
      </c>
      <c r="M1548" s="37" t="str">
        <f t="shared" si="388"/>
        <v>south</v>
      </c>
      <c r="N1548" s="46" t="s">
        <v>93</v>
      </c>
      <c r="O1548" s="41" t="str">
        <f t="shared" si="389"/>
        <v>Yes</v>
      </c>
      <c r="P1548" s="49">
        <v>2.1</v>
      </c>
      <c r="Q1548" s="49" t="s">
        <v>432</v>
      </c>
      <c r="R1548" s="42">
        <f t="shared" si="390"/>
        <v>38.0952380952381</v>
      </c>
      <c r="S1548" s="46">
        <v>4</v>
      </c>
      <c r="T1548" s="46" t="s">
        <v>4362</v>
      </c>
      <c r="U1548" s="43" t="str">
        <f t="shared" si="391"/>
        <v>29/04/2024</v>
      </c>
      <c r="V1548" s="43">
        <f t="shared" si="392"/>
        <v>45411</v>
      </c>
      <c r="W1548" s="44">
        <f t="array" ref="W1548">_xlfn.IFS(TRIM(C1548)="","",TRIM(V1548)="","",TRUE,V1548-C1548)</f>
        <v>3</v>
      </c>
      <c r="X1548" s="37">
        <f t="shared" si="393"/>
        <v>-1</v>
      </c>
      <c r="Y1548" s="46" t="s">
        <v>163</v>
      </c>
      <c r="Z1548" s="37" t="str">
        <f t="shared" si="394"/>
        <v>delivered</v>
      </c>
      <c r="AA1548" s="37" t="str">
        <f t="shared" si="395"/>
        <v>On Time</v>
      </c>
      <c r="AB1548" s="37" t="str">
        <f t="shared" si="398"/>
        <v>0</v>
      </c>
      <c r="AC1548" s="37">
        <f t="shared" si="399"/>
        <v>0</v>
      </c>
      <c r="AD1548" s="45">
        <f t="shared" si="397"/>
        <v>0.660377358490566</v>
      </c>
      <c r="AE1548" s="46">
        <v>4</v>
      </c>
      <c r="AF1548" s="46" t="s">
        <v>131</v>
      </c>
      <c r="AG1548" s="37" t="str">
        <f t="shared" si="396"/>
        <v>n</v>
      </c>
      <c r="AH1548" s="37" t="str">
        <f t="array" ref="AH1548">_xlfn.IFS(LOWER(AG1548)="n","no",LOWER(AG1548)="y","yes",TRUE,LOWER(AG1548))</f>
        <v>no</v>
      </c>
      <c r="AI1548" s="46" t="s">
        <v>4692</v>
      </c>
    </row>
    <row r="1549" spans="1:35">
      <c r="A1549" s="37" t="s">
        <v>4542</v>
      </c>
      <c r="B1549" s="38">
        <v>45366</v>
      </c>
      <c r="C1549" s="39">
        <f t="shared" si="384"/>
        <v>45366</v>
      </c>
      <c r="D1549" s="40" t="s">
        <v>633</v>
      </c>
      <c r="E1549" s="37" t="str" cm="1">
        <f t="array" ref="E1549">_xlfn.IFS(D1549="delhi","north",D1549="mumbai","west",D1549="bengaluru","south",D1549="chennai","south",D1549="kolkata","east",TRUE,"west")</f>
        <v>south</v>
      </c>
      <c r="F1549" s="37" t="s">
        <v>98</v>
      </c>
      <c r="G1549" s="37" t="str">
        <f t="shared" si="385"/>
        <v>dtdc</v>
      </c>
      <c r="H1549" s="37" t="s">
        <v>176</v>
      </c>
      <c r="I1549" s="37" t="str">
        <f t="shared" si="386"/>
        <v>road</v>
      </c>
      <c r="J1549" s="37" t="s">
        <v>1145</v>
      </c>
      <c r="K1549" s="37" t="str">
        <f t="shared" si="387"/>
        <v>grocery&amp;fmcg</v>
      </c>
      <c r="L1549" s="37" t="s">
        <v>168</v>
      </c>
      <c r="M1549" s="37" t="str">
        <f t="shared" si="388"/>
        <v>west</v>
      </c>
      <c r="N1549" s="37" t="s">
        <v>278</v>
      </c>
      <c r="O1549" s="41" t="str">
        <f t="shared" si="389"/>
        <v>Yes</v>
      </c>
      <c r="P1549" s="41">
        <v>18.6</v>
      </c>
      <c r="Q1549" s="41">
        <v>433</v>
      </c>
      <c r="R1549" s="42">
        <f t="shared" si="390"/>
        <v>23.2795698924731</v>
      </c>
      <c r="S1549" s="37">
        <v>8</v>
      </c>
      <c r="T1549" s="37" t="s">
        <v>4545</v>
      </c>
      <c r="U1549" s="43" t="str">
        <f t="shared" si="391"/>
        <v>29/03/2024</v>
      </c>
      <c r="V1549" s="43">
        <f t="shared" si="392"/>
        <v>45380</v>
      </c>
      <c r="W1549" s="44">
        <f t="array" ref="W1549">_xlfn.IFS(TRIM(C1549)="","",TRIM(V1549)="","",TRUE,V1549-C1549)</f>
        <v>14</v>
      </c>
      <c r="X1549" s="37">
        <f t="shared" si="393"/>
        <v>6</v>
      </c>
      <c r="Y1549" s="37" t="s">
        <v>72</v>
      </c>
      <c r="Z1549" s="37" t="str">
        <f t="shared" si="394"/>
        <v>delayed</v>
      </c>
      <c r="AA1549" s="37" t="str">
        <f t="shared" si="395"/>
        <v>Late</v>
      </c>
      <c r="AB1549" s="37" t="str">
        <f t="shared" si="398"/>
        <v>1</v>
      </c>
      <c r="AC1549" s="37">
        <f t="shared" si="399"/>
        <v>1</v>
      </c>
      <c r="AD1549" s="45">
        <f t="shared" si="397"/>
        <v>0.673076923076923</v>
      </c>
      <c r="AE1549" s="37">
        <v>1</v>
      </c>
      <c r="AF1549" s="37" t="s">
        <v>79</v>
      </c>
      <c r="AG1549" s="37" t="str">
        <f t="shared" si="396"/>
        <v>yes</v>
      </c>
      <c r="AH1549" s="37" t="str">
        <f t="array" ref="AH1549">_xlfn.IFS(LOWER(AG1549)="n","no",LOWER(AG1549)="y","yes",TRUE,LOWER(AG1549))</f>
        <v>yes</v>
      </c>
      <c r="AI1549" s="37" t="s">
        <v>4692</v>
      </c>
    </row>
    <row r="1550" spans="1:35">
      <c r="A1550" s="46" t="s">
        <v>4546</v>
      </c>
      <c r="B1550" s="47">
        <v>45326</v>
      </c>
      <c r="C1550" s="39">
        <f t="shared" si="384"/>
        <v>45326</v>
      </c>
      <c r="D1550" s="48" t="s">
        <v>424</v>
      </c>
      <c r="E1550" s="37" t="str" cm="1">
        <f t="array" ref="E1550">_xlfn.IFS(D1550="delhi","north",D1550="mumbai","west",D1550="bengaluru","south",D1550="chennai","south",D1550="kolkata","east",TRUE,"west")</f>
        <v>south</v>
      </c>
      <c r="F1550" s="46" t="s">
        <v>98</v>
      </c>
      <c r="G1550" s="37" t="str">
        <f t="shared" si="385"/>
        <v>dtdc</v>
      </c>
      <c r="H1550" s="46" t="s">
        <v>224</v>
      </c>
      <c r="I1550" s="37" t="str">
        <f t="shared" si="386"/>
        <v>air</v>
      </c>
      <c r="J1550" s="46" t="s">
        <v>167</v>
      </c>
      <c r="K1550" s="37" t="str">
        <f t="shared" si="387"/>
        <v>pharma</v>
      </c>
      <c r="L1550" s="46" t="s">
        <v>346</v>
      </c>
      <c r="M1550" s="37" t="str">
        <f t="shared" si="388"/>
        <v>north</v>
      </c>
      <c r="N1550" s="46" t="s">
        <v>354</v>
      </c>
      <c r="O1550" s="41" t="str">
        <f t="shared" si="389"/>
        <v>Yes</v>
      </c>
      <c r="P1550" s="49" t="s">
        <v>1877</v>
      </c>
      <c r="Q1550" s="49" t="s">
        <v>4547</v>
      </c>
      <c r="R1550" s="42">
        <f t="shared" si="390"/>
        <v>151.764705882353</v>
      </c>
      <c r="S1550" s="46">
        <v>4</v>
      </c>
      <c r="T1550" s="46" t="s">
        <v>2030</v>
      </c>
      <c r="U1550" s="43" t="str">
        <f t="shared" si="391"/>
        <v>17/02/2024</v>
      </c>
      <c r="V1550" s="43">
        <f t="shared" si="392"/>
        <v>45339</v>
      </c>
      <c r="W1550" s="44">
        <f t="array" ref="W1550">_xlfn.IFS(TRIM(C1550)="","",TRIM(V1550)="","",TRUE,V1550-C1550)</f>
        <v>13</v>
      </c>
      <c r="X1550" s="37">
        <f t="shared" si="393"/>
        <v>9</v>
      </c>
      <c r="Y1550" s="46" t="s">
        <v>200</v>
      </c>
      <c r="Z1550" s="37" t="str">
        <f t="shared" si="394"/>
        <v>delayed</v>
      </c>
      <c r="AA1550" s="37" t="str">
        <f t="shared" si="395"/>
        <v>Late</v>
      </c>
      <c r="AB1550" s="37" t="str">
        <f t="shared" si="398"/>
        <v>1</v>
      </c>
      <c r="AC1550" s="37">
        <f t="shared" si="399"/>
        <v>1</v>
      </c>
      <c r="AD1550" s="45">
        <f t="shared" si="397"/>
        <v>0.666666666666667</v>
      </c>
      <c r="AE1550" s="46">
        <v>4</v>
      </c>
      <c r="AF1550" s="46" t="s">
        <v>131</v>
      </c>
      <c r="AG1550" s="37" t="str">
        <f t="shared" si="396"/>
        <v>n</v>
      </c>
      <c r="AH1550" s="37" t="str">
        <f t="array" ref="AH1550">_xlfn.IFS(LOWER(AG1550)="n","no",LOWER(AG1550)="y","yes",TRUE,LOWER(AG1550))</f>
        <v>no</v>
      </c>
      <c r="AI1550" s="46" t="s">
        <v>4692</v>
      </c>
    </row>
    <row r="1551" spans="1:35">
      <c r="A1551" s="37" t="s">
        <v>4548</v>
      </c>
      <c r="B1551" s="38">
        <v>45393</v>
      </c>
      <c r="C1551" s="39">
        <f t="shared" si="384"/>
        <v>45393</v>
      </c>
      <c r="D1551" s="40" t="s">
        <v>340</v>
      </c>
      <c r="E1551" s="37" t="str" cm="1">
        <f t="array" ref="E1551">_xlfn.IFS(D1551="delhi","north",D1551="mumbai","west",D1551="bengaluru","south",D1551="chennai","south",D1551="kolkata","east",TRUE,"west")</f>
        <v>north</v>
      </c>
      <c r="F1551" s="37" t="s">
        <v>544</v>
      </c>
      <c r="G1551" s="37" t="str">
        <f t="shared" si="385"/>
        <v>bluedart</v>
      </c>
      <c r="H1551" s="37" t="s">
        <v>176</v>
      </c>
      <c r="I1551" s="37" t="str">
        <f t="shared" si="386"/>
        <v>road</v>
      </c>
      <c r="J1551" s="37" t="s">
        <v>582</v>
      </c>
      <c r="K1551" s="37" t="str">
        <f t="shared" si="387"/>
        <v>grocery&amp;fmcg</v>
      </c>
      <c r="L1551" s="37" t="s">
        <v>112</v>
      </c>
      <c r="M1551" s="37" t="str">
        <f t="shared" si="388"/>
        <v>north</v>
      </c>
      <c r="N1551" s="37" t="s">
        <v>32</v>
      </c>
      <c r="O1551" s="41" t="str">
        <f t="shared" si="389"/>
        <v>Yes</v>
      </c>
      <c r="P1551" s="41" t="s">
        <v>2463</v>
      </c>
      <c r="Q1551" s="41" t="s">
        <v>3741</v>
      </c>
      <c r="R1551" s="42">
        <f t="shared" si="390"/>
        <v>18.989898989899</v>
      </c>
      <c r="S1551" s="37">
        <v>6</v>
      </c>
      <c r="T1551" s="37" t="s">
        <v>1028</v>
      </c>
      <c r="U1551" s="43" t="str">
        <f t="shared" si="391"/>
        <v>18/04/2024</v>
      </c>
      <c r="V1551" s="43">
        <f t="shared" si="392"/>
        <v>45400</v>
      </c>
      <c r="W1551" s="44">
        <f t="array" ref="W1551">_xlfn.IFS(TRIM(C1551)="","",TRIM(V1551)="","",TRUE,V1551-C1551)</f>
        <v>7</v>
      </c>
      <c r="X1551" s="37">
        <f t="shared" si="393"/>
        <v>1</v>
      </c>
      <c r="Y1551" s="37" t="s">
        <v>200</v>
      </c>
      <c r="Z1551" s="37" t="str">
        <f t="shared" si="394"/>
        <v>delayed</v>
      </c>
      <c r="AA1551" s="37" t="str">
        <f t="shared" si="395"/>
        <v>Late</v>
      </c>
      <c r="AB1551" s="37" t="str">
        <f t="shared" si="398"/>
        <v>1</v>
      </c>
      <c r="AC1551" s="37">
        <f t="shared" si="399"/>
        <v>1</v>
      </c>
      <c r="AD1551" s="45">
        <f t="shared" si="397"/>
        <v>0.66</v>
      </c>
      <c r="AE1551" s="37">
        <v>2</v>
      </c>
      <c r="AF1551" s="37" t="s">
        <v>118</v>
      </c>
      <c r="AG1551" s="37" t="str">
        <f t="shared" si="396"/>
        <v>no</v>
      </c>
      <c r="AH1551" s="37" t="str">
        <f t="array" ref="AH1551">_xlfn.IFS(LOWER(AG1551)="n","no",LOWER(AG1551)="y","yes",TRUE,LOWER(AG1551))</f>
        <v>no</v>
      </c>
      <c r="AI1551" s="37" t="s">
        <v>4692</v>
      </c>
    </row>
    <row r="1552" spans="1:35">
      <c r="A1552" s="46" t="s">
        <v>4549</v>
      </c>
      <c r="B1552" s="47" t="s">
        <v>4728</v>
      </c>
      <c r="C1552" s="39">
        <f t="shared" si="384"/>
        <v>45432</v>
      </c>
      <c r="D1552" s="48" t="s">
        <v>4699</v>
      </c>
      <c r="E1552" s="37" t="str" cm="1">
        <f t="array" ref="E1552">_xlfn.IFS(D1552="delhi","north",D1552="mumbai","west",D1552="bengaluru","south",D1552="chennai","south",D1552="kolkata","east",TRUE,"west")</f>
        <v>west</v>
      </c>
      <c r="F1552" s="46" t="s">
        <v>175</v>
      </c>
      <c r="G1552" s="37" t="str">
        <f t="shared" si="385"/>
        <v>ecomexpress</v>
      </c>
      <c r="H1552" s="46" t="s">
        <v>176</v>
      </c>
      <c r="I1552" s="37" t="str">
        <f t="shared" si="386"/>
        <v>road</v>
      </c>
      <c r="J1552" s="46" t="s">
        <v>385</v>
      </c>
      <c r="K1552" s="37" t="str">
        <f t="shared" si="387"/>
        <v>furniture</v>
      </c>
      <c r="L1552" s="46" t="s">
        <v>418</v>
      </c>
      <c r="M1552" s="37" t="str">
        <f t="shared" si="388"/>
        <v>south</v>
      </c>
      <c r="N1552" s="46" t="s">
        <v>327</v>
      </c>
      <c r="O1552" s="41" t="str">
        <f t="shared" si="389"/>
        <v>Yes</v>
      </c>
      <c r="P1552" s="49" t="s">
        <v>4550</v>
      </c>
      <c r="Q1552" s="49">
        <v>1107</v>
      </c>
      <c r="R1552" s="42">
        <f t="shared" si="390"/>
        <v>16.4977645305514</v>
      </c>
      <c r="S1552" s="46">
        <v>8</v>
      </c>
      <c r="T1552" s="46" t="s">
        <v>229</v>
      </c>
      <c r="U1552" s="43" t="str">
        <f t="shared" si="391"/>
        <v>05/06/2024</v>
      </c>
      <c r="V1552" s="43">
        <f t="shared" si="392"/>
        <v>45448</v>
      </c>
      <c r="W1552" s="44">
        <f t="array" ref="W1552">_xlfn.IFS(TRIM(C1552)="","",TRIM(V1552)="","",TRUE,V1552-C1552)</f>
        <v>16</v>
      </c>
      <c r="X1552" s="37">
        <f t="shared" si="393"/>
        <v>8</v>
      </c>
      <c r="Y1552" s="46" t="s">
        <v>143</v>
      </c>
      <c r="Z1552" s="37" t="str">
        <f t="shared" si="394"/>
        <v>delayed</v>
      </c>
      <c r="AA1552" s="37" t="str">
        <f t="shared" si="395"/>
        <v>Late</v>
      </c>
      <c r="AB1552" s="37" t="str">
        <f t="shared" si="398"/>
        <v>1</v>
      </c>
      <c r="AC1552" s="37">
        <f t="shared" si="399"/>
        <v>1</v>
      </c>
      <c r="AD1552" s="45">
        <f t="shared" si="397"/>
        <v>0.653061224489796</v>
      </c>
      <c r="AE1552" s="46">
        <v>3</v>
      </c>
      <c r="AF1552" s="46" t="s">
        <v>106</v>
      </c>
      <c r="AG1552" s="37" t="str">
        <f t="shared" si="396"/>
        <v>yes</v>
      </c>
      <c r="AH1552" s="37" t="str">
        <f t="array" ref="AH1552">_xlfn.IFS(LOWER(AG1552)="n","no",LOWER(AG1552)="y","yes",TRUE,LOWER(AG1552))</f>
        <v>yes</v>
      </c>
      <c r="AI1552" s="46" t="s">
        <v>4692</v>
      </c>
    </row>
    <row r="1553" spans="1:35">
      <c r="A1553" s="37" t="s">
        <v>4552</v>
      </c>
      <c r="B1553" s="38">
        <v>45306</v>
      </c>
      <c r="C1553" s="39">
        <f t="shared" si="384"/>
        <v>45306</v>
      </c>
      <c r="D1553" s="40" t="s">
        <v>424</v>
      </c>
      <c r="E1553" s="37" t="str" cm="1">
        <f t="array" ref="E1553">_xlfn.IFS(D1553="delhi","north",D1553="mumbai","west",D1553="bengaluru","south",D1553="chennai","south",D1553="kolkata","east",TRUE,"west")</f>
        <v>south</v>
      </c>
      <c r="F1553" s="37" t="s">
        <v>230</v>
      </c>
      <c r="G1553" s="37" t="str">
        <f t="shared" si="385"/>
        <v>dtdc</v>
      </c>
      <c r="H1553" s="37" t="s">
        <v>99</v>
      </c>
      <c r="I1553" s="37" t="str">
        <f t="shared" si="386"/>
        <v>air</v>
      </c>
      <c r="J1553" s="37" t="s">
        <v>283</v>
      </c>
      <c r="K1553" s="37" t="str">
        <f t="shared" si="387"/>
        <v>pharma</v>
      </c>
      <c r="L1553" s="37" t="s">
        <v>302</v>
      </c>
      <c r="M1553" s="37" t="str">
        <f t="shared" si="388"/>
        <v>east</v>
      </c>
      <c r="N1553" s="37" t="s">
        <v>294</v>
      </c>
      <c r="O1553" s="41" t="str">
        <f t="shared" si="389"/>
        <v>Yes</v>
      </c>
      <c r="P1553" s="41">
        <v>3.7</v>
      </c>
      <c r="Q1553" s="41" t="s">
        <v>1979</v>
      </c>
      <c r="R1553" s="42">
        <f t="shared" si="390"/>
        <v>98.3783783783784</v>
      </c>
      <c r="S1553" s="37">
        <v>4</v>
      </c>
      <c r="T1553" s="37" t="s">
        <v>820</v>
      </c>
      <c r="U1553" s="43" t="str">
        <f t="shared" si="391"/>
        <v>19/01/2024</v>
      </c>
      <c r="V1553" s="43">
        <f t="shared" si="392"/>
        <v>45310</v>
      </c>
      <c r="W1553" s="44">
        <f t="array" ref="W1553">_xlfn.IFS(TRIM(C1553)="","",TRIM(V1553)="","",TRUE,V1553-C1553)</f>
        <v>4</v>
      </c>
      <c r="X1553" s="37">
        <f t="shared" si="393"/>
        <v>0</v>
      </c>
      <c r="Y1553" s="37" t="s">
        <v>163</v>
      </c>
      <c r="Z1553" s="37" t="str">
        <f t="shared" si="394"/>
        <v>delivered</v>
      </c>
      <c r="AA1553" s="37" t="str">
        <f t="shared" si="395"/>
        <v>On Time</v>
      </c>
      <c r="AB1553" s="37" t="str">
        <f t="shared" si="398"/>
        <v>0</v>
      </c>
      <c r="AC1553" s="37">
        <f t="shared" si="399"/>
        <v>0</v>
      </c>
      <c r="AD1553" s="45">
        <f t="shared" si="397"/>
        <v>0.645833333333333</v>
      </c>
      <c r="AE1553" s="37">
        <v>4</v>
      </c>
      <c r="AF1553" s="37" t="s">
        <v>131</v>
      </c>
      <c r="AG1553" s="37" t="str">
        <f t="shared" si="396"/>
        <v>n</v>
      </c>
      <c r="AH1553" s="37" t="str">
        <f t="array" ref="AH1553">_xlfn.IFS(LOWER(AG1553)="n","no",LOWER(AG1553)="y","yes",TRUE,LOWER(AG1553))</f>
        <v>no</v>
      </c>
      <c r="AI1553" s="37" t="s">
        <v>4692</v>
      </c>
    </row>
    <row r="1554" spans="1:35">
      <c r="A1554" s="46" t="s">
        <v>4553</v>
      </c>
      <c r="B1554" s="47">
        <v>45296</v>
      </c>
      <c r="C1554" s="39">
        <f t="shared" si="384"/>
        <v>45296</v>
      </c>
      <c r="D1554" s="48" t="s">
        <v>633</v>
      </c>
      <c r="E1554" s="37" t="str" cm="1">
        <f t="array" ref="E1554">_xlfn.IFS(D1554="delhi","north",D1554="mumbai","west",D1554="bengaluru","south",D1554="chennai","south",D1554="kolkata","east",TRUE,"west")</f>
        <v>south</v>
      </c>
      <c r="F1554" s="46" t="s">
        <v>98</v>
      </c>
      <c r="G1554" s="37" t="str">
        <f t="shared" si="385"/>
        <v>dtdc</v>
      </c>
      <c r="H1554" s="46" t="s">
        <v>157</v>
      </c>
      <c r="I1554" s="37" t="str">
        <f t="shared" si="386"/>
        <v>surface</v>
      </c>
      <c r="J1554" s="46" t="s">
        <v>734</v>
      </c>
      <c r="K1554" s="37" t="str">
        <f t="shared" si="387"/>
        <v>grocery&amp;fmcg</v>
      </c>
      <c r="L1554" s="46" t="s">
        <v>264</v>
      </c>
      <c r="M1554" s="37" t="str">
        <f t="shared" si="388"/>
        <v>west</v>
      </c>
      <c r="N1554" s="46" t="s">
        <v>206</v>
      </c>
      <c r="O1554" s="41" t="str">
        <f t="shared" si="389"/>
        <v>Yes</v>
      </c>
      <c r="P1554" s="49">
        <v>13.3</v>
      </c>
      <c r="Q1554" s="49">
        <v>423</v>
      </c>
      <c r="R1554" s="42">
        <f t="shared" si="390"/>
        <v>31.8045112781955</v>
      </c>
      <c r="S1554" s="46">
        <v>6</v>
      </c>
      <c r="T1554" s="46" t="s">
        <v>1401</v>
      </c>
      <c r="U1554" s="43" t="str">
        <f t="shared" si="391"/>
        <v>12/01/2024</v>
      </c>
      <c r="V1554" s="43">
        <f t="shared" si="392"/>
        <v>45303</v>
      </c>
      <c r="W1554" s="44">
        <f t="array" ref="W1554">_xlfn.IFS(TRIM(C1554)="","",TRIM(V1554)="","",TRUE,V1554-C1554)</f>
        <v>7</v>
      </c>
      <c r="X1554" s="37">
        <f t="shared" si="393"/>
        <v>1</v>
      </c>
      <c r="Y1554" s="46" t="s">
        <v>72</v>
      </c>
      <c r="Z1554" s="37" t="str">
        <f t="shared" si="394"/>
        <v>delayed</v>
      </c>
      <c r="AA1554" s="37" t="str">
        <f t="shared" si="395"/>
        <v>Late</v>
      </c>
      <c r="AB1554" s="37" t="str">
        <f t="shared" si="398"/>
        <v>1</v>
      </c>
      <c r="AC1554" s="37">
        <f t="shared" si="399"/>
        <v>1</v>
      </c>
      <c r="AD1554" s="45">
        <f t="shared" si="397"/>
        <v>0.659574468085106</v>
      </c>
      <c r="AE1554" s="46">
        <v>4</v>
      </c>
      <c r="AF1554" s="46" t="s">
        <v>106</v>
      </c>
      <c r="AG1554" s="37" t="str">
        <f t="shared" si="396"/>
        <v>yes</v>
      </c>
      <c r="AH1554" s="37" t="str">
        <f t="array" ref="AH1554">_xlfn.IFS(LOWER(AG1554)="n","no",LOWER(AG1554)="y","yes",TRUE,LOWER(AG1554))</f>
        <v>yes</v>
      </c>
      <c r="AI1554" s="46" t="s">
        <v>4692</v>
      </c>
    </row>
    <row r="1555" spans="1:35">
      <c r="A1555" s="37" t="s">
        <v>4555</v>
      </c>
      <c r="B1555" s="38">
        <v>45429</v>
      </c>
      <c r="C1555" s="39">
        <f t="shared" si="384"/>
        <v>45429</v>
      </c>
      <c r="D1555" s="40" t="s">
        <v>166</v>
      </c>
      <c r="E1555" s="37" t="str" cm="1">
        <f t="array" ref="E1555">_xlfn.IFS(D1555="delhi","north",D1555="mumbai","west",D1555="bengaluru","south",D1555="chennai","south",D1555="kolkata","east",TRUE,"west")</f>
        <v>west</v>
      </c>
      <c r="F1555" s="37" t="s">
        <v>204</v>
      </c>
      <c r="G1555" s="37" t="str">
        <f t="shared" si="385"/>
        <v>delhivery</v>
      </c>
      <c r="H1555" s="37" t="s">
        <v>440</v>
      </c>
      <c r="I1555" s="37" t="str">
        <f t="shared" si="386"/>
        <v>road</v>
      </c>
      <c r="J1555" s="37" t="s">
        <v>283</v>
      </c>
      <c r="K1555" s="37" t="str">
        <f t="shared" si="387"/>
        <v>pharma</v>
      </c>
      <c r="L1555" s="37" t="s">
        <v>470</v>
      </c>
      <c r="M1555" s="37" t="str">
        <f t="shared" si="388"/>
        <v>east</v>
      </c>
      <c r="N1555" s="37" t="s">
        <v>91</v>
      </c>
      <c r="O1555" s="41" t="str">
        <f t="shared" si="389"/>
        <v>Yes</v>
      </c>
      <c r="P1555" s="41">
        <v>1</v>
      </c>
      <c r="Q1555" s="41">
        <v>80</v>
      </c>
      <c r="R1555" s="42">
        <f t="shared" si="390"/>
        <v>80</v>
      </c>
      <c r="S1555" s="37">
        <v>6</v>
      </c>
      <c r="T1555" s="37" t="s">
        <v>120</v>
      </c>
      <c r="U1555" s="43" t="str">
        <f t="shared" si="391"/>
        <v>23-may-2024</v>
      </c>
      <c r="V1555" s="43">
        <f t="shared" si="392"/>
        <v>45435</v>
      </c>
      <c r="W1555" s="44">
        <f t="array" ref="W1555">_xlfn.IFS(TRIM(C1555)="","",TRIM(V1555)="","",TRUE,V1555-C1555)</f>
        <v>6</v>
      </c>
      <c r="X1555" s="37">
        <f t="shared" si="393"/>
        <v>0</v>
      </c>
      <c r="Y1555" s="37" t="s">
        <v>163</v>
      </c>
      <c r="Z1555" s="37" t="str">
        <f t="shared" si="394"/>
        <v>delivered</v>
      </c>
      <c r="AA1555" s="37" t="str">
        <f t="shared" si="395"/>
        <v>On Time</v>
      </c>
      <c r="AB1555" s="37" t="str">
        <f t="shared" si="398"/>
        <v>0</v>
      </c>
      <c r="AC1555" s="37">
        <f t="shared" si="399"/>
        <v>0</v>
      </c>
      <c r="AD1555" s="45">
        <f t="shared" si="397"/>
        <v>0.652173913043478</v>
      </c>
      <c r="AE1555" s="37">
        <v>4</v>
      </c>
      <c r="AF1555" s="37" t="s">
        <v>191</v>
      </c>
      <c r="AG1555" s="37" t="str">
        <f t="shared" si="396"/>
        <v>no</v>
      </c>
      <c r="AH1555" s="37" t="str">
        <f t="array" ref="AH1555">_xlfn.IFS(LOWER(AG1555)="n","no",LOWER(AG1555)="y","yes",TRUE,LOWER(AG1555))</f>
        <v>no</v>
      </c>
      <c r="AI1555" s="37" t="s">
        <v>4692</v>
      </c>
    </row>
    <row r="1556" spans="1:35">
      <c r="A1556" s="46" t="s">
        <v>4556</v>
      </c>
      <c r="B1556" s="47">
        <v>45461</v>
      </c>
      <c r="C1556" s="39">
        <f t="shared" si="384"/>
        <v>45461</v>
      </c>
      <c r="D1556" s="48" t="s">
        <v>4712</v>
      </c>
      <c r="E1556" s="37" t="str" cm="1">
        <f t="array" ref="E1556">_xlfn.IFS(D1556="delhi","north",D1556="mumbai","west",D1556="bengaluru","south",D1556="chennai","south",D1556="kolkata","east",TRUE,"west")</f>
        <v>west</v>
      </c>
      <c r="F1556" s="46" t="s">
        <v>175</v>
      </c>
      <c r="G1556" s="37" t="str">
        <f t="shared" si="385"/>
        <v>ecomexpress</v>
      </c>
      <c r="H1556" s="46" t="s">
        <v>137</v>
      </c>
      <c r="I1556" s="37" t="str">
        <f t="shared" si="386"/>
        <v>road</v>
      </c>
      <c r="J1556" s="46" t="s">
        <v>177</v>
      </c>
      <c r="K1556" s="37" t="str">
        <f t="shared" si="387"/>
        <v>pharma</v>
      </c>
      <c r="L1556" s="46" t="s">
        <v>101</v>
      </c>
      <c r="M1556" s="37" t="str">
        <f t="shared" si="388"/>
        <v>west</v>
      </c>
      <c r="N1556" s="46" t="s">
        <v>278</v>
      </c>
      <c r="O1556" s="41" t="str">
        <f t="shared" si="389"/>
        <v>Yes</v>
      </c>
      <c r="P1556" s="49">
        <v>1.7</v>
      </c>
      <c r="Q1556" s="49" t="s">
        <v>4557</v>
      </c>
      <c r="R1556" s="42">
        <f t="shared" si="390"/>
        <v>134.117647058824</v>
      </c>
      <c r="S1556" s="46">
        <v>8</v>
      </c>
      <c r="T1556" s="46" t="s">
        <v>574</v>
      </c>
      <c r="U1556" s="43" t="str">
        <f t="shared" si="391"/>
        <v>26-jun-2024</v>
      </c>
      <c r="V1556" s="43">
        <f t="shared" si="392"/>
        <v>45469</v>
      </c>
      <c r="W1556" s="44">
        <f t="array" ref="W1556">_xlfn.IFS(TRIM(C1556)="","",TRIM(V1556)="","",TRUE,V1556-C1556)</f>
        <v>8</v>
      </c>
      <c r="X1556" s="37">
        <f t="shared" si="393"/>
        <v>0</v>
      </c>
      <c r="Y1556" s="46" t="s">
        <v>105</v>
      </c>
      <c r="Z1556" s="37" t="str">
        <f t="shared" si="394"/>
        <v>delivered</v>
      </c>
      <c r="AA1556" s="37" t="str">
        <f t="shared" si="395"/>
        <v>On Time</v>
      </c>
      <c r="AB1556" s="37" t="str">
        <f t="shared" si="398"/>
        <v>0</v>
      </c>
      <c r="AC1556" s="37">
        <f t="shared" si="399"/>
        <v>0</v>
      </c>
      <c r="AD1556" s="45">
        <f t="shared" si="397"/>
        <v>0.666666666666667</v>
      </c>
      <c r="AE1556" s="46">
        <v>5</v>
      </c>
      <c r="AF1556" s="46" t="s">
        <v>79</v>
      </c>
      <c r="AG1556" s="37" t="str">
        <f t="shared" si="396"/>
        <v>yes</v>
      </c>
      <c r="AH1556" s="37" t="str">
        <f t="array" ref="AH1556">_xlfn.IFS(LOWER(AG1556)="n","no",LOWER(AG1556)="y","yes",TRUE,LOWER(AG1556))</f>
        <v>yes</v>
      </c>
      <c r="AI1556" s="46" t="s">
        <v>4692</v>
      </c>
    </row>
    <row r="1557" spans="1:35">
      <c r="A1557" s="37" t="s">
        <v>4558</v>
      </c>
      <c r="B1557" s="38">
        <v>45470</v>
      </c>
      <c r="C1557" s="39">
        <f t="shared" si="384"/>
        <v>45470</v>
      </c>
      <c r="D1557" s="40" t="s">
        <v>212</v>
      </c>
      <c r="E1557" s="37" t="str" cm="1">
        <f t="array" ref="E1557">_xlfn.IFS(D1557="delhi","north",D1557="mumbai","west",D1557="bengaluru","south",D1557="chennai","south",D1557="kolkata","east",TRUE,"west")</f>
        <v>west</v>
      </c>
      <c r="F1557" s="37" t="s">
        <v>136</v>
      </c>
      <c r="G1557" s="37" t="str">
        <f t="shared" si="385"/>
        <v>bluedart</v>
      </c>
      <c r="H1557" s="37" t="s">
        <v>195</v>
      </c>
      <c r="I1557" s="37" t="str">
        <f t="shared" si="386"/>
        <v>road</v>
      </c>
      <c r="J1557" s="37" t="s">
        <v>263</v>
      </c>
      <c r="K1557" s="37" t="str">
        <f t="shared" si="387"/>
        <v>apparel</v>
      </c>
      <c r="L1557" s="37" t="s">
        <v>401</v>
      </c>
      <c r="M1557" s="37" t="str">
        <f t="shared" si="388"/>
        <v>south</v>
      </c>
      <c r="N1557" s="37" t="s">
        <v>90</v>
      </c>
      <c r="O1557" s="41" t="str">
        <f t="shared" si="389"/>
        <v>Yes</v>
      </c>
      <c r="P1557" s="41">
        <v>5.7</v>
      </c>
      <c r="Q1557" s="41" t="s">
        <v>4559</v>
      </c>
      <c r="R1557" s="42">
        <f t="shared" si="390"/>
        <v>37.719298245614</v>
      </c>
      <c r="S1557" s="37">
        <v>8</v>
      </c>
      <c r="T1557" s="37"/>
      <c r="U1557" s="43" t="str">
        <f t="shared" si="391"/>
        <v/>
      </c>
      <c r="V1557" s="43" t="e">
        <f t="shared" si="392"/>
        <v>#VALUE!</v>
      </c>
      <c r="W1557" s="44" t="e">
        <f t="array" ref="W1557">_xlfn.IFS(TRIM(C1557)="","",TRIM(V1557)="","",TRUE,V1557-C1557)</f>
        <v>#VALUE!</v>
      </c>
      <c r="X1557" s="37" t="e">
        <f t="shared" si="393"/>
        <v>#VALUE!</v>
      </c>
      <c r="Y1557" s="37" t="s">
        <v>1439</v>
      </c>
      <c r="Z1557" s="37" t="str">
        <f t="shared" si="394"/>
        <v>in-transit</v>
      </c>
      <c r="AA1557" s="37" t="str">
        <f t="shared" si="395"/>
        <v>N/A</v>
      </c>
      <c r="AB1557" s="37" t="str">
        <f t="shared" si="398"/>
        <v>N/A</v>
      </c>
      <c r="AC1557" s="37" t="e">
        <f t="shared" si="399"/>
        <v>#VALUE!</v>
      </c>
      <c r="AD1557" s="45">
        <f t="shared" si="397"/>
        <v>0.681818181818182</v>
      </c>
      <c r="AE1557" s="37"/>
      <c r="AF1557" s="37" t="s">
        <v>106</v>
      </c>
      <c r="AG1557" s="37" t="str">
        <f t="shared" si="396"/>
        <v>yes</v>
      </c>
      <c r="AH1557" s="37" t="str">
        <f t="array" ref="AH1557">_xlfn.IFS(LOWER(AG1557)="n","no",LOWER(AG1557)="y","yes",TRUE,LOWER(AG1557))</f>
        <v>yes</v>
      </c>
      <c r="AI1557" s="37" t="s">
        <v>4692</v>
      </c>
    </row>
    <row r="1558" spans="1:35">
      <c r="A1558" s="46" t="s">
        <v>4560</v>
      </c>
      <c r="B1558" s="47">
        <v>45455</v>
      </c>
      <c r="C1558" s="39">
        <f t="shared" si="384"/>
        <v>45455</v>
      </c>
      <c r="D1558" s="48" t="s">
        <v>340</v>
      </c>
      <c r="E1558" s="37" t="str" cm="1">
        <f t="array" ref="E1558">_xlfn.IFS(D1558="delhi","north",D1558="mumbai","west",D1558="bengaluru","south",D1558="chennai","south",D1558="kolkata","east",TRUE,"west")</f>
        <v>north</v>
      </c>
      <c r="F1558" s="46" t="s">
        <v>270</v>
      </c>
      <c r="G1558" s="37" t="str">
        <f t="shared" si="385"/>
        <v>ecomexpress</v>
      </c>
      <c r="H1558" s="46" t="s">
        <v>99</v>
      </c>
      <c r="I1558" s="37" t="str">
        <f t="shared" si="386"/>
        <v>air</v>
      </c>
      <c r="J1558" s="46" t="s">
        <v>231</v>
      </c>
      <c r="K1558" s="37" t="str">
        <f t="shared" si="387"/>
        <v>furniture</v>
      </c>
      <c r="L1558" s="46" t="s">
        <v>380</v>
      </c>
      <c r="M1558" s="37" t="str">
        <f t="shared" si="388"/>
        <v>east</v>
      </c>
      <c r="N1558" s="46" t="s">
        <v>126</v>
      </c>
      <c r="O1558" s="41" t="str">
        <f t="shared" si="389"/>
        <v>Yes</v>
      </c>
      <c r="P1558" s="49">
        <v>17</v>
      </c>
      <c r="Q1558" s="49">
        <v>894</v>
      </c>
      <c r="R1558" s="42">
        <f t="shared" si="390"/>
        <v>52.5882352941176</v>
      </c>
      <c r="S1558" s="46">
        <v>4</v>
      </c>
      <c r="T1558" s="46" t="s">
        <v>1622</v>
      </c>
      <c r="U1558" s="43" t="str">
        <f t="shared" si="391"/>
        <v>23-jun-2024</v>
      </c>
      <c r="V1558" s="43">
        <f t="shared" si="392"/>
        <v>45466</v>
      </c>
      <c r="W1558" s="44">
        <f t="array" ref="W1558">_xlfn.IFS(TRIM(C1558)="","",TRIM(V1558)="","",TRUE,V1558-C1558)</f>
        <v>11</v>
      </c>
      <c r="X1558" s="37">
        <f t="shared" si="393"/>
        <v>7</v>
      </c>
      <c r="Y1558" s="46" t="s">
        <v>200</v>
      </c>
      <c r="Z1558" s="37" t="str">
        <f t="shared" si="394"/>
        <v>delayed</v>
      </c>
      <c r="AA1558" s="37" t="str">
        <f t="shared" si="395"/>
        <v>Late</v>
      </c>
      <c r="AB1558" s="37" t="str">
        <f t="shared" si="398"/>
        <v>1</v>
      </c>
      <c r="AC1558" s="37">
        <f t="shared" si="399"/>
        <v>1</v>
      </c>
      <c r="AD1558" s="45">
        <f t="shared" si="397"/>
        <v>0.681818181818182</v>
      </c>
      <c r="AE1558" s="46">
        <v>1</v>
      </c>
      <c r="AF1558" s="46" t="s">
        <v>131</v>
      </c>
      <c r="AG1558" s="37" t="str">
        <f t="shared" si="396"/>
        <v>n</v>
      </c>
      <c r="AH1558" s="37" t="str">
        <f t="array" ref="AH1558">_xlfn.IFS(LOWER(AG1558)="n","no",LOWER(AG1558)="y","yes",TRUE,LOWER(AG1558))</f>
        <v>no</v>
      </c>
      <c r="AI1558" s="46" t="s">
        <v>4692</v>
      </c>
    </row>
    <row r="1559" spans="1:35">
      <c r="A1559" s="37" t="s">
        <v>4562</v>
      </c>
      <c r="B1559" s="38">
        <v>45337</v>
      </c>
      <c r="C1559" s="39">
        <f t="shared" si="384"/>
        <v>45337</v>
      </c>
      <c r="D1559" s="40" t="s">
        <v>212</v>
      </c>
      <c r="E1559" s="37" t="str" cm="1">
        <f t="array" ref="E1559">_xlfn.IFS(D1559="delhi","north",D1559="mumbai","west",D1559="bengaluru","south",D1559="chennai","south",D1559="kolkata","east",TRUE,"west")</f>
        <v>west</v>
      </c>
      <c r="F1559" s="37" t="s">
        <v>136</v>
      </c>
      <c r="G1559" s="37" t="str">
        <f t="shared" si="385"/>
        <v>bluedart</v>
      </c>
      <c r="H1559" s="37" t="s">
        <v>244</v>
      </c>
      <c r="I1559" s="37" t="str">
        <f t="shared" si="386"/>
        <v>air</v>
      </c>
      <c r="J1559" s="37" t="s">
        <v>385</v>
      </c>
      <c r="K1559" s="37" t="str">
        <f t="shared" si="387"/>
        <v>furniture</v>
      </c>
      <c r="L1559" s="37" t="s">
        <v>334</v>
      </c>
      <c r="M1559" s="37" t="str">
        <f t="shared" si="388"/>
        <v>north</v>
      </c>
      <c r="N1559" s="37" t="s">
        <v>113</v>
      </c>
      <c r="O1559" s="41" t="str">
        <f t="shared" si="389"/>
        <v>Yes</v>
      </c>
      <c r="P1559" s="41">
        <v>26.9</v>
      </c>
      <c r="Q1559" s="50">
        <v>1337</v>
      </c>
      <c r="R1559" s="42">
        <f t="shared" si="390"/>
        <v>49.7026022304833</v>
      </c>
      <c r="S1559" s="37">
        <v>4</v>
      </c>
      <c r="T1559" s="37" t="s">
        <v>2773</v>
      </c>
      <c r="U1559" s="43" t="str">
        <f t="shared" si="391"/>
        <v>18-feb-2024</v>
      </c>
      <c r="V1559" s="43">
        <f t="shared" si="392"/>
        <v>45340</v>
      </c>
      <c r="W1559" s="44">
        <f t="array" ref="W1559">_xlfn.IFS(TRIM(C1559)="","",TRIM(V1559)="","",TRUE,V1559-C1559)</f>
        <v>3</v>
      </c>
      <c r="X1559" s="37">
        <f t="shared" si="393"/>
        <v>-1</v>
      </c>
      <c r="Y1559" s="37" t="s">
        <v>219</v>
      </c>
      <c r="Z1559" s="37" t="str">
        <f t="shared" si="394"/>
        <v>delivered</v>
      </c>
      <c r="AA1559" s="37" t="str">
        <f t="shared" si="395"/>
        <v>On Time</v>
      </c>
      <c r="AB1559" s="37" t="str">
        <f t="shared" si="398"/>
        <v>0</v>
      </c>
      <c r="AC1559" s="37">
        <f t="shared" si="399"/>
        <v>0</v>
      </c>
      <c r="AD1559" s="45">
        <f t="shared" si="397"/>
        <v>0.674418604651163</v>
      </c>
      <c r="AE1559" s="37">
        <v>3</v>
      </c>
      <c r="AF1559" s="37" t="s">
        <v>106</v>
      </c>
      <c r="AG1559" s="37" t="str">
        <f t="shared" si="396"/>
        <v>yes</v>
      </c>
      <c r="AH1559" s="37" t="str">
        <f t="array" ref="AH1559">_xlfn.IFS(LOWER(AG1559)="n","no",LOWER(AG1559)="y","yes",TRUE,LOWER(AG1559))</f>
        <v>yes</v>
      </c>
      <c r="AI1559" s="37" t="s">
        <v>4692</v>
      </c>
    </row>
    <row r="1560" spans="1:35">
      <c r="A1560" s="46" t="s">
        <v>4565</v>
      </c>
      <c r="B1560" s="47">
        <v>45427</v>
      </c>
      <c r="C1560" s="39">
        <f t="shared" si="384"/>
        <v>45427</v>
      </c>
      <c r="D1560" s="48" t="s">
        <v>121</v>
      </c>
      <c r="E1560" s="37" t="str" cm="1">
        <f t="array" ref="E1560">_xlfn.IFS(D1560="delhi","north",D1560="mumbai","west",D1560="bengaluru","south",D1560="chennai","south",D1560="kolkata","east",TRUE,"west")</f>
        <v>west</v>
      </c>
      <c r="F1560" s="46" t="s">
        <v>544</v>
      </c>
      <c r="G1560" s="37" t="str">
        <f t="shared" si="385"/>
        <v>bluedart</v>
      </c>
      <c r="H1560" s="46" t="s">
        <v>185</v>
      </c>
      <c r="I1560" s="37" t="str">
        <f t="shared" si="386"/>
        <v>surface</v>
      </c>
      <c r="J1560" s="46" t="s">
        <v>301</v>
      </c>
      <c r="K1560" s="37" t="str">
        <f t="shared" si="387"/>
        <v>furniture</v>
      </c>
      <c r="L1560" s="46" t="s">
        <v>112</v>
      </c>
      <c r="M1560" s="37" t="str">
        <f t="shared" si="388"/>
        <v>north</v>
      </c>
      <c r="N1560" s="46" t="s">
        <v>32</v>
      </c>
      <c r="O1560" s="41" t="str">
        <f t="shared" si="389"/>
        <v>Yes</v>
      </c>
      <c r="P1560" s="49">
        <v>64.5</v>
      </c>
      <c r="Q1560" s="51">
        <v>1417</v>
      </c>
      <c r="R1560" s="42">
        <f t="shared" si="390"/>
        <v>21.968992248062</v>
      </c>
      <c r="S1560" s="46">
        <v>4</v>
      </c>
      <c r="T1560" s="46" t="s">
        <v>837</v>
      </c>
      <c r="U1560" s="43" t="str">
        <f t="shared" si="391"/>
        <v>20/05/2024</v>
      </c>
      <c r="V1560" s="43">
        <f t="shared" si="392"/>
        <v>45432</v>
      </c>
      <c r="W1560" s="44">
        <f t="array" ref="W1560">_xlfn.IFS(TRIM(C1560)="","",TRIM(V1560)="","",TRUE,V1560-C1560)</f>
        <v>5</v>
      </c>
      <c r="X1560" s="37">
        <f t="shared" si="393"/>
        <v>1</v>
      </c>
      <c r="Y1560" s="46" t="s">
        <v>72</v>
      </c>
      <c r="Z1560" s="37" t="str">
        <f t="shared" si="394"/>
        <v>delayed</v>
      </c>
      <c r="AA1560" s="37" t="str">
        <f t="shared" si="395"/>
        <v>Late</v>
      </c>
      <c r="AB1560" s="37" t="str">
        <f t="shared" si="398"/>
        <v>1</v>
      </c>
      <c r="AC1560" s="37">
        <f t="shared" si="399"/>
        <v>1</v>
      </c>
      <c r="AD1560" s="45">
        <f t="shared" si="397"/>
        <v>0.69047619047619</v>
      </c>
      <c r="AE1560" s="46">
        <v>2</v>
      </c>
      <c r="AF1560" s="46" t="s">
        <v>118</v>
      </c>
      <c r="AG1560" s="37" t="str">
        <f t="shared" si="396"/>
        <v>no</v>
      </c>
      <c r="AH1560" s="37" t="str">
        <f t="array" ref="AH1560">_xlfn.IFS(LOWER(AG1560)="n","no",LOWER(AG1560)="y","yes",TRUE,LOWER(AG1560))</f>
        <v>no</v>
      </c>
      <c r="AI1560" s="46" t="s">
        <v>4692</v>
      </c>
    </row>
    <row r="1561" spans="1:35">
      <c r="A1561" s="37" t="s">
        <v>4567</v>
      </c>
      <c r="B1561" s="38" t="s">
        <v>4739</v>
      </c>
      <c r="C1561" s="39">
        <f t="shared" si="384"/>
        <v>45318</v>
      </c>
      <c r="D1561" s="40" t="s">
        <v>300</v>
      </c>
      <c r="E1561" s="37" t="str" cm="1">
        <f t="array" ref="E1561">_xlfn.IFS(D1561="delhi","north",D1561="mumbai","west",D1561="bengaluru","south",D1561="chennai","south",D1561="kolkata","east",TRUE,"west")</f>
        <v>west</v>
      </c>
      <c r="F1561" s="37" t="s">
        <v>230</v>
      </c>
      <c r="G1561" s="37" t="str">
        <f t="shared" si="385"/>
        <v>dtdc</v>
      </c>
      <c r="H1561" s="37" t="s">
        <v>110</v>
      </c>
      <c r="I1561" s="37" t="str">
        <f t="shared" si="386"/>
        <v>surface</v>
      </c>
      <c r="J1561" s="37" t="s">
        <v>158</v>
      </c>
      <c r="K1561" s="37" t="str">
        <f t="shared" si="387"/>
        <v>pharma</v>
      </c>
      <c r="L1561" s="37" t="s">
        <v>401</v>
      </c>
      <c r="M1561" s="37" t="str">
        <f t="shared" si="388"/>
        <v>south</v>
      </c>
      <c r="N1561" s="37" t="s">
        <v>327</v>
      </c>
      <c r="O1561" s="41" t="str">
        <f t="shared" si="389"/>
        <v>Yes</v>
      </c>
      <c r="P1561" s="41">
        <v>2.2</v>
      </c>
      <c r="Q1561" s="41">
        <v>81</v>
      </c>
      <c r="R1561" s="42">
        <f t="shared" si="390"/>
        <v>36.8181818181818</v>
      </c>
      <c r="S1561" s="37">
        <v>4</v>
      </c>
      <c r="T1561" s="37" t="s">
        <v>1677</v>
      </c>
      <c r="U1561" s="43" t="str">
        <f t="shared" si="391"/>
        <v>01/02/2024</v>
      </c>
      <c r="V1561" s="43">
        <f t="shared" si="392"/>
        <v>45323</v>
      </c>
      <c r="W1561" s="44">
        <f t="array" ref="W1561">_xlfn.IFS(TRIM(C1561)="","",TRIM(V1561)="","",TRUE,V1561-C1561)</f>
        <v>5</v>
      </c>
      <c r="X1561" s="37">
        <f t="shared" si="393"/>
        <v>1</v>
      </c>
      <c r="Y1561" s="37" t="s">
        <v>172</v>
      </c>
      <c r="Z1561" s="37" t="str">
        <f t="shared" si="394"/>
        <v>delayed</v>
      </c>
      <c r="AA1561" s="37" t="str">
        <f t="shared" si="395"/>
        <v>Late</v>
      </c>
      <c r="AB1561" s="37" t="str">
        <f t="shared" si="398"/>
        <v>1</v>
      </c>
      <c r="AC1561" s="37">
        <f t="shared" si="399"/>
        <v>1</v>
      </c>
      <c r="AD1561" s="45">
        <f t="shared" si="397"/>
        <v>0.682926829268293</v>
      </c>
      <c r="AE1561" s="37">
        <v>1</v>
      </c>
      <c r="AF1561" s="37" t="s">
        <v>106</v>
      </c>
      <c r="AG1561" s="37" t="str">
        <f t="shared" si="396"/>
        <v>yes</v>
      </c>
      <c r="AH1561" s="37" t="str">
        <f t="array" ref="AH1561">_xlfn.IFS(LOWER(AG1561)="n","no",LOWER(AG1561)="y","yes",TRUE,LOWER(AG1561))</f>
        <v>yes</v>
      </c>
      <c r="AI1561" s="37" t="s">
        <v>4692</v>
      </c>
    </row>
    <row r="1562" spans="1:35">
      <c r="A1562" s="46" t="s">
        <v>4569</v>
      </c>
      <c r="B1562" s="47" t="s">
        <v>4719</v>
      </c>
      <c r="C1562" s="39">
        <f t="shared" si="384"/>
        <v>45430</v>
      </c>
      <c r="D1562" s="48" t="s">
        <v>109</v>
      </c>
      <c r="E1562" s="37" t="str" cm="1">
        <f t="array" ref="E1562">_xlfn.IFS(D1562="delhi","north",D1562="mumbai","west",D1562="bengaluru","south",D1562="chennai","south",D1562="kolkata","east",TRUE,"west")</f>
        <v>west</v>
      </c>
      <c r="F1562" s="46" t="s">
        <v>122</v>
      </c>
      <c r="G1562" s="37" t="str">
        <f t="shared" si="385"/>
        <v>delhivery</v>
      </c>
      <c r="H1562" s="46" t="s">
        <v>137</v>
      </c>
      <c r="I1562" s="37" t="str">
        <f t="shared" si="386"/>
        <v>road</v>
      </c>
      <c r="J1562" s="46" t="s">
        <v>167</v>
      </c>
      <c r="K1562" s="37" t="str">
        <f t="shared" si="387"/>
        <v>pharma</v>
      </c>
      <c r="L1562" s="46" t="s">
        <v>380</v>
      </c>
      <c r="M1562" s="37" t="str">
        <f t="shared" si="388"/>
        <v>east</v>
      </c>
      <c r="N1562" s="46" t="s">
        <v>126</v>
      </c>
      <c r="O1562" s="41" t="str">
        <f t="shared" si="389"/>
        <v>Yes</v>
      </c>
      <c r="P1562" s="49">
        <v>1.3</v>
      </c>
      <c r="Q1562" s="49" t="s">
        <v>942</v>
      </c>
      <c r="R1562" s="42">
        <f t="shared" si="390"/>
        <v>132.307692307692</v>
      </c>
      <c r="S1562" s="46">
        <v>8</v>
      </c>
      <c r="T1562" s="46" t="s">
        <v>1361</v>
      </c>
      <c r="U1562" s="43" t="str">
        <f t="shared" si="391"/>
        <v>27/05/2024</v>
      </c>
      <c r="V1562" s="43">
        <f t="shared" si="392"/>
        <v>45439</v>
      </c>
      <c r="W1562" s="44">
        <f t="array" ref="W1562">_xlfn.IFS(TRIM(C1562)="","",TRIM(V1562)="","",TRUE,V1562-C1562)</f>
        <v>9</v>
      </c>
      <c r="X1562" s="37">
        <f t="shared" si="393"/>
        <v>1</v>
      </c>
      <c r="Y1562" s="46" t="s">
        <v>200</v>
      </c>
      <c r="Z1562" s="37" t="str">
        <f t="shared" si="394"/>
        <v>delayed</v>
      </c>
      <c r="AA1562" s="37" t="str">
        <f t="shared" si="395"/>
        <v>Late</v>
      </c>
      <c r="AB1562" s="37" t="str">
        <f t="shared" si="398"/>
        <v>1</v>
      </c>
      <c r="AC1562" s="37">
        <f t="shared" si="399"/>
        <v>1</v>
      </c>
      <c r="AD1562" s="45">
        <f t="shared" si="397"/>
        <v>0.675</v>
      </c>
      <c r="AE1562" s="46">
        <v>1</v>
      </c>
      <c r="AF1562" s="46" t="s">
        <v>152</v>
      </c>
      <c r="AG1562" s="37" t="str">
        <f t="shared" si="396"/>
        <v>no</v>
      </c>
      <c r="AH1562" s="37" t="str">
        <f t="array" ref="AH1562">_xlfn.IFS(LOWER(AG1562)="n","no",LOWER(AG1562)="y","yes",TRUE,LOWER(AG1562))</f>
        <v>no</v>
      </c>
      <c r="AI1562" s="46" t="s">
        <v>4692</v>
      </c>
    </row>
    <row r="1563" spans="1:35">
      <c r="A1563" s="37" t="s">
        <v>4570</v>
      </c>
      <c r="B1563" s="38">
        <v>45358</v>
      </c>
      <c r="C1563" s="39">
        <f t="shared" si="384"/>
        <v>45358</v>
      </c>
      <c r="D1563" s="40" t="s">
        <v>243</v>
      </c>
      <c r="E1563" s="37" t="str" cm="1">
        <f t="array" ref="E1563">_xlfn.IFS(D1563="delhi","north",D1563="mumbai","west",D1563="bengaluru","south",D1563="chennai","south",D1563="kolkata","east",TRUE,"west")</f>
        <v>west</v>
      </c>
      <c r="F1563" s="37" t="s">
        <v>204</v>
      </c>
      <c r="G1563" s="37" t="str">
        <f t="shared" si="385"/>
        <v>delhivery</v>
      </c>
      <c r="H1563" s="37" t="s">
        <v>147</v>
      </c>
      <c r="I1563" s="37" t="str">
        <f t="shared" si="386"/>
        <v>road</v>
      </c>
      <c r="J1563" s="37" t="s">
        <v>385</v>
      </c>
      <c r="K1563" s="37" t="str">
        <f t="shared" si="387"/>
        <v>furniture</v>
      </c>
      <c r="L1563" s="37" t="s">
        <v>257</v>
      </c>
      <c r="M1563" s="37" t="str">
        <f t="shared" si="388"/>
        <v>west</v>
      </c>
      <c r="N1563" s="37" t="s">
        <v>187</v>
      </c>
      <c r="O1563" s="41" t="str">
        <f t="shared" si="389"/>
        <v>Yes</v>
      </c>
      <c r="P1563" s="41">
        <v>72.8</v>
      </c>
      <c r="Q1563" s="41" t="s">
        <v>4572</v>
      </c>
      <c r="R1563" s="42">
        <f t="shared" si="390"/>
        <v>15.9340659340659</v>
      </c>
      <c r="S1563" s="37">
        <v>8</v>
      </c>
      <c r="T1563" s="37" t="s">
        <v>846</v>
      </c>
      <c r="U1563" s="43" t="str">
        <f t="shared" si="391"/>
        <v>2024-03-14</v>
      </c>
      <c r="V1563" s="43">
        <f t="shared" si="392"/>
        <v>45365</v>
      </c>
      <c r="W1563" s="44">
        <f t="array" ref="W1563">_xlfn.IFS(TRIM(C1563)="","",TRIM(V1563)="","",TRUE,V1563-C1563)</f>
        <v>7</v>
      </c>
      <c r="X1563" s="37">
        <f t="shared" si="393"/>
        <v>-1</v>
      </c>
      <c r="Y1563" s="37" t="s">
        <v>117</v>
      </c>
      <c r="Z1563" s="37" t="str">
        <f t="shared" si="394"/>
        <v>delivered</v>
      </c>
      <c r="AA1563" s="37" t="str">
        <f t="shared" si="395"/>
        <v>On Time</v>
      </c>
      <c r="AB1563" s="37" t="str">
        <f t="shared" si="398"/>
        <v>0</v>
      </c>
      <c r="AC1563" s="37">
        <f t="shared" si="399"/>
        <v>0</v>
      </c>
      <c r="AD1563" s="45">
        <f t="shared" si="397"/>
        <v>0.666666666666667</v>
      </c>
      <c r="AE1563" s="37">
        <v>4</v>
      </c>
      <c r="AF1563" s="37" t="s">
        <v>131</v>
      </c>
      <c r="AG1563" s="37" t="str">
        <f t="shared" si="396"/>
        <v>n</v>
      </c>
      <c r="AH1563" s="37" t="str">
        <f t="array" ref="AH1563">_xlfn.IFS(LOWER(AG1563)="n","no",LOWER(AG1563)="y","yes",TRUE,LOWER(AG1563))</f>
        <v>no</v>
      </c>
      <c r="AI1563" s="37" t="s">
        <v>4692</v>
      </c>
    </row>
    <row r="1564" spans="1:35">
      <c r="A1564" s="37" t="s">
        <v>4573</v>
      </c>
      <c r="B1564" s="38">
        <v>45363</v>
      </c>
      <c r="C1564" s="39">
        <f t="shared" si="384"/>
        <v>45363</v>
      </c>
      <c r="D1564" s="40" t="s">
        <v>340</v>
      </c>
      <c r="E1564" s="37" t="str" cm="1">
        <f t="array" ref="E1564">_xlfn.IFS(D1564="delhi","north",D1564="mumbai","west",D1564="bengaluru","south",D1564="chennai","south",D1564="kolkata","east",TRUE,"west")</f>
        <v>north</v>
      </c>
      <c r="F1564" s="37" t="s">
        <v>919</v>
      </c>
      <c r="G1564" s="37" t="str">
        <f t="shared" si="385"/>
        <v>xpressbees</v>
      </c>
      <c r="H1564" s="37" t="s">
        <v>244</v>
      </c>
      <c r="I1564" s="37" t="str">
        <f t="shared" si="386"/>
        <v>air</v>
      </c>
      <c r="J1564" s="37" t="s">
        <v>177</v>
      </c>
      <c r="K1564" s="37" t="str">
        <f t="shared" si="387"/>
        <v>pharma</v>
      </c>
      <c r="L1564" s="37" t="s">
        <v>51</v>
      </c>
      <c r="M1564" s="37" t="str">
        <f t="shared" si="388"/>
        <v>south</v>
      </c>
      <c r="N1564" s="37" t="s">
        <v>54</v>
      </c>
      <c r="O1564" s="41" t="str">
        <f t="shared" si="389"/>
        <v>Yes</v>
      </c>
      <c r="P1564" s="41" t="s">
        <v>669</v>
      </c>
      <c r="Q1564" s="41" t="s">
        <v>4574</v>
      </c>
      <c r="R1564" s="42">
        <f t="shared" si="390"/>
        <v>79.3333333333333</v>
      </c>
      <c r="S1564" s="37">
        <v>4</v>
      </c>
      <c r="T1564" s="37" t="s">
        <v>1380</v>
      </c>
      <c r="U1564" s="43" t="str">
        <f t="shared" si="391"/>
        <v>16/03/2024</v>
      </c>
      <c r="V1564" s="43">
        <f t="shared" si="392"/>
        <v>45367</v>
      </c>
      <c r="W1564" s="44">
        <f t="array" ref="W1564">_xlfn.IFS(TRIM(C1564)="","",TRIM(V1564)="","",TRUE,V1564-C1564)</f>
        <v>4</v>
      </c>
      <c r="X1564" s="37">
        <f t="shared" si="393"/>
        <v>0</v>
      </c>
      <c r="Y1564" s="37" t="s">
        <v>219</v>
      </c>
      <c r="Z1564" s="37" t="str">
        <f t="shared" si="394"/>
        <v>delivered</v>
      </c>
      <c r="AA1564" s="37" t="str">
        <f t="shared" si="395"/>
        <v>On Time</v>
      </c>
      <c r="AB1564" s="37" t="str">
        <f t="shared" si="398"/>
        <v>0</v>
      </c>
      <c r="AC1564" s="37">
        <f t="shared" si="399"/>
        <v>0</v>
      </c>
      <c r="AD1564" s="45">
        <f t="shared" si="397"/>
        <v>0.684210526315789</v>
      </c>
      <c r="AE1564" s="37">
        <v>3</v>
      </c>
      <c r="AF1564" s="37" t="s">
        <v>118</v>
      </c>
      <c r="AG1564" s="37" t="str">
        <f t="shared" si="396"/>
        <v>no</v>
      </c>
      <c r="AH1564" s="37" t="str">
        <f t="array" ref="AH1564">_xlfn.IFS(LOWER(AG1564)="n","no",LOWER(AG1564)="y","yes",TRUE,LOWER(AG1564))</f>
        <v>no</v>
      </c>
      <c r="AI1564" s="37" t="s">
        <v>4692</v>
      </c>
    </row>
    <row r="1565" spans="1:35">
      <c r="A1565" s="46" t="s">
        <v>4575</v>
      </c>
      <c r="B1565" s="47">
        <v>45399</v>
      </c>
      <c r="C1565" s="39">
        <f t="shared" si="384"/>
        <v>45399</v>
      </c>
      <c r="D1565" s="48" t="s">
        <v>222</v>
      </c>
      <c r="E1565" s="37" t="str" cm="1">
        <f t="array" ref="E1565">_xlfn.IFS(D1565="delhi","north",D1565="mumbai","west",D1565="bengaluru","south",D1565="chennai","south",D1565="kolkata","east",TRUE,"west")</f>
        <v>west</v>
      </c>
      <c r="F1565" s="46" t="s">
        <v>175</v>
      </c>
      <c r="G1565" s="37" t="str">
        <f t="shared" si="385"/>
        <v>ecomexpress</v>
      </c>
      <c r="H1565" s="46" t="s">
        <v>110</v>
      </c>
      <c r="I1565" s="37" t="str">
        <f t="shared" si="386"/>
        <v>surface</v>
      </c>
      <c r="J1565" s="46" t="s">
        <v>430</v>
      </c>
      <c r="K1565" s="37" t="str">
        <f t="shared" si="387"/>
        <v>pharma</v>
      </c>
      <c r="L1565" s="46" t="s">
        <v>101</v>
      </c>
      <c r="M1565" s="37" t="str">
        <f t="shared" si="388"/>
        <v>west</v>
      </c>
      <c r="N1565" s="46" t="s">
        <v>278</v>
      </c>
      <c r="O1565" s="41" t="str">
        <f t="shared" si="389"/>
        <v>Yes</v>
      </c>
      <c r="P1565" s="49">
        <v>2.5</v>
      </c>
      <c r="Q1565" s="49" t="s">
        <v>2816</v>
      </c>
      <c r="R1565" s="42">
        <f t="shared" si="390"/>
        <v>38</v>
      </c>
      <c r="S1565" s="46">
        <v>4</v>
      </c>
      <c r="T1565" s="46" t="s">
        <v>1528</v>
      </c>
      <c r="U1565" s="43" t="str">
        <f t="shared" si="391"/>
        <v>20-apr-2024</v>
      </c>
      <c r="V1565" s="43">
        <f t="shared" si="392"/>
        <v>45402</v>
      </c>
      <c r="W1565" s="44">
        <f t="array" ref="W1565">_xlfn.IFS(TRIM(C1565)="","",TRIM(V1565)="","",TRUE,V1565-C1565)</f>
        <v>3</v>
      </c>
      <c r="X1565" s="37">
        <f t="shared" si="393"/>
        <v>-1</v>
      </c>
      <c r="Y1565" s="46" t="s">
        <v>219</v>
      </c>
      <c r="Z1565" s="37" t="str">
        <f t="shared" si="394"/>
        <v>delivered</v>
      </c>
      <c r="AA1565" s="37" t="str">
        <f t="shared" si="395"/>
        <v>On Time</v>
      </c>
      <c r="AB1565" s="37" t="str">
        <f t="shared" si="398"/>
        <v>0</v>
      </c>
      <c r="AC1565" s="37">
        <f t="shared" si="399"/>
        <v>0</v>
      </c>
      <c r="AD1565" s="45">
        <f t="shared" si="397"/>
        <v>0.702702702702703</v>
      </c>
      <c r="AE1565" s="46">
        <v>4</v>
      </c>
      <c r="AF1565" s="46" t="s">
        <v>118</v>
      </c>
      <c r="AG1565" s="37" t="str">
        <f t="shared" si="396"/>
        <v>no</v>
      </c>
      <c r="AH1565" s="37" t="str">
        <f t="array" ref="AH1565">_xlfn.IFS(LOWER(AG1565)="n","no",LOWER(AG1565)="y","yes",TRUE,LOWER(AG1565))</f>
        <v>no</v>
      </c>
      <c r="AI1565" s="46" t="s">
        <v>4692</v>
      </c>
    </row>
    <row r="1566" spans="1:35">
      <c r="A1566" s="37" t="s">
        <v>4576</v>
      </c>
      <c r="B1566" s="38">
        <v>45466</v>
      </c>
      <c r="C1566" s="39">
        <f t="shared" si="384"/>
        <v>45466</v>
      </c>
      <c r="D1566" s="40" t="s">
        <v>243</v>
      </c>
      <c r="E1566" s="37" t="str" cm="1">
        <f t="array" ref="E1566">_xlfn.IFS(D1566="delhi","north",D1566="mumbai","west",D1566="bengaluru","south",D1566="chennai","south",D1566="kolkata","east",TRUE,"west")</f>
        <v>west</v>
      </c>
      <c r="F1566" s="37" t="s">
        <v>122</v>
      </c>
      <c r="G1566" s="37" t="str">
        <f t="shared" si="385"/>
        <v>delhivery</v>
      </c>
      <c r="H1566" s="37" t="s">
        <v>137</v>
      </c>
      <c r="I1566" s="37" t="str">
        <f t="shared" si="386"/>
        <v>road</v>
      </c>
      <c r="J1566" s="37" t="s">
        <v>148</v>
      </c>
      <c r="K1566" s="37" t="str">
        <f t="shared" si="387"/>
        <v>electronics</v>
      </c>
      <c r="L1566" s="37" t="s">
        <v>168</v>
      </c>
      <c r="M1566" s="37" t="str">
        <f t="shared" si="388"/>
        <v>west</v>
      </c>
      <c r="N1566" s="37" t="s">
        <v>187</v>
      </c>
      <c r="O1566" s="41" t="str">
        <f t="shared" si="389"/>
        <v>Yes</v>
      </c>
      <c r="P1566" s="41">
        <v>13.8</v>
      </c>
      <c r="Q1566" s="41" t="s">
        <v>4577</v>
      </c>
      <c r="R1566" s="42">
        <f t="shared" si="390"/>
        <v>27.536231884058</v>
      </c>
      <c r="S1566" s="37">
        <v>8</v>
      </c>
      <c r="T1566" s="37" t="s">
        <v>1120</v>
      </c>
      <c r="U1566" s="43" t="str">
        <f t="shared" si="391"/>
        <v>03/07/2024</v>
      </c>
      <c r="V1566" s="43">
        <f t="shared" si="392"/>
        <v>45476</v>
      </c>
      <c r="W1566" s="44">
        <f t="array" ref="W1566">_xlfn.IFS(TRIM(C1566)="","",TRIM(V1566)="","",TRUE,V1566-C1566)</f>
        <v>10</v>
      </c>
      <c r="X1566" s="37">
        <f t="shared" si="393"/>
        <v>2</v>
      </c>
      <c r="Y1566" s="37" t="s">
        <v>143</v>
      </c>
      <c r="Z1566" s="37" t="str">
        <f t="shared" si="394"/>
        <v>delayed</v>
      </c>
      <c r="AA1566" s="37" t="str">
        <f t="shared" si="395"/>
        <v>Late</v>
      </c>
      <c r="AB1566" s="37" t="str">
        <f t="shared" si="398"/>
        <v>1</v>
      </c>
      <c r="AC1566" s="37">
        <f t="shared" si="399"/>
        <v>1</v>
      </c>
      <c r="AD1566" s="45">
        <f t="shared" si="397"/>
        <v>0.722222222222222</v>
      </c>
      <c r="AE1566" s="37">
        <v>1</v>
      </c>
      <c r="AF1566" s="37" t="s">
        <v>152</v>
      </c>
      <c r="AG1566" s="37" t="str">
        <f t="shared" si="396"/>
        <v>no</v>
      </c>
      <c r="AH1566" s="37" t="str">
        <f t="array" ref="AH1566">_xlfn.IFS(LOWER(AG1566)="n","no",LOWER(AG1566)="y","yes",TRUE,LOWER(AG1566))</f>
        <v>no</v>
      </c>
      <c r="AI1566" s="37" t="s">
        <v>4692</v>
      </c>
    </row>
    <row r="1567" spans="1:35">
      <c r="A1567" s="46" t="s">
        <v>4578</v>
      </c>
      <c r="B1567" s="47">
        <v>45414</v>
      </c>
      <c r="C1567" s="39">
        <f t="shared" si="384"/>
        <v>45414</v>
      </c>
      <c r="D1567" s="48" t="s">
        <v>109</v>
      </c>
      <c r="E1567" s="37" t="str" cm="1">
        <f t="array" ref="E1567">_xlfn.IFS(D1567="delhi","north",D1567="mumbai","west",D1567="bengaluru","south",D1567="chennai","south",D1567="kolkata","east",TRUE,"west")</f>
        <v>west</v>
      </c>
      <c r="F1567" s="46" t="s">
        <v>223</v>
      </c>
      <c r="G1567" s="37" t="str">
        <f t="shared" si="385"/>
        <v>xpressbees</v>
      </c>
      <c r="H1567" s="46" t="s">
        <v>157</v>
      </c>
      <c r="I1567" s="37" t="str">
        <f t="shared" si="386"/>
        <v>surface</v>
      </c>
      <c r="J1567" s="46" t="s">
        <v>612</v>
      </c>
      <c r="K1567" s="37" t="str">
        <f t="shared" si="387"/>
        <v>grocery&amp;fmcg</v>
      </c>
      <c r="L1567" s="46" t="s">
        <v>346</v>
      </c>
      <c r="M1567" s="37" t="str">
        <f t="shared" si="388"/>
        <v>north</v>
      </c>
      <c r="N1567" s="46" t="s">
        <v>215</v>
      </c>
      <c r="O1567" s="41" t="str">
        <f t="shared" si="389"/>
        <v>Yes</v>
      </c>
      <c r="P1567" s="49" t="s">
        <v>2515</v>
      </c>
      <c r="Q1567" s="49">
        <v>497</v>
      </c>
      <c r="R1567" s="42">
        <f t="shared" si="390"/>
        <v>35.5</v>
      </c>
      <c r="S1567" s="46">
        <v>6</v>
      </c>
      <c r="T1567" s="46" t="s">
        <v>931</v>
      </c>
      <c r="U1567" s="43" t="str">
        <f t="shared" si="391"/>
        <v>09/05/2024</v>
      </c>
      <c r="V1567" s="43">
        <f t="shared" si="392"/>
        <v>45421</v>
      </c>
      <c r="W1567" s="44">
        <f t="array" ref="W1567">_xlfn.IFS(TRIM(C1567)="","",TRIM(V1567)="","",TRUE,V1567-C1567)</f>
        <v>7</v>
      </c>
      <c r="X1567" s="37">
        <f t="shared" si="393"/>
        <v>1</v>
      </c>
      <c r="Y1567" s="46" t="s">
        <v>143</v>
      </c>
      <c r="Z1567" s="37" t="str">
        <f t="shared" si="394"/>
        <v>delayed</v>
      </c>
      <c r="AA1567" s="37" t="str">
        <f t="shared" si="395"/>
        <v>Late</v>
      </c>
      <c r="AB1567" s="37" t="str">
        <f t="shared" si="398"/>
        <v>1</v>
      </c>
      <c r="AC1567" s="37">
        <f t="shared" si="399"/>
        <v>1</v>
      </c>
      <c r="AD1567" s="45">
        <f t="shared" si="397"/>
        <v>0.714285714285714</v>
      </c>
      <c r="AE1567" s="46">
        <v>1</v>
      </c>
      <c r="AF1567" s="46" t="s">
        <v>131</v>
      </c>
      <c r="AG1567" s="37" t="str">
        <f t="shared" si="396"/>
        <v>n</v>
      </c>
      <c r="AH1567" s="37" t="str">
        <f t="array" ref="AH1567">_xlfn.IFS(LOWER(AG1567)="n","no",LOWER(AG1567)="y","yes",TRUE,LOWER(AG1567))</f>
        <v>no</v>
      </c>
      <c r="AI1567" s="46" t="s">
        <v>4692</v>
      </c>
    </row>
    <row r="1568" spans="1:35">
      <c r="A1568" s="37" t="s">
        <v>4580</v>
      </c>
      <c r="B1568" s="38">
        <v>45449</v>
      </c>
      <c r="C1568" s="39">
        <f t="shared" si="384"/>
        <v>45449</v>
      </c>
      <c r="D1568" s="40" t="s">
        <v>340</v>
      </c>
      <c r="E1568" s="37" t="str" cm="1">
        <f t="array" ref="E1568">_xlfn.IFS(D1568="delhi","north",D1568="mumbai","west",D1568="bengaluru","south",D1568="chennai","south",D1568="kolkata","east",TRUE,"west")</f>
        <v>north</v>
      </c>
      <c r="F1568" s="37" t="s">
        <v>230</v>
      </c>
      <c r="G1568" s="37" t="str">
        <f t="shared" si="385"/>
        <v>dtdc</v>
      </c>
      <c r="H1568" s="37" t="s">
        <v>176</v>
      </c>
      <c r="I1568" s="37" t="str">
        <f t="shared" si="386"/>
        <v>road</v>
      </c>
      <c r="J1568" s="37" t="s">
        <v>1145</v>
      </c>
      <c r="K1568" s="37" t="str">
        <f t="shared" si="387"/>
        <v>grocery&amp;fmcg</v>
      </c>
      <c r="L1568" s="37" t="s">
        <v>101</v>
      </c>
      <c r="M1568" s="37" t="str">
        <f t="shared" si="388"/>
        <v>west</v>
      </c>
      <c r="N1568" s="37" t="s">
        <v>88</v>
      </c>
      <c r="O1568" s="41" t="str">
        <f t="shared" si="389"/>
        <v>Yes</v>
      </c>
      <c r="P1568" s="41">
        <v>7.9</v>
      </c>
      <c r="Q1568" s="41" t="s">
        <v>1951</v>
      </c>
      <c r="R1568" s="42">
        <f t="shared" si="390"/>
        <v>30</v>
      </c>
      <c r="S1568" s="37">
        <v>8</v>
      </c>
      <c r="T1568" s="37" t="s">
        <v>615</v>
      </c>
      <c r="U1568" s="43" t="str">
        <f t="shared" si="391"/>
        <v>14/06/2024</v>
      </c>
      <c r="V1568" s="43">
        <f t="shared" si="392"/>
        <v>45457</v>
      </c>
      <c r="W1568" s="44">
        <f t="array" ref="W1568">_xlfn.IFS(TRIM(C1568)="","",TRIM(V1568)="","",TRUE,V1568-C1568)</f>
        <v>8</v>
      </c>
      <c r="X1568" s="37">
        <f t="shared" si="393"/>
        <v>0</v>
      </c>
      <c r="Y1568" s="37" t="s">
        <v>105</v>
      </c>
      <c r="Z1568" s="37" t="str">
        <f t="shared" si="394"/>
        <v>delivered</v>
      </c>
      <c r="AA1568" s="37" t="str">
        <f t="shared" si="395"/>
        <v>On Time</v>
      </c>
      <c r="AB1568" s="37" t="str">
        <f t="shared" si="398"/>
        <v>0</v>
      </c>
      <c r="AC1568" s="37">
        <f t="shared" si="399"/>
        <v>0</v>
      </c>
      <c r="AD1568" s="45">
        <f t="shared" si="397"/>
        <v>0.705882352941177</v>
      </c>
      <c r="AE1568" s="37">
        <v>4</v>
      </c>
      <c r="AF1568" s="37" t="s">
        <v>79</v>
      </c>
      <c r="AG1568" s="37" t="str">
        <f t="shared" si="396"/>
        <v>yes</v>
      </c>
      <c r="AH1568" s="37" t="str">
        <f t="array" ref="AH1568">_xlfn.IFS(LOWER(AG1568)="n","no",LOWER(AG1568)="y","yes",TRUE,LOWER(AG1568))</f>
        <v>yes</v>
      </c>
      <c r="AI1568" s="37" t="s">
        <v>4692</v>
      </c>
    </row>
    <row r="1569" spans="1:35">
      <c r="A1569" s="46" t="s">
        <v>4581</v>
      </c>
      <c r="B1569" s="47">
        <v>45332</v>
      </c>
      <c r="C1569" s="39">
        <f t="shared" si="384"/>
        <v>45332</v>
      </c>
      <c r="D1569" s="48" t="s">
        <v>4694</v>
      </c>
      <c r="E1569" s="37" t="str" cm="1">
        <f t="array" ref="E1569">_xlfn.IFS(D1569="delhi","north",D1569="mumbai","west",D1569="bengaluru","south",D1569="chennai","south",D1569="kolkata","east",TRUE,"west")</f>
        <v>west</v>
      </c>
      <c r="F1569" s="46" t="s">
        <v>919</v>
      </c>
      <c r="G1569" s="37" t="str">
        <f t="shared" si="385"/>
        <v>xpressbees</v>
      </c>
      <c r="H1569" s="46" t="s">
        <v>185</v>
      </c>
      <c r="I1569" s="37" t="str">
        <f t="shared" si="386"/>
        <v>surface</v>
      </c>
      <c r="J1569" s="46" t="s">
        <v>385</v>
      </c>
      <c r="K1569" s="37" t="str">
        <f t="shared" si="387"/>
        <v>furniture</v>
      </c>
      <c r="L1569" s="46" t="s">
        <v>168</v>
      </c>
      <c r="M1569" s="37" t="str">
        <f t="shared" si="388"/>
        <v>west</v>
      </c>
      <c r="N1569" s="46" t="s">
        <v>278</v>
      </c>
      <c r="O1569" s="41" t="str">
        <f t="shared" si="389"/>
        <v>Yes</v>
      </c>
      <c r="P1569" s="49">
        <v>39.7</v>
      </c>
      <c r="Q1569" s="49">
        <v>1001</v>
      </c>
      <c r="R1569" s="42">
        <f t="shared" si="390"/>
        <v>25.2141057934509</v>
      </c>
      <c r="S1569" s="46">
        <v>6</v>
      </c>
      <c r="T1569" s="46" t="s">
        <v>2920</v>
      </c>
      <c r="U1569" s="43" t="str">
        <f t="shared" si="391"/>
        <v>21/02/2024</v>
      </c>
      <c r="V1569" s="43">
        <f t="shared" si="392"/>
        <v>45343</v>
      </c>
      <c r="W1569" s="44">
        <f t="array" ref="W1569">_xlfn.IFS(TRIM(C1569)="","",TRIM(V1569)="","",TRUE,V1569-C1569)</f>
        <v>11</v>
      </c>
      <c r="X1569" s="37">
        <f t="shared" si="393"/>
        <v>5</v>
      </c>
      <c r="Y1569" s="46" t="s">
        <v>143</v>
      </c>
      <c r="Z1569" s="37" t="str">
        <f t="shared" si="394"/>
        <v>delayed</v>
      </c>
      <c r="AA1569" s="37" t="str">
        <f t="shared" si="395"/>
        <v>Late</v>
      </c>
      <c r="AB1569" s="37" t="str">
        <f t="shared" si="398"/>
        <v>1</v>
      </c>
      <c r="AC1569" s="37">
        <f t="shared" si="399"/>
        <v>1</v>
      </c>
      <c r="AD1569" s="45">
        <f t="shared" si="397"/>
        <v>0.727272727272727</v>
      </c>
      <c r="AE1569" s="46">
        <v>5</v>
      </c>
      <c r="AF1569" s="46" t="s">
        <v>286</v>
      </c>
      <c r="AG1569" s="37" t="str">
        <f t="shared" si="396"/>
        <v>yes</v>
      </c>
      <c r="AH1569" s="37" t="str">
        <f t="array" ref="AH1569">_xlfn.IFS(LOWER(AG1569)="n","no",LOWER(AG1569)="y","yes",TRUE,LOWER(AG1569))</f>
        <v>yes</v>
      </c>
      <c r="AI1569" s="46" t="s">
        <v>4692</v>
      </c>
    </row>
    <row r="1570" spans="1:35">
      <c r="A1570" s="37" t="s">
        <v>4584</v>
      </c>
      <c r="B1570" s="38" t="s">
        <v>4818</v>
      </c>
      <c r="C1570" s="39">
        <f t="shared" si="384"/>
        <v>45451</v>
      </c>
      <c r="D1570" s="40" t="s">
        <v>366</v>
      </c>
      <c r="E1570" s="37" t="str" cm="1">
        <f t="array" ref="E1570">_xlfn.IFS(D1570="delhi","north",D1570="mumbai","west",D1570="bengaluru","south",D1570="chennai","south",D1570="kolkata","east",TRUE,"west")</f>
        <v>east</v>
      </c>
      <c r="F1570" s="37" t="s">
        <v>37</v>
      </c>
      <c r="G1570" s="37" t="str">
        <f t="shared" si="385"/>
        <v>bluedart</v>
      </c>
      <c r="H1570" s="37" t="s">
        <v>244</v>
      </c>
      <c r="I1570" s="37" t="str">
        <f t="shared" si="386"/>
        <v>air</v>
      </c>
      <c r="J1570" s="37" t="s">
        <v>283</v>
      </c>
      <c r="K1570" s="37" t="str">
        <f t="shared" si="387"/>
        <v>pharma</v>
      </c>
      <c r="L1570" s="37" t="s">
        <v>257</v>
      </c>
      <c r="M1570" s="37" t="str">
        <f t="shared" si="388"/>
        <v>west</v>
      </c>
      <c r="N1570" s="37" t="s">
        <v>278</v>
      </c>
      <c r="O1570" s="41" t="str">
        <f t="shared" si="389"/>
        <v>Yes</v>
      </c>
      <c r="P1570" s="41">
        <v>3.9</v>
      </c>
      <c r="Q1570" s="41">
        <v>338</v>
      </c>
      <c r="R1570" s="42">
        <f t="shared" si="390"/>
        <v>86.6666666666667</v>
      </c>
      <c r="S1570" s="37">
        <v>4</v>
      </c>
      <c r="T1570" s="37" t="s">
        <v>508</v>
      </c>
      <c r="U1570" s="43" t="str">
        <f t="shared" si="391"/>
        <v>12-jun-2024</v>
      </c>
      <c r="V1570" s="43">
        <f t="shared" si="392"/>
        <v>45455</v>
      </c>
      <c r="W1570" s="44">
        <f t="array" ref="W1570">_xlfn.IFS(TRIM(C1570)="","",TRIM(V1570)="","",TRUE,V1570-C1570)</f>
        <v>4</v>
      </c>
      <c r="X1570" s="37">
        <f t="shared" si="393"/>
        <v>0</v>
      </c>
      <c r="Y1570" s="37" t="s">
        <v>117</v>
      </c>
      <c r="Z1570" s="37" t="str">
        <f t="shared" si="394"/>
        <v>delivered</v>
      </c>
      <c r="AA1570" s="37" t="str">
        <f t="shared" si="395"/>
        <v>On Time</v>
      </c>
      <c r="AB1570" s="37" t="str">
        <f t="shared" si="398"/>
        <v>0</v>
      </c>
      <c r="AC1570" s="37">
        <f t="shared" si="399"/>
        <v>0</v>
      </c>
      <c r="AD1570" s="45">
        <f t="shared" si="397"/>
        <v>0.71875</v>
      </c>
      <c r="AE1570" s="37">
        <v>4</v>
      </c>
      <c r="AF1570" s="37" t="s">
        <v>152</v>
      </c>
      <c r="AG1570" s="37" t="str">
        <f t="shared" si="396"/>
        <v>no</v>
      </c>
      <c r="AH1570" s="37" t="str">
        <f t="array" ref="AH1570">_xlfn.IFS(LOWER(AG1570)="n","no",LOWER(AG1570)="y","yes",TRUE,LOWER(AG1570))</f>
        <v>no</v>
      </c>
      <c r="AI1570" s="37" t="s">
        <v>4692</v>
      </c>
    </row>
    <row r="1571" spans="1:35">
      <c r="A1571" s="46" t="s">
        <v>4586</v>
      </c>
      <c r="B1571" s="47">
        <v>45436</v>
      </c>
      <c r="C1571" s="39">
        <f t="shared" si="384"/>
        <v>45436</v>
      </c>
      <c r="D1571" s="48" t="s">
        <v>109</v>
      </c>
      <c r="E1571" s="37" t="str" cm="1">
        <f t="array" ref="E1571">_xlfn.IFS(D1571="delhi","north",D1571="mumbai","west",D1571="bengaluru","south",D1571="chennai","south",D1571="kolkata","east",TRUE,"west")</f>
        <v>west</v>
      </c>
      <c r="F1571" s="46" t="s">
        <v>270</v>
      </c>
      <c r="G1571" s="37" t="str">
        <f t="shared" si="385"/>
        <v>ecomexpress</v>
      </c>
      <c r="H1571" s="46" t="s">
        <v>99</v>
      </c>
      <c r="I1571" s="37" t="str">
        <f t="shared" si="386"/>
        <v>air</v>
      </c>
      <c r="J1571" s="46" t="s">
        <v>1112</v>
      </c>
      <c r="K1571" s="37" t="str">
        <f t="shared" si="387"/>
        <v>automotiveparts</v>
      </c>
      <c r="L1571" s="46" t="s">
        <v>125</v>
      </c>
      <c r="M1571" s="37" t="str">
        <f t="shared" si="388"/>
        <v>east</v>
      </c>
      <c r="N1571" s="46" t="s">
        <v>396</v>
      </c>
      <c r="O1571" s="41" t="str">
        <f t="shared" si="389"/>
        <v>Yes</v>
      </c>
      <c r="P1571" s="49">
        <v>7.9</v>
      </c>
      <c r="Q1571" s="49">
        <v>564</v>
      </c>
      <c r="R1571" s="42">
        <f t="shared" si="390"/>
        <v>71.3924050632911</v>
      </c>
      <c r="S1571" s="46">
        <v>4</v>
      </c>
      <c r="T1571" s="46" t="s">
        <v>1064</v>
      </c>
      <c r="U1571" s="43" t="str">
        <f t="shared" si="391"/>
        <v>2024-05-29</v>
      </c>
      <c r="V1571" s="43">
        <f t="shared" si="392"/>
        <v>45441</v>
      </c>
      <c r="W1571" s="44">
        <f t="array" ref="W1571">_xlfn.IFS(TRIM(C1571)="","",TRIM(V1571)="","",TRUE,V1571-C1571)</f>
        <v>5</v>
      </c>
      <c r="X1571" s="37">
        <f t="shared" si="393"/>
        <v>1</v>
      </c>
      <c r="Y1571" s="46" t="s">
        <v>172</v>
      </c>
      <c r="Z1571" s="37" t="str">
        <f t="shared" si="394"/>
        <v>delayed</v>
      </c>
      <c r="AA1571" s="37" t="str">
        <f t="shared" si="395"/>
        <v>Late</v>
      </c>
      <c r="AB1571" s="37" t="str">
        <f t="shared" si="398"/>
        <v>1</v>
      </c>
      <c r="AC1571" s="37">
        <f t="shared" si="399"/>
        <v>1</v>
      </c>
      <c r="AD1571" s="45">
        <f t="shared" si="397"/>
        <v>0.741935483870968</v>
      </c>
      <c r="AE1571" s="46">
        <v>2</v>
      </c>
      <c r="AF1571" s="46" t="s">
        <v>191</v>
      </c>
      <c r="AG1571" s="37" t="str">
        <f t="shared" si="396"/>
        <v>no</v>
      </c>
      <c r="AH1571" s="37" t="str">
        <f t="array" ref="AH1571">_xlfn.IFS(LOWER(AG1571)="n","no",LOWER(AG1571)="y","yes",TRUE,LOWER(AG1571))</f>
        <v>no</v>
      </c>
      <c r="AI1571" s="46" t="s">
        <v>4692</v>
      </c>
    </row>
    <row r="1572" spans="1:35">
      <c r="A1572" s="37" t="s">
        <v>4587</v>
      </c>
      <c r="B1572" s="38">
        <v>45335</v>
      </c>
      <c r="C1572" s="39">
        <f t="shared" si="384"/>
        <v>45335</v>
      </c>
      <c r="D1572" s="40" t="s">
        <v>222</v>
      </c>
      <c r="E1572" s="37" t="str" cm="1">
        <f t="array" ref="E1572">_xlfn.IFS(D1572="delhi","north",D1572="mumbai","west",D1572="bengaluru","south",D1572="chennai","south",D1572="kolkata","east",TRUE,"west")</f>
        <v>west</v>
      </c>
      <c r="F1572" s="37" t="s">
        <v>146</v>
      </c>
      <c r="G1572" s="37" t="str">
        <f t="shared" si="385"/>
        <v>ecomexpress</v>
      </c>
      <c r="H1572" s="37" t="s">
        <v>176</v>
      </c>
      <c r="I1572" s="37" t="str">
        <f t="shared" si="386"/>
        <v>road</v>
      </c>
      <c r="J1572" s="37" t="s">
        <v>360</v>
      </c>
      <c r="K1572" s="37" t="str">
        <f t="shared" si="387"/>
        <v>furniture</v>
      </c>
      <c r="L1572" s="37" t="s">
        <v>418</v>
      </c>
      <c r="M1572" s="37" t="str">
        <f t="shared" si="388"/>
        <v>south</v>
      </c>
      <c r="N1572" s="37" t="s">
        <v>93</v>
      </c>
      <c r="O1572" s="41" t="str">
        <f t="shared" si="389"/>
        <v>Yes</v>
      </c>
      <c r="P1572" s="41">
        <v>67.8</v>
      </c>
      <c r="Q1572" s="41">
        <v>1119</v>
      </c>
      <c r="R1572" s="42">
        <f t="shared" si="390"/>
        <v>16.5044247787611</v>
      </c>
      <c r="S1572" s="37">
        <v>8</v>
      </c>
      <c r="T1572" s="37" t="s">
        <v>1864</v>
      </c>
      <c r="U1572" s="43" t="str">
        <f t="shared" si="391"/>
        <v>21/02/2024</v>
      </c>
      <c r="V1572" s="43">
        <f t="shared" si="392"/>
        <v>45343</v>
      </c>
      <c r="W1572" s="44">
        <f t="array" ref="W1572">_xlfn.IFS(TRIM(C1572)="","",TRIM(V1572)="","",TRUE,V1572-C1572)</f>
        <v>8</v>
      </c>
      <c r="X1572" s="37">
        <f t="shared" si="393"/>
        <v>0</v>
      </c>
      <c r="Y1572" s="37" t="s">
        <v>337</v>
      </c>
      <c r="Z1572" s="37" t="str">
        <f t="shared" si="394"/>
        <v>damaged</v>
      </c>
      <c r="AA1572" s="37" t="str">
        <f t="shared" si="395"/>
        <v>On Time</v>
      </c>
      <c r="AB1572" s="37" t="str">
        <f t="shared" si="398"/>
        <v>0</v>
      </c>
      <c r="AC1572" s="37">
        <f t="shared" si="399"/>
        <v>0</v>
      </c>
      <c r="AD1572" s="45">
        <f t="shared" si="397"/>
        <v>0.733333333333333</v>
      </c>
      <c r="AE1572" s="37"/>
      <c r="AF1572" s="37" t="s">
        <v>118</v>
      </c>
      <c r="AG1572" s="37" t="str">
        <f t="shared" si="396"/>
        <v>no</v>
      </c>
      <c r="AH1572" s="37" t="str">
        <f t="array" ref="AH1572">_xlfn.IFS(LOWER(AG1572)="n","no",LOWER(AG1572)="y","yes",TRUE,LOWER(AG1572))</f>
        <v>no</v>
      </c>
      <c r="AI1572" s="37" t="s">
        <v>132</v>
      </c>
    </row>
    <row r="1573" spans="1:35">
      <c r="A1573" s="46" t="s">
        <v>4590</v>
      </c>
      <c r="B1573" s="47">
        <v>45304</v>
      </c>
      <c r="C1573" s="39">
        <f t="shared" si="384"/>
        <v>45304</v>
      </c>
      <c r="D1573" s="48" t="s">
        <v>109</v>
      </c>
      <c r="E1573" s="37" t="str" cm="1">
        <f t="array" ref="E1573">_xlfn.IFS(D1573="delhi","north",D1573="mumbai","west",D1573="bengaluru","south",D1573="chennai","south",D1573="kolkata","east",TRUE,"west")</f>
        <v>west</v>
      </c>
      <c r="F1573" s="46" t="s">
        <v>270</v>
      </c>
      <c r="G1573" s="37" t="str">
        <f t="shared" si="385"/>
        <v>ecomexpress</v>
      </c>
      <c r="H1573" s="46" t="s">
        <v>123</v>
      </c>
      <c r="I1573" s="37" t="str">
        <f t="shared" si="386"/>
        <v>air</v>
      </c>
      <c r="J1573" s="46" t="s">
        <v>148</v>
      </c>
      <c r="K1573" s="37" t="str">
        <f t="shared" si="387"/>
        <v>electronics</v>
      </c>
      <c r="L1573" s="46" t="s">
        <v>125</v>
      </c>
      <c r="M1573" s="37" t="str">
        <f t="shared" si="388"/>
        <v>east</v>
      </c>
      <c r="N1573" s="46" t="s">
        <v>396</v>
      </c>
      <c r="O1573" s="41" t="str">
        <f t="shared" si="389"/>
        <v>Yes</v>
      </c>
      <c r="P1573" s="49">
        <v>11.8</v>
      </c>
      <c r="Q1573" s="49">
        <v>686</v>
      </c>
      <c r="R1573" s="42">
        <f t="shared" si="390"/>
        <v>58.135593220339</v>
      </c>
      <c r="S1573" s="46">
        <v>4</v>
      </c>
      <c r="T1573" s="46" t="s">
        <v>2367</v>
      </c>
      <c r="U1573" s="43" t="str">
        <f t="shared" si="391"/>
        <v>17/01/2024</v>
      </c>
      <c r="V1573" s="43">
        <f t="shared" si="392"/>
        <v>45308</v>
      </c>
      <c r="W1573" s="44">
        <f t="array" ref="W1573">_xlfn.IFS(TRIM(C1573)="","",TRIM(V1573)="","",TRUE,V1573-C1573)</f>
        <v>4</v>
      </c>
      <c r="X1573" s="37">
        <f t="shared" si="393"/>
        <v>0</v>
      </c>
      <c r="Y1573" s="46" t="s">
        <v>105</v>
      </c>
      <c r="Z1573" s="37" t="str">
        <f t="shared" si="394"/>
        <v>delivered</v>
      </c>
      <c r="AA1573" s="37" t="str">
        <f t="shared" si="395"/>
        <v>On Time</v>
      </c>
      <c r="AB1573" s="37" t="str">
        <f t="shared" si="398"/>
        <v>0</v>
      </c>
      <c r="AC1573" s="37">
        <f t="shared" si="399"/>
        <v>0</v>
      </c>
      <c r="AD1573" s="45">
        <f t="shared" si="397"/>
        <v>0.758620689655172</v>
      </c>
      <c r="AE1573" s="46">
        <v>4</v>
      </c>
      <c r="AF1573" s="46" t="s">
        <v>131</v>
      </c>
      <c r="AG1573" s="37" t="str">
        <f t="shared" si="396"/>
        <v>n</v>
      </c>
      <c r="AH1573" s="37" t="str">
        <f t="array" ref="AH1573">_xlfn.IFS(LOWER(AG1573)="n","no",LOWER(AG1573)="y","yes",TRUE,LOWER(AG1573))</f>
        <v>no</v>
      </c>
      <c r="AI1573" s="46" t="s">
        <v>4692</v>
      </c>
    </row>
    <row r="1574" spans="1:35">
      <c r="A1574" s="37" t="s">
        <v>4592</v>
      </c>
      <c r="B1574" s="38">
        <v>45467</v>
      </c>
      <c r="C1574" s="39">
        <f t="shared" si="384"/>
        <v>45467</v>
      </c>
      <c r="D1574" s="40" t="s">
        <v>4699</v>
      </c>
      <c r="E1574" s="37" t="str" cm="1">
        <f t="array" ref="E1574">_xlfn.IFS(D1574="delhi","north",D1574="mumbai","west",D1574="bengaluru","south",D1574="chennai","south",D1574="kolkata","east",TRUE,"west")</f>
        <v>west</v>
      </c>
      <c r="F1574" s="37" t="s">
        <v>37</v>
      </c>
      <c r="G1574" s="37" t="str">
        <f t="shared" si="385"/>
        <v>bluedart</v>
      </c>
      <c r="H1574" s="37" t="s">
        <v>137</v>
      </c>
      <c r="I1574" s="37" t="str">
        <f t="shared" si="386"/>
        <v>road</v>
      </c>
      <c r="J1574" s="37" t="s">
        <v>214</v>
      </c>
      <c r="K1574" s="37" t="str">
        <f t="shared" si="387"/>
        <v>grocery&amp;fmcg</v>
      </c>
      <c r="L1574" s="37" t="s">
        <v>89</v>
      </c>
      <c r="M1574" s="37" t="str">
        <f t="shared" si="388"/>
        <v>west</v>
      </c>
      <c r="N1574" s="37" t="s">
        <v>88</v>
      </c>
      <c r="O1574" s="41" t="str">
        <f t="shared" si="389"/>
        <v>Yes</v>
      </c>
      <c r="P1574" s="41" t="s">
        <v>4593</v>
      </c>
      <c r="Q1574" s="41" t="s">
        <v>4594</v>
      </c>
      <c r="R1574" s="42">
        <f t="shared" si="390"/>
        <v>19.0217391304348</v>
      </c>
      <c r="S1574" s="37">
        <v>6</v>
      </c>
      <c r="T1574" s="37" t="s">
        <v>490</v>
      </c>
      <c r="U1574" s="43" t="str">
        <f t="shared" si="391"/>
        <v>2024-06-29</v>
      </c>
      <c r="V1574" s="43">
        <f t="shared" si="392"/>
        <v>45472</v>
      </c>
      <c r="W1574" s="44">
        <f t="array" ref="W1574">_xlfn.IFS(TRIM(C1574)="","",TRIM(V1574)="","",TRUE,V1574-C1574)</f>
        <v>5</v>
      </c>
      <c r="X1574" s="37">
        <f t="shared" si="393"/>
        <v>-1</v>
      </c>
      <c r="Y1574" s="37" t="s">
        <v>105</v>
      </c>
      <c r="Z1574" s="37" t="str">
        <f t="shared" si="394"/>
        <v>delivered</v>
      </c>
      <c r="AA1574" s="37" t="str">
        <f t="shared" si="395"/>
        <v>On Time</v>
      </c>
      <c r="AB1574" s="37" t="str">
        <f t="shared" si="398"/>
        <v>0</v>
      </c>
      <c r="AC1574" s="37">
        <f t="shared" si="399"/>
        <v>0</v>
      </c>
      <c r="AD1574" s="45">
        <f t="shared" si="397"/>
        <v>0.785714285714286</v>
      </c>
      <c r="AE1574" s="37">
        <v>4</v>
      </c>
      <c r="AF1574" s="37" t="s">
        <v>286</v>
      </c>
      <c r="AG1574" s="37" t="str">
        <f t="shared" si="396"/>
        <v>yes</v>
      </c>
      <c r="AH1574" s="37" t="str">
        <f t="array" ref="AH1574">_xlfn.IFS(LOWER(AG1574)="n","no",LOWER(AG1574)="y","yes",TRUE,LOWER(AG1574))</f>
        <v>yes</v>
      </c>
      <c r="AI1574" s="37" t="s">
        <v>4692</v>
      </c>
    </row>
    <row r="1575" spans="1:35">
      <c r="A1575" s="46" t="s">
        <v>4595</v>
      </c>
      <c r="B1575" s="47">
        <v>45465</v>
      </c>
      <c r="C1575" s="39">
        <f t="shared" si="384"/>
        <v>45465</v>
      </c>
      <c r="D1575" s="48" t="s">
        <v>212</v>
      </c>
      <c r="E1575" s="37" t="str" cm="1">
        <f t="array" ref="E1575">_xlfn.IFS(D1575="delhi","north",D1575="mumbai","west",D1575="bengaluru","south",D1575="chennai","south",D1575="kolkata","east",TRUE,"west")</f>
        <v>west</v>
      </c>
      <c r="F1575" s="46" t="s">
        <v>37</v>
      </c>
      <c r="G1575" s="37" t="str">
        <f t="shared" si="385"/>
        <v>bluedart</v>
      </c>
      <c r="H1575" s="46" t="s">
        <v>440</v>
      </c>
      <c r="I1575" s="37" t="str">
        <f t="shared" si="386"/>
        <v>road</v>
      </c>
      <c r="J1575" s="46" t="s">
        <v>385</v>
      </c>
      <c r="K1575" s="37" t="str">
        <f t="shared" si="387"/>
        <v>furniture</v>
      </c>
      <c r="L1575" s="46" t="s">
        <v>139</v>
      </c>
      <c r="M1575" s="37" t="str">
        <f t="shared" si="388"/>
        <v>north</v>
      </c>
      <c r="N1575" s="46" t="s">
        <v>113</v>
      </c>
      <c r="O1575" s="41" t="str">
        <f t="shared" si="389"/>
        <v>Yes</v>
      </c>
      <c r="P1575" s="49">
        <v>77.2</v>
      </c>
      <c r="Q1575" s="51">
        <v>1207</v>
      </c>
      <c r="R1575" s="42">
        <f t="shared" si="390"/>
        <v>15.6347150259067</v>
      </c>
      <c r="S1575" s="46">
        <v>8</v>
      </c>
      <c r="T1575" s="46" t="s">
        <v>490</v>
      </c>
      <c r="U1575" s="43" t="str">
        <f t="shared" si="391"/>
        <v>2024-06-29</v>
      </c>
      <c r="V1575" s="43">
        <f t="shared" si="392"/>
        <v>45472</v>
      </c>
      <c r="W1575" s="44">
        <f t="array" ref="W1575">_xlfn.IFS(TRIM(C1575)="","",TRIM(V1575)="","",TRUE,V1575-C1575)</f>
        <v>7</v>
      </c>
      <c r="X1575" s="37">
        <f t="shared" si="393"/>
        <v>-1</v>
      </c>
      <c r="Y1575" s="46" t="s">
        <v>105</v>
      </c>
      <c r="Z1575" s="37" t="str">
        <f t="shared" si="394"/>
        <v>delivered</v>
      </c>
      <c r="AA1575" s="37" t="str">
        <f t="shared" si="395"/>
        <v>On Time</v>
      </c>
      <c r="AB1575" s="37" t="str">
        <f t="shared" si="398"/>
        <v>0</v>
      </c>
      <c r="AC1575" s="37">
        <f t="shared" si="399"/>
        <v>0</v>
      </c>
      <c r="AD1575" s="45">
        <f t="shared" si="397"/>
        <v>0.814814814814815</v>
      </c>
      <c r="AE1575" s="46">
        <v>3</v>
      </c>
      <c r="AF1575" s="46" t="s">
        <v>106</v>
      </c>
      <c r="AG1575" s="37" t="str">
        <f t="shared" si="396"/>
        <v>yes</v>
      </c>
      <c r="AH1575" s="37" t="str">
        <f t="array" ref="AH1575">_xlfn.IFS(LOWER(AG1575)="n","no",LOWER(AG1575)="y","yes",TRUE,LOWER(AG1575))</f>
        <v>yes</v>
      </c>
      <c r="AI1575" s="46" t="s">
        <v>4692</v>
      </c>
    </row>
    <row r="1576" spans="1:35">
      <c r="A1576" s="37" t="s">
        <v>4598</v>
      </c>
      <c r="B1576" s="38">
        <v>45408</v>
      </c>
      <c r="C1576" s="39">
        <f t="shared" si="384"/>
        <v>45408</v>
      </c>
      <c r="D1576" s="40" t="s">
        <v>121</v>
      </c>
      <c r="E1576" s="37" t="str" cm="1">
        <f t="array" ref="E1576">_xlfn.IFS(D1576="delhi","north",D1576="mumbai","west",D1576="bengaluru","south",D1576="chennai","south",D1576="kolkata","east",TRUE,"west")</f>
        <v>west</v>
      </c>
      <c r="F1576" s="37" t="s">
        <v>146</v>
      </c>
      <c r="G1576" s="37" t="str">
        <f t="shared" si="385"/>
        <v>ecomexpress</v>
      </c>
      <c r="H1576" s="37" t="s">
        <v>157</v>
      </c>
      <c r="I1576" s="37" t="str">
        <f t="shared" si="386"/>
        <v>surface</v>
      </c>
      <c r="J1576" s="37" t="s">
        <v>111</v>
      </c>
      <c r="K1576" s="37" t="str">
        <f t="shared" si="387"/>
        <v>grocery&amp;fmcg</v>
      </c>
      <c r="L1576" s="37" t="s">
        <v>264</v>
      </c>
      <c r="M1576" s="37" t="str">
        <f t="shared" si="388"/>
        <v>west</v>
      </c>
      <c r="N1576" s="37" t="s">
        <v>88</v>
      </c>
      <c r="O1576" s="41" t="str">
        <f t="shared" si="389"/>
        <v>Yes</v>
      </c>
      <c r="P1576" s="41">
        <v>2.4</v>
      </c>
      <c r="Q1576" s="41">
        <v>240</v>
      </c>
      <c r="R1576" s="42">
        <f t="shared" si="390"/>
        <v>100</v>
      </c>
      <c r="S1576" s="37">
        <v>6</v>
      </c>
      <c r="T1576" s="37" t="s">
        <v>254</v>
      </c>
      <c r="U1576" s="43" t="str">
        <f t="shared" si="391"/>
        <v>2024-05-09</v>
      </c>
      <c r="V1576" s="43">
        <f t="shared" si="392"/>
        <v>45421</v>
      </c>
      <c r="W1576" s="44">
        <f t="array" ref="W1576">_xlfn.IFS(TRIM(C1576)="","",TRIM(V1576)="","",TRUE,V1576-C1576)</f>
        <v>13</v>
      </c>
      <c r="X1576" s="37">
        <f t="shared" si="393"/>
        <v>7</v>
      </c>
      <c r="Y1576" s="37" t="s">
        <v>172</v>
      </c>
      <c r="Z1576" s="37" t="str">
        <f t="shared" si="394"/>
        <v>delayed</v>
      </c>
      <c r="AA1576" s="37" t="str">
        <f t="shared" si="395"/>
        <v>Late</v>
      </c>
      <c r="AB1576" s="37" t="str">
        <f t="shared" si="398"/>
        <v>1</v>
      </c>
      <c r="AC1576" s="37">
        <f t="shared" si="399"/>
        <v>1</v>
      </c>
      <c r="AD1576" s="45">
        <f t="shared" si="397"/>
        <v>0.846153846153846</v>
      </c>
      <c r="AE1576" s="37">
        <v>4</v>
      </c>
      <c r="AF1576" s="37" t="s">
        <v>118</v>
      </c>
      <c r="AG1576" s="37" t="str">
        <f t="shared" si="396"/>
        <v>no</v>
      </c>
      <c r="AH1576" s="37" t="str">
        <f t="array" ref="AH1576">_xlfn.IFS(LOWER(AG1576)="n","no",LOWER(AG1576)="y","yes",TRUE,LOWER(AG1576))</f>
        <v>no</v>
      </c>
      <c r="AI1576" s="37" t="s">
        <v>4692</v>
      </c>
    </row>
    <row r="1577" spans="1:35">
      <c r="A1577" s="46" t="s">
        <v>4600</v>
      </c>
      <c r="B1577" s="47">
        <v>45333</v>
      </c>
      <c r="C1577" s="39">
        <f t="shared" si="384"/>
        <v>45333</v>
      </c>
      <c r="D1577" s="48" t="s">
        <v>340</v>
      </c>
      <c r="E1577" s="37" t="str" cm="1">
        <f t="array" ref="E1577">_xlfn.IFS(D1577="delhi","north",D1577="mumbai","west",D1577="bengaluru","south",D1577="chennai","south",D1577="kolkata","east",TRUE,"west")</f>
        <v>north</v>
      </c>
      <c r="F1577" s="46" t="s">
        <v>204</v>
      </c>
      <c r="G1577" s="37" t="str">
        <f t="shared" si="385"/>
        <v>delhivery</v>
      </c>
      <c r="H1577" s="46" t="s">
        <v>137</v>
      </c>
      <c r="I1577" s="37" t="str">
        <f t="shared" si="386"/>
        <v>road</v>
      </c>
      <c r="J1577" s="46" t="s">
        <v>271</v>
      </c>
      <c r="K1577" s="37" t="str">
        <f t="shared" si="387"/>
        <v>electronics</v>
      </c>
      <c r="L1577" s="46" t="s">
        <v>302</v>
      </c>
      <c r="M1577" s="37" t="str">
        <f t="shared" si="388"/>
        <v>east</v>
      </c>
      <c r="N1577" s="46" t="s">
        <v>396</v>
      </c>
      <c r="O1577" s="41" t="str">
        <f t="shared" si="389"/>
        <v>Yes</v>
      </c>
      <c r="P1577" s="49" t="s">
        <v>534</v>
      </c>
      <c r="Q1577" s="49">
        <v>183</v>
      </c>
      <c r="R1577" s="42">
        <f t="shared" si="390"/>
        <v>46.9230769230769</v>
      </c>
      <c r="S1577" s="46">
        <v>8</v>
      </c>
      <c r="T1577" s="46" t="s">
        <v>2749</v>
      </c>
      <c r="U1577" s="43" t="str">
        <f t="shared" si="391"/>
        <v>27/02/2024</v>
      </c>
      <c r="V1577" s="43">
        <f t="shared" si="392"/>
        <v>45349</v>
      </c>
      <c r="W1577" s="44">
        <f t="array" ref="W1577">_xlfn.IFS(TRIM(C1577)="","",TRIM(V1577)="","",TRUE,V1577-C1577)</f>
        <v>16</v>
      </c>
      <c r="X1577" s="37">
        <f t="shared" si="393"/>
        <v>8</v>
      </c>
      <c r="Y1577" s="46" t="s">
        <v>143</v>
      </c>
      <c r="Z1577" s="37" t="str">
        <f t="shared" si="394"/>
        <v>delayed</v>
      </c>
      <c r="AA1577" s="37" t="str">
        <f t="shared" si="395"/>
        <v>Late</v>
      </c>
      <c r="AB1577" s="37" t="str">
        <f t="shared" si="398"/>
        <v>1</v>
      </c>
      <c r="AC1577" s="37">
        <f t="shared" si="399"/>
        <v>1</v>
      </c>
      <c r="AD1577" s="45">
        <f t="shared" si="397"/>
        <v>0.84</v>
      </c>
      <c r="AE1577" s="46">
        <v>3</v>
      </c>
      <c r="AF1577" s="46" t="s">
        <v>79</v>
      </c>
      <c r="AG1577" s="37" t="str">
        <f t="shared" si="396"/>
        <v>yes</v>
      </c>
      <c r="AH1577" s="37" t="str">
        <f t="array" ref="AH1577">_xlfn.IFS(LOWER(AG1577)="n","no",LOWER(AG1577)="y","yes",TRUE,LOWER(AG1577))</f>
        <v>yes</v>
      </c>
      <c r="AI1577" s="46" t="s">
        <v>4692</v>
      </c>
    </row>
    <row r="1578" spans="1:35">
      <c r="A1578" s="37" t="s">
        <v>4601</v>
      </c>
      <c r="B1578" s="38">
        <v>45395</v>
      </c>
      <c r="C1578" s="39">
        <f t="shared" si="384"/>
        <v>45395</v>
      </c>
      <c r="D1578" s="40" t="s">
        <v>300</v>
      </c>
      <c r="E1578" s="37" t="str" cm="1">
        <f t="array" ref="E1578">_xlfn.IFS(D1578="delhi","north",D1578="mumbai","west",D1578="bengaluru","south",D1578="chennai","south",D1578="kolkata","east",TRUE,"west")</f>
        <v>west</v>
      </c>
      <c r="F1578" s="37" t="s">
        <v>194</v>
      </c>
      <c r="G1578" s="37" t="str">
        <f t="shared" si="385"/>
        <v>xpressbees</v>
      </c>
      <c r="H1578" s="37" t="s">
        <v>224</v>
      </c>
      <c r="I1578" s="37" t="str">
        <f t="shared" si="386"/>
        <v>air</v>
      </c>
      <c r="J1578" s="37" t="s">
        <v>186</v>
      </c>
      <c r="K1578" s="37" t="str">
        <f t="shared" si="387"/>
        <v>automotiveparts</v>
      </c>
      <c r="L1578" s="37" t="s">
        <v>112</v>
      </c>
      <c r="M1578" s="37" t="str">
        <f t="shared" si="388"/>
        <v>north</v>
      </c>
      <c r="N1578" s="37" t="s">
        <v>354</v>
      </c>
      <c r="O1578" s="41" t="str">
        <f t="shared" si="389"/>
        <v>Yes</v>
      </c>
      <c r="P1578" s="41">
        <v>10.4</v>
      </c>
      <c r="Q1578" s="41">
        <v>637</v>
      </c>
      <c r="R1578" s="42">
        <f t="shared" si="390"/>
        <v>61.25</v>
      </c>
      <c r="S1578" s="37">
        <v>4</v>
      </c>
      <c r="T1578" s="37" t="s">
        <v>457</v>
      </c>
      <c r="U1578" s="43" t="str">
        <f t="shared" si="391"/>
        <v>26/04/2024</v>
      </c>
      <c r="V1578" s="43">
        <f t="shared" si="392"/>
        <v>45408</v>
      </c>
      <c r="W1578" s="44">
        <f t="array" ref="W1578">_xlfn.IFS(TRIM(C1578)="","",TRIM(V1578)="","",TRUE,V1578-C1578)</f>
        <v>13</v>
      </c>
      <c r="X1578" s="37">
        <f t="shared" si="393"/>
        <v>9</v>
      </c>
      <c r="Y1578" s="37" t="s">
        <v>143</v>
      </c>
      <c r="Z1578" s="37" t="str">
        <f t="shared" si="394"/>
        <v>delayed</v>
      </c>
      <c r="AA1578" s="37" t="str">
        <f t="shared" si="395"/>
        <v>Late</v>
      </c>
      <c r="AB1578" s="37" t="str">
        <f t="shared" si="398"/>
        <v>1</v>
      </c>
      <c r="AC1578" s="37">
        <f t="shared" si="399"/>
        <v>1</v>
      </c>
      <c r="AD1578" s="45">
        <f t="shared" si="397"/>
        <v>0.833333333333333</v>
      </c>
      <c r="AE1578" s="37">
        <v>3</v>
      </c>
      <c r="AF1578" s="37" t="s">
        <v>152</v>
      </c>
      <c r="AG1578" s="37" t="str">
        <f t="shared" si="396"/>
        <v>no</v>
      </c>
      <c r="AH1578" s="37" t="str">
        <f t="array" ref="AH1578">_xlfn.IFS(LOWER(AG1578)="n","no",LOWER(AG1578)="y","yes",TRUE,LOWER(AG1578))</f>
        <v>no</v>
      </c>
      <c r="AI1578" s="37" t="s">
        <v>4692</v>
      </c>
    </row>
    <row r="1579" spans="1:35">
      <c r="A1579" s="46" t="s">
        <v>4604</v>
      </c>
      <c r="B1579" s="47" t="s">
        <v>4836</v>
      </c>
      <c r="C1579" s="39">
        <f t="shared" si="384"/>
        <v>45310</v>
      </c>
      <c r="D1579" s="48" t="s">
        <v>4699</v>
      </c>
      <c r="E1579" s="37" t="str" cm="1">
        <f t="array" ref="E1579">_xlfn.IFS(D1579="delhi","north",D1579="mumbai","west",D1579="bengaluru","south",D1579="chennai","south",D1579="kolkata","east",TRUE,"west")</f>
        <v>west</v>
      </c>
      <c r="F1579" s="46" t="s">
        <v>98</v>
      </c>
      <c r="G1579" s="37" t="str">
        <f t="shared" si="385"/>
        <v>dtdc</v>
      </c>
      <c r="H1579" s="46" t="s">
        <v>244</v>
      </c>
      <c r="I1579" s="37" t="str">
        <f t="shared" si="386"/>
        <v>air</v>
      </c>
      <c r="J1579" s="46" t="s">
        <v>277</v>
      </c>
      <c r="K1579" s="37" t="str">
        <f t="shared" si="387"/>
        <v>apparel</v>
      </c>
      <c r="L1579" s="46" t="s">
        <v>418</v>
      </c>
      <c r="M1579" s="37" t="str">
        <f t="shared" si="388"/>
        <v>south</v>
      </c>
      <c r="N1579" s="46" t="s">
        <v>327</v>
      </c>
      <c r="O1579" s="41" t="str">
        <f t="shared" si="389"/>
        <v>Yes</v>
      </c>
      <c r="P1579" s="49">
        <v>3.1</v>
      </c>
      <c r="Q1579" s="49">
        <v>310</v>
      </c>
      <c r="R1579" s="42">
        <f t="shared" si="390"/>
        <v>100</v>
      </c>
      <c r="S1579" s="46">
        <v>4</v>
      </c>
      <c r="T1579" s="46" t="s">
        <v>1317</v>
      </c>
      <c r="U1579" s="43" t="str">
        <f t="shared" si="391"/>
        <v>25/01/2024</v>
      </c>
      <c r="V1579" s="43">
        <f t="shared" si="392"/>
        <v>45316</v>
      </c>
      <c r="W1579" s="44">
        <f t="array" ref="W1579">_xlfn.IFS(TRIM(C1579)="","",TRIM(V1579)="","",TRUE,V1579-C1579)</f>
        <v>6</v>
      </c>
      <c r="X1579" s="37">
        <f t="shared" si="393"/>
        <v>2</v>
      </c>
      <c r="Y1579" s="46" t="s">
        <v>143</v>
      </c>
      <c r="Z1579" s="37" t="str">
        <f t="shared" si="394"/>
        <v>delayed</v>
      </c>
      <c r="AA1579" s="37" t="str">
        <f t="shared" si="395"/>
        <v>Late</v>
      </c>
      <c r="AB1579" s="37" t="str">
        <f t="shared" si="398"/>
        <v>1</v>
      </c>
      <c r="AC1579" s="37">
        <f t="shared" si="399"/>
        <v>1</v>
      </c>
      <c r="AD1579" s="45">
        <f t="shared" si="397"/>
        <v>0.826086956521739</v>
      </c>
      <c r="AE1579" s="46">
        <v>4</v>
      </c>
      <c r="AF1579" s="46" t="s">
        <v>286</v>
      </c>
      <c r="AG1579" s="37" t="str">
        <f t="shared" si="396"/>
        <v>yes</v>
      </c>
      <c r="AH1579" s="37" t="str">
        <f t="array" ref="AH1579">_xlfn.IFS(LOWER(AG1579)="n","no",LOWER(AG1579)="y","yes",TRUE,LOWER(AG1579))</f>
        <v>yes</v>
      </c>
      <c r="AI1579" s="46" t="s">
        <v>4692</v>
      </c>
    </row>
    <row r="1580" spans="1:35">
      <c r="A1580" s="37" t="s">
        <v>4605</v>
      </c>
      <c r="B1580" s="38">
        <v>45426</v>
      </c>
      <c r="C1580" s="39">
        <f t="shared" si="384"/>
        <v>45426</v>
      </c>
      <c r="D1580" s="40" t="s">
        <v>4699</v>
      </c>
      <c r="E1580" s="37" t="str" cm="1">
        <f t="array" ref="E1580">_xlfn.IFS(D1580="delhi","north",D1580="mumbai","west",D1580="bengaluru","south",D1580="chennai","south",D1580="kolkata","east",TRUE,"west")</f>
        <v>west</v>
      </c>
      <c r="F1580" s="37" t="s">
        <v>352</v>
      </c>
      <c r="G1580" s="37" t="str">
        <f t="shared" si="385"/>
        <v>delhivery</v>
      </c>
      <c r="H1580" s="37" t="s">
        <v>176</v>
      </c>
      <c r="I1580" s="37" t="str">
        <f t="shared" si="386"/>
        <v>road</v>
      </c>
      <c r="J1580" s="37" t="s">
        <v>196</v>
      </c>
      <c r="K1580" s="37" t="str">
        <f t="shared" si="387"/>
        <v>apparel</v>
      </c>
      <c r="L1580" s="37" t="s">
        <v>159</v>
      </c>
      <c r="M1580" s="37" t="str">
        <f t="shared" si="388"/>
        <v>south</v>
      </c>
      <c r="N1580" s="37" t="s">
        <v>93</v>
      </c>
      <c r="O1580" s="41" t="str">
        <f t="shared" si="389"/>
        <v>Yes</v>
      </c>
      <c r="P1580" s="41" t="s">
        <v>4606</v>
      </c>
      <c r="Q1580" s="41">
        <v>208</v>
      </c>
      <c r="R1580" s="42">
        <f t="shared" si="390"/>
        <v>173.333333333333</v>
      </c>
      <c r="S1580" s="37">
        <v>8</v>
      </c>
      <c r="T1580" s="37" t="s">
        <v>2879</v>
      </c>
      <c r="U1580" s="43" t="str">
        <f t="shared" si="391"/>
        <v>23/05/2024</v>
      </c>
      <c r="V1580" s="43">
        <f t="shared" si="392"/>
        <v>45435</v>
      </c>
      <c r="W1580" s="44">
        <f t="array" ref="W1580">_xlfn.IFS(TRIM(C1580)="","",TRIM(V1580)="","",TRUE,V1580-C1580)</f>
        <v>9</v>
      </c>
      <c r="X1580" s="37">
        <f t="shared" si="393"/>
        <v>1</v>
      </c>
      <c r="Y1580" s="37" t="s">
        <v>172</v>
      </c>
      <c r="Z1580" s="37" t="str">
        <f t="shared" si="394"/>
        <v>delayed</v>
      </c>
      <c r="AA1580" s="37" t="str">
        <f t="shared" si="395"/>
        <v>Late</v>
      </c>
      <c r="AB1580" s="37" t="str">
        <f t="shared" si="398"/>
        <v>1</v>
      </c>
      <c r="AC1580" s="37">
        <f t="shared" si="399"/>
        <v>1</v>
      </c>
      <c r="AD1580" s="45">
        <f t="shared" si="397"/>
        <v>0.818181818181818</v>
      </c>
      <c r="AE1580" s="37">
        <v>2</v>
      </c>
      <c r="AF1580" s="37" t="s">
        <v>118</v>
      </c>
      <c r="AG1580" s="37" t="str">
        <f t="shared" si="396"/>
        <v>no</v>
      </c>
      <c r="AH1580" s="37" t="str">
        <f t="array" ref="AH1580">_xlfn.IFS(LOWER(AG1580)="n","no",LOWER(AG1580)="y","yes",TRUE,LOWER(AG1580))</f>
        <v>no</v>
      </c>
      <c r="AI1580" s="37" t="s">
        <v>4692</v>
      </c>
    </row>
    <row r="1581" spans="1:35">
      <c r="A1581" s="46" t="s">
        <v>4607</v>
      </c>
      <c r="B1581" s="47">
        <v>45406</v>
      </c>
      <c r="C1581" s="39">
        <f t="shared" si="384"/>
        <v>45406</v>
      </c>
      <c r="D1581" s="48" t="s">
        <v>366</v>
      </c>
      <c r="E1581" s="37" t="str" cm="1">
        <f t="array" ref="E1581">_xlfn.IFS(D1581="delhi","north",D1581="mumbai","west",D1581="bengaluru","south",D1581="chennai","south",D1581="kolkata","east",TRUE,"west")</f>
        <v>east</v>
      </c>
      <c r="F1581" s="46" t="s">
        <v>156</v>
      </c>
      <c r="G1581" s="37" t="str">
        <f t="shared" si="385"/>
        <v>xpressbees</v>
      </c>
      <c r="H1581" s="46" t="s">
        <v>195</v>
      </c>
      <c r="I1581" s="37" t="str">
        <f t="shared" si="386"/>
        <v>road</v>
      </c>
      <c r="J1581" s="46" t="s">
        <v>271</v>
      </c>
      <c r="K1581" s="37" t="str">
        <f t="shared" si="387"/>
        <v>electronics</v>
      </c>
      <c r="L1581" s="46" t="s">
        <v>101</v>
      </c>
      <c r="M1581" s="37" t="str">
        <f t="shared" si="388"/>
        <v>west</v>
      </c>
      <c r="N1581" s="46" t="s">
        <v>88</v>
      </c>
      <c r="O1581" s="41" t="str">
        <f t="shared" si="389"/>
        <v>Yes</v>
      </c>
      <c r="P1581" s="49" t="s">
        <v>4608</v>
      </c>
      <c r="Q1581" s="49" t="s">
        <v>2281</v>
      </c>
      <c r="R1581" s="42">
        <f t="shared" si="390"/>
        <v>31.4285714285714</v>
      </c>
      <c r="S1581" s="46">
        <v>8</v>
      </c>
      <c r="T1581" s="46" t="s">
        <v>3361</v>
      </c>
      <c r="U1581" s="43" t="str">
        <f t="shared" si="391"/>
        <v>2024-05-01</v>
      </c>
      <c r="V1581" s="43">
        <f t="shared" si="392"/>
        <v>45413</v>
      </c>
      <c r="W1581" s="44">
        <f t="array" ref="W1581">_xlfn.IFS(TRIM(C1581)="","",TRIM(V1581)="","",TRUE,V1581-C1581)</f>
        <v>7</v>
      </c>
      <c r="X1581" s="37">
        <f t="shared" si="393"/>
        <v>-1</v>
      </c>
      <c r="Y1581" s="46" t="s">
        <v>219</v>
      </c>
      <c r="Z1581" s="37" t="str">
        <f t="shared" si="394"/>
        <v>delivered</v>
      </c>
      <c r="AA1581" s="37" t="str">
        <f t="shared" si="395"/>
        <v>On Time</v>
      </c>
      <c r="AB1581" s="37" t="str">
        <f t="shared" si="398"/>
        <v>0</v>
      </c>
      <c r="AC1581" s="37">
        <f t="shared" si="399"/>
        <v>0</v>
      </c>
      <c r="AD1581" s="45">
        <f t="shared" si="397"/>
        <v>0.80952380952381</v>
      </c>
      <c r="AE1581" s="46">
        <v>3</v>
      </c>
      <c r="AF1581" s="46" t="s">
        <v>118</v>
      </c>
      <c r="AG1581" s="37" t="str">
        <f t="shared" si="396"/>
        <v>no</v>
      </c>
      <c r="AH1581" s="37" t="str">
        <f t="array" ref="AH1581">_xlfn.IFS(LOWER(AG1581)="n","no",LOWER(AG1581)="y","yes",TRUE,LOWER(AG1581))</f>
        <v>no</v>
      </c>
      <c r="AI1581" s="46" t="s">
        <v>4692</v>
      </c>
    </row>
    <row r="1582" spans="1:35">
      <c r="A1582" s="37" t="s">
        <v>4609</v>
      </c>
      <c r="B1582" s="38">
        <v>45360</v>
      </c>
      <c r="C1582" s="39">
        <f t="shared" si="384"/>
        <v>45360</v>
      </c>
      <c r="D1582" s="40" t="s">
        <v>109</v>
      </c>
      <c r="E1582" s="37" t="str" cm="1">
        <f t="array" ref="E1582">_xlfn.IFS(D1582="delhi","north",D1582="mumbai","west",D1582="bengaluru","south",D1582="chennai","south",D1582="kolkata","east",TRUE,"west")</f>
        <v>west</v>
      </c>
      <c r="F1582" s="37" t="s">
        <v>37</v>
      </c>
      <c r="G1582" s="37" t="str">
        <f t="shared" si="385"/>
        <v>bluedart</v>
      </c>
      <c r="H1582" s="37" t="s">
        <v>99</v>
      </c>
      <c r="I1582" s="37" t="str">
        <f t="shared" si="386"/>
        <v>air</v>
      </c>
      <c r="J1582" s="37" t="s">
        <v>319</v>
      </c>
      <c r="K1582" s="37" t="str">
        <f t="shared" si="387"/>
        <v>electronics</v>
      </c>
      <c r="L1582" s="37" t="s">
        <v>139</v>
      </c>
      <c r="M1582" s="37" t="str">
        <f t="shared" si="388"/>
        <v>north</v>
      </c>
      <c r="N1582" s="37" t="s">
        <v>113</v>
      </c>
      <c r="O1582" s="41" t="str">
        <f t="shared" si="389"/>
        <v>Yes</v>
      </c>
      <c r="P1582" s="41">
        <v>10.1</v>
      </c>
      <c r="Q1582" s="41">
        <v>589</v>
      </c>
      <c r="R1582" s="42">
        <f t="shared" si="390"/>
        <v>58.3168316831683</v>
      </c>
      <c r="S1582" s="37">
        <v>4</v>
      </c>
      <c r="T1582" s="37" t="s">
        <v>2985</v>
      </c>
      <c r="U1582" s="43" t="str">
        <f t="shared" si="391"/>
        <v>12/03/2024</v>
      </c>
      <c r="V1582" s="43">
        <f t="shared" si="392"/>
        <v>45363</v>
      </c>
      <c r="W1582" s="44">
        <f t="array" ref="W1582">_xlfn.IFS(TRIM(C1582)="","",TRIM(V1582)="","",TRUE,V1582-C1582)</f>
        <v>3</v>
      </c>
      <c r="X1582" s="37">
        <f t="shared" si="393"/>
        <v>-1</v>
      </c>
      <c r="Y1582" s="37" t="s">
        <v>117</v>
      </c>
      <c r="Z1582" s="37" t="str">
        <f t="shared" si="394"/>
        <v>delivered</v>
      </c>
      <c r="AA1582" s="37" t="str">
        <f t="shared" si="395"/>
        <v>On Time</v>
      </c>
      <c r="AB1582" s="37" t="str">
        <f t="shared" si="398"/>
        <v>0</v>
      </c>
      <c r="AC1582" s="37">
        <f t="shared" si="399"/>
        <v>0</v>
      </c>
      <c r="AD1582" s="45">
        <f t="shared" si="397"/>
        <v>0.85</v>
      </c>
      <c r="AE1582" s="37">
        <v>4</v>
      </c>
      <c r="AF1582" s="37" t="s">
        <v>286</v>
      </c>
      <c r="AG1582" s="37" t="str">
        <f t="shared" si="396"/>
        <v>yes</v>
      </c>
      <c r="AH1582" s="37" t="str">
        <f t="array" ref="AH1582">_xlfn.IFS(LOWER(AG1582)="n","no",LOWER(AG1582)="y","yes",TRUE,LOWER(AG1582))</f>
        <v>yes</v>
      </c>
      <c r="AI1582" s="37" t="s">
        <v>4692</v>
      </c>
    </row>
    <row r="1583" spans="1:35">
      <c r="A1583" s="46" t="s">
        <v>4610</v>
      </c>
      <c r="B1583" s="47">
        <v>45430</v>
      </c>
      <c r="C1583" s="39">
        <f t="shared" si="384"/>
        <v>45430</v>
      </c>
      <c r="D1583" s="48" t="s">
        <v>4712</v>
      </c>
      <c r="E1583" s="37" t="str" cm="1">
        <f t="array" ref="E1583">_xlfn.IFS(D1583="delhi","north",D1583="mumbai","west",D1583="bengaluru","south",D1583="chennai","south",D1583="kolkata","east",TRUE,"west")</f>
        <v>west</v>
      </c>
      <c r="F1583" s="46" t="s">
        <v>204</v>
      </c>
      <c r="G1583" s="37" t="str">
        <f t="shared" si="385"/>
        <v>delhivery</v>
      </c>
      <c r="H1583" s="46" t="s">
        <v>325</v>
      </c>
      <c r="I1583" s="37" t="str">
        <f t="shared" si="386"/>
        <v>air</v>
      </c>
      <c r="J1583" s="46" t="s">
        <v>100</v>
      </c>
      <c r="K1583" s="37" t="str">
        <f t="shared" si="387"/>
        <v>electronics</v>
      </c>
      <c r="L1583" s="46" t="s">
        <v>470</v>
      </c>
      <c r="M1583" s="37" t="str">
        <f t="shared" si="388"/>
        <v>east</v>
      </c>
      <c r="N1583" s="46" t="s">
        <v>126</v>
      </c>
      <c r="O1583" s="41" t="str">
        <f t="shared" si="389"/>
        <v>Yes</v>
      </c>
      <c r="P1583" s="49">
        <v>12.7</v>
      </c>
      <c r="Q1583" s="49">
        <v>722</v>
      </c>
      <c r="R1583" s="42">
        <f t="shared" si="390"/>
        <v>56.8503937007874</v>
      </c>
      <c r="S1583" s="46">
        <v>4</v>
      </c>
      <c r="T1583" s="46" t="s">
        <v>2879</v>
      </c>
      <c r="U1583" s="43" t="str">
        <f t="shared" si="391"/>
        <v>23/05/2024</v>
      </c>
      <c r="V1583" s="43">
        <f t="shared" si="392"/>
        <v>45435</v>
      </c>
      <c r="W1583" s="44">
        <f t="array" ref="W1583">_xlfn.IFS(TRIM(C1583)="","",TRIM(V1583)="","",TRUE,V1583-C1583)</f>
        <v>5</v>
      </c>
      <c r="X1583" s="37">
        <f t="shared" si="393"/>
        <v>1</v>
      </c>
      <c r="Y1583" s="46" t="s">
        <v>143</v>
      </c>
      <c r="Z1583" s="37" t="str">
        <f t="shared" si="394"/>
        <v>delayed</v>
      </c>
      <c r="AA1583" s="37" t="str">
        <f t="shared" si="395"/>
        <v>Late</v>
      </c>
      <c r="AB1583" s="37" t="str">
        <f t="shared" si="398"/>
        <v>1</v>
      </c>
      <c r="AC1583" s="37">
        <f t="shared" si="399"/>
        <v>1</v>
      </c>
      <c r="AD1583" s="45">
        <f t="shared" si="397"/>
        <v>0.894736842105263</v>
      </c>
      <c r="AE1583" s="46">
        <v>2</v>
      </c>
      <c r="AF1583" s="46" t="s">
        <v>191</v>
      </c>
      <c r="AG1583" s="37" t="str">
        <f t="shared" si="396"/>
        <v>no</v>
      </c>
      <c r="AH1583" s="37" t="str">
        <f t="array" ref="AH1583">_xlfn.IFS(LOWER(AG1583)="n","no",LOWER(AG1583)="y","yes",TRUE,LOWER(AG1583))</f>
        <v>no</v>
      </c>
      <c r="AI1583" s="46" t="s">
        <v>4692</v>
      </c>
    </row>
    <row r="1584" spans="1:35">
      <c r="A1584" s="37" t="s">
        <v>4611</v>
      </c>
      <c r="B1584" s="38" t="s">
        <v>4762</v>
      </c>
      <c r="C1584" s="39">
        <f t="shared" si="384"/>
        <v>45421</v>
      </c>
      <c r="D1584" s="40" t="s">
        <v>366</v>
      </c>
      <c r="E1584" s="37" t="str" cm="1">
        <f t="array" ref="E1584">_xlfn.IFS(D1584="delhi","north",D1584="mumbai","west",D1584="bengaluru","south",D1584="chennai","south",D1584="kolkata","east",TRUE,"west")</f>
        <v>east</v>
      </c>
      <c r="F1584" s="37" t="s">
        <v>37</v>
      </c>
      <c r="G1584" s="37" t="str">
        <f t="shared" si="385"/>
        <v>bluedart</v>
      </c>
      <c r="H1584" s="37" t="s">
        <v>244</v>
      </c>
      <c r="I1584" s="37" t="str">
        <f t="shared" si="386"/>
        <v>air</v>
      </c>
      <c r="J1584" s="37" t="s">
        <v>158</v>
      </c>
      <c r="K1584" s="37" t="str">
        <f t="shared" si="387"/>
        <v>pharma</v>
      </c>
      <c r="L1584" s="37" t="s">
        <v>401</v>
      </c>
      <c r="M1584" s="37" t="str">
        <f t="shared" si="388"/>
        <v>south</v>
      </c>
      <c r="N1584" s="37" t="s">
        <v>90</v>
      </c>
      <c r="O1584" s="41" t="str">
        <f t="shared" si="389"/>
        <v>Yes</v>
      </c>
      <c r="P1584" s="41">
        <v>1.1</v>
      </c>
      <c r="Q1584" s="41">
        <v>222</v>
      </c>
      <c r="R1584" s="42">
        <f t="shared" si="390"/>
        <v>201.818181818182</v>
      </c>
      <c r="S1584" s="37">
        <v>4</v>
      </c>
      <c r="T1584" s="37" t="s">
        <v>398</v>
      </c>
      <c r="U1584" s="43" t="str">
        <f t="shared" si="391"/>
        <v>14/05/2024</v>
      </c>
      <c r="V1584" s="43">
        <f t="shared" si="392"/>
        <v>45426</v>
      </c>
      <c r="W1584" s="44">
        <f t="array" ref="W1584">_xlfn.IFS(TRIM(C1584)="","",TRIM(V1584)="","",TRUE,V1584-C1584)</f>
        <v>5</v>
      </c>
      <c r="X1584" s="37">
        <f t="shared" si="393"/>
        <v>1</v>
      </c>
      <c r="Y1584" s="37" t="s">
        <v>172</v>
      </c>
      <c r="Z1584" s="37" t="str">
        <f t="shared" si="394"/>
        <v>delayed</v>
      </c>
      <c r="AA1584" s="37" t="str">
        <f t="shared" si="395"/>
        <v>Late</v>
      </c>
      <c r="AB1584" s="37" t="str">
        <f t="shared" si="398"/>
        <v>1</v>
      </c>
      <c r="AC1584" s="37">
        <f t="shared" si="399"/>
        <v>1</v>
      </c>
      <c r="AD1584" s="45">
        <f t="shared" si="397"/>
        <v>0.888888888888889</v>
      </c>
      <c r="AE1584" s="37">
        <v>2</v>
      </c>
      <c r="AF1584" s="37" t="s">
        <v>118</v>
      </c>
      <c r="AG1584" s="37" t="str">
        <f t="shared" si="396"/>
        <v>no</v>
      </c>
      <c r="AH1584" s="37" t="str">
        <f t="array" ref="AH1584">_xlfn.IFS(LOWER(AG1584)="n","no",LOWER(AG1584)="y","yes",TRUE,LOWER(AG1584))</f>
        <v>no</v>
      </c>
      <c r="AI1584" s="37" t="s">
        <v>4692</v>
      </c>
    </row>
    <row r="1585" spans="1:35">
      <c r="A1585" s="46" t="s">
        <v>4612</v>
      </c>
      <c r="B1585" s="47" t="s">
        <v>4707</v>
      </c>
      <c r="C1585" s="39">
        <f t="shared" si="384"/>
        <v>45383</v>
      </c>
      <c r="D1585" s="48" t="s">
        <v>633</v>
      </c>
      <c r="E1585" s="37" t="str" cm="1">
        <f t="array" ref="E1585">_xlfn.IFS(D1585="delhi","north",D1585="mumbai","west",D1585="bengaluru","south",D1585="chennai","south",D1585="kolkata","east",TRUE,"west")</f>
        <v>south</v>
      </c>
      <c r="F1585" s="46" t="s">
        <v>194</v>
      </c>
      <c r="G1585" s="37" t="str">
        <f t="shared" si="385"/>
        <v>xpressbees</v>
      </c>
      <c r="H1585" s="46" t="s">
        <v>157</v>
      </c>
      <c r="I1585" s="37" t="str">
        <f t="shared" si="386"/>
        <v>surface</v>
      </c>
      <c r="J1585" s="46" t="s">
        <v>47</v>
      </c>
      <c r="K1585" s="37" t="str">
        <f t="shared" si="387"/>
        <v>electronics</v>
      </c>
      <c r="L1585" s="46" t="s">
        <v>87</v>
      </c>
      <c r="M1585" s="37" t="str">
        <f t="shared" si="388"/>
        <v>north</v>
      </c>
      <c r="N1585" s="46" t="s">
        <v>32</v>
      </c>
      <c r="O1585" s="41" t="str">
        <f t="shared" si="389"/>
        <v>Yes</v>
      </c>
      <c r="P1585" s="49">
        <v>10.6</v>
      </c>
      <c r="Q1585" s="49">
        <v>391</v>
      </c>
      <c r="R1585" s="42">
        <f t="shared" si="390"/>
        <v>36.8867924528302</v>
      </c>
      <c r="S1585" s="46">
        <v>6</v>
      </c>
      <c r="T1585" s="46" t="s">
        <v>1228</v>
      </c>
      <c r="U1585" s="43" t="str">
        <f t="shared" si="391"/>
        <v>08-apr-2024</v>
      </c>
      <c r="V1585" s="43">
        <f t="shared" si="392"/>
        <v>45390</v>
      </c>
      <c r="W1585" s="44">
        <f t="array" ref="W1585">_xlfn.IFS(TRIM(C1585)="","",TRIM(V1585)="","",TRUE,V1585-C1585)</f>
        <v>7</v>
      </c>
      <c r="X1585" s="37">
        <f t="shared" si="393"/>
        <v>1</v>
      </c>
      <c r="Y1585" s="46" t="s">
        <v>172</v>
      </c>
      <c r="Z1585" s="37" t="str">
        <f t="shared" si="394"/>
        <v>delayed</v>
      </c>
      <c r="AA1585" s="37" t="str">
        <f t="shared" si="395"/>
        <v>Late</v>
      </c>
      <c r="AB1585" s="37" t="str">
        <f t="shared" si="398"/>
        <v>1</v>
      </c>
      <c r="AC1585" s="37">
        <f t="shared" si="399"/>
        <v>1</v>
      </c>
      <c r="AD1585" s="45">
        <f t="shared" si="397"/>
        <v>0.882352941176471</v>
      </c>
      <c r="AE1585" s="46">
        <v>1</v>
      </c>
      <c r="AF1585" s="46" t="s">
        <v>191</v>
      </c>
      <c r="AG1585" s="37" t="str">
        <f t="shared" si="396"/>
        <v>no</v>
      </c>
      <c r="AH1585" s="37" t="str">
        <f t="array" ref="AH1585">_xlfn.IFS(LOWER(AG1585)="n","no",LOWER(AG1585)="y","yes",TRUE,LOWER(AG1585))</f>
        <v>no</v>
      </c>
      <c r="AI1585" s="46" t="s">
        <v>4692</v>
      </c>
    </row>
    <row r="1586" spans="1:35">
      <c r="A1586" s="37" t="s">
        <v>4613</v>
      </c>
      <c r="B1586" s="38" t="s">
        <v>4830</v>
      </c>
      <c r="C1586" s="39">
        <f t="shared" si="384"/>
        <v>45425</v>
      </c>
      <c r="D1586" s="40" t="s">
        <v>4694</v>
      </c>
      <c r="E1586" s="37" t="str" cm="1">
        <f t="array" ref="E1586">_xlfn.IFS(D1586="delhi","north",D1586="mumbai","west",D1586="bengaluru","south",D1586="chennai","south",D1586="kolkata","east",TRUE,"west")</f>
        <v>west</v>
      </c>
      <c r="F1586" s="37" t="s">
        <v>194</v>
      </c>
      <c r="G1586" s="37" t="str">
        <f t="shared" si="385"/>
        <v>xpressbees</v>
      </c>
      <c r="H1586" s="37" t="s">
        <v>137</v>
      </c>
      <c r="I1586" s="37" t="str">
        <f t="shared" si="386"/>
        <v>road</v>
      </c>
      <c r="J1586" s="37" t="s">
        <v>100</v>
      </c>
      <c r="K1586" s="37" t="str">
        <f t="shared" si="387"/>
        <v>electronics</v>
      </c>
      <c r="L1586" s="37" t="s">
        <v>346</v>
      </c>
      <c r="M1586" s="37" t="str">
        <f t="shared" si="388"/>
        <v>north</v>
      </c>
      <c r="N1586" s="37" t="s">
        <v>354</v>
      </c>
      <c r="O1586" s="41" t="str">
        <f t="shared" si="389"/>
        <v>Yes</v>
      </c>
      <c r="P1586" s="41">
        <v>1</v>
      </c>
      <c r="Q1586" s="41">
        <v>136</v>
      </c>
      <c r="R1586" s="42">
        <f t="shared" si="390"/>
        <v>136</v>
      </c>
      <c r="S1586" s="37">
        <v>8</v>
      </c>
      <c r="T1586" s="37" t="s">
        <v>595</v>
      </c>
      <c r="U1586" s="43" t="str">
        <f t="shared" si="391"/>
        <v>2024-05-22</v>
      </c>
      <c r="V1586" s="43">
        <f t="shared" si="392"/>
        <v>45434</v>
      </c>
      <c r="W1586" s="44">
        <f t="array" ref="W1586">_xlfn.IFS(TRIM(C1586)="","",TRIM(V1586)="","",TRUE,V1586-C1586)</f>
        <v>9</v>
      </c>
      <c r="X1586" s="37">
        <f t="shared" si="393"/>
        <v>1</v>
      </c>
      <c r="Y1586" s="37" t="s">
        <v>817</v>
      </c>
      <c r="Z1586" s="37" t="str">
        <f t="shared" si="394"/>
        <v>returned</v>
      </c>
      <c r="AA1586" s="37" t="str">
        <f t="shared" si="395"/>
        <v>Late</v>
      </c>
      <c r="AB1586" s="37" t="str">
        <f t="shared" si="398"/>
        <v>1</v>
      </c>
      <c r="AC1586" s="37">
        <f t="shared" si="399"/>
        <v>1</v>
      </c>
      <c r="AD1586" s="45">
        <f t="shared" si="397"/>
        <v>0.875</v>
      </c>
      <c r="AE1586" s="37"/>
      <c r="AF1586" s="37" t="s">
        <v>118</v>
      </c>
      <c r="AG1586" s="37" t="str">
        <f t="shared" si="396"/>
        <v>no</v>
      </c>
      <c r="AH1586" s="37" t="str">
        <f t="array" ref="AH1586">_xlfn.IFS(LOWER(AG1586)="n","no",LOWER(AG1586)="y","yes",TRUE,LOWER(AG1586))</f>
        <v>no</v>
      </c>
      <c r="AI1586" s="37" t="s">
        <v>83</v>
      </c>
    </row>
    <row r="1587" spans="1:35">
      <c r="A1587" s="46" t="s">
        <v>4615</v>
      </c>
      <c r="B1587" s="47">
        <v>45450</v>
      </c>
      <c r="C1587" s="39">
        <f t="shared" si="384"/>
        <v>45450</v>
      </c>
      <c r="D1587" s="48" t="s">
        <v>366</v>
      </c>
      <c r="E1587" s="37" t="str" cm="1">
        <f t="array" ref="E1587">_xlfn.IFS(D1587="delhi","north",D1587="mumbai","west",D1587="bengaluru","south",D1587="chennai","south",D1587="kolkata","east",TRUE,"west")</f>
        <v>east</v>
      </c>
      <c r="F1587" s="46" t="s">
        <v>146</v>
      </c>
      <c r="G1587" s="37" t="str">
        <f t="shared" si="385"/>
        <v>ecomexpress</v>
      </c>
      <c r="H1587" s="46" t="s">
        <v>123</v>
      </c>
      <c r="I1587" s="37" t="str">
        <f t="shared" si="386"/>
        <v>air</v>
      </c>
      <c r="J1587" s="46" t="s">
        <v>301</v>
      </c>
      <c r="K1587" s="37" t="str">
        <f t="shared" si="387"/>
        <v>furniture</v>
      </c>
      <c r="L1587" s="46" t="s">
        <v>197</v>
      </c>
      <c r="M1587" s="37" t="str">
        <f t="shared" si="388"/>
        <v>south</v>
      </c>
      <c r="N1587" s="46" t="s">
        <v>54</v>
      </c>
      <c r="O1587" s="41" t="str">
        <f t="shared" si="389"/>
        <v>Yes</v>
      </c>
      <c r="P1587" s="49">
        <v>20.9</v>
      </c>
      <c r="Q1587" s="51">
        <v>1099</v>
      </c>
      <c r="R1587" s="42">
        <f t="shared" si="390"/>
        <v>52.5837320574163</v>
      </c>
      <c r="S1587" s="46">
        <v>4</v>
      </c>
      <c r="T1587" s="46" t="s">
        <v>636</v>
      </c>
      <c r="U1587" s="43" t="str">
        <f t="shared" si="391"/>
        <v>2024-06-14</v>
      </c>
      <c r="V1587" s="43">
        <f t="shared" si="392"/>
        <v>45457</v>
      </c>
      <c r="W1587" s="44">
        <f t="array" ref="W1587">_xlfn.IFS(TRIM(C1587)="","",TRIM(V1587)="","",TRUE,V1587-C1587)</f>
        <v>7</v>
      </c>
      <c r="X1587" s="37">
        <f t="shared" si="393"/>
        <v>3</v>
      </c>
      <c r="Y1587" s="46" t="s">
        <v>200</v>
      </c>
      <c r="Z1587" s="37" t="str">
        <f t="shared" si="394"/>
        <v>delayed</v>
      </c>
      <c r="AA1587" s="37" t="str">
        <f t="shared" si="395"/>
        <v>Late</v>
      </c>
      <c r="AB1587" s="37" t="str">
        <f t="shared" si="398"/>
        <v>1</v>
      </c>
      <c r="AC1587" s="37">
        <f t="shared" si="399"/>
        <v>1</v>
      </c>
      <c r="AD1587" s="45">
        <f t="shared" si="397"/>
        <v>0.866666666666667</v>
      </c>
      <c r="AE1587" s="46">
        <v>4</v>
      </c>
      <c r="AF1587" s="46" t="s">
        <v>79</v>
      </c>
      <c r="AG1587" s="37" t="str">
        <f t="shared" si="396"/>
        <v>yes</v>
      </c>
      <c r="AH1587" s="37" t="str">
        <f t="array" ref="AH1587">_xlfn.IFS(LOWER(AG1587)="n","no",LOWER(AG1587)="y","yes",TRUE,LOWER(AG1587))</f>
        <v>yes</v>
      </c>
      <c r="AI1587" s="46" t="s">
        <v>4692</v>
      </c>
    </row>
    <row r="1588" spans="1:35">
      <c r="A1588" s="37" t="s">
        <v>4618</v>
      </c>
      <c r="B1588" s="38" t="s">
        <v>4747</v>
      </c>
      <c r="C1588" s="39">
        <f t="shared" si="384"/>
        <v>45345</v>
      </c>
      <c r="D1588" s="40" t="s">
        <v>300</v>
      </c>
      <c r="E1588" s="37" t="str" cm="1">
        <f t="array" ref="E1588">_xlfn.IFS(D1588="delhi","north",D1588="mumbai","west",D1588="bengaluru","south",D1588="chennai","south",D1588="kolkata","east",TRUE,"west")</f>
        <v>west</v>
      </c>
      <c r="F1588" s="37" t="s">
        <v>194</v>
      </c>
      <c r="G1588" s="37" t="str">
        <f t="shared" si="385"/>
        <v>xpressbees</v>
      </c>
      <c r="H1588" s="37" t="s">
        <v>224</v>
      </c>
      <c r="I1588" s="37" t="str">
        <f t="shared" si="386"/>
        <v>air</v>
      </c>
      <c r="J1588" s="37" t="s">
        <v>385</v>
      </c>
      <c r="K1588" s="37" t="str">
        <f t="shared" si="387"/>
        <v>furniture</v>
      </c>
      <c r="L1588" s="37" t="s">
        <v>125</v>
      </c>
      <c r="M1588" s="37" t="str">
        <f t="shared" si="388"/>
        <v>east</v>
      </c>
      <c r="N1588" s="37" t="s">
        <v>294</v>
      </c>
      <c r="O1588" s="41" t="str">
        <f t="shared" si="389"/>
        <v>Yes</v>
      </c>
      <c r="P1588" s="41">
        <v>35.9</v>
      </c>
      <c r="Q1588" s="41">
        <v>1793</v>
      </c>
      <c r="R1588" s="42">
        <f t="shared" si="390"/>
        <v>49.9442896935933</v>
      </c>
      <c r="S1588" s="37">
        <v>4</v>
      </c>
      <c r="T1588" s="37" t="s">
        <v>373</v>
      </c>
      <c r="U1588" s="43" t="str">
        <f t="shared" si="391"/>
        <v>28-feb-2024</v>
      </c>
      <c r="V1588" s="43">
        <f t="shared" si="392"/>
        <v>45350</v>
      </c>
      <c r="W1588" s="44">
        <f t="array" ref="W1588">_xlfn.IFS(TRIM(C1588)="","",TRIM(V1588)="","",TRUE,V1588-C1588)</f>
        <v>5</v>
      </c>
      <c r="X1588" s="37">
        <f t="shared" si="393"/>
        <v>1</v>
      </c>
      <c r="Y1588" s="37" t="s">
        <v>143</v>
      </c>
      <c r="Z1588" s="37" t="str">
        <f t="shared" si="394"/>
        <v>delayed</v>
      </c>
      <c r="AA1588" s="37" t="str">
        <f t="shared" si="395"/>
        <v>Late</v>
      </c>
      <c r="AB1588" s="37" t="str">
        <f t="shared" si="398"/>
        <v>1</v>
      </c>
      <c r="AC1588" s="37">
        <f t="shared" si="399"/>
        <v>1</v>
      </c>
      <c r="AD1588" s="45">
        <f t="shared" si="397"/>
        <v>0.857142857142857</v>
      </c>
      <c r="AE1588" s="37">
        <v>2</v>
      </c>
      <c r="AF1588" s="37" t="s">
        <v>152</v>
      </c>
      <c r="AG1588" s="37" t="str">
        <f t="shared" si="396"/>
        <v>no</v>
      </c>
      <c r="AH1588" s="37" t="str">
        <f t="array" ref="AH1588">_xlfn.IFS(LOWER(AG1588)="n","no",LOWER(AG1588)="y","yes",TRUE,LOWER(AG1588))</f>
        <v>no</v>
      </c>
      <c r="AI1588" s="37" t="s">
        <v>4692</v>
      </c>
    </row>
    <row r="1589" spans="1:35">
      <c r="A1589" s="46" t="s">
        <v>4621</v>
      </c>
      <c r="B1589" s="47" t="s">
        <v>4771</v>
      </c>
      <c r="C1589" s="39">
        <f t="shared" si="384"/>
        <v>45323</v>
      </c>
      <c r="D1589" s="48" t="s">
        <v>166</v>
      </c>
      <c r="E1589" s="37" t="str" cm="1">
        <f t="array" ref="E1589">_xlfn.IFS(D1589="delhi","north",D1589="mumbai","west",D1589="bengaluru","south",D1589="chennai","south",D1589="kolkata","east",TRUE,"west")</f>
        <v>west</v>
      </c>
      <c r="F1589" s="46" t="s">
        <v>223</v>
      </c>
      <c r="G1589" s="37" t="str">
        <f t="shared" si="385"/>
        <v>xpressbees</v>
      </c>
      <c r="H1589" s="46" t="s">
        <v>147</v>
      </c>
      <c r="I1589" s="37" t="str">
        <f t="shared" si="386"/>
        <v>road</v>
      </c>
      <c r="J1589" s="46" t="s">
        <v>498</v>
      </c>
      <c r="K1589" s="37" t="str">
        <f t="shared" si="387"/>
        <v>apparel</v>
      </c>
      <c r="L1589" s="46" t="s">
        <v>346</v>
      </c>
      <c r="M1589" s="37" t="str">
        <f t="shared" si="388"/>
        <v>north</v>
      </c>
      <c r="N1589" s="46" t="s">
        <v>215</v>
      </c>
      <c r="O1589" s="41" t="str">
        <f t="shared" si="389"/>
        <v>Yes</v>
      </c>
      <c r="P1589" s="49" t="s">
        <v>1518</v>
      </c>
      <c r="Q1589" s="49">
        <v>199</v>
      </c>
      <c r="R1589" s="42">
        <f t="shared" si="390"/>
        <v>71.0714285714286</v>
      </c>
      <c r="S1589" s="46">
        <v>8</v>
      </c>
      <c r="T1589" s="46" t="s">
        <v>218</v>
      </c>
      <c r="U1589" s="43" t="str">
        <f t="shared" si="391"/>
        <v>13-feb-2024</v>
      </c>
      <c r="V1589" s="43">
        <f t="shared" si="392"/>
        <v>45335</v>
      </c>
      <c r="W1589" s="44">
        <f t="array" ref="W1589">_xlfn.IFS(TRIM(C1589)="","",TRIM(V1589)="","",TRUE,V1589-C1589)</f>
        <v>12</v>
      </c>
      <c r="X1589" s="37">
        <f t="shared" si="393"/>
        <v>4</v>
      </c>
      <c r="Y1589" s="46" t="s">
        <v>200</v>
      </c>
      <c r="Z1589" s="37" t="str">
        <f t="shared" si="394"/>
        <v>delayed</v>
      </c>
      <c r="AA1589" s="37" t="str">
        <f t="shared" si="395"/>
        <v>Late</v>
      </c>
      <c r="AB1589" s="37" t="str">
        <f t="shared" si="398"/>
        <v>1</v>
      </c>
      <c r="AC1589" s="37">
        <f t="shared" si="399"/>
        <v>1</v>
      </c>
      <c r="AD1589" s="45">
        <f t="shared" si="397"/>
        <v>0.846153846153846</v>
      </c>
      <c r="AE1589" s="46">
        <v>3</v>
      </c>
      <c r="AF1589" s="46" t="s">
        <v>106</v>
      </c>
      <c r="AG1589" s="37" t="str">
        <f t="shared" si="396"/>
        <v>yes</v>
      </c>
      <c r="AH1589" s="37" t="str">
        <f t="array" ref="AH1589">_xlfn.IFS(LOWER(AG1589)="n","no",LOWER(AG1589)="y","yes",TRUE,LOWER(AG1589))</f>
        <v>yes</v>
      </c>
      <c r="AI1589" s="46" t="s">
        <v>4692</v>
      </c>
    </row>
    <row r="1590" spans="1:35">
      <c r="A1590" s="37" t="s">
        <v>4623</v>
      </c>
      <c r="B1590" s="38">
        <v>45435</v>
      </c>
      <c r="C1590" s="39">
        <f t="shared" si="384"/>
        <v>45435</v>
      </c>
      <c r="D1590" s="40" t="s">
        <v>340</v>
      </c>
      <c r="E1590" s="37" t="str" cm="1">
        <f t="array" ref="E1590">_xlfn.IFS(D1590="delhi","north",D1590="mumbai","west",D1590="bengaluru","south",D1590="chennai","south",D1590="kolkata","east",TRUE,"west")</f>
        <v>north</v>
      </c>
      <c r="F1590" s="37" t="s">
        <v>352</v>
      </c>
      <c r="G1590" s="37" t="str">
        <f t="shared" si="385"/>
        <v>delhivery</v>
      </c>
      <c r="H1590" s="37" t="s">
        <v>42</v>
      </c>
      <c r="I1590" s="37" t="str">
        <f t="shared" si="386"/>
        <v>surface</v>
      </c>
      <c r="J1590" s="37" t="s">
        <v>148</v>
      </c>
      <c r="K1590" s="37" t="str">
        <f t="shared" si="387"/>
        <v>electronics</v>
      </c>
      <c r="L1590" s="37" t="s">
        <v>112</v>
      </c>
      <c r="M1590" s="37" t="str">
        <f t="shared" si="388"/>
        <v>north</v>
      </c>
      <c r="N1590" s="37" t="s">
        <v>215</v>
      </c>
      <c r="O1590" s="41" t="str">
        <f t="shared" si="389"/>
        <v>Yes</v>
      </c>
      <c r="P1590" s="41">
        <v>12</v>
      </c>
      <c r="Q1590" s="41">
        <v>285</v>
      </c>
      <c r="R1590" s="42">
        <f t="shared" si="390"/>
        <v>23.75</v>
      </c>
      <c r="S1590" s="37">
        <v>4</v>
      </c>
      <c r="T1590" s="37" t="s">
        <v>1064</v>
      </c>
      <c r="U1590" s="43" t="str">
        <f t="shared" si="391"/>
        <v>2024-05-29</v>
      </c>
      <c r="V1590" s="43">
        <f t="shared" si="392"/>
        <v>45441</v>
      </c>
      <c r="W1590" s="44">
        <f t="array" ref="W1590">_xlfn.IFS(TRIM(C1590)="","",TRIM(V1590)="","",TRUE,V1590-C1590)</f>
        <v>6</v>
      </c>
      <c r="X1590" s="37">
        <f t="shared" si="393"/>
        <v>2</v>
      </c>
      <c r="Y1590" s="37" t="s">
        <v>200</v>
      </c>
      <c r="Z1590" s="37" t="str">
        <f t="shared" si="394"/>
        <v>delayed</v>
      </c>
      <c r="AA1590" s="37" t="str">
        <f t="shared" si="395"/>
        <v>Late</v>
      </c>
      <c r="AB1590" s="37" t="str">
        <f t="shared" si="398"/>
        <v>1</v>
      </c>
      <c r="AC1590" s="37">
        <f t="shared" si="399"/>
        <v>1</v>
      </c>
      <c r="AD1590" s="45">
        <f t="shared" si="397"/>
        <v>0.833333333333333</v>
      </c>
      <c r="AE1590" s="37">
        <v>1</v>
      </c>
      <c r="AF1590" s="37" t="s">
        <v>191</v>
      </c>
      <c r="AG1590" s="37" t="str">
        <f t="shared" si="396"/>
        <v>no</v>
      </c>
      <c r="AH1590" s="37" t="str">
        <f t="array" ref="AH1590">_xlfn.IFS(LOWER(AG1590)="n","no",LOWER(AG1590)="y","yes",TRUE,LOWER(AG1590))</f>
        <v>no</v>
      </c>
      <c r="AI1590" s="37" t="s">
        <v>4692</v>
      </c>
    </row>
    <row r="1591" spans="1:35">
      <c r="A1591" s="46" t="s">
        <v>4625</v>
      </c>
      <c r="B1591" s="47" t="s">
        <v>4826</v>
      </c>
      <c r="C1591" s="39">
        <f t="shared" si="384"/>
        <v>45385</v>
      </c>
      <c r="D1591" s="48" t="s">
        <v>424</v>
      </c>
      <c r="E1591" s="37" t="str" cm="1">
        <f t="array" ref="E1591">_xlfn.IFS(D1591="delhi","north",D1591="mumbai","west",D1591="bengaluru","south",D1591="chennai","south",D1591="kolkata","east",TRUE,"west")</f>
        <v>south</v>
      </c>
      <c r="F1591" s="46" t="s">
        <v>136</v>
      </c>
      <c r="G1591" s="37" t="str">
        <f t="shared" si="385"/>
        <v>bluedart</v>
      </c>
      <c r="H1591" s="46" t="s">
        <v>99</v>
      </c>
      <c r="I1591" s="37" t="str">
        <f t="shared" si="386"/>
        <v>air</v>
      </c>
      <c r="J1591" s="46" t="s">
        <v>425</v>
      </c>
      <c r="K1591" s="37" t="str">
        <f t="shared" si="387"/>
        <v>automotiveparts</v>
      </c>
      <c r="L1591" s="46" t="s">
        <v>470</v>
      </c>
      <c r="M1591" s="37" t="str">
        <f t="shared" si="388"/>
        <v>east</v>
      </c>
      <c r="N1591" s="46" t="s">
        <v>126</v>
      </c>
      <c r="O1591" s="41" t="str">
        <f t="shared" si="389"/>
        <v>Yes</v>
      </c>
      <c r="P1591" s="49" t="s">
        <v>1612</v>
      </c>
      <c r="Q1591" s="49">
        <v>480</v>
      </c>
      <c r="R1591" s="42">
        <f t="shared" si="390"/>
        <v>64.8648648648649</v>
      </c>
      <c r="S1591" s="46">
        <v>4</v>
      </c>
      <c r="T1591" s="46" t="s">
        <v>1480</v>
      </c>
      <c r="U1591" s="43" t="str">
        <f t="shared" si="391"/>
        <v>08/04/2024</v>
      </c>
      <c r="V1591" s="43">
        <f t="shared" si="392"/>
        <v>45390</v>
      </c>
      <c r="W1591" s="44">
        <f t="array" ref="W1591">_xlfn.IFS(TRIM(C1591)="","",TRIM(V1591)="","",TRUE,V1591-C1591)</f>
        <v>5</v>
      </c>
      <c r="X1591" s="37">
        <f t="shared" si="393"/>
        <v>1</v>
      </c>
      <c r="Y1591" s="46" t="s">
        <v>143</v>
      </c>
      <c r="Z1591" s="37" t="str">
        <f t="shared" si="394"/>
        <v>delayed</v>
      </c>
      <c r="AA1591" s="37" t="str">
        <f t="shared" si="395"/>
        <v>Late</v>
      </c>
      <c r="AB1591" s="37" t="str">
        <f t="shared" si="398"/>
        <v>1</v>
      </c>
      <c r="AC1591" s="37">
        <f t="shared" si="399"/>
        <v>1</v>
      </c>
      <c r="AD1591" s="45">
        <f t="shared" si="397"/>
        <v>0.818181818181818</v>
      </c>
      <c r="AE1591" s="46">
        <v>4</v>
      </c>
      <c r="AF1591" s="46" t="s">
        <v>152</v>
      </c>
      <c r="AG1591" s="37" t="str">
        <f t="shared" si="396"/>
        <v>no</v>
      </c>
      <c r="AH1591" s="37" t="str">
        <f t="array" ref="AH1591">_xlfn.IFS(LOWER(AG1591)="n","no",LOWER(AG1591)="y","yes",TRUE,LOWER(AG1591))</f>
        <v>no</v>
      </c>
      <c r="AI1591" s="46" t="s">
        <v>4692</v>
      </c>
    </row>
    <row r="1592" spans="1:35">
      <c r="A1592" s="37" t="s">
        <v>4627</v>
      </c>
      <c r="B1592" s="38">
        <v>45460</v>
      </c>
      <c r="C1592" s="39">
        <f t="shared" si="384"/>
        <v>45460</v>
      </c>
      <c r="D1592" s="40" t="s">
        <v>4694</v>
      </c>
      <c r="E1592" s="37" t="str" cm="1">
        <f t="array" ref="E1592">_xlfn.IFS(D1592="delhi","north",D1592="mumbai","west",D1592="bengaluru","south",D1592="chennai","south",D1592="kolkata","east",TRUE,"west")</f>
        <v>west</v>
      </c>
      <c r="F1592" s="37" t="s">
        <v>333</v>
      </c>
      <c r="G1592" s="37" t="str">
        <f t="shared" si="385"/>
        <v>delhivery</v>
      </c>
      <c r="H1592" s="37" t="s">
        <v>224</v>
      </c>
      <c r="I1592" s="37" t="str">
        <f t="shared" si="386"/>
        <v>air</v>
      </c>
      <c r="J1592" s="37" t="s">
        <v>353</v>
      </c>
      <c r="K1592" s="37" t="str">
        <f t="shared" si="387"/>
        <v>automotiveparts</v>
      </c>
      <c r="L1592" s="37" t="s">
        <v>257</v>
      </c>
      <c r="M1592" s="37" t="str">
        <f t="shared" si="388"/>
        <v>west</v>
      </c>
      <c r="N1592" s="37" t="s">
        <v>187</v>
      </c>
      <c r="O1592" s="41" t="str">
        <f t="shared" si="389"/>
        <v>Yes</v>
      </c>
      <c r="P1592" s="41" t="s">
        <v>4628</v>
      </c>
      <c r="Q1592" s="41">
        <v>1090</v>
      </c>
      <c r="R1592" s="42">
        <f t="shared" si="390"/>
        <v>50.9345794392523</v>
      </c>
      <c r="S1592" s="37">
        <v>4</v>
      </c>
      <c r="T1592" s="37" t="s">
        <v>199</v>
      </c>
      <c r="U1592" s="43" t="str">
        <f t="shared" si="391"/>
        <v>22/06/2024</v>
      </c>
      <c r="V1592" s="43">
        <f t="shared" si="392"/>
        <v>45465</v>
      </c>
      <c r="W1592" s="44">
        <f t="array" ref="W1592">_xlfn.IFS(TRIM(C1592)="","",TRIM(V1592)="","",TRUE,V1592-C1592)</f>
        <v>5</v>
      </c>
      <c r="X1592" s="37">
        <f t="shared" si="393"/>
        <v>1</v>
      </c>
      <c r="Y1592" s="37" t="s">
        <v>143</v>
      </c>
      <c r="Z1592" s="37" t="str">
        <f t="shared" si="394"/>
        <v>delayed</v>
      </c>
      <c r="AA1592" s="37" t="str">
        <f t="shared" si="395"/>
        <v>Late</v>
      </c>
      <c r="AB1592" s="37" t="str">
        <f t="shared" si="398"/>
        <v>1</v>
      </c>
      <c r="AC1592" s="37">
        <f t="shared" si="399"/>
        <v>1</v>
      </c>
      <c r="AD1592" s="45">
        <f t="shared" si="397"/>
        <v>0.8</v>
      </c>
      <c r="AE1592" s="37">
        <v>3</v>
      </c>
      <c r="AF1592" s="37" t="s">
        <v>152</v>
      </c>
      <c r="AG1592" s="37" t="str">
        <f t="shared" si="396"/>
        <v>no</v>
      </c>
      <c r="AH1592" s="37" t="str">
        <f t="array" ref="AH1592">_xlfn.IFS(LOWER(AG1592)="n","no",LOWER(AG1592)="y","yes",TRUE,LOWER(AG1592))</f>
        <v>no</v>
      </c>
      <c r="AI1592" s="37" t="s">
        <v>4692</v>
      </c>
    </row>
    <row r="1593" spans="1:35">
      <c r="A1593" s="46" t="s">
        <v>4630</v>
      </c>
      <c r="B1593" s="47">
        <v>45368</v>
      </c>
      <c r="C1593" s="39">
        <f t="shared" si="384"/>
        <v>45368</v>
      </c>
      <c r="D1593" s="48" t="s">
        <v>366</v>
      </c>
      <c r="E1593" s="37" t="str" cm="1">
        <f t="array" ref="E1593">_xlfn.IFS(D1593="delhi","north",D1593="mumbai","west",D1593="bengaluru","south",D1593="chennai","south",D1593="kolkata","east",TRUE,"west")</f>
        <v>east</v>
      </c>
      <c r="F1593" s="46" t="s">
        <v>230</v>
      </c>
      <c r="G1593" s="37" t="str">
        <f t="shared" si="385"/>
        <v>dtdc</v>
      </c>
      <c r="H1593" s="46" t="s">
        <v>42</v>
      </c>
      <c r="I1593" s="37" t="str">
        <f t="shared" si="386"/>
        <v>surface</v>
      </c>
      <c r="J1593" s="46" t="s">
        <v>231</v>
      </c>
      <c r="K1593" s="37" t="str">
        <f t="shared" si="387"/>
        <v>furniture</v>
      </c>
      <c r="L1593" s="46" t="s">
        <v>401</v>
      </c>
      <c r="M1593" s="37" t="str">
        <f t="shared" si="388"/>
        <v>south</v>
      </c>
      <c r="N1593" s="46" t="s">
        <v>90</v>
      </c>
      <c r="O1593" s="41" t="str">
        <f t="shared" si="389"/>
        <v>Yes</v>
      </c>
      <c r="P1593" s="49">
        <v>62</v>
      </c>
      <c r="Q1593" s="51">
        <v>1528</v>
      </c>
      <c r="R1593" s="42">
        <f t="shared" si="390"/>
        <v>24.6451612903226</v>
      </c>
      <c r="S1593" s="46">
        <v>6</v>
      </c>
      <c r="T1593" s="46" t="s">
        <v>1005</v>
      </c>
      <c r="U1593" s="43" t="str">
        <f t="shared" si="391"/>
        <v>2024-03-28</v>
      </c>
      <c r="V1593" s="43">
        <f t="shared" si="392"/>
        <v>45379</v>
      </c>
      <c r="W1593" s="44">
        <f t="array" ref="W1593">_xlfn.IFS(TRIM(C1593)="","",TRIM(V1593)="","",TRUE,V1593-C1593)</f>
        <v>11</v>
      </c>
      <c r="X1593" s="37">
        <f t="shared" si="393"/>
        <v>5</v>
      </c>
      <c r="Y1593" s="46" t="s">
        <v>72</v>
      </c>
      <c r="Z1593" s="37" t="str">
        <f t="shared" si="394"/>
        <v>delayed</v>
      </c>
      <c r="AA1593" s="37" t="str">
        <f t="shared" si="395"/>
        <v>Late</v>
      </c>
      <c r="AB1593" s="37" t="str">
        <f t="shared" si="398"/>
        <v>1</v>
      </c>
      <c r="AC1593" s="37">
        <f t="shared" si="399"/>
        <v>1</v>
      </c>
      <c r="AD1593" s="45">
        <f t="shared" si="397"/>
        <v>0.777777777777778</v>
      </c>
      <c r="AE1593" s="46">
        <v>2</v>
      </c>
      <c r="AF1593" s="46" t="s">
        <v>191</v>
      </c>
      <c r="AG1593" s="37" t="str">
        <f t="shared" si="396"/>
        <v>no</v>
      </c>
      <c r="AH1593" s="37" t="str">
        <f t="array" ref="AH1593">_xlfn.IFS(LOWER(AG1593)="n","no",LOWER(AG1593)="y","yes",TRUE,LOWER(AG1593))</f>
        <v>no</v>
      </c>
      <c r="AI1593" s="46" t="s">
        <v>4692</v>
      </c>
    </row>
    <row r="1594" spans="1:35">
      <c r="A1594" s="37" t="s">
        <v>4633</v>
      </c>
      <c r="B1594" s="38">
        <v>45463</v>
      </c>
      <c r="C1594" s="39">
        <f t="shared" si="384"/>
        <v>45463</v>
      </c>
      <c r="D1594" s="40" t="s">
        <v>109</v>
      </c>
      <c r="E1594" s="37" t="str" cm="1">
        <f t="array" ref="E1594">_xlfn.IFS(D1594="delhi","north",D1594="mumbai","west",D1594="bengaluru","south",D1594="chennai","south",D1594="kolkata","east",TRUE,"west")</f>
        <v>west</v>
      </c>
      <c r="F1594" s="37" t="s">
        <v>156</v>
      </c>
      <c r="G1594" s="37" t="str">
        <f t="shared" si="385"/>
        <v>xpressbees</v>
      </c>
      <c r="H1594" s="37" t="s">
        <v>99</v>
      </c>
      <c r="I1594" s="37" t="str">
        <f t="shared" si="386"/>
        <v>air</v>
      </c>
      <c r="J1594" s="37" t="s">
        <v>1145</v>
      </c>
      <c r="K1594" s="37" t="str">
        <f t="shared" si="387"/>
        <v>grocery&amp;fmcg</v>
      </c>
      <c r="L1594" s="37" t="s">
        <v>197</v>
      </c>
      <c r="M1594" s="37" t="str">
        <f t="shared" si="388"/>
        <v>south</v>
      </c>
      <c r="N1594" s="37" t="s">
        <v>90</v>
      </c>
      <c r="O1594" s="41" t="str">
        <f t="shared" si="389"/>
        <v>Yes</v>
      </c>
      <c r="P1594" s="41">
        <v>13.3</v>
      </c>
      <c r="Q1594" s="41" t="s">
        <v>4635</v>
      </c>
      <c r="R1594" s="42">
        <f t="shared" si="390"/>
        <v>54.1353383458647</v>
      </c>
      <c r="S1594" s="37">
        <v>4</v>
      </c>
      <c r="T1594" s="37" t="s">
        <v>989</v>
      </c>
      <c r="U1594" s="43" t="str">
        <f t="shared" si="391"/>
        <v>25/06/2024</v>
      </c>
      <c r="V1594" s="43">
        <f t="shared" si="392"/>
        <v>45468</v>
      </c>
      <c r="W1594" s="44">
        <f t="array" ref="W1594">_xlfn.IFS(TRIM(C1594)="","",TRIM(V1594)="","",TRUE,V1594-C1594)</f>
        <v>5</v>
      </c>
      <c r="X1594" s="37">
        <f t="shared" si="393"/>
        <v>1</v>
      </c>
      <c r="Y1594" s="37" t="s">
        <v>624</v>
      </c>
      <c r="Z1594" s="37" t="str">
        <f t="shared" si="394"/>
        <v>returned</v>
      </c>
      <c r="AA1594" s="37" t="str">
        <f t="shared" si="395"/>
        <v>Late</v>
      </c>
      <c r="AB1594" s="37" t="str">
        <f t="shared" si="398"/>
        <v>1</v>
      </c>
      <c r="AC1594" s="37">
        <f t="shared" si="399"/>
        <v>1</v>
      </c>
      <c r="AD1594" s="45">
        <f t="shared" si="397"/>
        <v>0.75</v>
      </c>
      <c r="AE1594" s="37"/>
      <c r="AF1594" s="37" t="s">
        <v>181</v>
      </c>
      <c r="AG1594" s="37" t="str">
        <f t="shared" si="396"/>
        <v>y</v>
      </c>
      <c r="AH1594" s="37" t="str">
        <f t="array" ref="AH1594">_xlfn.IFS(LOWER(AG1594)="n","no",LOWER(AG1594)="y","yes",TRUE,LOWER(AG1594))</f>
        <v>yes</v>
      </c>
      <c r="AI1594" s="37" t="s">
        <v>1478</v>
      </c>
    </row>
    <row r="1595" spans="1:35">
      <c r="A1595" s="46" t="s">
        <v>4636</v>
      </c>
      <c r="B1595" s="47">
        <v>45358</v>
      </c>
      <c r="C1595" s="39">
        <f t="shared" si="384"/>
        <v>45358</v>
      </c>
      <c r="D1595" s="48" t="s">
        <v>109</v>
      </c>
      <c r="E1595" s="37" t="str" cm="1">
        <f t="array" ref="E1595">_xlfn.IFS(D1595="delhi","north",D1595="mumbai","west",D1595="bengaluru","south",D1595="chennai","south",D1595="kolkata","east",TRUE,"west")</f>
        <v>west</v>
      </c>
      <c r="F1595" s="46" t="s">
        <v>544</v>
      </c>
      <c r="G1595" s="37" t="str">
        <f t="shared" si="385"/>
        <v>bluedart</v>
      </c>
      <c r="H1595" s="46" t="s">
        <v>42</v>
      </c>
      <c r="I1595" s="37" t="str">
        <f t="shared" si="386"/>
        <v>surface</v>
      </c>
      <c r="J1595" s="46" t="s">
        <v>1734</v>
      </c>
      <c r="K1595" s="37" t="str">
        <f t="shared" si="387"/>
        <v>automotiveparts</v>
      </c>
      <c r="L1595" s="46" t="s">
        <v>418</v>
      </c>
      <c r="M1595" s="37" t="str">
        <f t="shared" si="388"/>
        <v>south</v>
      </c>
      <c r="N1595" s="46" t="s">
        <v>54</v>
      </c>
      <c r="O1595" s="41" t="str">
        <f t="shared" si="389"/>
        <v>Yes</v>
      </c>
      <c r="P1595" s="49">
        <v>11.1</v>
      </c>
      <c r="Q1595" s="49" t="s">
        <v>2572</v>
      </c>
      <c r="R1595" s="42">
        <f t="shared" si="390"/>
        <v>34.5045045045045</v>
      </c>
      <c r="S1595" s="46">
        <v>6</v>
      </c>
      <c r="T1595" s="46" t="s">
        <v>846</v>
      </c>
      <c r="U1595" s="43" t="str">
        <f t="shared" si="391"/>
        <v>2024-03-14</v>
      </c>
      <c r="V1595" s="43">
        <f t="shared" si="392"/>
        <v>45365</v>
      </c>
      <c r="W1595" s="44">
        <f t="array" ref="W1595">_xlfn.IFS(TRIM(C1595)="","",TRIM(V1595)="","",TRUE,V1595-C1595)</f>
        <v>7</v>
      </c>
      <c r="X1595" s="37">
        <f t="shared" si="393"/>
        <v>1</v>
      </c>
      <c r="Y1595" s="46" t="s">
        <v>72</v>
      </c>
      <c r="Z1595" s="37" t="str">
        <f t="shared" si="394"/>
        <v>delayed</v>
      </c>
      <c r="AA1595" s="37" t="str">
        <f t="shared" si="395"/>
        <v>Late</v>
      </c>
      <c r="AB1595" s="37" t="str">
        <f t="shared" si="398"/>
        <v>1</v>
      </c>
      <c r="AC1595" s="37">
        <f t="shared" si="399"/>
        <v>1</v>
      </c>
      <c r="AD1595" s="45">
        <f t="shared" si="397"/>
        <v>0.714285714285714</v>
      </c>
      <c r="AE1595" s="46">
        <v>1</v>
      </c>
      <c r="AF1595" s="46" t="s">
        <v>152</v>
      </c>
      <c r="AG1595" s="37" t="str">
        <f t="shared" si="396"/>
        <v>no</v>
      </c>
      <c r="AH1595" s="37" t="str">
        <f t="array" ref="AH1595">_xlfn.IFS(LOWER(AG1595)="n","no",LOWER(AG1595)="y","yes",TRUE,LOWER(AG1595))</f>
        <v>no</v>
      </c>
      <c r="AI1595" s="46" t="s">
        <v>4692</v>
      </c>
    </row>
    <row r="1596" spans="1:35">
      <c r="A1596" s="37" t="s">
        <v>4638</v>
      </c>
      <c r="B1596" s="38">
        <v>45465</v>
      </c>
      <c r="C1596" s="39">
        <f t="shared" si="384"/>
        <v>45465</v>
      </c>
      <c r="D1596" s="40" t="s">
        <v>633</v>
      </c>
      <c r="E1596" s="37" t="str" cm="1">
        <f t="array" ref="E1596">_xlfn.IFS(D1596="delhi","north",D1596="mumbai","west",D1596="bengaluru","south",D1596="chennai","south",D1596="kolkata","east",TRUE,"west")</f>
        <v>south</v>
      </c>
      <c r="F1596" s="37" t="s">
        <v>919</v>
      </c>
      <c r="G1596" s="37" t="str">
        <f t="shared" si="385"/>
        <v>xpressbees</v>
      </c>
      <c r="H1596" s="37" t="s">
        <v>244</v>
      </c>
      <c r="I1596" s="37" t="str">
        <f t="shared" si="386"/>
        <v>air</v>
      </c>
      <c r="J1596" s="37" t="s">
        <v>326</v>
      </c>
      <c r="K1596" s="37" t="str">
        <f t="shared" si="387"/>
        <v>apparel</v>
      </c>
      <c r="L1596" s="37" t="s">
        <v>89</v>
      </c>
      <c r="M1596" s="37" t="str">
        <f t="shared" si="388"/>
        <v>west</v>
      </c>
      <c r="N1596" s="37" t="s">
        <v>278</v>
      </c>
      <c r="O1596" s="41" t="str">
        <f t="shared" si="389"/>
        <v>Yes</v>
      </c>
      <c r="P1596" s="41">
        <v>7.3</v>
      </c>
      <c r="Q1596" s="41" t="s">
        <v>4639</v>
      </c>
      <c r="R1596" s="42">
        <f t="shared" si="390"/>
        <v>72.4657534246575</v>
      </c>
      <c r="S1596" s="37">
        <v>4</v>
      </c>
      <c r="T1596" s="37" t="s">
        <v>3119</v>
      </c>
      <c r="U1596" s="43" t="str">
        <f t="shared" si="391"/>
        <v>29/06/2024</v>
      </c>
      <c r="V1596" s="43">
        <f t="shared" si="392"/>
        <v>45472</v>
      </c>
      <c r="W1596" s="44">
        <f t="array" ref="W1596">_xlfn.IFS(TRIM(C1596)="","",TRIM(V1596)="","",TRUE,V1596-C1596)</f>
        <v>7</v>
      </c>
      <c r="X1596" s="37">
        <f t="shared" si="393"/>
        <v>3</v>
      </c>
      <c r="Y1596" s="37" t="s">
        <v>143</v>
      </c>
      <c r="Z1596" s="37" t="str">
        <f t="shared" si="394"/>
        <v>delayed</v>
      </c>
      <c r="AA1596" s="37" t="str">
        <f t="shared" si="395"/>
        <v>Late</v>
      </c>
      <c r="AB1596" s="37" t="str">
        <f t="shared" si="398"/>
        <v>1</v>
      </c>
      <c r="AC1596" s="37">
        <f t="shared" si="399"/>
        <v>1</v>
      </c>
      <c r="AD1596" s="45">
        <f t="shared" si="397"/>
        <v>0.666666666666667</v>
      </c>
      <c r="AE1596" s="37">
        <v>5</v>
      </c>
      <c r="AF1596" s="37" t="s">
        <v>131</v>
      </c>
      <c r="AG1596" s="37" t="str">
        <f t="shared" si="396"/>
        <v>n</v>
      </c>
      <c r="AH1596" s="37" t="str">
        <f t="array" ref="AH1596">_xlfn.IFS(LOWER(AG1596)="n","no",LOWER(AG1596)="y","yes",TRUE,LOWER(AG1596))</f>
        <v>no</v>
      </c>
      <c r="AI1596" s="37" t="s">
        <v>4692</v>
      </c>
    </row>
    <row r="1597" spans="1:35">
      <c r="A1597" s="46" t="s">
        <v>4640</v>
      </c>
      <c r="B1597" s="47">
        <v>45459</v>
      </c>
      <c r="C1597" s="39">
        <f t="shared" si="384"/>
        <v>45459</v>
      </c>
      <c r="D1597" s="48" t="s">
        <v>300</v>
      </c>
      <c r="E1597" s="37" t="str" cm="1">
        <f t="array" ref="E1597">_xlfn.IFS(D1597="delhi","north",D1597="mumbai","west",D1597="bengaluru","south",D1597="chennai","south",D1597="kolkata","east",TRUE,"west")</f>
        <v>west</v>
      </c>
      <c r="F1597" s="46" t="s">
        <v>204</v>
      </c>
      <c r="G1597" s="37" t="str">
        <f t="shared" si="385"/>
        <v>delhivery</v>
      </c>
      <c r="H1597" s="46" t="s">
        <v>99</v>
      </c>
      <c r="I1597" s="37" t="str">
        <f t="shared" si="386"/>
        <v>air</v>
      </c>
      <c r="J1597" s="46" t="s">
        <v>138</v>
      </c>
      <c r="K1597" s="37" t="str">
        <f t="shared" si="387"/>
        <v>apparel</v>
      </c>
      <c r="L1597" s="46" t="s">
        <v>159</v>
      </c>
      <c r="M1597" s="37" t="str">
        <f t="shared" si="388"/>
        <v>south</v>
      </c>
      <c r="N1597" s="46" t="s">
        <v>90</v>
      </c>
      <c r="O1597" s="41" t="str">
        <f t="shared" si="389"/>
        <v>Yes</v>
      </c>
      <c r="P1597" s="49">
        <v>2.8</v>
      </c>
      <c r="Q1597" s="49">
        <v>137</v>
      </c>
      <c r="R1597" s="42">
        <f t="shared" si="390"/>
        <v>48.9285714285714</v>
      </c>
      <c r="S1597" s="46">
        <v>2</v>
      </c>
      <c r="T1597" s="46" t="s">
        <v>1550</v>
      </c>
      <c r="U1597" s="43" t="str">
        <f t="shared" si="391"/>
        <v>18-jun-2024</v>
      </c>
      <c r="V1597" s="43">
        <f t="shared" si="392"/>
        <v>45461</v>
      </c>
      <c r="W1597" s="44">
        <f t="array" ref="W1597">_xlfn.IFS(TRIM(C1597)="","",TRIM(V1597)="","",TRUE,V1597-C1597)</f>
        <v>2</v>
      </c>
      <c r="X1597" s="37">
        <f t="shared" si="393"/>
        <v>0</v>
      </c>
      <c r="Y1597" s="46" t="s">
        <v>163</v>
      </c>
      <c r="Z1597" s="37" t="str">
        <f t="shared" si="394"/>
        <v>delivered</v>
      </c>
      <c r="AA1597" s="37" t="str">
        <f t="shared" si="395"/>
        <v>On Time</v>
      </c>
      <c r="AB1597" s="37" t="str">
        <f t="shared" si="398"/>
        <v>0</v>
      </c>
      <c r="AC1597" s="37">
        <f t="shared" si="399"/>
        <v>0</v>
      </c>
      <c r="AD1597" s="45">
        <f t="shared" si="397"/>
        <v>0.6</v>
      </c>
      <c r="AE1597" s="46">
        <v>5</v>
      </c>
      <c r="AF1597" s="46" t="s">
        <v>152</v>
      </c>
      <c r="AG1597" s="37" t="str">
        <f t="shared" si="396"/>
        <v>no</v>
      </c>
      <c r="AH1597" s="37" t="str">
        <f t="array" ref="AH1597">_xlfn.IFS(LOWER(AG1597)="n","no",LOWER(AG1597)="y","yes",TRUE,LOWER(AG1597))</f>
        <v>no</v>
      </c>
      <c r="AI1597" s="46" t="s">
        <v>4692</v>
      </c>
    </row>
    <row r="1598" spans="1:35">
      <c r="A1598" s="37" t="s">
        <v>4642</v>
      </c>
      <c r="B1598" s="38">
        <v>45425</v>
      </c>
      <c r="C1598" s="39">
        <f t="shared" si="384"/>
        <v>45425</v>
      </c>
      <c r="D1598" s="40" t="s">
        <v>424</v>
      </c>
      <c r="E1598" s="37" t="str" cm="1">
        <f t="array" ref="E1598">_xlfn.IFS(D1598="delhi","north",D1598="mumbai","west",D1598="bengaluru","south",D1598="chennai","south",D1598="kolkata","east",TRUE,"west")</f>
        <v>south</v>
      </c>
      <c r="F1598" s="37" t="s">
        <v>230</v>
      </c>
      <c r="G1598" s="37" t="str">
        <f t="shared" si="385"/>
        <v>dtdc</v>
      </c>
      <c r="H1598" s="37" t="s">
        <v>325</v>
      </c>
      <c r="I1598" s="37" t="str">
        <f t="shared" si="386"/>
        <v>air</v>
      </c>
      <c r="J1598" s="37" t="s">
        <v>319</v>
      </c>
      <c r="K1598" s="37" t="str">
        <f t="shared" si="387"/>
        <v>electronics</v>
      </c>
      <c r="L1598" s="37" t="s">
        <v>112</v>
      </c>
      <c r="M1598" s="37" t="str">
        <f t="shared" si="388"/>
        <v>north</v>
      </c>
      <c r="N1598" s="37" t="s">
        <v>354</v>
      </c>
      <c r="O1598" s="41" t="str">
        <f t="shared" si="389"/>
        <v>Yes</v>
      </c>
      <c r="P1598" s="41">
        <v>1.8</v>
      </c>
      <c r="Q1598" s="41" t="s">
        <v>4643</v>
      </c>
      <c r="R1598" s="42">
        <f t="shared" si="390"/>
        <v>116.111111111111</v>
      </c>
      <c r="S1598" s="37">
        <v>4</v>
      </c>
      <c r="T1598" s="37" t="s">
        <v>720</v>
      </c>
      <c r="U1598" s="43" t="str">
        <f t="shared" si="391"/>
        <v>2024-05-21</v>
      </c>
      <c r="V1598" s="43">
        <f t="shared" si="392"/>
        <v>45433</v>
      </c>
      <c r="W1598" s="44">
        <f t="array" ref="W1598">_xlfn.IFS(TRIM(C1598)="","",TRIM(V1598)="","",TRUE,V1598-C1598)</f>
        <v>8</v>
      </c>
      <c r="X1598" s="37">
        <f t="shared" si="393"/>
        <v>4</v>
      </c>
      <c r="Y1598" s="37" t="s">
        <v>200</v>
      </c>
      <c r="Z1598" s="37" t="str">
        <f t="shared" si="394"/>
        <v>delayed</v>
      </c>
      <c r="AA1598" s="37" t="str">
        <f t="shared" si="395"/>
        <v>Late</v>
      </c>
      <c r="AB1598" s="37" t="str">
        <f t="shared" si="398"/>
        <v>1</v>
      </c>
      <c r="AC1598" s="37">
        <f t="shared" si="399"/>
        <v>1</v>
      </c>
      <c r="AD1598" s="45">
        <f t="shared" si="397"/>
        <v>0.75</v>
      </c>
      <c r="AE1598" s="37">
        <v>2</v>
      </c>
      <c r="AF1598" s="37" t="s">
        <v>79</v>
      </c>
      <c r="AG1598" s="37" t="str">
        <f t="shared" si="396"/>
        <v>yes</v>
      </c>
      <c r="AH1598" s="37" t="str">
        <f t="array" ref="AH1598">_xlfn.IFS(LOWER(AG1598)="n","no",LOWER(AG1598)="y","yes",TRUE,LOWER(AG1598))</f>
        <v>yes</v>
      </c>
      <c r="AI1598" s="37" t="s">
        <v>4692</v>
      </c>
    </row>
    <row r="1599" spans="1:35">
      <c r="A1599" s="46" t="s">
        <v>4644</v>
      </c>
      <c r="B1599" s="47" t="s">
        <v>4739</v>
      </c>
      <c r="C1599" s="39">
        <f t="shared" si="384"/>
        <v>45318</v>
      </c>
      <c r="D1599" s="48" t="s">
        <v>340</v>
      </c>
      <c r="E1599" s="37" t="str" cm="1">
        <f t="array" ref="E1599">_xlfn.IFS(D1599="delhi","north",D1599="mumbai","west",D1599="bengaluru","south",D1599="chennai","south",D1599="kolkata","east",TRUE,"west")</f>
        <v>north</v>
      </c>
      <c r="F1599" s="46" t="s">
        <v>98</v>
      </c>
      <c r="G1599" s="37" t="str">
        <f t="shared" si="385"/>
        <v>dtdc</v>
      </c>
      <c r="H1599" s="46" t="s">
        <v>325</v>
      </c>
      <c r="I1599" s="37" t="str">
        <f t="shared" si="386"/>
        <v>air</v>
      </c>
      <c r="J1599" s="46" t="s">
        <v>138</v>
      </c>
      <c r="K1599" s="37" t="str">
        <f t="shared" si="387"/>
        <v>apparel</v>
      </c>
      <c r="L1599" s="46" t="s">
        <v>159</v>
      </c>
      <c r="M1599" s="37" t="str">
        <f t="shared" si="388"/>
        <v>south</v>
      </c>
      <c r="N1599" s="46" t="s">
        <v>93</v>
      </c>
      <c r="O1599" s="41" t="str">
        <f t="shared" si="389"/>
        <v>Yes</v>
      </c>
      <c r="P1599" s="49">
        <v>7.2</v>
      </c>
      <c r="Q1599" s="49">
        <v>513</v>
      </c>
      <c r="R1599" s="42">
        <f t="shared" si="390"/>
        <v>71.25</v>
      </c>
      <c r="S1599" s="46">
        <v>4</v>
      </c>
      <c r="T1599" s="46" t="s">
        <v>336</v>
      </c>
      <c r="U1599" s="43" t="str">
        <f t="shared" si="391"/>
        <v>09/02/2024</v>
      </c>
      <c r="V1599" s="43">
        <f t="shared" si="392"/>
        <v>45331</v>
      </c>
      <c r="W1599" s="44">
        <f t="array" ref="W1599">_xlfn.IFS(TRIM(C1599)="","",TRIM(V1599)="","",TRUE,V1599-C1599)</f>
        <v>13</v>
      </c>
      <c r="X1599" s="37">
        <f t="shared" si="393"/>
        <v>9</v>
      </c>
      <c r="Y1599" s="46" t="s">
        <v>200</v>
      </c>
      <c r="Z1599" s="37" t="str">
        <f t="shared" si="394"/>
        <v>delayed</v>
      </c>
      <c r="AA1599" s="37" t="str">
        <f t="shared" si="395"/>
        <v>Late</v>
      </c>
      <c r="AB1599" s="37" t="str">
        <f t="shared" si="398"/>
        <v>1</v>
      </c>
      <c r="AC1599" s="37">
        <f t="shared" si="399"/>
        <v>1</v>
      </c>
      <c r="AD1599" s="45">
        <f t="shared" si="397"/>
        <v>0.666666666666667</v>
      </c>
      <c r="AE1599" s="46">
        <v>3</v>
      </c>
      <c r="AF1599" s="46" t="s">
        <v>106</v>
      </c>
      <c r="AG1599" s="37" t="str">
        <f t="shared" si="396"/>
        <v>yes</v>
      </c>
      <c r="AH1599" s="37" t="str">
        <f t="array" ref="AH1599">_xlfn.IFS(LOWER(AG1599)="n","no",LOWER(AG1599)="y","yes",TRUE,LOWER(AG1599))</f>
        <v>yes</v>
      </c>
      <c r="AI1599" s="46" t="s">
        <v>4692</v>
      </c>
    </row>
    <row r="1600" spans="1:35">
      <c r="A1600" s="37" t="s">
        <v>4646</v>
      </c>
      <c r="B1600" s="38" t="s">
        <v>4767</v>
      </c>
      <c r="C1600" s="39">
        <f t="shared" si="384"/>
        <v>45471</v>
      </c>
      <c r="D1600" s="40" t="s">
        <v>633</v>
      </c>
      <c r="E1600" s="37" t="str" cm="1">
        <f t="array" ref="E1600">_xlfn.IFS(D1600="delhi","north",D1600="mumbai","west",D1600="bengaluru","south",D1600="chennai","south",D1600="kolkata","east",TRUE,"west")</f>
        <v>south</v>
      </c>
      <c r="F1600" s="37" t="s">
        <v>37</v>
      </c>
      <c r="G1600" s="37" t="str">
        <f t="shared" si="385"/>
        <v>bluedart</v>
      </c>
      <c r="H1600" s="37" t="s">
        <v>224</v>
      </c>
      <c r="I1600" s="37" t="str">
        <f t="shared" si="386"/>
        <v>air</v>
      </c>
      <c r="J1600" s="37" t="s">
        <v>158</v>
      </c>
      <c r="K1600" s="37" t="str">
        <f t="shared" si="387"/>
        <v>pharma</v>
      </c>
      <c r="L1600" s="37" t="s">
        <v>380</v>
      </c>
      <c r="M1600" s="37" t="str">
        <f t="shared" si="388"/>
        <v>east</v>
      </c>
      <c r="N1600" s="37" t="s">
        <v>396</v>
      </c>
      <c r="O1600" s="41" t="str">
        <f t="shared" si="389"/>
        <v>Yes</v>
      </c>
      <c r="P1600" s="41" t="s">
        <v>1042</v>
      </c>
      <c r="Q1600" s="41" t="s">
        <v>4647</v>
      </c>
      <c r="R1600" s="42">
        <f t="shared" si="390"/>
        <v>143.809523809524</v>
      </c>
      <c r="S1600" s="37">
        <v>4</v>
      </c>
      <c r="T1600" s="37" t="s">
        <v>4648</v>
      </c>
      <c r="U1600" s="43" t="str">
        <f t="shared" si="391"/>
        <v>01/07/2024</v>
      </c>
      <c r="V1600" s="43">
        <f t="shared" si="392"/>
        <v>45474</v>
      </c>
      <c r="W1600" s="44">
        <f t="array" ref="W1600">_xlfn.IFS(TRIM(C1600)="","",TRIM(V1600)="","",TRUE,V1600-C1600)</f>
        <v>3</v>
      </c>
      <c r="X1600" s="37">
        <f t="shared" si="393"/>
        <v>-1</v>
      </c>
      <c r="Y1600" s="37" t="s">
        <v>219</v>
      </c>
      <c r="Z1600" s="37" t="str">
        <f t="shared" si="394"/>
        <v>delivered</v>
      </c>
      <c r="AA1600" s="37" t="str">
        <f t="shared" si="395"/>
        <v>On Time</v>
      </c>
      <c r="AB1600" s="37" t="str">
        <f t="shared" si="398"/>
        <v>0</v>
      </c>
      <c r="AC1600" s="37">
        <f t="shared" si="399"/>
        <v>0</v>
      </c>
      <c r="AD1600" s="45">
        <f t="shared" si="397"/>
        <v>0.5</v>
      </c>
      <c r="AE1600" s="37">
        <v>4</v>
      </c>
      <c r="AF1600" s="37" t="s">
        <v>131</v>
      </c>
      <c r="AG1600" s="37" t="str">
        <f t="shared" si="396"/>
        <v>n</v>
      </c>
      <c r="AH1600" s="37" t="str">
        <f t="array" ref="AH1600">_xlfn.IFS(LOWER(AG1600)="n","no",LOWER(AG1600)="y","yes",TRUE,LOWER(AG1600))</f>
        <v>no</v>
      </c>
      <c r="AI1600" s="37" t="s">
        <v>4692</v>
      </c>
    </row>
    <row r="1601" spans="1:35">
      <c r="A1601" s="46" t="s">
        <v>4649</v>
      </c>
      <c r="B1601" s="47" t="s">
        <v>4851</v>
      </c>
      <c r="C1601" s="39">
        <f t="shared" si="384"/>
        <v>45344</v>
      </c>
      <c r="D1601" s="48" t="s">
        <v>243</v>
      </c>
      <c r="E1601" s="37" t="str" cm="1">
        <f t="array" ref="E1601">_xlfn.IFS(D1601="delhi","north",D1601="mumbai","west",D1601="bengaluru","south",D1601="chennai","south",D1601="kolkata","east",TRUE,"west")</f>
        <v>west</v>
      </c>
      <c r="F1601" s="46" t="s">
        <v>270</v>
      </c>
      <c r="G1601" s="37" t="str">
        <f t="shared" si="385"/>
        <v>ecomexpress</v>
      </c>
      <c r="H1601" s="46" t="s">
        <v>195</v>
      </c>
      <c r="I1601" s="37" t="str">
        <f t="shared" si="386"/>
        <v>road</v>
      </c>
      <c r="J1601" s="46" t="s">
        <v>148</v>
      </c>
      <c r="K1601" s="37" t="str">
        <f t="shared" si="387"/>
        <v>electronics</v>
      </c>
      <c r="L1601" s="46" t="s">
        <v>401</v>
      </c>
      <c r="M1601" s="37" t="str">
        <f t="shared" si="388"/>
        <v>south</v>
      </c>
      <c r="N1601" s="46" t="s">
        <v>54</v>
      </c>
      <c r="O1601" s="41" t="str">
        <f t="shared" si="389"/>
        <v>Yes</v>
      </c>
      <c r="P1601" s="49">
        <v>11.7</v>
      </c>
      <c r="Q1601" s="49">
        <v>139</v>
      </c>
      <c r="R1601" s="42">
        <f t="shared" si="390"/>
        <v>11.8803418803419</v>
      </c>
      <c r="S1601" s="46">
        <v>6</v>
      </c>
      <c r="T1601" s="46" t="s">
        <v>3434</v>
      </c>
      <c r="U1601" s="43" t="str">
        <f t="shared" si="391"/>
        <v>29/02/2024</v>
      </c>
      <c r="V1601" s="43">
        <f t="shared" si="392"/>
        <v>45351</v>
      </c>
      <c r="W1601" s="44">
        <f t="array" ref="W1601">_xlfn.IFS(TRIM(C1601)="","",TRIM(V1601)="","",TRUE,V1601-C1601)</f>
        <v>7</v>
      </c>
      <c r="X1601" s="37">
        <f t="shared" si="393"/>
        <v>1</v>
      </c>
      <c r="Y1601" s="46" t="s">
        <v>200</v>
      </c>
      <c r="Z1601" s="37" t="str">
        <f t="shared" si="394"/>
        <v>delayed</v>
      </c>
      <c r="AA1601" s="37" t="str">
        <f t="shared" si="395"/>
        <v>Late</v>
      </c>
      <c r="AB1601" s="37" t="str">
        <f t="shared" si="398"/>
        <v>1</v>
      </c>
      <c r="AC1601" s="37">
        <f t="shared" si="399"/>
        <v>1</v>
      </c>
      <c r="AD1601" s="45">
        <f t="shared" si="397"/>
        <v>1</v>
      </c>
      <c r="AE1601" s="46">
        <v>2</v>
      </c>
      <c r="AF1601" s="46" t="s">
        <v>152</v>
      </c>
      <c r="AG1601" s="37" t="str">
        <f t="shared" si="396"/>
        <v>no</v>
      </c>
      <c r="AH1601" s="37" t="str">
        <f t="array" ref="AH1601">_xlfn.IFS(LOWER(AG1601)="n","no",LOWER(AG1601)="y","yes",TRUE,LOWER(AG1601))</f>
        <v>no</v>
      </c>
      <c r="AI1601" s="46" t="s">
        <v>4692</v>
      </c>
    </row>
    <row r="1621" ht="43.2" customHeight="1" spans="1:14">
      <c r="A1621" s="52"/>
      <c r="B1621" s="53"/>
      <c r="C1621" s="54"/>
      <c r="D1621" s="54"/>
      <c r="E1621" s="52"/>
      <c r="F1621" s="52"/>
      <c r="G1621" s="52"/>
      <c r="H1621" s="52"/>
      <c r="I1621" s="55"/>
      <c r="J1621" s="55"/>
      <c r="K1621" s="52"/>
      <c r="L1621" s="52"/>
      <c r="M1621" s="52"/>
      <c r="N1621" s="5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workbookViewId="0">
      <pane ySplit="3" topLeftCell="A83" activePane="bottomLeft" state="frozen"/>
      <selection/>
      <selection pane="bottomLeft" activeCell="B64" sqref="A63:D67"/>
    </sheetView>
  </sheetViews>
  <sheetFormatPr defaultColWidth="9" defaultRowHeight="14.4"/>
  <cols>
    <col min="1" max="1" width="29" customWidth="1"/>
    <col min="2" max="2" width="24" customWidth="1"/>
    <col min="3" max="3" width="22" customWidth="1"/>
    <col min="4" max="4" width="18" customWidth="1"/>
    <col min="5" max="5" width="22" customWidth="1"/>
    <col min="6" max="6" width="18" customWidth="1"/>
    <col min="7" max="12" width="22" customWidth="1"/>
  </cols>
  <sheetData>
    <row r="1" ht="30" customHeight="1" spans="1:12">
      <c r="A1" s="13" t="s">
        <v>4858</v>
      </c>
    </row>
    <row r="2" ht="30" customHeight="1" spans="1:1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ht="15.6" spans="1:12">
      <c r="A4" s="15" t="s">
        <v>4859</v>
      </c>
    </row>
    <row r="5" ht="30" customHeight="1" spans="1:12">
      <c r="A5" s="16" t="s">
        <v>85</v>
      </c>
      <c r="B5" s="16" t="s">
        <v>4860</v>
      </c>
      <c r="C5" s="16" t="s">
        <v>4861</v>
      </c>
      <c r="D5" s="16" t="s">
        <v>4862</v>
      </c>
    </row>
    <row r="6" spans="1:12">
      <c r="A6" t="s">
        <v>90</v>
      </c>
      <c r="B6" s="17">
        <v>257</v>
      </c>
      <c r="C6" s="17">
        <v>152</v>
      </c>
      <c r="D6" s="18">
        <v>0.591439688715953</v>
      </c>
    </row>
    <row r="7" spans="1:12">
      <c r="A7" s="19" t="s">
        <v>93</v>
      </c>
      <c r="B7" s="20">
        <v>262</v>
      </c>
      <c r="C7" s="20">
        <v>137</v>
      </c>
      <c r="D7" s="21">
        <v>0.522900763358779</v>
      </c>
    </row>
    <row r="8" spans="1:12">
      <c r="A8" t="s">
        <v>54</v>
      </c>
      <c r="B8" s="17">
        <v>267</v>
      </c>
      <c r="C8" s="17">
        <v>136</v>
      </c>
      <c r="D8" s="18">
        <v>0.50936329588015</v>
      </c>
    </row>
    <row r="9" spans="1:12">
      <c r="A9" s="19" t="s">
        <v>32</v>
      </c>
      <c r="B9" s="20">
        <v>236</v>
      </c>
      <c r="C9" s="20">
        <v>118</v>
      </c>
      <c r="D9" s="21">
        <v>0.5</v>
      </c>
    </row>
    <row r="10" spans="1:12">
      <c r="A10" t="s">
        <v>91</v>
      </c>
      <c r="B10" s="17">
        <v>281</v>
      </c>
      <c r="C10" s="17">
        <v>132</v>
      </c>
      <c r="D10" s="18">
        <v>0.469750889679715</v>
      </c>
    </row>
    <row r="11" spans="1:12">
      <c r="A11" s="19" t="s">
        <v>88</v>
      </c>
      <c r="B11" s="20">
        <v>276</v>
      </c>
      <c r="C11" s="20">
        <v>121</v>
      </c>
      <c r="D11" s="21">
        <v>0.438405797101449</v>
      </c>
    </row>
    <row r="14" ht="15.6" spans="1:12">
      <c r="A14" s="15" t="s">
        <v>4863</v>
      </c>
    </row>
    <row r="15" ht="30" customHeight="1" spans="1:12">
      <c r="A15" s="16" t="s">
        <v>4864</v>
      </c>
      <c r="B15" s="16" t="s">
        <v>4860</v>
      </c>
      <c r="C15" s="16" t="s">
        <v>4861</v>
      </c>
      <c r="D15" s="16" t="s">
        <v>4862</v>
      </c>
    </row>
    <row r="16" spans="1:12">
      <c r="A16" t="s">
        <v>213</v>
      </c>
      <c r="B16" s="17">
        <v>337</v>
      </c>
      <c r="C16" s="17">
        <v>196</v>
      </c>
      <c r="D16" s="18">
        <v>0.58160237388724</v>
      </c>
    </row>
    <row r="17" spans="1:4">
      <c r="A17" s="19" t="s">
        <v>156</v>
      </c>
      <c r="B17" s="20">
        <v>334</v>
      </c>
      <c r="C17" s="20">
        <v>180</v>
      </c>
      <c r="D17" s="21">
        <v>0.538922155688623</v>
      </c>
    </row>
    <row r="18" spans="1:4">
      <c r="A18" t="s">
        <v>175</v>
      </c>
      <c r="B18" s="17">
        <v>293</v>
      </c>
      <c r="C18" s="17">
        <v>151</v>
      </c>
      <c r="D18" s="18">
        <v>0.515358361774744</v>
      </c>
    </row>
    <row r="19" spans="1:4">
      <c r="A19" s="19" t="s">
        <v>122</v>
      </c>
      <c r="B19" s="20">
        <v>311</v>
      </c>
      <c r="C19" s="20">
        <v>146</v>
      </c>
      <c r="D19" s="21">
        <v>0.469453376205788</v>
      </c>
    </row>
    <row r="20" spans="1:4">
      <c r="A20" t="s">
        <v>37</v>
      </c>
      <c r="B20" s="17">
        <v>305</v>
      </c>
      <c r="C20" s="17">
        <v>122</v>
      </c>
      <c r="D20" s="18">
        <v>0.4</v>
      </c>
    </row>
    <row r="24" ht="15.6" spans="1:4">
      <c r="A24" s="15" t="s">
        <v>4865</v>
      </c>
    </row>
    <row r="25" ht="30" customHeight="1" spans="1:4">
      <c r="A25" s="16" t="s">
        <v>4864</v>
      </c>
      <c r="B25" s="16" t="s">
        <v>4866</v>
      </c>
      <c r="C25" s="16" t="s">
        <v>4867</v>
      </c>
    </row>
    <row r="26" spans="1:4">
      <c r="A26" t="s">
        <v>37</v>
      </c>
      <c r="B26" s="22">
        <v>6.14426229508197</v>
      </c>
      <c r="C26" s="17">
        <v>308</v>
      </c>
    </row>
    <row r="27" spans="1:4">
      <c r="A27" s="19" t="s">
        <v>213</v>
      </c>
      <c r="B27" s="23">
        <v>7.50445103857567</v>
      </c>
      <c r="C27" s="20">
        <v>339</v>
      </c>
    </row>
    <row r="28" spans="1:4">
      <c r="A28" t="s">
        <v>122</v>
      </c>
      <c r="B28" s="22">
        <v>6.27009646302251</v>
      </c>
      <c r="C28" s="17">
        <v>312</v>
      </c>
    </row>
    <row r="29" spans="1:4">
      <c r="A29" s="19" t="s">
        <v>175</v>
      </c>
      <c r="B29" s="23">
        <v>6.72013651877133</v>
      </c>
      <c r="C29" s="20">
        <v>297</v>
      </c>
    </row>
    <row r="30" spans="1:4">
      <c r="A30" t="s">
        <v>156</v>
      </c>
      <c r="B30" s="22">
        <v>6.80239520958084</v>
      </c>
      <c r="C30" s="17">
        <v>337</v>
      </c>
    </row>
    <row r="33" ht="15.6" spans="1:3">
      <c r="A33" s="15" t="s">
        <v>4868</v>
      </c>
    </row>
    <row r="34" ht="30" customHeight="1" spans="1:3">
      <c r="A34" s="16" t="s">
        <v>4869</v>
      </c>
      <c r="B34" s="16" t="s">
        <v>4866</v>
      </c>
      <c r="C34" s="16" t="s">
        <v>4867</v>
      </c>
    </row>
    <row r="35" spans="1:3">
      <c r="A35" s="19" t="s">
        <v>123</v>
      </c>
      <c r="B35" s="23">
        <v>4.91238095238095</v>
      </c>
      <c r="C35" s="20">
        <v>526</v>
      </c>
    </row>
    <row r="36" spans="1:3">
      <c r="A36" t="s">
        <v>440</v>
      </c>
      <c r="B36" s="22">
        <v>8.49009009009009</v>
      </c>
      <c r="C36" s="17">
        <v>563</v>
      </c>
    </row>
    <row r="37" spans="1:3">
      <c r="A37" s="19" t="s">
        <v>42</v>
      </c>
      <c r="B37" s="23">
        <v>6.63510848126233</v>
      </c>
      <c r="C37" s="20">
        <v>511</v>
      </c>
    </row>
    <row r="42" ht="15.6" spans="1:3">
      <c r="A42" s="15" t="s">
        <v>4870</v>
      </c>
    </row>
    <row r="43" ht="30" customHeight="1" spans="1:3">
      <c r="A43" s="16" t="s">
        <v>4684</v>
      </c>
      <c r="B43" s="16" t="s">
        <v>4871</v>
      </c>
      <c r="C43" s="16" t="s">
        <v>4867</v>
      </c>
    </row>
    <row r="44" spans="1:3">
      <c r="A44" t="s">
        <v>191</v>
      </c>
      <c r="B44" s="22">
        <v>1.00759493670886</v>
      </c>
      <c r="C44" s="17">
        <v>395</v>
      </c>
    </row>
    <row r="45" spans="1:3">
      <c r="A45" s="19" t="s">
        <v>79</v>
      </c>
      <c r="B45" s="23">
        <v>1.22888513513514</v>
      </c>
      <c r="C45" s="20">
        <v>1184</v>
      </c>
    </row>
    <row r="50" ht="15.6" spans="1:6">
      <c r="A50" s="15" t="s">
        <v>4872</v>
      </c>
    </row>
    <row r="51" ht="30" customHeight="1" spans="1:6">
      <c r="A51" s="16" t="s">
        <v>4873</v>
      </c>
      <c r="B51" s="16" t="s">
        <v>4874</v>
      </c>
      <c r="C51" s="16" t="s">
        <v>1513</v>
      </c>
      <c r="D51" s="16" t="s">
        <v>2041</v>
      </c>
      <c r="E51" s="16" t="s">
        <v>4875</v>
      </c>
      <c r="F51" s="16" t="s">
        <v>4876</v>
      </c>
    </row>
    <row r="52" spans="1:6">
      <c r="A52" t="s">
        <v>47</v>
      </c>
      <c r="B52" s="17">
        <v>255</v>
      </c>
      <c r="C52" s="17">
        <v>17</v>
      </c>
      <c r="D52" s="17">
        <v>11</v>
      </c>
      <c r="E52" s="17">
        <v>28</v>
      </c>
      <c r="F52" s="18">
        <v>0.109803921568627</v>
      </c>
    </row>
    <row r="53" spans="1:6">
      <c r="A53" s="19" t="s">
        <v>368</v>
      </c>
      <c r="B53" s="20">
        <v>267</v>
      </c>
      <c r="C53" s="20">
        <v>19</v>
      </c>
      <c r="D53" s="20">
        <v>5</v>
      </c>
      <c r="E53" s="20">
        <v>24</v>
      </c>
      <c r="F53" s="21">
        <v>0.0898876404494382</v>
      </c>
    </row>
    <row r="54" spans="1:6">
      <c r="A54" t="s">
        <v>263</v>
      </c>
      <c r="B54" s="17">
        <v>248</v>
      </c>
      <c r="C54" s="17">
        <v>4</v>
      </c>
      <c r="D54" s="17">
        <v>17</v>
      </c>
      <c r="E54" s="17">
        <v>21</v>
      </c>
      <c r="F54" s="18">
        <v>0.0846774193548387</v>
      </c>
    </row>
    <row r="55" spans="1:6">
      <c r="A55" s="19" t="s">
        <v>425</v>
      </c>
      <c r="B55" s="20">
        <v>271</v>
      </c>
      <c r="C55" s="20">
        <v>7</v>
      </c>
      <c r="D55" s="20">
        <v>7</v>
      </c>
      <c r="E55" s="20">
        <v>14</v>
      </c>
      <c r="F55" s="21">
        <v>0.0516605166051661</v>
      </c>
    </row>
    <row r="56" spans="1:6">
      <c r="A56" t="s">
        <v>4877</v>
      </c>
      <c r="B56" s="17">
        <v>268</v>
      </c>
      <c r="C56" s="17">
        <v>4</v>
      </c>
      <c r="D56" s="17">
        <v>6</v>
      </c>
      <c r="E56" s="17">
        <v>10</v>
      </c>
      <c r="F56" s="18">
        <v>0.0373134328358209</v>
      </c>
    </row>
    <row r="57" spans="1:6">
      <c r="A57" s="19" t="s">
        <v>158</v>
      </c>
      <c r="B57" s="20">
        <v>283</v>
      </c>
      <c r="C57" s="20">
        <v>2</v>
      </c>
      <c r="D57" s="20">
        <v>0</v>
      </c>
      <c r="E57" s="20">
        <v>2</v>
      </c>
      <c r="F57" s="21">
        <v>0.00706713780918728</v>
      </c>
    </row>
    <row r="61" ht="15.6" spans="1:6">
      <c r="A61" s="15" t="s">
        <v>4878</v>
      </c>
    </row>
    <row r="62" ht="30" customHeight="1" spans="1:6">
      <c r="A62" s="16" t="s">
        <v>4864</v>
      </c>
      <c r="B62" s="16" t="s">
        <v>4879</v>
      </c>
      <c r="C62" s="16" t="s">
        <v>4866</v>
      </c>
      <c r="D62" s="16" t="s">
        <v>4867</v>
      </c>
    </row>
    <row r="63" spans="1:6">
      <c r="A63" s="19" t="s">
        <v>37</v>
      </c>
      <c r="B63" s="23">
        <v>53.6637901114923</v>
      </c>
      <c r="C63" s="23">
        <v>6.14426229508197</v>
      </c>
      <c r="D63" s="20">
        <v>308</v>
      </c>
    </row>
    <row r="64" spans="1:6">
      <c r="A64" t="s">
        <v>213</v>
      </c>
      <c r="B64" s="22">
        <v>55.0382441414792</v>
      </c>
      <c r="C64" s="22">
        <v>7.50445103857567</v>
      </c>
      <c r="D64" s="17">
        <v>339</v>
      </c>
    </row>
    <row r="65" spans="1:5">
      <c r="A65" s="19" t="s">
        <v>122</v>
      </c>
      <c r="B65" s="23">
        <v>57.7299099272908</v>
      </c>
      <c r="C65" s="23">
        <v>6.27009646302251</v>
      </c>
      <c r="D65" s="20">
        <v>312</v>
      </c>
    </row>
    <row r="66" spans="1:5">
      <c r="A66" t="s">
        <v>175</v>
      </c>
      <c r="B66" s="22">
        <v>52.1461631336909</v>
      </c>
      <c r="C66" s="22">
        <v>6.72013651877133</v>
      </c>
      <c r="D66" s="17">
        <v>297</v>
      </c>
    </row>
    <row r="67" spans="1:5">
      <c r="A67" s="19" t="s">
        <v>156</v>
      </c>
      <c r="B67" s="23">
        <v>53.8037723732431</v>
      </c>
      <c r="C67" s="23">
        <v>6.80239520958084</v>
      </c>
      <c r="D67" s="20">
        <v>337</v>
      </c>
    </row>
    <row r="70" ht="15.6" spans="1:5">
      <c r="A70" s="15" t="s">
        <v>4880</v>
      </c>
    </row>
    <row r="71" ht="30" customHeight="1" spans="1:5">
      <c r="A71" s="16" t="s">
        <v>4881</v>
      </c>
      <c r="B71" s="16" t="s">
        <v>4874</v>
      </c>
      <c r="C71" s="16" t="s">
        <v>4882</v>
      </c>
      <c r="D71" s="16" t="s">
        <v>4861</v>
      </c>
      <c r="E71" s="16" t="s">
        <v>4883</v>
      </c>
    </row>
    <row r="72" spans="1:5">
      <c r="A72" t="s">
        <v>4884</v>
      </c>
      <c r="B72" s="17">
        <v>273</v>
      </c>
      <c r="C72" s="17">
        <v>149</v>
      </c>
      <c r="D72" s="17">
        <v>124</v>
      </c>
      <c r="E72" s="18">
        <v>0.545787545787546</v>
      </c>
    </row>
    <row r="73" spans="1:5">
      <c r="A73" s="19" t="s">
        <v>4885</v>
      </c>
      <c r="B73" s="20">
        <v>229</v>
      </c>
      <c r="C73" s="20">
        <v>125</v>
      </c>
      <c r="D73" s="20">
        <v>104</v>
      </c>
      <c r="E73" s="21">
        <v>0.54585152838428</v>
      </c>
    </row>
    <row r="74" spans="1:5">
      <c r="A74" t="s">
        <v>4886</v>
      </c>
      <c r="B74" s="17">
        <v>295</v>
      </c>
      <c r="C74" s="17">
        <v>124</v>
      </c>
      <c r="D74" s="17">
        <v>171</v>
      </c>
      <c r="E74" s="18">
        <v>0.420338983050847</v>
      </c>
    </row>
    <row r="75" spans="1:5">
      <c r="A75" s="19" t="s">
        <v>4887</v>
      </c>
      <c r="B75" s="20">
        <v>258</v>
      </c>
      <c r="C75" s="20">
        <v>123</v>
      </c>
      <c r="D75" s="20">
        <v>135</v>
      </c>
      <c r="E75" s="21">
        <v>0.476744186046512</v>
      </c>
    </row>
    <row r="76" spans="1:5">
      <c r="A76" t="s">
        <v>4888</v>
      </c>
      <c r="B76" s="17">
        <v>276</v>
      </c>
      <c r="C76" s="17">
        <v>133</v>
      </c>
      <c r="D76" s="17">
        <v>143</v>
      </c>
      <c r="E76" s="18">
        <v>0.481884057971015</v>
      </c>
    </row>
    <row r="77" spans="1:5">
      <c r="A77" s="19" t="s">
        <v>4889</v>
      </c>
      <c r="B77" s="20">
        <v>269</v>
      </c>
      <c r="C77" s="20">
        <v>134</v>
      </c>
      <c r="D77" s="20">
        <v>122</v>
      </c>
      <c r="E77" s="21">
        <v>0.5234375</v>
      </c>
    </row>
    <row r="80" ht="15.6" spans="1:5">
      <c r="A80" s="15" t="s">
        <v>4890</v>
      </c>
    </row>
    <row r="81" ht="30" customHeight="1" spans="1:4">
      <c r="A81" s="16" t="s">
        <v>4864</v>
      </c>
      <c r="B81" s="16" t="s">
        <v>4860</v>
      </c>
      <c r="C81" s="16" t="s">
        <v>4861</v>
      </c>
      <c r="D81" s="16" t="s">
        <v>4862</v>
      </c>
    </row>
    <row r="82" spans="1:4">
      <c r="A82" t="s">
        <v>175</v>
      </c>
      <c r="B82" s="17">
        <v>43</v>
      </c>
      <c r="C82" s="17">
        <v>28</v>
      </c>
      <c r="D82" s="18">
        <v>0.651162790697674</v>
      </c>
    </row>
    <row r="83" spans="1:4">
      <c r="A83" s="19" t="s">
        <v>156</v>
      </c>
      <c r="B83" s="20">
        <v>56</v>
      </c>
      <c r="C83" s="20">
        <v>36</v>
      </c>
      <c r="D83" s="21">
        <v>0.642857142857143</v>
      </c>
    </row>
    <row r="84" spans="1:4">
      <c r="A84" t="s">
        <v>213</v>
      </c>
      <c r="B84" s="17">
        <v>54</v>
      </c>
      <c r="C84" s="17">
        <v>34</v>
      </c>
      <c r="D84" s="18">
        <v>0.62962962962963</v>
      </c>
    </row>
    <row r="85" spans="1:4">
      <c r="A85" s="19" t="s">
        <v>122</v>
      </c>
      <c r="B85" s="20">
        <v>52</v>
      </c>
      <c r="C85" s="20">
        <v>30</v>
      </c>
      <c r="D85" s="21">
        <v>0.576923076923077</v>
      </c>
    </row>
    <row r="86" spans="1:4">
      <c r="A86" t="s">
        <v>37</v>
      </c>
      <c r="B86" s="17">
        <v>51</v>
      </c>
      <c r="C86" s="17">
        <v>23</v>
      </c>
      <c r="D86" s="18">
        <v>0.450980392156863</v>
      </c>
    </row>
  </sheetData>
  <mergeCells count="10">
    <mergeCell ref="A1:L1"/>
    <mergeCell ref="A4:D4"/>
    <mergeCell ref="A14:D14"/>
    <mergeCell ref="A24:C24"/>
    <mergeCell ref="A33:C33"/>
    <mergeCell ref="A42:C42"/>
    <mergeCell ref="A50:F50"/>
    <mergeCell ref="A61:D61"/>
    <mergeCell ref="A70:E70"/>
    <mergeCell ref="A80:D80"/>
  </mergeCells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0"/>
  <sheetViews>
    <sheetView showGridLines="0" workbookViewId="0">
      <pane ySplit="3" topLeftCell="A4" activePane="bottomLeft" state="frozen"/>
      <selection/>
      <selection pane="bottomLeft" activeCell="A90" sqref="A90:P90"/>
    </sheetView>
  </sheetViews>
  <sheetFormatPr defaultColWidth="9" defaultRowHeight="14.4"/>
  <cols>
    <col min="1" max="16" width="13" customWidth="1"/>
  </cols>
  <sheetData>
    <row r="1" ht="36" customHeight="1" spans="1:13">
      <c r="A1" s="1" t="s">
        <v>4891</v>
      </c>
    </row>
    <row r="2" ht="28" customHeight="1" spans="1:13">
      <c r="A2" s="2"/>
    </row>
    <row r="3" ht="15.15"/>
    <row r="4" ht="28" customHeight="1" spans="1:13">
      <c r="A4" s="3" t="s">
        <v>4892</v>
      </c>
      <c r="D4" s="3" t="s">
        <v>4893</v>
      </c>
      <c r="G4" s="3" t="s">
        <v>4894</v>
      </c>
      <c r="J4" s="3" t="s">
        <v>4895</v>
      </c>
      <c r="M4" s="3" t="s">
        <v>4896</v>
      </c>
    </row>
    <row r="5" ht="28" customHeight="1"/>
    <row r="82" ht="15.6" spans="1:16">
      <c r="A82" s="4" t="s">
        <v>4897</v>
      </c>
    </row>
    <row r="83" ht="22" customHeight="1" spans="1:16">
      <c r="A83" s="5" t="s">
        <v>4898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22" customHeight="1" spans="1:16">
      <c r="A84" s="7" t="s">
        <v>4899</v>
      </c>
    </row>
    <row r="85" ht="22" customHeight="1" spans="1:16">
      <c r="A85" s="8" t="s">
        <v>4900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ht="22" customHeight="1" spans="1:16">
      <c r="A86" s="10" t="s">
        <v>4901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ht="22" customHeight="1" spans="1:16">
      <c r="A87" s="8" t="s">
        <v>4902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ht="22" customHeight="1" spans="1:16">
      <c r="A88" s="7" t="s">
        <v>4903</v>
      </c>
    </row>
    <row r="90" ht="32" customHeight="1" spans="1:16">
      <c r="A90" s="12"/>
    </row>
  </sheetData>
  <mergeCells count="15">
    <mergeCell ref="A1:P1"/>
    <mergeCell ref="A2:P2"/>
    <mergeCell ref="A82:P82"/>
    <mergeCell ref="A83:P83"/>
    <mergeCell ref="A84:P84"/>
    <mergeCell ref="A85:P85"/>
    <mergeCell ref="A86:P86"/>
    <mergeCell ref="A87:P87"/>
    <mergeCell ref="A88:P88"/>
    <mergeCell ref="A90:P90"/>
    <mergeCell ref="M4:P5"/>
    <mergeCell ref="A4:C5"/>
    <mergeCell ref="D4:F5"/>
    <mergeCell ref="G4:I5"/>
    <mergeCell ref="J4:L5"/>
  </mergeCells>
  <pageMargins left="0.75" right="0.75" top="1" bottom="1" header="0.5" footer="0.5"/>
  <pageSetup paperSize="1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Business Problem</vt:lpstr>
      <vt:lpstr>Data Dictionary</vt:lpstr>
      <vt:lpstr>HubMaster</vt:lpstr>
      <vt:lpstr>RawShipmentData</vt:lpstr>
      <vt:lpstr>Questions</vt:lpstr>
      <vt:lpstr>Cleaned Data</vt:lpstr>
      <vt:lpstr>PivotTables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2026-09-25T04:42:00Z</dcterms:created>
  <dcterms:modified xsi:type="dcterms:W3CDTF">2026-10-13T17:09:48Z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E6687C10F91940DB946D68BC0B53D348_12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